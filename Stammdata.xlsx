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ArvidJacob\Documents\AITraining\drcannabis\"/>
    </mc:Choice>
  </mc:AlternateContent>
  <xr:revisionPtr revIDLastSave="0" documentId="13_ncr:1_{C355C0C4-16A0-4C34-BB57-B8BF0DF5EBB1}" xr6:coauthVersionLast="47" xr6:coauthVersionMax="47" xr10:uidLastSave="{00000000-0000-0000-0000-000000000000}"/>
  <bookViews>
    <workbookView xWindow="-110" yWindow="-110" windowWidth="19420" windowHeight="10300" xr2:uid="{F9D1C5E8-02E0-4F34-8DDD-0505C8BA81F8}"/>
  </bookViews>
  <sheets>
    <sheet name="flowery_product_number" sheetId="2" r:id="rId1"/>
  </sheets>
  <definedNames>
    <definedName name="_xlnm._FilterDatabase" localSheetId="0" hidden="1">flowery_product_number!$A$1:$AC$2841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46" i="2" l="1"/>
  <c r="B2839" i="2" l="1"/>
  <c r="B2807" i="2"/>
  <c r="B2838" i="2"/>
  <c r="B2837" i="2"/>
  <c r="B2836" i="2"/>
  <c r="B2835" i="2"/>
  <c r="B2834" i="2"/>
  <c r="B2833" i="2"/>
  <c r="B2832" i="2"/>
  <c r="B2809" i="2"/>
  <c r="B2831" i="2"/>
  <c r="B2830" i="2"/>
  <c r="B2829" i="2"/>
  <c r="B2828" i="2"/>
  <c r="B2827" i="2"/>
  <c r="B2826" i="2"/>
  <c r="B2804" i="2"/>
  <c r="B2802" i="2"/>
  <c r="B2805" i="2"/>
  <c r="B2825" i="2"/>
  <c r="B2801" i="2"/>
  <c r="B2824" i="2"/>
  <c r="B2823" i="2"/>
  <c r="B2822" i="2"/>
  <c r="B2821" i="2"/>
  <c r="B2803" i="2"/>
  <c r="B2820" i="2"/>
  <c r="B2819" i="2"/>
  <c r="B2818" i="2"/>
  <c r="B2817" i="2"/>
  <c r="B2816" i="2"/>
  <c r="B2815" i="2"/>
  <c r="B2814" i="2"/>
  <c r="B2813" i="2"/>
  <c r="B2812" i="2"/>
  <c r="B2811" i="2"/>
  <c r="B2810" i="2"/>
  <c r="B2800" i="2"/>
  <c r="B2792" i="2"/>
  <c r="B2799" i="2"/>
  <c r="B2798" i="2"/>
  <c r="B2797" i="2"/>
  <c r="B2796" i="2"/>
  <c r="B2795" i="2"/>
  <c r="B2794" i="2"/>
  <c r="B2791" i="2"/>
  <c r="B2772" i="2"/>
  <c r="B2773" i="2"/>
  <c r="B2790" i="2"/>
  <c r="B2789" i="2"/>
  <c r="B2788" i="2"/>
  <c r="B2787" i="2"/>
  <c r="B2770" i="2"/>
  <c r="B2786" i="2"/>
  <c r="B2785" i="2"/>
  <c r="B2784" i="2"/>
  <c r="B2783" i="2"/>
  <c r="B2771" i="2"/>
  <c r="B2769" i="2"/>
  <c r="B2768" i="2"/>
  <c r="B2767" i="2"/>
  <c r="B2782" i="2"/>
  <c r="B2781" i="2"/>
  <c r="B2780" i="2"/>
  <c r="B2779" i="2"/>
  <c r="B2778" i="2"/>
  <c r="B2777" i="2"/>
  <c r="B2776" i="2"/>
  <c r="B2775" i="2"/>
  <c r="B2774" i="2"/>
  <c r="B2749" i="2"/>
  <c r="B2766" i="2"/>
  <c r="B2765" i="2"/>
  <c r="B2764" i="2"/>
  <c r="B2763" i="2"/>
  <c r="B2762" i="2"/>
  <c r="B2761" i="2"/>
  <c r="B2760" i="2"/>
  <c r="B2759" i="2"/>
  <c r="B2758" i="2"/>
  <c r="B2746" i="2"/>
  <c r="B2757" i="2"/>
  <c r="B2748" i="2"/>
  <c r="B2756" i="2"/>
  <c r="B2755" i="2"/>
  <c r="B2754" i="2"/>
  <c r="B2753" i="2"/>
  <c r="B2752" i="2"/>
  <c r="B2747" i="2"/>
  <c r="B2751" i="2"/>
  <c r="B2750" i="2"/>
  <c r="C2658" i="2"/>
  <c r="B2658" i="2"/>
  <c r="B2732" i="2"/>
  <c r="B2733" i="2"/>
  <c r="B2734" i="2"/>
  <c r="B2745" i="2"/>
  <c r="B2744" i="2"/>
  <c r="B2743" i="2"/>
  <c r="B2742" i="2"/>
  <c r="B2731" i="2"/>
  <c r="B2741" i="2"/>
  <c r="B2740" i="2"/>
  <c r="B2739" i="2"/>
  <c r="B2738" i="2"/>
  <c r="B2737" i="2"/>
  <c r="B2736" i="2"/>
  <c r="B2735" i="2"/>
  <c r="B2730" i="2"/>
  <c r="B2729" i="2"/>
  <c r="B2716" i="2"/>
  <c r="B2728" i="2"/>
  <c r="B2727" i="2"/>
  <c r="B2726" i="2"/>
  <c r="B2725" i="2"/>
  <c r="B2724" i="2"/>
  <c r="B2723" i="2"/>
  <c r="B2722" i="2"/>
  <c r="B2721" i="2"/>
  <c r="B2713" i="2"/>
  <c r="B2720" i="2"/>
  <c r="B2719" i="2"/>
  <c r="B2718" i="2"/>
  <c r="B2715" i="2"/>
  <c r="B2711" i="2"/>
  <c r="B2714" i="2"/>
  <c r="B2710" i="2"/>
  <c r="B2709" i="2"/>
  <c r="B2708" i="2"/>
  <c r="B2707" i="2"/>
  <c r="B2706" i="2"/>
  <c r="B2705" i="2"/>
  <c r="B2704" i="2"/>
  <c r="B2703" i="2"/>
  <c r="B2676" i="2"/>
  <c r="B2702" i="2" l="1"/>
  <c r="B2701" i="2"/>
  <c r="B2690" i="2"/>
  <c r="B2700" i="2"/>
  <c r="B2699" i="2"/>
  <c r="B2691" i="2"/>
  <c r="B2688" i="2"/>
  <c r="B2693" i="2"/>
  <c r="B2698" i="2"/>
  <c r="B2694" i="2"/>
  <c r="B2689" i="2"/>
  <c r="B2697" i="2"/>
  <c r="B2687" i="2"/>
  <c r="B2696" i="2"/>
  <c r="B2695" i="2"/>
  <c r="B2692" i="2"/>
  <c r="B2686" i="2"/>
  <c r="B2685" i="2"/>
  <c r="B2684" i="2"/>
  <c r="B2683" i="2"/>
  <c r="B2682" i="2"/>
  <c r="B2681" i="2"/>
  <c r="B2679" i="2"/>
  <c r="B2678" i="2"/>
  <c r="B2653" i="2"/>
  <c r="B2677" i="2"/>
  <c r="B2675" i="2"/>
  <c r="B2656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55" i="2"/>
  <c r="B2654" i="2"/>
  <c r="B2661" i="2"/>
  <c r="B2660" i="2"/>
  <c r="B2659" i="2"/>
  <c r="B2642" i="2"/>
  <c r="B2652" i="2" l="1"/>
  <c r="B2651" i="2"/>
  <c r="B2650" i="2"/>
  <c r="B2649" i="2"/>
  <c r="B2648" i="2"/>
  <c r="B2647" i="2"/>
  <c r="B2645" i="2"/>
  <c r="B2644" i="2"/>
  <c r="B2627" i="2"/>
  <c r="B2635" i="2"/>
  <c r="B2625" i="2"/>
  <c r="B2626" i="2"/>
  <c r="B2624" i="2"/>
  <c r="B2636" i="2"/>
  <c r="B2623" i="2"/>
  <c r="B2637" i="2"/>
  <c r="B2638" i="2"/>
  <c r="B2639" i="2"/>
  <c r="B2640" i="2"/>
  <c r="B2641" i="2"/>
  <c r="B2643" i="2"/>
  <c r="B2634" i="2"/>
  <c r="B2633" i="2"/>
  <c r="B2616" i="2"/>
  <c r="B2619" i="2"/>
  <c r="B2620" i="2"/>
  <c r="B2621" i="2"/>
  <c r="B2613" i="2"/>
  <c r="B2622" i="2"/>
  <c r="B2628" i="2"/>
  <c r="B2629" i="2"/>
  <c r="B2609" i="2"/>
  <c r="B2630" i="2"/>
  <c r="B2631" i="2"/>
  <c r="B2614" i="2"/>
  <c r="B2632" i="2"/>
  <c r="B2617" i="2"/>
  <c r="B2618" i="2"/>
  <c r="B2612" i="2"/>
  <c r="B2611" i="2"/>
  <c r="B2610" i="2"/>
  <c r="B2608" i="2"/>
  <c r="B2607" i="2"/>
  <c r="B2606" i="2"/>
  <c r="B2604" i="2"/>
  <c r="B2603" i="2"/>
  <c r="C2601" i="2"/>
  <c r="C2600" i="2"/>
  <c r="C2599" i="2"/>
  <c r="C2598" i="2"/>
  <c r="C2597" i="2"/>
  <c r="C2596" i="2"/>
  <c r="C2595" i="2"/>
  <c r="C2594" i="2"/>
  <c r="C2583" i="2"/>
  <c r="C2593" i="2"/>
  <c r="C2572" i="2"/>
  <c r="C2592" i="2"/>
  <c r="C2591" i="2"/>
  <c r="C2584" i="2"/>
  <c r="C2585" i="2"/>
  <c r="C2590" i="2"/>
  <c r="C2589" i="2"/>
  <c r="C2588" i="2"/>
  <c r="C2575" i="2"/>
  <c r="C2578" i="2"/>
  <c r="C2586" i="2"/>
  <c r="C2587" i="2"/>
  <c r="C2579" i="2"/>
  <c r="B2602" i="2"/>
  <c r="B2601" i="2"/>
  <c r="B2600" i="2"/>
  <c r="B2599" i="2"/>
  <c r="B2598" i="2"/>
  <c r="B2597" i="2"/>
  <c r="B2596" i="2"/>
  <c r="B2595" i="2"/>
  <c r="B2594" i="2"/>
  <c r="B2583" i="2"/>
  <c r="B2593" i="2"/>
  <c r="B2572" i="2"/>
  <c r="B2592" i="2"/>
  <c r="B2591" i="2"/>
  <c r="B2584" i="2"/>
  <c r="B2585" i="2"/>
  <c r="B2590" i="2"/>
  <c r="B2589" i="2"/>
  <c r="B2588" i="2"/>
  <c r="B2575" i="2"/>
  <c r="B2578" i="2"/>
  <c r="B2586" i="2"/>
  <c r="B2587" i="2"/>
  <c r="B2579" i="2"/>
  <c r="B2570" i="2"/>
  <c r="B2576" i="2"/>
  <c r="B2580" i="2"/>
  <c r="B2581" i="2"/>
  <c r="B2577" i="2"/>
  <c r="B2582" i="2"/>
  <c r="B2568" i="2"/>
  <c r="B2574" i="2"/>
  <c r="B2569" i="2"/>
  <c r="B2573" i="2"/>
  <c r="B2571" i="2"/>
  <c r="B2567" i="2"/>
  <c r="B2566" i="2"/>
  <c r="B2565" i="2"/>
  <c r="B2564" i="2"/>
  <c r="B2563" i="2"/>
  <c r="B2562" i="2"/>
  <c r="B2561" i="2"/>
  <c r="B254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2" i="2"/>
  <c r="B2544" i="2"/>
  <c r="B2543" i="2"/>
  <c r="B2540" i="2"/>
  <c r="B2539" i="2"/>
  <c r="B2538" i="2"/>
  <c r="B2535" i="2"/>
  <c r="B2537" i="2"/>
  <c r="B2536" i="2"/>
  <c r="B209" i="2"/>
  <c r="B2526" i="2"/>
  <c r="B2529" i="2"/>
  <c r="B2530" i="2"/>
  <c r="B2531" i="2"/>
  <c r="B2525" i="2"/>
  <c r="B2524" i="2"/>
  <c r="B2532" i="2"/>
  <c r="B2533" i="2"/>
  <c r="B2523" i="2"/>
  <c r="B2534" i="2"/>
  <c r="B2528" i="2"/>
  <c r="B2519" i="2"/>
  <c r="B2520" i="2"/>
  <c r="B2521" i="2"/>
  <c r="B2522" i="2"/>
  <c r="B2518" i="2"/>
  <c r="B2500" i="2"/>
  <c r="B2517" i="2"/>
  <c r="B2516" i="2"/>
  <c r="B2506" i="2"/>
  <c r="B2504" i="2"/>
  <c r="B2505" i="2"/>
  <c r="B2502" i="2"/>
  <c r="B2501" i="2"/>
  <c r="B2515" i="2"/>
  <c r="B2503" i="2"/>
  <c r="B2514" i="2"/>
  <c r="B2507" i="2"/>
  <c r="B2513" i="2"/>
  <c r="B2512" i="2"/>
  <c r="B2499" i="2"/>
  <c r="B2511" i="2"/>
  <c r="B2510" i="2"/>
  <c r="B2509" i="2"/>
  <c r="B2508" i="2"/>
  <c r="B2498" i="2"/>
  <c r="B2497" i="2"/>
  <c r="B2494" i="2"/>
  <c r="B2496" i="2"/>
  <c r="B2488" i="2"/>
  <c r="B2489" i="2"/>
  <c r="B2495" i="2"/>
  <c r="B2479" i="2"/>
  <c r="B2475" i="2"/>
  <c r="B2471" i="2"/>
  <c r="B2480" i="2"/>
  <c r="B2481" i="2"/>
  <c r="B2482" i="2"/>
  <c r="B2483" i="2"/>
  <c r="B2484" i="2"/>
  <c r="B2473" i="2"/>
  <c r="B2478" i="2"/>
  <c r="B2485" i="2"/>
  <c r="B2477" i="2"/>
  <c r="B2472" i="2"/>
  <c r="B2486" i="2"/>
  <c r="B2476" i="2"/>
  <c r="B2474" i="2"/>
  <c r="B2487" i="2"/>
  <c r="B2490" i="2"/>
  <c r="B2491" i="2"/>
  <c r="B2492" i="2"/>
  <c r="B2493" i="2"/>
  <c r="B2470" i="2"/>
  <c r="B2469" i="2"/>
  <c r="B2468" i="2"/>
  <c r="B2467" i="2"/>
  <c r="B2464" i="2"/>
  <c r="B1034" i="2"/>
  <c r="B2463" i="2"/>
  <c r="B2462" i="2"/>
  <c r="B2461" i="2"/>
  <c r="B2460" i="2"/>
  <c r="B2459" i="2"/>
  <c r="B2458" i="2"/>
  <c r="B2457" i="2"/>
  <c r="B2456" i="2"/>
  <c r="B2455" i="2"/>
  <c r="C2326" i="2"/>
  <c r="C2323" i="2"/>
  <c r="C2324" i="2"/>
  <c r="C2325" i="2"/>
  <c r="B2332" i="2"/>
  <c r="B2333" i="2"/>
  <c r="B2334" i="2"/>
  <c r="B2335" i="2"/>
  <c r="B2326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323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324" i="2"/>
  <c r="B2440" i="2"/>
  <c r="B2441" i="2"/>
  <c r="B2442" i="2"/>
  <c r="B2443" i="2"/>
  <c r="B2325" i="2"/>
  <c r="B2444" i="2"/>
  <c r="B2445" i="2"/>
  <c r="B2446" i="2"/>
  <c r="B2447" i="2"/>
  <c r="B2448" i="2"/>
  <c r="B2449" i="2"/>
  <c r="B2450" i="2"/>
  <c r="B2451" i="2"/>
  <c r="B2452" i="2"/>
  <c r="B2453" i="2"/>
  <c r="B2454" i="2"/>
  <c r="B2331" i="2"/>
  <c r="B2328" i="2"/>
  <c r="B2327" i="2"/>
  <c r="B2322" i="2" l="1"/>
  <c r="B2321" i="2"/>
  <c r="B2320" i="2"/>
  <c r="B2319" i="2"/>
  <c r="B2318" i="2"/>
  <c r="B2317" i="2"/>
  <c r="B2312" i="2"/>
  <c r="B2313" i="2"/>
  <c r="B2316" i="2"/>
  <c r="B2311" i="2"/>
  <c r="B2315" i="2"/>
  <c r="B2314" i="2"/>
  <c r="B2310" i="2"/>
  <c r="B2309" i="2"/>
  <c r="B2308" i="2"/>
  <c r="B2307" i="2"/>
  <c r="B2306" i="2"/>
  <c r="B2305" i="2"/>
  <c r="B2297" i="2"/>
  <c r="B2304" i="2"/>
  <c r="B2298" i="2"/>
  <c r="B2303" i="2"/>
  <c r="B2299" i="2"/>
  <c r="B2302" i="2"/>
  <c r="B2300" i="2"/>
  <c r="B2301" i="2"/>
  <c r="B2296" i="2"/>
  <c r="B936" i="2"/>
  <c r="B2295" i="2"/>
  <c r="B2284" i="2"/>
  <c r="B2285" i="2"/>
  <c r="B2294" i="2"/>
  <c r="B2293" i="2"/>
  <c r="B2292" i="2"/>
  <c r="B2291" i="2"/>
  <c r="B2290" i="2"/>
  <c r="B2289" i="2"/>
  <c r="B2288" i="2"/>
  <c r="B2287" i="2"/>
  <c r="B2286" i="2"/>
  <c r="B2283" i="2"/>
  <c r="B2282" i="2"/>
  <c r="B2281" i="2"/>
  <c r="B2280" i="2"/>
  <c r="B2279" i="2"/>
  <c r="B2278" i="2"/>
  <c r="B2277" i="2"/>
  <c r="B2276" i="2"/>
  <c r="B2275" i="2"/>
  <c r="B2274" i="2"/>
  <c r="B2271" i="2"/>
  <c r="B2272" i="2"/>
  <c r="B2268" i="2"/>
  <c r="B2270" i="2"/>
  <c r="B2269" i="2"/>
  <c r="B2263" i="2"/>
  <c r="B2248" i="2"/>
  <c r="B2266" i="2"/>
  <c r="B2252" i="2"/>
  <c r="B2265" i="2"/>
  <c r="B2264" i="2"/>
  <c r="B2262" i="2"/>
  <c r="B2240" i="2"/>
  <c r="B2261" i="2"/>
  <c r="B2260" i="2"/>
  <c r="B2259" i="2"/>
  <c r="B2251" i="2"/>
  <c r="B2239" i="2"/>
  <c r="B2258" i="2"/>
  <c r="B2257" i="2"/>
  <c r="B2256" i="2"/>
  <c r="B2253" i="2"/>
  <c r="B2255" i="2"/>
  <c r="B2250" i="2"/>
  <c r="B2254" i="2"/>
  <c r="B2247" i="2"/>
  <c r="B2246" i="2"/>
  <c r="B2238" i="2"/>
  <c r="B2245" i="2"/>
  <c r="B2244" i="2"/>
  <c r="B2243" i="2"/>
  <c r="B2242" i="2"/>
  <c r="B2237" i="2"/>
  <c r="B2241" i="2"/>
  <c r="B2236" i="2"/>
  <c r="B2235" i="2"/>
  <c r="B2234" i="2"/>
  <c r="B2233" i="2"/>
  <c r="B2232" i="2"/>
  <c r="B2231" i="2"/>
  <c r="B2230" i="2"/>
  <c r="B2229" i="2"/>
  <c r="B2228" i="2"/>
  <c r="B2227" i="2"/>
  <c r="B2226" i="2" l="1"/>
  <c r="B2225" i="2"/>
  <c r="B2214" i="2"/>
  <c r="B2213" i="2"/>
  <c r="B2080" i="2" l="1"/>
  <c r="B2224" i="2"/>
  <c r="B2223" i="2"/>
  <c r="B2222" i="2"/>
  <c r="B2221" i="2"/>
  <c r="B2220" i="2"/>
  <c r="B2219" i="2"/>
  <c r="B2215" i="2"/>
  <c r="B2218" i="2"/>
  <c r="B2217" i="2"/>
  <c r="B2216" i="2"/>
  <c r="B2176" i="2"/>
  <c r="B2178" i="2"/>
  <c r="B2177" i="2"/>
  <c r="B2212" i="2"/>
  <c r="B2211" i="2"/>
  <c r="B2210" i="2"/>
  <c r="B2209" i="2"/>
  <c r="B2208" i="2"/>
  <c r="B2187" i="2"/>
  <c r="B2207" i="2"/>
  <c r="B2179" i="2" l="1"/>
  <c r="B2181" i="2"/>
  <c r="B2189" i="2"/>
  <c r="B2190" i="2"/>
  <c r="B2198" i="2"/>
  <c r="B2199" i="2"/>
  <c r="B2200" i="2"/>
  <c r="B2201" i="2"/>
  <c r="B2202" i="2"/>
  <c r="B2203" i="2"/>
  <c r="B2204" i="2"/>
  <c r="B2205" i="2"/>
  <c r="B2180" i="2"/>
  <c r="B2192" i="2"/>
  <c r="B2186" i="2"/>
  <c r="B2193" i="2"/>
  <c r="B2194" i="2"/>
  <c r="B2184" i="2"/>
  <c r="B2183" i="2"/>
  <c r="B2182" i="2"/>
  <c r="B2185" i="2"/>
  <c r="B2195" i="2"/>
  <c r="B2191" i="2"/>
  <c r="B2196" i="2"/>
  <c r="B2197" i="2"/>
  <c r="B2206" i="2"/>
  <c r="B2188" i="2"/>
  <c r="B2169" i="2"/>
  <c r="B2170" i="2"/>
  <c r="B2168" i="2"/>
  <c r="B2171" i="2"/>
  <c r="B2172" i="2"/>
  <c r="B2173" i="2"/>
  <c r="B2128" i="2"/>
  <c r="B2174" i="2"/>
  <c r="B2175" i="2"/>
  <c r="B2127" i="2"/>
  <c r="B2121" i="2"/>
  <c r="C2134" i="2"/>
  <c r="C2133" i="2"/>
  <c r="C2129" i="2"/>
  <c r="C2126" i="2"/>
  <c r="C2125" i="2"/>
  <c r="C2124" i="2"/>
  <c r="C2123" i="2"/>
  <c r="C2122" i="2"/>
  <c r="B2135" i="2"/>
  <c r="B2136" i="2"/>
  <c r="B2137" i="2"/>
  <c r="B2126" i="2"/>
  <c r="B2138" i="2"/>
  <c r="B2124" i="2"/>
  <c r="B2139" i="2"/>
  <c r="B2140" i="2"/>
  <c r="B2141" i="2"/>
  <c r="B2142" i="2"/>
  <c r="B2131" i="2"/>
  <c r="B2132" i="2"/>
  <c r="B2129" i="2"/>
  <c r="B2130" i="2"/>
  <c r="B2143" i="2"/>
  <c r="B2144" i="2"/>
  <c r="B2145" i="2"/>
  <c r="B2146" i="2"/>
  <c r="B2122" i="2"/>
  <c r="B2147" i="2"/>
  <c r="B2148" i="2"/>
  <c r="B2149" i="2"/>
  <c r="B2150" i="2"/>
  <c r="B2151" i="2"/>
  <c r="B2152" i="2"/>
  <c r="B2153" i="2"/>
  <c r="B2154" i="2"/>
  <c r="B2155" i="2"/>
  <c r="B2123" i="2"/>
  <c r="B2156" i="2"/>
  <c r="B2157" i="2"/>
  <c r="B2125" i="2"/>
  <c r="B2133" i="2"/>
  <c r="B2158" i="2"/>
  <c r="B2159" i="2"/>
  <c r="B2160" i="2"/>
  <c r="B2161" i="2"/>
  <c r="B2162" i="2"/>
  <c r="B2163" i="2"/>
  <c r="B2164" i="2"/>
  <c r="B2165" i="2"/>
  <c r="B2166" i="2"/>
  <c r="B2167" i="2"/>
  <c r="B2134" i="2"/>
  <c r="B2087" i="2"/>
  <c r="B2088" i="2"/>
  <c r="B2084" i="2"/>
  <c r="B2085" i="2"/>
  <c r="B2089" i="2"/>
  <c r="B2090" i="2"/>
  <c r="B2091" i="2"/>
  <c r="B2092" i="2"/>
  <c r="B2082" i="2"/>
  <c r="B2093" i="2"/>
  <c r="B2094" i="2"/>
  <c r="B2083" i="2"/>
  <c r="B2095" i="2"/>
  <c r="B2096" i="2"/>
  <c r="B2097" i="2"/>
  <c r="B2098" i="2"/>
  <c r="B2099" i="2"/>
  <c r="B2081" i="2"/>
  <c r="B2100" i="2"/>
  <c r="B2101" i="2"/>
  <c r="B2102" i="2"/>
  <c r="B2103" i="2"/>
  <c r="B2104" i="2"/>
  <c r="B2105" i="2"/>
  <c r="B2106" i="2"/>
  <c r="B2078" i="2"/>
  <c r="B2079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086" i="2"/>
  <c r="B1974" i="2"/>
  <c r="B2022" i="2" l="1"/>
  <c r="B1963" i="2"/>
  <c r="B1990" i="2"/>
  <c r="B1993" i="2"/>
  <c r="B1997" i="2"/>
  <c r="B1991" i="2"/>
  <c r="B2023" i="2"/>
  <c r="B2024" i="2"/>
  <c r="B2025" i="2"/>
  <c r="B1992" i="2"/>
  <c r="B1979" i="2"/>
  <c r="B2026" i="2"/>
  <c r="B1994" i="2"/>
  <c r="B2027" i="2"/>
  <c r="B1983" i="2"/>
  <c r="B2028" i="2"/>
  <c r="B1957" i="2"/>
  <c r="B2029" i="2"/>
  <c r="B2030" i="2"/>
  <c r="B2031" i="2"/>
  <c r="B2032" i="2"/>
  <c r="B1981" i="2"/>
  <c r="B1987" i="2"/>
  <c r="B2033" i="2"/>
  <c r="B2034" i="2"/>
  <c r="B1980" i="2"/>
  <c r="B2035" i="2"/>
  <c r="B2036" i="2"/>
  <c r="B1995" i="2"/>
  <c r="B1985" i="2"/>
  <c r="B1973" i="2"/>
  <c r="B1972" i="2"/>
  <c r="B2037" i="2"/>
  <c r="B2038" i="2"/>
  <c r="B2039" i="2"/>
  <c r="B2040" i="2"/>
  <c r="B1970" i="2"/>
  <c r="B1971" i="2"/>
  <c r="B1982" i="2"/>
  <c r="B1967" i="2"/>
  <c r="B2041" i="2"/>
  <c r="B1986" i="2"/>
  <c r="B1960" i="2"/>
  <c r="B1961" i="2"/>
  <c r="B2042" i="2"/>
  <c r="B1959" i="2"/>
  <c r="B1976" i="2"/>
  <c r="B1962" i="2"/>
  <c r="B1956" i="2"/>
  <c r="B1977" i="2"/>
  <c r="B1955" i="2"/>
  <c r="B1965" i="2"/>
  <c r="B2043" i="2"/>
  <c r="B1966" i="2"/>
  <c r="B2044" i="2"/>
  <c r="B2045" i="2"/>
  <c r="B1989" i="2"/>
  <c r="B2046" i="2"/>
  <c r="B1978" i="2"/>
  <c r="B2047" i="2"/>
  <c r="B2048" i="2"/>
  <c r="B1953" i="2"/>
  <c r="B1999" i="2"/>
  <c r="B2049" i="2"/>
  <c r="B1954" i="2"/>
  <c r="B1939" i="2"/>
  <c r="B1940" i="2"/>
  <c r="B2050" i="2"/>
  <c r="B1969" i="2"/>
  <c r="B2051" i="2"/>
  <c r="B1946" i="2"/>
  <c r="B2052" i="2"/>
  <c r="B2053" i="2"/>
  <c r="B2054" i="2"/>
  <c r="B2055" i="2"/>
  <c r="B2056" i="2"/>
  <c r="B1930" i="2"/>
  <c r="B2057" i="2"/>
  <c r="B1958" i="2"/>
  <c r="B2058" i="2"/>
  <c r="B1988" i="2"/>
  <c r="B2059" i="2"/>
  <c r="B1924" i="2"/>
  <c r="B2060" i="2"/>
  <c r="B2005" i="2"/>
  <c r="B2004" i="2"/>
  <c r="B2003" i="2"/>
  <c r="B2061" i="2"/>
  <c r="B2062" i="2"/>
  <c r="B2063" i="2"/>
  <c r="B2064" i="2"/>
  <c r="B2065" i="2"/>
  <c r="B2066" i="2"/>
  <c r="B2067" i="2"/>
  <c r="B2001" i="2"/>
  <c r="B2068" i="2"/>
  <c r="B2069" i="2"/>
  <c r="B2070" i="2"/>
  <c r="B2071" i="2"/>
  <c r="B2002" i="2"/>
  <c r="B2072" i="2"/>
  <c r="B2073" i="2"/>
  <c r="B2074" i="2"/>
  <c r="B2075" i="2"/>
  <c r="B2076" i="2"/>
  <c r="B2006" i="2"/>
  <c r="B2077" i="2"/>
  <c r="B1947" i="2"/>
  <c r="B1964" i="2" l="1"/>
  <c r="B1951" i="2"/>
  <c r="B1931" i="2"/>
  <c r="B2007" i="2"/>
  <c r="B2008" i="2"/>
  <c r="B1933" i="2"/>
  <c r="B1938" i="2"/>
  <c r="B2009" i="2"/>
  <c r="B1968" i="2"/>
  <c r="B1925" i="2"/>
  <c r="B1937" i="2"/>
  <c r="B2010" i="2"/>
  <c r="B1943" i="2"/>
  <c r="B1949" i="2"/>
  <c r="B1935" i="2"/>
  <c r="B2011" i="2"/>
  <c r="B1996" i="2"/>
  <c r="B1948" i="2"/>
  <c r="B1950" i="2"/>
  <c r="B1945" i="2"/>
  <c r="B1944" i="2"/>
  <c r="B1942" i="2"/>
  <c r="B1952" i="2"/>
  <c r="B1941" i="2"/>
  <c r="B2012" i="2"/>
  <c r="B2013" i="2"/>
  <c r="B1936" i="2"/>
  <c r="B2014" i="2"/>
  <c r="B2015" i="2"/>
  <c r="B1934" i="2"/>
  <c r="B1926" i="2"/>
  <c r="B2016" i="2"/>
  <c r="B2017" i="2"/>
  <c r="B1929" i="2"/>
  <c r="B2018" i="2"/>
  <c r="B1984" i="2"/>
  <c r="B1927" i="2"/>
  <c r="B2019" i="2"/>
  <c r="B2020" i="2"/>
  <c r="B2021" i="2"/>
  <c r="B1928" i="2"/>
  <c r="B1932" i="2"/>
  <c r="B1919" i="2"/>
  <c r="B1907" i="2"/>
  <c r="B1910" i="2"/>
  <c r="B1903" i="2"/>
  <c r="B1908" i="2"/>
  <c r="B1904" i="2"/>
  <c r="B1911" i="2"/>
  <c r="B1912" i="2"/>
  <c r="B1913" i="2"/>
  <c r="B1914" i="2"/>
  <c r="B1901" i="2"/>
  <c r="B1915" i="2"/>
  <c r="B1916" i="2"/>
  <c r="B1917" i="2"/>
  <c r="B1905" i="2"/>
  <c r="B1906" i="2"/>
  <c r="B1918" i="2"/>
  <c r="B1920" i="2"/>
  <c r="B1921" i="2"/>
  <c r="B1922" i="2"/>
  <c r="B1923" i="2"/>
  <c r="B1902" i="2"/>
  <c r="C1743" i="2"/>
  <c r="C1744" i="2"/>
  <c r="C1747" i="2"/>
  <c r="C1749" i="2"/>
  <c r="C1750" i="2"/>
  <c r="C1751" i="2"/>
  <c r="C1752" i="2"/>
  <c r="C1753" i="2"/>
  <c r="C1754" i="2"/>
  <c r="B1885" i="2"/>
  <c r="B1886" i="2"/>
  <c r="B1876" i="2"/>
  <c r="B1887" i="2"/>
  <c r="B1888" i="2"/>
  <c r="B1877" i="2"/>
  <c r="B1889" i="2"/>
  <c r="B1873" i="2"/>
  <c r="B1890" i="2"/>
  <c r="B1881" i="2"/>
  <c r="B1882" i="2"/>
  <c r="B1891" i="2"/>
  <c r="B1892" i="2"/>
  <c r="B1893" i="2"/>
  <c r="B1875" i="2"/>
  <c r="B1894" i="2"/>
  <c r="B1895" i="2"/>
  <c r="B1884" i="2"/>
  <c r="B1896" i="2"/>
  <c r="B1897" i="2"/>
  <c r="B1898" i="2"/>
  <c r="B1899" i="2"/>
  <c r="B1874" i="2"/>
  <c r="B1872" i="2"/>
  <c r="B1900" i="2"/>
  <c r="B1878" i="2"/>
  <c r="B1853" i="2"/>
  <c r="B1854" i="2"/>
  <c r="B1855" i="2"/>
  <c r="B1856" i="2"/>
  <c r="B1857" i="2"/>
  <c r="B1858" i="2"/>
  <c r="B1859" i="2"/>
  <c r="B1860" i="2"/>
  <c r="B1861" i="2"/>
  <c r="B1862" i="2"/>
  <c r="B1850" i="2"/>
  <c r="B1863" i="2"/>
  <c r="B1864" i="2"/>
  <c r="B1851" i="2"/>
  <c r="B1865" i="2"/>
  <c r="B1866" i="2"/>
  <c r="B1852" i="2"/>
  <c r="B1867" i="2"/>
  <c r="B1868" i="2"/>
  <c r="B1869" i="2"/>
  <c r="B1870" i="2"/>
  <c r="B1871" i="2"/>
  <c r="B1843" i="2"/>
  <c r="B1832" i="2"/>
  <c r="B1835" i="2"/>
  <c r="B1836" i="2"/>
  <c r="B1837" i="2"/>
  <c r="B1825" i="2"/>
  <c r="B1838" i="2"/>
  <c r="B1830" i="2"/>
  <c r="B1829" i="2"/>
  <c r="B1839" i="2"/>
  <c r="B1840" i="2"/>
  <c r="B1833" i="2"/>
  <c r="B1841" i="2"/>
  <c r="B1826" i="2"/>
  <c r="B1827" i="2"/>
  <c r="B1828" i="2"/>
  <c r="B1842" i="2"/>
  <c r="B1834" i="2"/>
  <c r="B1844" i="2"/>
  <c r="B1845" i="2"/>
  <c r="B1846" i="2"/>
  <c r="B1847" i="2"/>
  <c r="B1848" i="2"/>
  <c r="B1849" i="2"/>
  <c r="B1831" i="2"/>
  <c r="B1790" i="2"/>
  <c r="B1810" i="2"/>
  <c r="B1799" i="2"/>
  <c r="B1800" i="2"/>
  <c r="B1752" i="2"/>
  <c r="B1801" i="2"/>
  <c r="B1802" i="2"/>
  <c r="B1803" i="2"/>
  <c r="B1804" i="2"/>
  <c r="B1805" i="2"/>
  <c r="B1806" i="2"/>
  <c r="B1753" i="2"/>
  <c r="B1744" i="2"/>
  <c r="B1754" i="2"/>
  <c r="B1807" i="2"/>
  <c r="B1808" i="2"/>
  <c r="B1809" i="2"/>
  <c r="B1811" i="2"/>
  <c r="B1743" i="2"/>
  <c r="B1812" i="2"/>
  <c r="B1813" i="2"/>
  <c r="B1814" i="2"/>
  <c r="B1747" i="2"/>
  <c r="B1815" i="2"/>
  <c r="B1816" i="2"/>
  <c r="B1817" i="2"/>
  <c r="B1751" i="2"/>
  <c r="B1750" i="2"/>
  <c r="B1818" i="2"/>
  <c r="B1749" i="2"/>
  <c r="B1819" i="2"/>
  <c r="B1820" i="2"/>
  <c r="B1821" i="2"/>
  <c r="B1822" i="2"/>
  <c r="B1823" i="2"/>
  <c r="B1824" i="2"/>
  <c r="B1798" i="2"/>
  <c r="B1797" i="2"/>
  <c r="B1727" i="2"/>
  <c r="B1731" i="2"/>
  <c r="B1715" i="2"/>
  <c r="B1796" i="2"/>
  <c r="B1795" i="2"/>
  <c r="B1794" i="2"/>
  <c r="B1793" i="2"/>
  <c r="B1792" i="2"/>
  <c r="B1791" i="2"/>
  <c r="B1734" i="2"/>
  <c r="B1729" i="2"/>
  <c r="B1738" i="2"/>
  <c r="B1789" i="2"/>
  <c r="B1788" i="2"/>
  <c r="B1787" i="2"/>
  <c r="B1786" i="2"/>
  <c r="B1735" i="2"/>
  <c r="B1737" i="2"/>
  <c r="B1785" i="2"/>
  <c r="B1784" i="2"/>
  <c r="B1746" i="2"/>
  <c r="B1783" i="2"/>
  <c r="B1725" i="2"/>
  <c r="B1741" i="2"/>
  <c r="B1782" i="2"/>
  <c r="B1748" i="2"/>
  <c r="B1781" i="2"/>
  <c r="B1780" i="2"/>
  <c r="B1779" i="2"/>
  <c r="B1778" i="2"/>
  <c r="B1742" i="2"/>
  <c r="B1739" i="2"/>
  <c r="B1777" i="2"/>
  <c r="B1745" i="2"/>
  <c r="B1758" i="2"/>
  <c r="B1728" i="2"/>
  <c r="B1759" i="2"/>
  <c r="B1760" i="2"/>
  <c r="B1755" i="2"/>
  <c r="B1761" i="2"/>
  <c r="B1733" i="2"/>
  <c r="B1736" i="2"/>
  <c r="B1724" i="2"/>
  <c r="B1762" i="2"/>
  <c r="B1763" i="2"/>
  <c r="B1764" i="2"/>
  <c r="B1723" i="2"/>
  <c r="B1765" i="2"/>
  <c r="B1766" i="2"/>
  <c r="B1732" i="2"/>
  <c r="B1720" i="2"/>
  <c r="B1767" i="2"/>
  <c r="B1721" i="2"/>
  <c r="B1714" i="2"/>
  <c r="B1768" i="2"/>
  <c r="B1719" i="2"/>
  <c r="B1769" i="2"/>
  <c r="B1718" i="2"/>
  <c r="B1716" i="2"/>
  <c r="B1770" i="2"/>
  <c r="B1771" i="2"/>
  <c r="B1717" i="2"/>
  <c r="B1726" i="2"/>
  <c r="B1772" i="2"/>
  <c r="B1773" i="2"/>
  <c r="B1774" i="2"/>
  <c r="B1775" i="2"/>
  <c r="B1740" i="2"/>
  <c r="B1776" i="2"/>
  <c r="B1730" i="2"/>
  <c r="B1757" i="2"/>
  <c r="B1713" i="2"/>
  <c r="B1684" i="2"/>
  <c r="B1708" i="2"/>
  <c r="B1709" i="2"/>
  <c r="B1683" i="2"/>
  <c r="B1679" i="2"/>
  <c r="B1671" i="2"/>
  <c r="B1680" i="2"/>
  <c r="B1681" i="2"/>
  <c r="B1682" i="2"/>
  <c r="B1676" i="2"/>
  <c r="B1673" i="2"/>
  <c r="B1678" i="2"/>
  <c r="B1677" i="2"/>
  <c r="B1675" i="2"/>
  <c r="B1674" i="2"/>
  <c r="B1665" i="2"/>
  <c r="B1710" i="2"/>
  <c r="B1711" i="2"/>
  <c r="B1712" i="2"/>
  <c r="B1707" i="2"/>
  <c r="B1703" i="2"/>
  <c r="B21" i="2"/>
  <c r="B1696" i="2" l="1"/>
  <c r="B1666" i="2"/>
  <c r="B1697" i="2"/>
  <c r="B1672" i="2"/>
  <c r="B1698" i="2"/>
  <c r="B1667" i="2"/>
  <c r="B1699" i="2"/>
  <c r="B1647" i="2"/>
  <c r="B1649" i="2"/>
  <c r="B1664" i="2"/>
  <c r="B1662" i="2"/>
  <c r="B1700" i="2"/>
  <c r="B1701" i="2"/>
  <c r="B1702" i="2"/>
  <c r="B1650" i="2"/>
  <c r="B1648" i="2"/>
  <c r="B1655" i="2"/>
  <c r="B1670" i="2"/>
  <c r="B1704" i="2"/>
  <c r="B1705" i="2"/>
  <c r="B1706" i="2"/>
  <c r="B345" i="2"/>
  <c r="B1688" i="2"/>
  <c r="B1686" i="2"/>
  <c r="B1687" i="2"/>
  <c r="B1668" i="2"/>
  <c r="B1685" i="2"/>
  <c r="B1689" i="2"/>
  <c r="B1658" i="2"/>
  <c r="B1669" i="2"/>
  <c r="B1654" i="2"/>
  <c r="B1690" i="2"/>
  <c r="B1691" i="2"/>
  <c r="B1661" i="2"/>
  <c r="B1692" i="2"/>
  <c r="B1657" i="2"/>
  <c r="B1653" i="2"/>
  <c r="B1660" i="2"/>
  <c r="B1651" i="2"/>
  <c r="B1693" i="2"/>
  <c r="B1656" i="2"/>
  <c r="B1652" i="2"/>
  <c r="B1659" i="2"/>
  <c r="B1694" i="2"/>
  <c r="B1695" i="2"/>
  <c r="B1624" i="2"/>
  <c r="B1633" i="2"/>
  <c r="B1622" i="2"/>
  <c r="B1634" i="2"/>
  <c r="B1627" i="2"/>
  <c r="B1635" i="2"/>
  <c r="B1626" i="2"/>
  <c r="B1631" i="2"/>
  <c r="B1630" i="2"/>
  <c r="B1636" i="2"/>
  <c r="B1637" i="2"/>
  <c r="B1625" i="2"/>
  <c r="B1638" i="2"/>
  <c r="B1623" i="2"/>
  <c r="B1617" i="2"/>
  <c r="B1639" i="2"/>
  <c r="B1618" i="2"/>
  <c r="B1640" i="2"/>
  <c r="B1641" i="2"/>
  <c r="B1642" i="2"/>
  <c r="B1621" i="2"/>
  <c r="B1643" i="2"/>
  <c r="B1628" i="2"/>
  <c r="B1644" i="2"/>
  <c r="B1645" i="2"/>
  <c r="B1629" i="2"/>
  <c r="B1646" i="2"/>
  <c r="B1632" i="2"/>
  <c r="B1588" i="2" l="1"/>
  <c r="B1584" i="2" l="1"/>
  <c r="B1585" i="2"/>
  <c r="B1586" i="2"/>
  <c r="B1587" i="2"/>
  <c r="B1530" i="2"/>
  <c r="B1531" i="2"/>
  <c r="B1532" i="2"/>
  <c r="B1533" i="2"/>
  <c r="B1523" i="2"/>
  <c r="B1522" i="2"/>
  <c r="B1524" i="2"/>
  <c r="B1534" i="2"/>
  <c r="B1535" i="2"/>
  <c r="B1536" i="2"/>
  <c r="B1537" i="2"/>
  <c r="B1538" i="2"/>
  <c r="B1528" i="2"/>
  <c r="B1539" i="2"/>
  <c r="B1540" i="2"/>
  <c r="B1541" i="2"/>
  <c r="B1542" i="2"/>
  <c r="B1543" i="2"/>
  <c r="B112" i="2"/>
  <c r="B1527" i="2"/>
  <c r="B1544" i="2"/>
  <c r="B1525" i="2"/>
  <c r="B1545" i="2"/>
  <c r="B1546" i="2"/>
  <c r="B1526" i="2"/>
  <c r="B1547" i="2"/>
  <c r="B1548" i="2"/>
  <c r="B1529" i="2"/>
  <c r="B1549" i="2"/>
  <c r="B1550" i="2" l="1"/>
  <c r="B1554" i="2"/>
  <c r="B1482" i="2" l="1"/>
  <c r="B1516" i="2"/>
  <c r="B1517" i="2"/>
  <c r="B111" i="2"/>
  <c r="B1518" i="2"/>
  <c r="B1519" i="2"/>
  <c r="B1491" i="2"/>
  <c r="B1520" i="2"/>
  <c r="B1521" i="2"/>
  <c r="B1515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485" i="2"/>
  <c r="B1506" i="2"/>
  <c r="B1492" i="2"/>
  <c r="B1507" i="2"/>
  <c r="B1508" i="2"/>
  <c r="B1509" i="2"/>
  <c r="B1510" i="2"/>
  <c r="B1511" i="2"/>
  <c r="B1512" i="2"/>
  <c r="B1513" i="2"/>
  <c r="B1486" i="2"/>
  <c r="B1490" i="2"/>
  <c r="B1514" i="2"/>
  <c r="B1487" i="2"/>
  <c r="B1488" i="2"/>
  <c r="B1489" i="2"/>
  <c r="B1446" i="2"/>
  <c r="B1445" i="2"/>
  <c r="B1442" i="2"/>
  <c r="B1443" i="2"/>
  <c r="B1444" i="2"/>
  <c r="B1484" i="2"/>
  <c r="B1483" i="2"/>
  <c r="B1481" i="2"/>
  <c r="B1480" i="2"/>
  <c r="B1479" i="2"/>
  <c r="B1478" i="2"/>
  <c r="B110" i="2"/>
  <c r="B1477" i="2"/>
  <c r="B1476" i="2"/>
  <c r="B109" i="2"/>
  <c r="B1475" i="2"/>
  <c r="B1474" i="2"/>
  <c r="B1473" i="2"/>
  <c r="B1472" i="2"/>
  <c r="B1471" i="2"/>
  <c r="B1470" i="2"/>
  <c r="B1440" i="2"/>
  <c r="B1441" i="2"/>
  <c r="B1469" i="2"/>
  <c r="B108" i="2"/>
  <c r="B1468" i="2"/>
  <c r="B1467" i="2"/>
  <c r="B1466" i="2"/>
  <c r="B1465" i="2"/>
  <c r="B1439" i="2"/>
  <c r="B1464" i="2"/>
  <c r="B1463" i="2"/>
  <c r="B1462" i="2"/>
  <c r="B1437" i="2"/>
  <c r="B1461" i="2"/>
  <c r="B1460" i="2"/>
  <c r="B1459" i="2"/>
  <c r="B1458" i="2"/>
  <c r="B1457" i="2"/>
  <c r="B1456" i="2"/>
  <c r="B1358" i="2"/>
  <c r="B1364" i="2"/>
  <c r="B544" i="2"/>
  <c r="B47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04" i="2"/>
  <c r="B1382" i="2"/>
  <c r="B1343" i="2"/>
  <c r="B1349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05" i="2"/>
  <c r="B1409" i="2"/>
  <c r="B1410" i="2"/>
  <c r="B1411" i="2"/>
  <c r="B1412" i="2"/>
  <c r="B1413" i="2"/>
  <c r="B1414" i="2"/>
  <c r="B1415" i="2"/>
  <c r="B1416" i="2"/>
  <c r="B1417" i="2"/>
  <c r="B1418" i="2"/>
  <c r="B1419" i="2"/>
  <c r="B106" i="2"/>
  <c r="B1420" i="2"/>
  <c r="B1421" i="2"/>
  <c r="B1422" i="2"/>
  <c r="B1423" i="2"/>
  <c r="B1424" i="2"/>
  <c r="B1425" i="2"/>
  <c r="B1426" i="2"/>
  <c r="B1427" i="2"/>
  <c r="B1428" i="2"/>
  <c r="B1348" i="2"/>
  <c r="B1429" i="2"/>
  <c r="B1350" i="2"/>
  <c r="B1346" i="2"/>
  <c r="B1360" i="2"/>
  <c r="B1357" i="2"/>
  <c r="B1430" i="2"/>
  <c r="B1431" i="2"/>
  <c r="B1432" i="2"/>
  <c r="B1433" i="2"/>
  <c r="B107" i="2"/>
  <c r="B1344" i="2"/>
  <c r="B1434" i="2"/>
  <c r="B103" i="2"/>
  <c r="B1435" i="2"/>
  <c r="B1361" i="2"/>
  <c r="B1345" i="2"/>
  <c r="B1359" i="2"/>
  <c r="B102" i="2"/>
  <c r="B1342" i="2"/>
  <c r="B1436" i="2"/>
  <c r="B1347" i="2"/>
  <c r="B1351" i="2"/>
  <c r="B1352" i="2"/>
  <c r="B1353" i="2"/>
  <c r="B1354" i="2"/>
  <c r="B1355" i="2"/>
  <c r="B1356" i="2"/>
  <c r="B1362" i="2"/>
  <c r="B1363" i="2"/>
  <c r="B750" i="2"/>
  <c r="B504" i="2"/>
  <c r="B437" i="2"/>
  <c r="B436" i="2"/>
  <c r="B522" i="2"/>
  <c r="B489" i="2"/>
  <c r="B471" i="2"/>
  <c r="B1555" i="2"/>
  <c r="B623" i="2"/>
  <c r="B587" i="2"/>
  <c r="B174" i="2"/>
  <c r="B412" i="2"/>
  <c r="B585" i="2"/>
  <c r="B443" i="2"/>
  <c r="B411" i="2"/>
  <c r="B10" i="2"/>
  <c r="B39" i="2"/>
  <c r="B479" i="2"/>
  <c r="B131" i="2"/>
  <c r="B582" i="2"/>
  <c r="B409" i="2"/>
  <c r="B501" i="2"/>
  <c r="B583" i="2"/>
  <c r="B444" i="2"/>
  <c r="B497" i="2"/>
  <c r="B591" i="2"/>
  <c r="B40" i="2"/>
  <c r="B450" i="2"/>
  <c r="B38" i="2"/>
  <c r="B403" i="2"/>
  <c r="B25" i="2"/>
  <c r="B581" i="2"/>
  <c r="B408" i="2"/>
  <c r="B410" i="2"/>
  <c r="B407" i="2"/>
  <c r="B9" i="2"/>
  <c r="B405" i="2"/>
  <c r="B28" i="2"/>
  <c r="B29" i="2"/>
  <c r="B88" i="2"/>
  <c r="B445" i="2"/>
  <c r="B406" i="2"/>
  <c r="B404" i="2"/>
  <c r="B35" i="2"/>
  <c r="B26" i="2"/>
  <c r="B34" i="2"/>
  <c r="B30" i="2"/>
  <c r="B43" i="2"/>
  <c r="B27" i="2"/>
  <c r="B33" i="2"/>
  <c r="B24" i="2"/>
  <c r="B56" i="2"/>
  <c r="B402" i="2"/>
  <c r="B258" i="2"/>
  <c r="B257" i="2"/>
  <c r="B256" i="2"/>
  <c r="B401" i="2"/>
  <c r="B429" i="2"/>
  <c r="B399" i="2"/>
  <c r="B400" i="2"/>
  <c r="B615" i="2"/>
  <c r="B742" i="2"/>
  <c r="B614" i="2"/>
  <c r="B529" i="2"/>
  <c r="B606" i="2"/>
  <c r="B605" i="2"/>
  <c r="B604" i="2"/>
  <c r="B398" i="2"/>
  <c r="B397" i="2"/>
  <c r="B396" i="2"/>
  <c r="B503" i="2"/>
  <c r="B1583" i="2"/>
  <c r="B1581" i="2"/>
  <c r="B483" i="2"/>
  <c r="B395" i="2"/>
  <c r="B502" i="2"/>
  <c r="B32" i="2"/>
  <c r="B482" i="2"/>
  <c r="B159" i="2"/>
  <c r="B456" i="2"/>
  <c r="B562" i="2"/>
  <c r="B505" i="2"/>
  <c r="B160" i="2"/>
  <c r="B1331" i="2"/>
  <c r="B285" i="2"/>
  <c r="B180" i="2"/>
  <c r="B289" i="2"/>
  <c r="B394" i="2"/>
  <c r="B128" i="2"/>
  <c r="B126" i="2"/>
  <c r="B392" i="2"/>
  <c r="B274" i="2"/>
  <c r="B137" i="2"/>
  <c r="B391" i="2"/>
  <c r="B390" i="2"/>
  <c r="B389" i="2"/>
  <c r="B453" i="2"/>
  <c r="B387" i="2"/>
  <c r="B230" i="2"/>
  <c r="B564" i="2"/>
  <c r="B31" i="2"/>
  <c r="B36" i="2"/>
  <c r="B23" i="2"/>
  <c r="B22" i="2"/>
  <c r="B37" i="2"/>
  <c r="B41" i="2"/>
  <c r="B603" i="2"/>
  <c r="B386" i="2"/>
  <c r="B1570" i="2"/>
  <c r="B385" i="2"/>
  <c r="B462" i="2"/>
  <c r="B561" i="2"/>
  <c r="B384" i="2"/>
  <c r="B496" i="2"/>
  <c r="B546" i="2"/>
  <c r="B1562" i="2"/>
  <c r="B545" i="2"/>
  <c r="B1561" i="2"/>
  <c r="B1560" i="2"/>
  <c r="B1216" i="2"/>
  <c r="B1559" i="2"/>
  <c r="B53" i="2"/>
  <c r="B1225" i="2"/>
  <c r="B1223" i="2"/>
  <c r="B383" i="2"/>
  <c r="B165" i="2"/>
  <c r="B382" i="2"/>
  <c r="B426" i="2"/>
  <c r="B475" i="2"/>
  <c r="B474" i="2"/>
  <c r="B381" i="2"/>
  <c r="B227" i="2"/>
  <c r="B245" i="2"/>
  <c r="B451" i="2"/>
  <c r="B211" i="2"/>
  <c r="B377" i="2"/>
  <c r="B380" i="2"/>
  <c r="B376" i="2"/>
  <c r="B375" i="2"/>
  <c r="B374" i="2"/>
  <c r="B378" i="2"/>
  <c r="B163" i="2"/>
  <c r="B432" i="2"/>
  <c r="B461" i="2"/>
  <c r="B379" i="2"/>
  <c r="B460" i="2"/>
  <c r="B459" i="2"/>
  <c r="B431" i="2"/>
  <c r="B430" i="2"/>
  <c r="B458" i="2"/>
  <c r="B425" i="2"/>
  <c r="B371" i="2"/>
  <c r="B602" i="2"/>
  <c r="B584" i="2"/>
  <c r="B372" i="2"/>
  <c r="B457" i="2"/>
  <c r="B1255" i="2"/>
  <c r="B1256" i="2"/>
  <c r="B434" i="2"/>
  <c r="B433" i="2"/>
  <c r="B370" i="2"/>
  <c r="B369" i="2"/>
  <c r="B368" i="2"/>
  <c r="B608" i="2"/>
  <c r="B616" i="2"/>
  <c r="B607" i="2"/>
  <c r="B367" i="2"/>
  <c r="B284" i="2"/>
  <c r="B193" i="2"/>
  <c r="B206" i="2"/>
  <c r="B176" i="2"/>
  <c r="B549" i="2"/>
  <c r="B495" i="2"/>
  <c r="B413" i="2"/>
  <c r="B231" i="2"/>
  <c r="B422" i="2"/>
  <c r="B523" i="2"/>
  <c r="B485" i="2"/>
  <c r="B277" i="2"/>
  <c r="B264" i="2"/>
  <c r="B439" i="2"/>
  <c r="B276" i="2"/>
  <c r="B1230" i="2"/>
  <c r="B528" i="2"/>
  <c r="B447" i="2"/>
  <c r="B240" i="2"/>
  <c r="B244" i="2"/>
  <c r="B204" i="2"/>
  <c r="B446" i="2"/>
  <c r="B435" i="2"/>
  <c r="B281" i="2"/>
  <c r="B248" i="2"/>
  <c r="B484" i="2"/>
  <c r="B416" i="2"/>
  <c r="B263" i="2"/>
  <c r="B493" i="2"/>
  <c r="B366" i="2"/>
  <c r="B130" i="2"/>
  <c r="B548" i="2"/>
  <c r="B1259" i="2"/>
  <c r="B1582" i="2"/>
  <c r="B588" i="2"/>
  <c r="B611" i="2"/>
  <c r="B267" i="2"/>
  <c r="B424" i="2"/>
  <c r="B282" i="2"/>
  <c r="B463" i="2"/>
  <c r="B152" i="2"/>
  <c r="B238" i="2"/>
  <c r="B143" i="2"/>
  <c r="B202" i="2"/>
  <c r="B254" i="2"/>
  <c r="B543" i="2"/>
  <c r="B423" i="2"/>
  <c r="B175" i="2"/>
  <c r="B1221" i="2"/>
  <c r="B472" i="2"/>
  <c r="B287" i="2"/>
  <c r="B455" i="2"/>
  <c r="B1257" i="2"/>
  <c r="B1293" i="2"/>
  <c r="B580" i="2"/>
  <c r="B492" i="2"/>
  <c r="B119" i="2"/>
  <c r="B579" i="2"/>
  <c r="B1220" i="2"/>
  <c r="B534" i="2"/>
  <c r="B1557" i="2"/>
  <c r="B427" i="2"/>
  <c r="B1332" i="2"/>
  <c r="B226" i="2"/>
  <c r="B1229" i="2"/>
  <c r="B246" i="2"/>
  <c r="B491" i="2"/>
  <c r="B365" i="2"/>
  <c r="B364" i="2"/>
  <c r="B363" i="2"/>
  <c r="B166" i="2"/>
  <c r="B362" i="2"/>
  <c r="B361" i="2"/>
  <c r="B360" i="2"/>
  <c r="B249" i="2"/>
  <c r="B228" i="2"/>
  <c r="B359" i="2"/>
  <c r="B550" i="2"/>
  <c r="B136" i="2"/>
  <c r="B506" i="2"/>
  <c r="B1576" i="2"/>
  <c r="B601" i="2"/>
  <c r="B621" i="2"/>
  <c r="B510" i="2"/>
  <c r="B358" i="2"/>
  <c r="B195" i="2"/>
  <c r="B357" i="2"/>
  <c r="B470" i="2"/>
  <c r="B3" i="2"/>
  <c r="B44" i="2"/>
  <c r="B513" i="2"/>
  <c r="B48" i="2"/>
  <c r="B49" i="2"/>
  <c r="B20" i="2"/>
  <c r="B46" i="2"/>
  <c r="B519" i="2"/>
  <c r="B6" i="2"/>
  <c r="B50" i="2"/>
  <c r="B117" i="2"/>
  <c r="B194" i="2"/>
  <c r="B251" i="2"/>
  <c r="B494" i="2"/>
  <c r="B2" i="2"/>
  <c r="B45" i="2"/>
  <c r="B517" i="2"/>
  <c r="B116" i="2"/>
  <c r="B464" i="2"/>
  <c r="B508" i="2"/>
  <c r="B520" i="2"/>
  <c r="B512" i="2"/>
  <c r="B509" i="2"/>
  <c r="B518" i="2"/>
  <c r="B511" i="2"/>
  <c r="B514" i="2"/>
  <c r="B516" i="2"/>
  <c r="B624" i="2"/>
  <c r="B1556" i="2"/>
  <c r="B1578" i="2"/>
  <c r="B515" i="2"/>
  <c r="B42" i="2"/>
  <c r="B356" i="2"/>
  <c r="B189" i="2"/>
  <c r="B532" i="2"/>
  <c r="B19" i="2"/>
  <c r="B507" i="2"/>
  <c r="B355" i="2"/>
  <c r="B612" i="2"/>
  <c r="B619" i="2"/>
  <c r="B617" i="2"/>
  <c r="B618" i="2"/>
  <c r="B620" i="2"/>
  <c r="B215" i="2"/>
  <c r="B1579" i="2"/>
  <c r="B428" i="2"/>
  <c r="B1574" i="2"/>
  <c r="B1575" i="2"/>
  <c r="B1573" i="2"/>
  <c r="B1572" i="2"/>
  <c r="B354" i="2"/>
  <c r="B599" i="2"/>
  <c r="B600" i="2"/>
  <c r="B598" i="2"/>
  <c r="B597" i="2"/>
  <c r="B596" i="2"/>
  <c r="B1568" i="2"/>
  <c r="B1571" i="2"/>
  <c r="B609" i="2"/>
  <c r="B622" i="2"/>
  <c r="B610" i="2"/>
  <c r="B388" i="2"/>
  <c r="B1558" i="2"/>
  <c r="B473" i="2"/>
  <c r="B440" i="2"/>
  <c r="B1569" i="2"/>
  <c r="B477" i="2"/>
  <c r="B476" i="2"/>
  <c r="B490" i="2"/>
  <c r="B531" i="2"/>
  <c r="B353" i="2"/>
  <c r="B17" i="2"/>
  <c r="B18" i="2"/>
  <c r="B352" i="2"/>
  <c r="B469" i="2"/>
  <c r="B351" i="2"/>
  <c r="B530" i="2"/>
  <c r="B16" i="2"/>
  <c r="B349" i="2"/>
  <c r="B151" i="2"/>
  <c r="B350" i="2"/>
  <c r="B348" i="2"/>
  <c r="B347" i="2"/>
  <c r="B252" i="2"/>
  <c r="B269" i="2"/>
  <c r="B346" i="2"/>
  <c r="B448" i="2"/>
  <c r="B1218" i="2"/>
  <c r="B465" i="2"/>
  <c r="B521" i="2"/>
  <c r="B241" i="2"/>
  <c r="B292" i="2"/>
  <c r="B273" i="2"/>
  <c r="B420" i="2"/>
  <c r="B438" i="2"/>
  <c r="B306" i="2"/>
  <c r="B551" i="2"/>
  <c r="B171" i="2"/>
  <c r="B207" i="2"/>
  <c r="B339" i="2"/>
  <c r="B415" i="2"/>
  <c r="B498" i="2"/>
  <c r="B272" i="2"/>
  <c r="B186" i="2"/>
  <c r="B294" i="2"/>
  <c r="B298" i="2"/>
  <c r="B478" i="2"/>
  <c r="B468" i="2"/>
  <c r="B535" i="2"/>
  <c r="B344" i="2"/>
  <c r="B499" i="2"/>
  <c r="B343" i="2"/>
  <c r="B342" i="2"/>
  <c r="B527" i="2"/>
  <c r="B219" i="2"/>
  <c r="B414" i="2"/>
  <c r="B161" i="2"/>
  <c r="B467" i="2"/>
  <c r="B145" i="2"/>
  <c r="B340" i="2"/>
  <c r="B341" i="2"/>
  <c r="B500" i="2"/>
  <c r="B1231" i="2"/>
  <c r="B220" i="2"/>
  <c r="B338" i="2"/>
  <c r="B449" i="2"/>
  <c r="B1567" i="2"/>
  <c r="B595" i="2"/>
  <c r="B393" i="2"/>
  <c r="B129" i="2"/>
  <c r="B127" i="2"/>
  <c r="B178" i="2"/>
  <c r="B177" i="2"/>
  <c r="B560" i="2"/>
  <c r="B526" i="2"/>
  <c r="B417" i="2"/>
  <c r="B525" i="2"/>
  <c r="B337" i="2"/>
  <c r="B336" i="2"/>
  <c r="B559" i="2"/>
  <c r="B486" i="2"/>
  <c r="B488" i="2"/>
  <c r="B452" i="2"/>
  <c r="B524" i="2"/>
  <c r="B183" i="2"/>
  <c r="B418" i="2"/>
  <c r="B487" i="2"/>
  <c r="B565" i="2"/>
  <c r="B139" i="2"/>
  <c r="B196" i="2"/>
  <c r="B158" i="2"/>
  <c r="B441" i="2"/>
  <c r="B442" i="2"/>
  <c r="B288" i="2"/>
  <c r="B466" i="2"/>
  <c r="B419" i="2"/>
  <c r="B480" i="2"/>
  <c r="B335" i="2"/>
  <c r="B213" i="2"/>
  <c r="B300" i="2"/>
  <c r="B299" i="2"/>
  <c r="B1566" i="2"/>
  <c r="B1565" i="2"/>
  <c r="B1340" i="2"/>
  <c r="B1339" i="2"/>
  <c r="B1341" i="2"/>
  <c r="B1338" i="2"/>
  <c r="B1580" i="2"/>
  <c r="B1337" i="2"/>
  <c r="B1336" i="2"/>
  <c r="B1335" i="2"/>
  <c r="B1334" i="2"/>
  <c r="B1333" i="2"/>
  <c r="B1553" i="2"/>
  <c r="B739" i="2"/>
  <c r="B738" i="2"/>
  <c r="B737" i="2"/>
  <c r="B736" i="2"/>
  <c r="B735" i="2"/>
  <c r="B734" i="2"/>
  <c r="B1287" i="2"/>
  <c r="B539" i="2"/>
  <c r="B538" i="2"/>
  <c r="B1286" i="2"/>
  <c r="B1251" i="2"/>
  <c r="B236" i="2"/>
  <c r="B1203" i="2"/>
  <c r="B733" i="2"/>
  <c r="B1202" i="2"/>
  <c r="B732" i="2"/>
  <c r="B731" i="2"/>
  <c r="B1201" i="2"/>
  <c r="B730" i="2"/>
  <c r="B729" i="2"/>
  <c r="B728" i="2"/>
  <c r="B727" i="2"/>
  <c r="B1200" i="2"/>
  <c r="B1199" i="2"/>
  <c r="B1198" i="2"/>
  <c r="B93" i="2"/>
  <c r="B15" i="2"/>
  <c r="B13" i="2"/>
  <c r="B94" i="2"/>
  <c r="B92" i="2"/>
  <c r="B557" i="2"/>
  <c r="B1197" i="2"/>
  <c r="B323" i="2"/>
  <c r="B1196" i="2"/>
  <c r="B1195" i="2"/>
  <c r="B1194" i="2"/>
  <c r="B1193" i="2"/>
  <c r="B1192" i="2"/>
  <c r="B1191" i="2"/>
  <c r="B726" i="2"/>
  <c r="B725" i="2"/>
  <c r="B91" i="2"/>
  <c r="B57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90" i="2"/>
  <c r="B89" i="2"/>
  <c r="B1177" i="2"/>
  <c r="B1176" i="2"/>
  <c r="B1175" i="2"/>
  <c r="B135" i="2"/>
  <c r="B1174" i="2"/>
  <c r="B1173" i="2"/>
  <c r="B87" i="2"/>
  <c r="B55" i="2"/>
  <c r="B86" i="2"/>
  <c r="B85" i="2"/>
  <c r="B84" i="2"/>
  <c r="B1172" i="2"/>
  <c r="B100" i="2"/>
  <c r="B99" i="2"/>
  <c r="B83" i="2"/>
  <c r="B82" i="2"/>
  <c r="B81" i="2"/>
  <c r="B80" i="2"/>
  <c r="B1171" i="2"/>
  <c r="B1170" i="2"/>
  <c r="B1169" i="2"/>
  <c r="B1168" i="2"/>
  <c r="B1167" i="2"/>
  <c r="B1166" i="2"/>
  <c r="B187" i="2"/>
  <c r="B1165" i="2"/>
  <c r="B1164" i="2"/>
  <c r="B1163" i="2"/>
  <c r="B162" i="2"/>
  <c r="B1250" i="2"/>
  <c r="B1162" i="2"/>
  <c r="B1161" i="2"/>
  <c r="B1160" i="2"/>
  <c r="B1159" i="2"/>
  <c r="B724" i="2"/>
  <c r="B1158" i="2"/>
  <c r="B1249" i="2"/>
  <c r="B1157" i="2"/>
  <c r="B569" i="2"/>
  <c r="B723" i="2"/>
  <c r="B625" i="2"/>
  <c r="B722" i="2"/>
  <c r="B721" i="2"/>
  <c r="B594" i="2"/>
  <c r="B720" i="2"/>
  <c r="B719" i="2"/>
  <c r="B1285" i="2"/>
  <c r="B1284" i="2"/>
  <c r="B1330" i="2"/>
  <c r="B1156" i="2"/>
  <c r="B1155" i="2"/>
  <c r="B321" i="2"/>
  <c r="B332" i="2"/>
  <c r="B1248" i="2"/>
  <c r="B573" i="2"/>
  <c r="B1247" i="2"/>
  <c r="B1154" i="2"/>
  <c r="B1153" i="2"/>
  <c r="B1152" i="2"/>
  <c r="B1151" i="2"/>
  <c r="B1150" i="2"/>
  <c r="B718" i="2"/>
  <c r="B1265" i="2"/>
  <c r="B1149" i="2"/>
  <c r="B1148" i="2"/>
  <c r="B1147" i="2"/>
  <c r="B541" i="2"/>
  <c r="B717" i="2"/>
  <c r="B716" i="2"/>
  <c r="B715" i="2"/>
  <c r="B1296" i="2"/>
  <c r="B1146" i="2"/>
  <c r="B330" i="2"/>
  <c r="B1298" i="2"/>
  <c r="B316" i="2"/>
  <c r="B571" i="2"/>
  <c r="B1145" i="2"/>
  <c r="B1144" i="2"/>
  <c r="B312" i="2"/>
  <c r="B1143" i="2"/>
  <c r="B1142" i="2"/>
  <c r="B328" i="2"/>
  <c r="B14" i="2"/>
  <c r="B1141" i="2"/>
  <c r="B1329" i="2"/>
  <c r="B1140" i="2"/>
  <c r="B1139" i="2"/>
  <c r="B1138" i="2"/>
  <c r="B1137" i="2"/>
  <c r="B576" i="2"/>
  <c r="B1136" i="2"/>
  <c r="B1135" i="2"/>
  <c r="B326" i="2"/>
  <c r="B1134" i="2"/>
  <c r="B304" i="2"/>
  <c r="B1133" i="2"/>
  <c r="B1132" i="2"/>
  <c r="B315" i="2"/>
  <c r="B572" i="2"/>
  <c r="B1131" i="2"/>
  <c r="B325" i="2"/>
  <c r="B1328" i="2"/>
  <c r="B1130" i="2"/>
  <c r="B1129" i="2"/>
  <c r="B329" i="2"/>
  <c r="B1246" i="2"/>
  <c r="B1233" i="2"/>
  <c r="B1128" i="2"/>
  <c r="B333" i="2"/>
  <c r="B1127" i="2"/>
  <c r="B1126" i="2"/>
  <c r="B1125" i="2"/>
  <c r="B1124" i="2"/>
  <c r="B1123" i="2"/>
  <c r="B1122" i="2"/>
  <c r="B1121" i="2"/>
  <c r="B97" i="2"/>
  <c r="B4" i="2"/>
  <c r="B1120" i="2"/>
  <c r="B1297" i="2"/>
  <c r="B1119" i="2"/>
  <c r="B1118" i="2"/>
  <c r="B1117" i="2"/>
  <c r="B1116" i="2"/>
  <c r="B1115" i="2"/>
  <c r="B322" i="2"/>
  <c r="B1114" i="2"/>
  <c r="B1113" i="2"/>
  <c r="B278" i="2"/>
  <c r="B1112" i="2"/>
  <c r="B1111" i="2"/>
  <c r="B1110" i="2"/>
  <c r="B255" i="2"/>
  <c r="B1109" i="2"/>
  <c r="B1108" i="2"/>
  <c r="B1107" i="2"/>
  <c r="B1106" i="2"/>
  <c r="B96" i="2"/>
  <c r="B79" i="2"/>
  <c r="B327" i="2"/>
  <c r="B1105" i="2"/>
  <c r="B98" i="2"/>
  <c r="B1104" i="2"/>
  <c r="B1103" i="2"/>
  <c r="B593" i="2"/>
  <c r="B714" i="2"/>
  <c r="B592" i="2"/>
  <c r="B713" i="2"/>
  <c r="B712" i="2"/>
  <c r="B295" i="2"/>
  <c r="B711" i="2"/>
  <c r="B1102" i="2"/>
  <c r="B170" i="2"/>
  <c r="B1245" i="2"/>
  <c r="B1101" i="2"/>
  <c r="B1100" i="2"/>
  <c r="B1099" i="2"/>
  <c r="B710" i="2"/>
  <c r="B552" i="2"/>
  <c r="B1098" i="2"/>
  <c r="B1097" i="2"/>
  <c r="B1096" i="2"/>
  <c r="B275" i="2"/>
  <c r="B283" i="2"/>
  <c r="B210" i="2"/>
  <c r="B1095" i="2"/>
  <c r="B1094" i="2"/>
  <c r="B307" i="2"/>
  <c r="B208" i="2"/>
  <c r="B1093" i="2"/>
  <c r="B1092" i="2"/>
  <c r="B1091" i="2"/>
  <c r="B1090" i="2"/>
  <c r="B1089" i="2"/>
  <c r="B537" i="2"/>
  <c r="B1301" i="2"/>
  <c r="B1327" i="2"/>
  <c r="B1326" i="2"/>
  <c r="B709" i="2"/>
  <c r="B708" i="2"/>
  <c r="B707" i="2"/>
  <c r="B706" i="2"/>
  <c r="B95" i="2"/>
  <c r="B78" i="2"/>
  <c r="B51" i="2"/>
  <c r="B1325" i="2"/>
  <c r="B1088" i="2"/>
  <c r="B203" i="2"/>
  <c r="B1087" i="2"/>
  <c r="B1086" i="2"/>
  <c r="B1294" i="2"/>
  <c r="B1324" i="2"/>
  <c r="B1323" i="2"/>
  <c r="B1322" i="2"/>
  <c r="B1321" i="2"/>
  <c r="B1320" i="2"/>
  <c r="B1319" i="2"/>
  <c r="B1318" i="2"/>
  <c r="B1244" i="2"/>
  <c r="B705" i="2"/>
  <c r="B704" i="2"/>
  <c r="B703" i="2"/>
  <c r="B702" i="2"/>
  <c r="B701" i="2"/>
  <c r="B700" i="2"/>
  <c r="B699" i="2"/>
  <c r="B698" i="2"/>
  <c r="B1085" i="2"/>
  <c r="B77" i="2"/>
  <c r="B1084" i="2"/>
  <c r="B1083" i="2"/>
  <c r="B1082" i="2"/>
  <c r="B76" i="2"/>
  <c r="B271" i="2"/>
  <c r="B1081" i="2"/>
  <c r="B1080" i="2"/>
  <c r="B75" i="2"/>
  <c r="B74" i="2"/>
  <c r="B73" i="2"/>
  <c r="B72" i="2"/>
  <c r="B71" i="2"/>
  <c r="B70" i="2"/>
  <c r="B69" i="2"/>
  <c r="B68" i="2"/>
  <c r="B67" i="2"/>
  <c r="B66" i="2"/>
  <c r="B65" i="2"/>
  <c r="B64" i="2"/>
  <c r="B1079" i="2"/>
  <c r="B1078" i="2"/>
  <c r="B261" i="2"/>
  <c r="B1077" i="2"/>
  <c r="B1076" i="2"/>
  <c r="B1075" i="2"/>
  <c r="B1074" i="2"/>
  <c r="B1243" i="2"/>
  <c r="B1073" i="2"/>
  <c r="B1072" i="2"/>
  <c r="B1071" i="2"/>
  <c r="B1070" i="2"/>
  <c r="B1069" i="2"/>
  <c r="B1317" i="2"/>
  <c r="B1316" i="2"/>
  <c r="B1068" i="2"/>
  <c r="B1067" i="2"/>
  <c r="B1066" i="2"/>
  <c r="B1065" i="2"/>
  <c r="B1064" i="2"/>
  <c r="B1063" i="2"/>
  <c r="B1062" i="2"/>
  <c r="B1061" i="2"/>
  <c r="B1315" i="2"/>
  <c r="B1060" i="2"/>
  <c r="B167" i="2"/>
  <c r="B54" i="2"/>
  <c r="B1059" i="2"/>
  <c r="B1058" i="2"/>
  <c r="B1057" i="2"/>
  <c r="B1056" i="2"/>
  <c r="B697" i="2"/>
  <c r="B1055" i="2"/>
  <c r="B1054" i="2"/>
  <c r="B1053" i="2"/>
  <c r="B1052" i="2"/>
  <c r="B1051" i="2"/>
  <c r="B1050" i="2"/>
  <c r="B1242" i="2"/>
  <c r="B1049" i="2"/>
  <c r="B1048" i="2"/>
  <c r="B320" i="2"/>
  <c r="B319" i="2"/>
  <c r="B262" i="2"/>
  <c r="B1047" i="2"/>
  <c r="B1222" i="2"/>
  <c r="B12" i="2"/>
  <c r="B297" i="2"/>
  <c r="B313" i="2"/>
  <c r="B324" i="2"/>
  <c r="B1224" i="2"/>
  <c r="B547" i="2"/>
  <c r="B291" i="2"/>
  <c r="B290" i="2"/>
  <c r="B421" i="2"/>
  <c r="B696" i="2"/>
  <c r="B695" i="2"/>
  <c r="B1046" i="2"/>
  <c r="B1045" i="2"/>
  <c r="B1044" i="2"/>
  <c r="B1283" i="2"/>
  <c r="B1282" i="2"/>
  <c r="B694" i="2"/>
  <c r="B693" i="2"/>
  <c r="B1552" i="2"/>
  <c r="B567" i="2"/>
  <c r="B1043" i="2"/>
  <c r="B1042" i="2"/>
  <c r="B1041" i="2"/>
  <c r="B1040" i="2"/>
  <c r="B1039" i="2"/>
  <c r="B566" i="2"/>
  <c r="B1038" i="2"/>
  <c r="B1037" i="2"/>
  <c r="B1036" i="2"/>
  <c r="B1035" i="2"/>
  <c r="B692" i="2"/>
  <c r="B691" i="2"/>
  <c r="B318" i="2"/>
  <c r="B225" i="2"/>
  <c r="B101" i="2"/>
  <c r="B690" i="2"/>
  <c r="B689" i="2"/>
  <c r="B140" i="2"/>
  <c r="B1033" i="2"/>
  <c r="B1241" i="2"/>
  <c r="B1032" i="2"/>
  <c r="B1031" i="2"/>
  <c r="B1030" i="2"/>
  <c r="B1029" i="2"/>
  <c r="B1028" i="2"/>
  <c r="B1027" i="2"/>
  <c r="B1026" i="2"/>
  <c r="B1025" i="2"/>
  <c r="B1024" i="2"/>
  <c r="B373" i="2"/>
  <c r="B1290" i="2"/>
  <c r="B1288" i="2"/>
  <c r="B1289" i="2"/>
  <c r="B1023" i="2"/>
  <c r="B688" i="2"/>
  <c r="B1314" i="2"/>
  <c r="B1313" i="2"/>
  <c r="B198" i="2"/>
  <c r="B1022" i="2"/>
  <c r="B1021" i="2"/>
  <c r="B556" i="2"/>
  <c r="B1020" i="2"/>
  <c r="B558" i="2"/>
  <c r="B1019" i="2"/>
  <c r="B1018" i="2"/>
  <c r="B1017" i="2"/>
  <c r="B1016" i="2"/>
  <c r="B1015" i="2"/>
  <c r="B687" i="2"/>
  <c r="B686" i="2"/>
  <c r="B685" i="2"/>
  <c r="B1217" i="2"/>
  <c r="B1240" i="2"/>
  <c r="B1014" i="2"/>
  <c r="B684" i="2"/>
  <c r="B683" i="2"/>
  <c r="B1013" i="2"/>
  <c r="B1012" i="2"/>
  <c r="B682" i="2"/>
  <c r="B681" i="2"/>
  <c r="B1011" i="2"/>
  <c r="B1010" i="2"/>
  <c r="B1009" i="2"/>
  <c r="B1008" i="2"/>
  <c r="B680" i="2"/>
  <c r="B1007" i="2"/>
  <c r="B1006" i="2"/>
  <c r="B1005" i="2"/>
  <c r="B679" i="2"/>
  <c r="B1004" i="2"/>
  <c r="B1003" i="2"/>
  <c r="B678" i="2"/>
  <c r="B1002" i="2"/>
  <c r="B1001" i="2"/>
  <c r="B1000" i="2"/>
  <c r="B999" i="2"/>
  <c r="B998" i="2"/>
  <c r="B997" i="2"/>
  <c r="B1299" i="2"/>
  <c r="B996" i="2"/>
  <c r="B995" i="2"/>
  <c r="B994" i="2"/>
  <c r="B993" i="2"/>
  <c r="B568" i="2"/>
  <c r="B570" i="2"/>
  <c r="B992" i="2"/>
  <c r="B991" i="2"/>
  <c r="B990" i="2"/>
  <c r="B1264" i="2"/>
  <c r="B1263" i="2"/>
  <c r="B1262" i="2"/>
  <c r="B1261" i="2"/>
  <c r="B677" i="2"/>
  <c r="B676" i="2"/>
  <c r="B675" i="2"/>
  <c r="B674" i="2"/>
  <c r="B673" i="2"/>
  <c r="B672" i="2"/>
  <c r="B671" i="2"/>
  <c r="B670" i="2"/>
  <c r="B1258" i="2"/>
  <c r="B989" i="2"/>
  <c r="B988" i="2"/>
  <c r="B987" i="2"/>
  <c r="B986" i="2"/>
  <c r="B1281" i="2"/>
  <c r="B985" i="2"/>
  <c r="B164" i="2"/>
  <c r="B265" i="2"/>
  <c r="B1280" i="2"/>
  <c r="B1239" i="2"/>
  <c r="B1302" i="2"/>
  <c r="B542" i="2"/>
  <c r="B984" i="2"/>
  <c r="B1279" i="2"/>
  <c r="B233" i="2"/>
  <c r="B983" i="2"/>
  <c r="B1260" i="2"/>
  <c r="B982" i="2"/>
  <c r="B286" i="2"/>
  <c r="B317" i="2"/>
  <c r="B981" i="2"/>
  <c r="B232" i="2"/>
  <c r="B1278" i="2"/>
  <c r="B980" i="2"/>
  <c r="B1277" i="2"/>
  <c r="B979" i="2"/>
  <c r="B1276" i="2"/>
  <c r="B978" i="2"/>
  <c r="B235" i="2"/>
  <c r="B977" i="2"/>
  <c r="B976" i="2"/>
  <c r="B975" i="2"/>
  <c r="B974" i="2"/>
  <c r="B973" i="2"/>
  <c r="B972" i="2"/>
  <c r="B971" i="2"/>
  <c r="B669" i="2"/>
  <c r="B668" i="2"/>
  <c r="B305" i="2"/>
  <c r="B970" i="2"/>
  <c r="B969" i="2"/>
  <c r="B667" i="2"/>
  <c r="B666" i="2"/>
  <c r="B1238" i="2"/>
  <c r="B968" i="2"/>
  <c r="B967" i="2"/>
  <c r="B1237" i="2"/>
  <c r="B168" i="2"/>
  <c r="B966" i="2"/>
  <c r="B224" i="2"/>
  <c r="B197" i="2"/>
  <c r="B122" i="2"/>
  <c r="B234" i="2"/>
  <c r="B590" i="2"/>
  <c r="B613" i="2"/>
  <c r="B586" i="2"/>
  <c r="B589" i="2"/>
  <c r="B200" i="2"/>
  <c r="B965" i="2"/>
  <c r="B964" i="2"/>
  <c r="B216" i="2"/>
  <c r="B963" i="2"/>
  <c r="B962" i="2"/>
  <c r="B961" i="2"/>
  <c r="B182" i="2"/>
  <c r="B960" i="2"/>
  <c r="B959" i="2"/>
  <c r="B958" i="2"/>
  <c r="B540" i="2"/>
  <c r="B214" i="2"/>
  <c r="B173" i="2"/>
  <c r="B242" i="2"/>
  <c r="B124" i="2"/>
  <c r="B154" i="2"/>
  <c r="B121" i="2"/>
  <c r="B957" i="2"/>
  <c r="B123" i="2"/>
  <c r="B120" i="2"/>
  <c r="B956" i="2"/>
  <c r="B955" i="2"/>
  <c r="B954" i="2"/>
  <c r="B953" i="2"/>
  <c r="B309" i="2"/>
  <c r="B952" i="2"/>
  <c r="B1254" i="2"/>
  <c r="B951" i="2"/>
  <c r="B1551" i="2"/>
  <c r="B950" i="2"/>
  <c r="B949" i="2"/>
  <c r="B948" i="2"/>
  <c r="B301" i="2"/>
  <c r="B1215" i="2"/>
  <c r="B310" i="2"/>
  <c r="B280" i="2"/>
  <c r="B314" i="2"/>
  <c r="B212" i="2"/>
  <c r="B1253" i="2"/>
  <c r="B1292" i="2"/>
  <c r="B947" i="2"/>
  <c r="B946" i="2"/>
  <c r="B945" i="2"/>
  <c r="B944" i="2"/>
  <c r="B665" i="2"/>
  <c r="B664" i="2"/>
  <c r="B663" i="2"/>
  <c r="B662" i="2"/>
  <c r="B943" i="2"/>
  <c r="B942" i="2"/>
  <c r="B941" i="2"/>
  <c r="B940" i="2"/>
  <c r="B939" i="2"/>
  <c r="B150" i="2"/>
  <c r="B938" i="2"/>
  <c r="B937" i="2"/>
  <c r="B555" i="2"/>
  <c r="B935" i="2"/>
  <c r="B553" i="2"/>
  <c r="B934" i="2"/>
  <c r="B933" i="2"/>
  <c r="B661" i="2"/>
  <c r="B660" i="2"/>
  <c r="B932" i="2"/>
  <c r="B659" i="2"/>
  <c r="B658" i="2"/>
  <c r="B253" i="2"/>
  <c r="B1236" i="2"/>
  <c r="B1235" i="2"/>
  <c r="B931" i="2"/>
  <c r="B746" i="2"/>
  <c r="B250" i="2"/>
  <c r="B1312" i="2"/>
  <c r="B63" i="2"/>
  <c r="B191" i="2"/>
  <c r="B930" i="2"/>
  <c r="B929" i="2"/>
  <c r="B928" i="2"/>
  <c r="B927" i="2"/>
  <c r="B926" i="2"/>
  <c r="B62" i="2"/>
  <c r="B925" i="2"/>
  <c r="B924" i="2"/>
  <c r="B923" i="2"/>
  <c r="B922" i="2"/>
  <c r="B217" i="2"/>
  <c r="B7" i="2"/>
  <c r="B5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1311" i="2"/>
  <c r="B905" i="2"/>
  <c r="B222" i="2"/>
  <c r="B268" i="2"/>
  <c r="B904" i="2"/>
  <c r="B903" i="2"/>
  <c r="B902" i="2"/>
  <c r="B901" i="2"/>
  <c r="B900" i="2"/>
  <c r="B899" i="2"/>
  <c r="B190" i="2"/>
  <c r="B898" i="2"/>
  <c r="B897" i="2"/>
  <c r="B223" i="2"/>
  <c r="B896" i="2"/>
  <c r="B260" i="2"/>
  <c r="B201" i="2"/>
  <c r="B895" i="2"/>
  <c r="B157" i="2"/>
  <c r="B894" i="2"/>
  <c r="B893" i="2"/>
  <c r="B892" i="2"/>
  <c r="B891" i="2"/>
  <c r="B1275" i="2"/>
  <c r="B890" i="2"/>
  <c r="B1234" i="2"/>
  <c r="B889" i="2"/>
  <c r="B888" i="2"/>
  <c r="B887" i="2"/>
  <c r="B886" i="2"/>
  <c r="B554" i="2"/>
  <c r="B885" i="2"/>
  <c r="B188" i="2"/>
  <c r="B884" i="2"/>
  <c r="B61" i="2"/>
  <c r="B883" i="2"/>
  <c r="B882" i="2"/>
  <c r="B881" i="2"/>
  <c r="B8" i="2"/>
  <c r="B279" i="2"/>
  <c r="B657" i="2"/>
  <c r="B656" i="2"/>
  <c r="B655" i="2"/>
  <c r="B654" i="2"/>
  <c r="B880" i="2"/>
  <c r="B879" i="2"/>
  <c r="B878" i="2"/>
  <c r="B877" i="2"/>
  <c r="B192" i="2"/>
  <c r="B876" i="2"/>
  <c r="B875" i="2"/>
  <c r="B874" i="2"/>
  <c r="B873" i="2"/>
  <c r="B872" i="2"/>
  <c r="B871" i="2"/>
  <c r="B870" i="2"/>
  <c r="B118" i="2"/>
  <c r="B653" i="2"/>
  <c r="B869" i="2"/>
  <c r="B868" i="2"/>
  <c r="B867" i="2"/>
  <c r="B866" i="2"/>
  <c r="B865" i="2"/>
  <c r="B864" i="2"/>
  <c r="B863" i="2"/>
  <c r="B862" i="2"/>
  <c r="B861" i="2"/>
  <c r="B652" i="2"/>
  <c r="B651" i="2"/>
  <c r="B860" i="2"/>
  <c r="B859" i="2"/>
  <c r="B858" i="2"/>
  <c r="B1274" i="2"/>
  <c r="B857" i="2"/>
  <c r="B1310" i="2"/>
  <c r="B1252" i="2"/>
  <c r="B856" i="2"/>
  <c r="B855" i="2"/>
  <c r="B854" i="2"/>
  <c r="B149" i="2"/>
  <c r="B5" i="2"/>
  <c r="B60" i="2"/>
  <c r="B853" i="2"/>
  <c r="B59" i="2"/>
  <c r="B852" i="2"/>
  <c r="B851" i="2"/>
  <c r="B308" i="2"/>
  <c r="B153" i="2"/>
  <c r="B850" i="2"/>
  <c r="B849" i="2"/>
  <c r="B1309" i="2"/>
  <c r="B848" i="2"/>
  <c r="B1273" i="2"/>
  <c r="B847" i="2"/>
  <c r="B650" i="2"/>
  <c r="B846" i="2"/>
  <c r="B845" i="2"/>
  <c r="B1308" i="2"/>
  <c r="B844" i="2"/>
  <c r="B1272" i="2"/>
  <c r="B843" i="2"/>
  <c r="B1271" i="2"/>
  <c r="B842" i="2"/>
  <c r="B841" i="2"/>
  <c r="B1307" i="2"/>
  <c r="B840" i="2"/>
  <c r="B839" i="2"/>
  <c r="B838" i="2"/>
  <c r="B837" i="2"/>
  <c r="B836" i="2"/>
  <c r="B575" i="2"/>
  <c r="B835" i="2"/>
  <c r="B834" i="2"/>
  <c r="B833" i="2"/>
  <c r="B331" i="2"/>
  <c r="B832" i="2"/>
  <c r="B831" i="2"/>
  <c r="B830" i="2"/>
  <c r="B829" i="2"/>
  <c r="B828" i="2"/>
  <c r="B229" i="2"/>
  <c r="B827" i="2"/>
  <c r="B574" i="2"/>
  <c r="B155" i="2"/>
  <c r="B826" i="2"/>
  <c r="B825" i="2"/>
  <c r="B824" i="2"/>
  <c r="B823" i="2"/>
  <c r="B563" i="2"/>
  <c r="B822" i="2"/>
  <c r="B821" i="2"/>
  <c r="B820" i="2"/>
  <c r="B819" i="2"/>
  <c r="B818" i="2"/>
  <c r="B817" i="2"/>
  <c r="B816" i="2"/>
  <c r="B815" i="2"/>
  <c r="B1295" i="2"/>
  <c r="B311" i="2"/>
  <c r="B1232" i="2"/>
  <c r="B293" i="2"/>
  <c r="B814" i="2"/>
  <c r="B11" i="2"/>
  <c r="B58" i="2"/>
  <c r="B266" i="2"/>
  <c r="B1303" i="2"/>
  <c r="B813" i="2"/>
  <c r="B812" i="2"/>
  <c r="B811" i="2"/>
  <c r="B810" i="2"/>
  <c r="B205" i="2"/>
  <c r="B809" i="2"/>
  <c r="B808" i="2"/>
  <c r="B1226" i="2"/>
  <c r="B807" i="2"/>
  <c r="B806" i="2"/>
  <c r="B179" i="2"/>
  <c r="B805" i="2"/>
  <c r="B181" i="2"/>
  <c r="B1227" i="2"/>
  <c r="B804" i="2"/>
  <c r="B803" i="2"/>
  <c r="B141" i="2"/>
  <c r="B1228" i="2"/>
  <c r="B239" i="2"/>
  <c r="B172" i="2"/>
  <c r="B199" i="2"/>
  <c r="B802" i="2"/>
  <c r="B801" i="2"/>
  <c r="B800" i="2"/>
  <c r="B799" i="2"/>
  <c r="B798" i="2"/>
  <c r="B797" i="2"/>
  <c r="B146" i="2"/>
  <c r="B649" i="2"/>
  <c r="B648" i="2"/>
  <c r="B796" i="2"/>
  <c r="B138" i="2"/>
  <c r="B795" i="2"/>
  <c r="B794" i="2"/>
  <c r="B647" i="2"/>
  <c r="B646" i="2"/>
  <c r="B132" i="2"/>
  <c r="B133" i="2"/>
  <c r="B134" i="2"/>
  <c r="B793" i="2"/>
  <c r="B792" i="2"/>
  <c r="B791" i="2"/>
  <c r="B142" i="2"/>
  <c r="B645" i="2"/>
  <c r="B790" i="2"/>
  <c r="B644" i="2"/>
  <c r="B643" i="2"/>
  <c r="B642" i="2"/>
  <c r="B641" i="2"/>
  <c r="B789" i="2"/>
  <c r="B788" i="2"/>
  <c r="B640" i="2"/>
  <c r="B639" i="2"/>
  <c r="B578" i="2"/>
  <c r="B1300" i="2"/>
  <c r="B1306" i="2"/>
  <c r="B536" i="2"/>
  <c r="B1305" i="2"/>
  <c r="B787" i="2"/>
  <c r="B185" i="2"/>
  <c r="B786" i="2"/>
  <c r="B1291" i="2"/>
  <c r="B638" i="2"/>
  <c r="B637" i="2"/>
  <c r="B636" i="2"/>
  <c r="B635" i="2"/>
  <c r="B634" i="2"/>
  <c r="B633" i="2"/>
  <c r="B632" i="2"/>
  <c r="B631" i="2"/>
  <c r="B785" i="2"/>
  <c r="B1304" i="2"/>
  <c r="B784" i="2"/>
  <c r="B783" i="2"/>
  <c r="B782" i="2"/>
  <c r="B781" i="2"/>
  <c r="B780" i="2"/>
  <c r="B1219" i="2"/>
  <c r="B779" i="2"/>
  <c r="B629" i="2"/>
  <c r="B778" i="2"/>
  <c r="B777" i="2"/>
  <c r="B776" i="2"/>
  <c r="B775" i="2"/>
  <c r="B774" i="2"/>
  <c r="B259" i="2"/>
  <c r="B773" i="2"/>
  <c r="B772" i="2"/>
  <c r="B771" i="2"/>
  <c r="B237" i="2"/>
  <c r="B770" i="2"/>
  <c r="B769" i="2"/>
  <c r="B768" i="2"/>
  <c r="B767" i="2"/>
  <c r="B766" i="2"/>
  <c r="B765" i="2"/>
  <c r="B628" i="2"/>
  <c r="B627" i="2"/>
  <c r="B764" i="2"/>
  <c r="B763" i="2"/>
  <c r="B762" i="2"/>
  <c r="B626" i="2"/>
  <c r="B302" i="2"/>
  <c r="B1270" i="2"/>
  <c r="B761" i="2"/>
  <c r="B577" i="2"/>
  <c r="B147" i="2"/>
  <c r="B760" i="2"/>
  <c r="B759" i="2"/>
  <c r="B758" i="2"/>
  <c r="B757" i="2"/>
  <c r="B756" i="2"/>
  <c r="B755" i="2"/>
  <c r="B243" i="2"/>
  <c r="B221" i="2"/>
  <c r="B169" i="2"/>
  <c r="B754" i="2"/>
  <c r="B753" i="2"/>
  <c r="B247" i="2"/>
  <c r="B752" i="2"/>
  <c r="B148" i="2"/>
  <c r="B751" i="2"/>
  <c r="B218" i="2"/>
  <c r="B156" i="2"/>
  <c r="B144" i="2"/>
  <c r="B1269" i="2"/>
  <c r="B749" i="2"/>
  <c r="B125" i="2"/>
  <c r="B748" i="2"/>
  <c r="B303" i="2"/>
  <c r="B115" i="2"/>
  <c r="B747" i="2"/>
  <c r="B1214" i="2"/>
  <c r="B1209" i="2"/>
  <c r="B184" i="2"/>
  <c r="B745" i="2"/>
  <c r="B481" i="2"/>
  <c r="B454" i="2"/>
  <c r="B1213" i="2"/>
  <c r="B296" i="2"/>
  <c r="B1268" i="2"/>
  <c r="B533" i="2"/>
  <c r="B1212" i="2"/>
  <c r="B1267" i="2"/>
  <c r="B334" i="2"/>
  <c r="B1266" i="2"/>
  <c r="B744" i="2"/>
  <c r="B270" i="2"/>
  <c r="B1211" i="2"/>
  <c r="B1210" i="2"/>
  <c r="B1205" i="2"/>
  <c r="B1208" i="2"/>
  <c r="B1204" i="2"/>
  <c r="B1207" i="2"/>
  <c r="B1206" i="2"/>
  <c r="B741" i="2"/>
  <c r="B740" i="2"/>
  <c r="B743" i="2"/>
  <c r="C2130" i="2" l="1"/>
  <c r="C2131" i="2"/>
  <c r="C21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</author>
    <author>tc={64569032-01B9-46C6-B88E-4BFE7F99B2C7}</author>
    <author>tc={D0BB7711-E2C2-474E-AB06-E0273E9322C5}</author>
    <author>tc={507EA0FC-6A2F-4F0E-A09F-18D9E2747A05}</author>
    <author>tc={D3BE426B-4ECD-44AA-9982-9A794E981A1E}</author>
    <author>tc={25FB4904-6A21-4547-A97D-7672F897BAD3}</author>
    <author>tc={423B52C2-B326-441B-9759-7B0F2A6C4F4E}</author>
  </authors>
  <commentList>
    <comment ref="C1" authorId="0" shapeId="0" xr:uid="{2CA29CBF-B1B6-4EB2-A9D9-31428234863F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D1" authorId="0" shapeId="0" xr:uid="{BA132058-BC2E-42C0-A0F1-44A2133E00D5}">
      <text>
        <r>
          <rPr>
            <b/>
            <sz val="9"/>
            <color indexed="81"/>
            <rFont val="Tahoma"/>
            <family val="2"/>
          </rPr>
          <t>Text50</t>
        </r>
      </text>
    </comment>
    <comment ref="A1305" authorId="1" shapeId="0" xr:uid="{64569032-01B9-46C6-B88E-4BFE7F99B2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Chnaged the name from 26/1 to 25/1 because of name change in flowzz
</t>
      </text>
    </comment>
    <comment ref="D1355" authorId="2" shapeId="0" xr:uid="{D0BB7711-E2C2-474E-AB06-E0273E9322C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Attr.ID. Already updated in BC master</t>
      </text>
    </comment>
    <comment ref="AA1355" authorId="3" shapeId="0" xr:uid="{507EA0FC-6A2F-4F0E-A09F-18D9E2747A0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Attr.ID. Already updated in BC master</t>
      </text>
    </comment>
    <comment ref="X1602" authorId="4" shapeId="0" xr:uid="{D3BE426B-4ECD-44AA-9982-9A794E981A1E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included in BC - only the Attr.Value ID missing</t>
      </text>
    </comment>
    <comment ref="D2118" authorId="5" shapeId="0" xr:uid="{25FB4904-6A21-4547-A97D-7672F897BAD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Attr.ID. Already updated in BC master</t>
      </text>
    </comment>
    <comment ref="B2574" authorId="6" shapeId="0" xr:uid="{423B52C2-B326-441B-9759-7B0F2A6C4F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Named as remexian in  the stammdata </t>
      </text>
    </comment>
  </commentList>
</comments>
</file>

<file path=xl/sharedStrings.xml><?xml version="1.0" encoding="utf-8"?>
<sst xmlns="http://schemas.openxmlformats.org/spreadsheetml/2006/main" count="70511" uniqueCount="7472">
  <si>
    <t xml:space="preserve"> </t>
  </si>
  <si>
    <t>Product Name</t>
  </si>
  <si>
    <t>Product Name - 13</t>
  </si>
  <si>
    <t>Code</t>
  </si>
  <si>
    <t>Name</t>
  </si>
  <si>
    <t>Kultivar</t>
  </si>
  <si>
    <t>13</t>
  </si>
  <si>
    <t>Sorte</t>
  </si>
  <si>
    <t>18</t>
  </si>
  <si>
    <t>THC in Prozent</t>
  </si>
  <si>
    <t>9</t>
  </si>
  <si>
    <t>CBD in Prozent</t>
  </si>
  <si>
    <t>10</t>
  </si>
  <si>
    <t xml:space="preserve">THC in mg/ml </t>
  </si>
  <si>
    <t>11</t>
  </si>
  <si>
    <t xml:space="preserve">CBD in mg/ml </t>
  </si>
  <si>
    <t>12</t>
  </si>
  <si>
    <t>Bestrahlt</t>
  </si>
  <si>
    <t>16</t>
  </si>
  <si>
    <t>Herkunftsland</t>
  </si>
  <si>
    <t>15</t>
  </si>
  <si>
    <t>Kategorie Effekt 1</t>
  </si>
  <si>
    <t>7</t>
  </si>
  <si>
    <t>Kategorie Effekt 2</t>
  </si>
  <si>
    <t>Kategorie Effekt 3</t>
  </si>
  <si>
    <t>Aroma 1</t>
  </si>
  <si>
    <t>25</t>
  </si>
  <si>
    <t>Aroma 2</t>
  </si>
  <si>
    <t>Aroma 3</t>
  </si>
  <si>
    <t>Terpene 1</t>
  </si>
  <si>
    <t>Terpene 2</t>
  </si>
  <si>
    <t>Terpene 3</t>
  </si>
  <si>
    <t>Medizinische Wirkung 1</t>
  </si>
  <si>
    <t>27</t>
  </si>
  <si>
    <t>Medizinische Wirkung 2</t>
  </si>
  <si>
    <t>Medizinische Wirkung 3</t>
  </si>
  <si>
    <t>Price</t>
  </si>
  <si>
    <t>Produktgruppen</t>
  </si>
  <si>
    <t>4</t>
  </si>
  <si>
    <t>Hersteller</t>
  </si>
  <si>
    <t>14</t>
  </si>
  <si>
    <t>producer name</t>
  </si>
  <si>
    <t>37</t>
  </si>
  <si>
    <t>URL</t>
  </si>
  <si>
    <t>70</t>
  </si>
  <si>
    <t>50</t>
  </si>
  <si>
    <t>62</t>
  </si>
  <si>
    <t>Cannamedical Indica forte MA</t>
  </si>
  <si>
    <t>CANNAMEDIC</t>
  </si>
  <si>
    <t>Cannamedical</t>
  </si>
  <si>
    <t>Crazy Rntz</t>
  </si>
  <si>
    <t>Sorte N.A</t>
  </si>
  <si>
    <t>Unbestrahlt</t>
  </si>
  <si>
    <t>Kanada</t>
  </si>
  <si>
    <t>Kreativ</t>
  </si>
  <si>
    <t>Energetisch</t>
  </si>
  <si>
    <t/>
  </si>
  <si>
    <t>Vanille</t>
  </si>
  <si>
    <t>Fruchtig</t>
  </si>
  <si>
    <t>Würzig</t>
  </si>
  <si>
    <t>Nerolidol</t>
  </si>
  <si>
    <t>D-Limonen</t>
  </si>
  <si>
    <t>Beta-Caryophyllen</t>
  </si>
  <si>
    <t>9,18</t>
  </si>
  <si>
    <t>Blüten</t>
  </si>
  <si>
    <t>1</t>
  </si>
  <si>
    <t>https://flowzz.com/product/cannamedical-indica-forte-ma-crazy-rntz</t>
  </si>
  <si>
    <t>Cannamedical Sativa forte</t>
  </si>
  <si>
    <t>Tangie Chem</t>
  </si>
  <si>
    <t>Sativa</t>
  </si>
  <si>
    <t>Australien</t>
  </si>
  <si>
    <t>Glücklich</t>
  </si>
  <si>
    <t>Relaxed</t>
  </si>
  <si>
    <t>Diesel</t>
  </si>
  <si>
    <t>Erdig</t>
  </si>
  <si>
    <t>Citrus</t>
  </si>
  <si>
    <t>Beta-Pinen</t>
  </si>
  <si>
    <t>Stress</t>
  </si>
  <si>
    <t>Krebs Begleiterscheinungen</t>
  </si>
  <si>
    <t>Depression</t>
  </si>
  <si>
    <t>9,99</t>
  </si>
  <si>
    <t>https://flowzz.com/product/cannamedical-sativa-forte-tangie-chem-tangie-chem</t>
  </si>
  <si>
    <t>Remexian 25/1</t>
  </si>
  <si>
    <t>REMEXIAN</t>
  </si>
  <si>
    <t>Remexian</t>
  </si>
  <si>
    <t>Frosted Lemon Cake</t>
  </si>
  <si>
    <t>Hybrid</t>
  </si>
  <si>
    <t>Dänemark</t>
  </si>
  <si>
    <t>Euphorisch</t>
  </si>
  <si>
    <t>Süß</t>
  </si>
  <si>
    <t>Terpinolen</t>
  </si>
  <si>
    <t>Humulen</t>
  </si>
  <si>
    <t>Übelkeit</t>
  </si>
  <si>
    <t>Appetitlosigkeit</t>
  </si>
  <si>
    <t>6,83</t>
  </si>
  <si>
    <t>Remexian Pharma</t>
  </si>
  <si>
    <t>Schroll Medical</t>
  </si>
  <si>
    <t>https://flowzz.com/product/remexian-25-1-frosted-lemon-cake</t>
  </si>
  <si>
    <t>Canify Cannabis flos 22/1 PT Ku.</t>
  </si>
  <si>
    <t>CANIFY</t>
  </si>
  <si>
    <t>Canify</t>
  </si>
  <si>
    <t>Pink Kush</t>
  </si>
  <si>
    <t>Portugal</t>
  </si>
  <si>
    <t>Hungrig</t>
  </si>
  <si>
    <t>Blumen</t>
  </si>
  <si>
    <t>Ocimen</t>
  </si>
  <si>
    <t>Limonen</t>
  </si>
  <si>
    <t>Chronische Schmerzen</t>
  </si>
  <si>
    <t>https://flowzz.com/product/cannabis-flos-22-1-pt-pink-kush-pink-kush</t>
  </si>
  <si>
    <t>Cannamedical Sativa classic</t>
  </si>
  <si>
    <t>Strawberry Ice</t>
  </si>
  <si>
    <t>Fokussiert</t>
  </si>
  <si>
    <t>Minze</t>
  </si>
  <si>
    <t>Holzig</t>
  </si>
  <si>
    <t>Guaiol</t>
  </si>
  <si>
    <t>Beta-Ocimem</t>
  </si>
  <si>
    <t>Schlafstörungen</t>
  </si>
  <si>
    <t>10,95</t>
  </si>
  <si>
    <t>https://flowzz.com/product/cannamedical-sativa-classic-strawberry-ice-strawberry-ice</t>
  </si>
  <si>
    <t>Tire Fire</t>
  </si>
  <si>
    <t>Indica</t>
  </si>
  <si>
    <t>Schläfrig</t>
  </si>
  <si>
    <t>Teer</t>
  </si>
  <si>
    <t>Linalool</t>
  </si>
  <si>
    <t>7,45</t>
  </si>
  <si>
    <t>https://flowzz.com/product/cannamedical-indica-forte-ma-tire-fire-tire-fire</t>
  </si>
  <si>
    <t>Cannamedical CM 20/1</t>
  </si>
  <si>
    <t>Karl OG</t>
  </si>
  <si>
    <t>Beta-Myrcen</t>
  </si>
  <si>
    <t>Kopfschmerzen</t>
  </si>
  <si>
    <t>7,99</t>
  </si>
  <si>
    <t>https://flowzz.com/product/cannamedical-cm-20-1-karl-og</t>
  </si>
  <si>
    <t>Tilray THC 22 Spotlight Porto</t>
  </si>
  <si>
    <t>TILRAY</t>
  </si>
  <si>
    <t>Tilray</t>
  </si>
  <si>
    <t>Island Sweet Skunk</t>
  </si>
  <si>
    <t>Tropical</t>
  </si>
  <si>
    <t>Multiple Sklerose</t>
  </si>
  <si>
    <t>Entzündungen</t>
  </si>
  <si>
    <t>https://flowzz.com/product/tilray-thc-22-spotlight-porto-island-sweet-skunk-island-sweet-skunk</t>
  </si>
  <si>
    <t>TYSON 2.0 30/1</t>
  </si>
  <si>
    <t>NIMBUS</t>
  </si>
  <si>
    <t xml:space="preserve">Nimbus </t>
  </si>
  <si>
    <t>Haymaker Haze</t>
  </si>
  <si>
    <t>Sativa dominant</t>
  </si>
  <si>
    <t>Nordmazedonien</t>
  </si>
  <si>
    <t>Kiefer</t>
  </si>
  <si>
    <t>Myrcen</t>
  </si>
  <si>
    <t>10,90</t>
  </si>
  <si>
    <t>Nimbus Health</t>
  </si>
  <si>
    <t>NYSK</t>
  </si>
  <si>
    <t>https://flowzz.com/product/tyson-30-1-haymaker-haze</t>
  </si>
  <si>
    <t>Bathera 25/1</t>
  </si>
  <si>
    <t>IUVOBATHER</t>
  </si>
  <si>
    <t>IUVO Bathera</t>
  </si>
  <si>
    <t>Velvet Glove</t>
  </si>
  <si>
    <t>Erregt</t>
  </si>
  <si>
    <t>Kräuter</t>
  </si>
  <si>
    <t>Fenchol</t>
  </si>
  <si>
    <t>8,40</t>
  </si>
  <si>
    <t>Bathera</t>
  </si>
  <si>
    <t>https://flowzz.com/product/bathera-25-1-velvet-glove</t>
  </si>
  <si>
    <t>madrecan 21/1</t>
  </si>
  <si>
    <t>Granddaddy OG</t>
  </si>
  <si>
    <t>Alpha-Humulen</t>
  </si>
  <si>
    <t>Migräne</t>
  </si>
  <si>
    <t>5,44</t>
  </si>
  <si>
    <t>https://flowzz.com/product/madrecan-21-1-granddaddy-og</t>
  </si>
  <si>
    <t>TYSON 2.0 28/1</t>
  </si>
  <si>
    <t>10,35</t>
  </si>
  <si>
    <t>https://flowzz.com/product/tyson-28-1-haymaker-haze</t>
  </si>
  <si>
    <t>Remexian 30/1 HCC</t>
  </si>
  <si>
    <t>Grape Gasoline</t>
  </si>
  <si>
    <t>Angstzustände</t>
  </si>
  <si>
    <t>9,27</t>
  </si>
  <si>
    <t>https://flowzz.com/product/remexian-30-1-hcc-grape-gasoline</t>
  </si>
  <si>
    <t>Tiger Milk</t>
  </si>
  <si>
    <t>Indica dominant</t>
  </si>
  <si>
    <t>Gesellig</t>
  </si>
  <si>
    <t>Alpha-Pinen</t>
  </si>
  <si>
    <t>Krämpfe</t>
  </si>
  <si>
    <t>10,65</t>
  </si>
  <si>
    <t>https://flowzz.com/product/tyson-28-1-tiger-milk</t>
  </si>
  <si>
    <t>Canify Cannabis flos 20/1 UY Ku.</t>
  </si>
  <si>
    <t>Big Buddha</t>
  </si>
  <si>
    <t>Uruguay</t>
  </si>
  <si>
    <t>Käse</t>
  </si>
  <si>
    <t>Phellandrene</t>
  </si>
  <si>
    <t>5,98</t>
  </si>
  <si>
    <t>https://flowzz.com/product/canify-cannabis-flos-20-1-uy-ku-big-buddha</t>
  </si>
  <si>
    <t>Canify Cannabis flos 23/1 PRT Ku.</t>
  </si>
  <si>
    <t>Black Cherry Pie</t>
  </si>
  <si>
    <t>Pinene</t>
  </si>
  <si>
    <t>7,30</t>
  </si>
  <si>
    <t>RPK Biopharma</t>
  </si>
  <si>
    <t>https://flowzz.com/product/canify-cannabis-flos-23-1-prt-ku-black-cherry-pie</t>
  </si>
  <si>
    <t>Strawberry Banana</t>
  </si>
  <si>
    <t>PTBS Symptome</t>
  </si>
  <si>
    <t>7,12</t>
  </si>
  <si>
    <t>https://flowzz.com/product/canify-cannabis-flos-23-1-prt-ku-strawberry-banana</t>
  </si>
  <si>
    <t>Cannamedical CM 24/1</t>
  </si>
  <si>
    <t>Gelati Punch</t>
  </si>
  <si>
    <t>Kolumbien</t>
  </si>
  <si>
    <t>Bisabolol</t>
  </si>
  <si>
    <t>9,98</t>
  </si>
  <si>
    <t>https://flowzz.com/product/cannamedical-24-1-gelati-punch</t>
  </si>
  <si>
    <t>Cannamedical Sativa Classic NM</t>
  </si>
  <si>
    <t>Candyland</t>
  </si>
  <si>
    <t>Muskeldystrophie</t>
  </si>
  <si>
    <t>https://flowzz.com/product/cannamedical-sativa-classic-nm-candyland</t>
  </si>
  <si>
    <t>Nimbus easy 22/1</t>
  </si>
  <si>
    <t>Strawberry Glue</t>
  </si>
  <si>
    <t>Albern</t>
  </si>
  <si>
    <t>6,99</t>
  </si>
  <si>
    <t>https://flowzz.com/product/nimbus-easy-22-1-strawberry-glue</t>
  </si>
  <si>
    <t>Nimbus easy 24/1</t>
  </si>
  <si>
    <t>French Cookies</t>
  </si>
  <si>
    <t>9,00</t>
  </si>
  <si>
    <t>https://flowzz.com/product/nimbus-easy-24-1-french-cookies</t>
  </si>
  <si>
    <t>La Sage</t>
  </si>
  <si>
    <t>6,90</t>
  </si>
  <si>
    <t>https://flowzz.com/product/nimbus-easy-24-1-la-sage</t>
  </si>
  <si>
    <t>Tilray THC 15 Spotlight Porto</t>
  </si>
  <si>
    <t>Blueberry</t>
  </si>
  <si>
    <t>Caryophyllenoxid</t>
  </si>
  <si>
    <t>Spastik</t>
  </si>
  <si>
    <t>5,60</t>
  </si>
  <si>
    <t>https://flowzz.com/product/tilray-thc-15-spotlight-porto-blueberry-blueberry</t>
  </si>
  <si>
    <t>Tilray THC15 Spotlight Porto</t>
  </si>
  <si>
    <t>Girl Scout Cookies</t>
  </si>
  <si>
    <t>5,59</t>
  </si>
  <si>
    <t>https://flowzz.com/product/tilray-thc15-spotlight-porto-girl-scout-cookies</t>
  </si>
  <si>
    <t>Tilray THC 18 Spotlight Porto</t>
  </si>
  <si>
    <t>Headband</t>
  </si>
  <si>
    <t>Alpha-Caryophyllene</t>
  </si>
  <si>
    <t>6,19</t>
  </si>
  <si>
    <t>https://flowzz.com/product/tilray-thc-18-spotlight-porto-headband-headband</t>
  </si>
  <si>
    <t>Master Kush</t>
  </si>
  <si>
    <t>5,66</t>
  </si>
  <si>
    <t>https://flowzz.com/product/tilray-thc-18-spotlight-porto-master-kush</t>
  </si>
  <si>
    <t>7,49</t>
  </si>
  <si>
    <t>https://flowzz.com/product/tilray-thc-22-spotlight-porto-pink-kush-pink-kush</t>
  </si>
  <si>
    <t>Galaxy Walker OG</t>
  </si>
  <si>
    <t>15,20</t>
  </si>
  <si>
    <t>https://flowzz.com/product/tilray-thc-22-spotlight-porto-galaxy-walker-og-galaxy-walker-og</t>
  </si>
  <si>
    <t>4,98</t>
  </si>
  <si>
    <t>https://flowzz.com/product/tilray-thc-18-spotlight-porto-galaxy-walker-og-galaxy-walker-og</t>
  </si>
  <si>
    <t>Nimbus easy 26/1</t>
  </si>
  <si>
    <t>6,79</t>
  </si>
  <si>
    <t>https://flowzz.com/product/nimbus-easy-26-1-french-cookies</t>
  </si>
  <si>
    <t>Remexian 16/1</t>
  </si>
  <si>
    <t>White Widow</t>
  </si>
  <si>
    <t>Tinitus</t>
  </si>
  <si>
    <t>Prämenstruelles Syndrom</t>
  </si>
  <si>
    <t>4,44</t>
  </si>
  <si>
    <t>https://flowzz.com/product/remexian-16-1-white-widow</t>
  </si>
  <si>
    <t>Sour Diesel</t>
  </si>
  <si>
    <t>Tourette-Syndrom</t>
  </si>
  <si>
    <t>https://flowzz.com/product/tilray-thc-18-spotlight-porto-sour-diesel</t>
  </si>
  <si>
    <t>Mango</t>
  </si>
  <si>
    <t>https://flowzz.com/product/tilray-thc-18-spotlight-porto-mango-mango</t>
  </si>
  <si>
    <t>https://flowzz.com/product/tilray-thc-18-spotlight-porto-blueberry-blueberry</t>
  </si>
  <si>
    <t>7,20</t>
  </si>
  <si>
    <t>https://flowzz.com/product/nimbus-easy-26-1-la-sage</t>
  </si>
  <si>
    <t>6,25</t>
  </si>
  <si>
    <t>https://flowzz.com/product/nimbus-easy-22-1-la-sage</t>
  </si>
  <si>
    <t>Tilray THC18 Spotlight Porto</t>
  </si>
  <si>
    <t>Black Tuna</t>
  </si>
  <si>
    <t>6,49</t>
  </si>
  <si>
    <t>https://flowzz.com/product/tilray-thc18-spotlight-porto-black-tuna</t>
  </si>
  <si>
    <t>https://flowzz.com/product/tyson-30-1-tiger-milk</t>
  </si>
  <si>
    <t>https://flowzz.com/product/tilray-thc-18-spotlight-porto-white-widow</t>
  </si>
  <si>
    <t>Nimbus easy 20/1</t>
  </si>
  <si>
    <t>Gelato</t>
  </si>
  <si>
    <t>5,79</t>
  </si>
  <si>
    <t>https://flowzz.com/product/nimbus-easy-20-1-gelato</t>
  </si>
  <si>
    <t>Cannamedical CM 30/1</t>
  </si>
  <si>
    <t>Koko Cookies</t>
  </si>
  <si>
    <t>9,30</t>
  </si>
  <si>
    <t>https://flowzz.com/product/cm-30-1-koko-cookies</t>
  </si>
  <si>
    <t>7,74</t>
  </si>
  <si>
    <t>https://flowzz.com/product/tilray-thc-18-spotlight-porto-island-sweet-skunk-island-sweet-skunk</t>
  </si>
  <si>
    <t>Duke</t>
  </si>
  <si>
    <t>7,89</t>
  </si>
  <si>
    <t>https://flowzz.com/product/cannamedical-sativa-forte-duke</t>
  </si>
  <si>
    <t>Carmelita</t>
  </si>
  <si>
    <t>9,49</t>
  </si>
  <si>
    <t>https://flowzz.com/product/cannamedical-indica-forte-ma-carmelita</t>
  </si>
  <si>
    <t>Wedding Tree</t>
  </si>
  <si>
    <t>9,45</t>
  </si>
  <si>
    <t>https://flowzz.com/product/cannamedical-sativa-classic-nm-wedding-tree</t>
  </si>
  <si>
    <t>VenomZ Eve</t>
  </si>
  <si>
    <t>Erschöpfung</t>
  </si>
  <si>
    <t>9,95</t>
  </si>
  <si>
    <t>https://flowzz.com/product/cannamedical-sativa-classic-venomz-eve</t>
  </si>
  <si>
    <t>Cannamedical Sativa classic NM</t>
  </si>
  <si>
    <t>Gelato Dream</t>
  </si>
  <si>
    <t>8,85</t>
  </si>
  <si>
    <t>Sinceritas</t>
  </si>
  <si>
    <t>https://flowzz.com/product/cannamedical-sativa-classic-nm-gelato-dream</t>
  </si>
  <si>
    <t>Snowflake</t>
  </si>
  <si>
    <t>https://flowzz.com/product/cannamedical-sativa-classic-nm-snowflake</t>
  </si>
  <si>
    <t>Cannamedical Sativa Classic</t>
  </si>
  <si>
    <t>Lemon Slushie</t>
  </si>
  <si>
    <t>Mazedonien</t>
  </si>
  <si>
    <t>https://flowzz.com/product/cannamedical-sativa-classic-ma-lemon-slushie</t>
  </si>
  <si>
    <t>Hellfire</t>
  </si>
  <si>
    <t>5,99</t>
  </si>
  <si>
    <t>https://flowzz.com/product/nimbus-easy-20-1-hellfire-og</t>
  </si>
  <si>
    <t>Cannamedical Indica Forte DK</t>
  </si>
  <si>
    <t>Sky Berry Kush</t>
  </si>
  <si>
    <t>8,99</t>
  </si>
  <si>
    <t>https://flowzz.com/product/cannamedical-indica-forte-dk-sky-berry-kush</t>
  </si>
  <si>
    <t>HiFi 4G</t>
  </si>
  <si>
    <t>5,95</t>
  </si>
  <si>
    <t>https://flowzz.com/product/madrecan-21-1-hifi-4g</t>
  </si>
  <si>
    <t>Mediprocan Lunaris 23/1</t>
  </si>
  <si>
    <t>MEDIPROCAN</t>
  </si>
  <si>
    <t>Mediprocan</t>
  </si>
  <si>
    <t>Lava Cake</t>
  </si>
  <si>
    <t>mediproCan Pharma</t>
  </si>
  <si>
    <t>https://flowzz.com/product/mediprocan-lunaris-23-1-lava-cake</t>
  </si>
  <si>
    <t>6,45</t>
  </si>
  <si>
    <t>https://flowzz.com/product/tilray-thc-18-spotlight-porto-pink-kush-pink-kush</t>
  </si>
  <si>
    <t>5,33</t>
  </si>
  <si>
    <t>https://flowzz.com/product/tilray-thc-15-spotlight-porto-master-kush</t>
  </si>
  <si>
    <t>https://flowzz.com/product/tilray-thc15-spotlight-porto-black-tuna</t>
  </si>
  <si>
    <t>Permanent Marker</t>
  </si>
  <si>
    <t>7,19</t>
  </si>
  <si>
    <t>https://flowzz.com/product/bathera-25-1-permanent-marker</t>
  </si>
  <si>
    <t>Purple Dog Bud</t>
  </si>
  <si>
    <t>8,90</t>
  </si>
  <si>
    <t>Fotmer</t>
  </si>
  <si>
    <t>https://flowzz.com/product/canify-flos-20-1-pdb-purple-dog-bud</t>
  </si>
  <si>
    <t>Sirius</t>
  </si>
  <si>
    <t>7,95</t>
  </si>
  <si>
    <t>https://flowzz.com/product/cannabis-flos-22-1-pt-sirius-sirius</t>
  </si>
  <si>
    <t>OG Kush</t>
  </si>
  <si>
    <t>7,98</t>
  </si>
  <si>
    <t>https://flowzz.com/product/cannamedical-cm-24-1-og-kush</t>
  </si>
  <si>
    <t>Cannamedical Indica Light URY</t>
  </si>
  <si>
    <t>Dawg Bud Fusion</t>
  </si>
  <si>
    <t>https://flowzz.com/product/cannamedical-indica-light-ury-dawg-bud-fusion</t>
  </si>
  <si>
    <t>Ghost Train Haze</t>
  </si>
  <si>
    <t>10,49</t>
  </si>
  <si>
    <t>https://flowzz.com/product/cannamedical-sativa-forte-ghost-train-haze-ghost-train-haze</t>
  </si>
  <si>
    <t>Navcora THC 15 Spotlight Porto</t>
  </si>
  <si>
    <t>https://flowzz.com/product/navcora-thc-15-spotlight-porto-sour-diesel</t>
  </si>
  <si>
    <t>6,55</t>
  </si>
  <si>
    <t>https://flowzz.com/product/navcora-thc-15-spotlight-porto-pink-kush-pink-kush</t>
  </si>
  <si>
    <t>6,78</t>
  </si>
  <si>
    <t>https://flowzz.com/product/navcora-thc-15-spotlight-porto-sirius-sirius</t>
  </si>
  <si>
    <t>https://flowzz.com/product/navcora-thc-15-spotlight-porto-master-kush</t>
  </si>
  <si>
    <t>Navcora THC 18 Spotlight Porto</t>
  </si>
  <si>
    <t>https://flowzz.com/product/navcora-thc-18-spotlight-porto-sour-diesel</t>
  </si>
  <si>
    <t>5,39</t>
  </si>
  <si>
    <t>https://flowzz.com/product/navcora-thc-18-spotlight-porto-sirius-sirius</t>
  </si>
  <si>
    <t>https://flowzz.com/product/navcora-thc-18-spotlight-porto-galaxy-walker</t>
  </si>
  <si>
    <t>4,90</t>
  </si>
  <si>
    <t>https://flowzz.com/product/navcora-thc-18-spotlight-porto-mango-mango</t>
  </si>
  <si>
    <t>Purps</t>
  </si>
  <si>
    <t>7,69</t>
  </si>
  <si>
    <t>https://flowzz.com/product/navcora-thc-18-spotlight-porto-purps</t>
  </si>
  <si>
    <t>Gorilla Glue</t>
  </si>
  <si>
    <t>https://flowzz.com/product/navcora-thc-18-spotlight-porto-gorilla-glue-gorilla-glue</t>
  </si>
  <si>
    <t>5,67</t>
  </si>
  <si>
    <t>https://flowzz.com/product/navcora-thc-18-spotlight-porto-headband</t>
  </si>
  <si>
    <t>5,45</t>
  </si>
  <si>
    <t>https://flowzz.com/product/navcora-thc-18-spotlight-porto-master-kush</t>
  </si>
  <si>
    <t>Navcora THC 22 Spotlight Porto</t>
  </si>
  <si>
    <t>https://flowzz.com/product/navcora-thc-22-spotlight-porto-island-sweet-skunk-island-sweet-skunk</t>
  </si>
  <si>
    <t>5,70</t>
  </si>
  <si>
    <t>https://flowzz.com/product/navcora-thc-22-spotlight-porto-mango-mango</t>
  </si>
  <si>
    <t>https://flowzz.com/product/nimbus-easy-22-1-french-cookies</t>
  </si>
  <si>
    <t>Remexian 20/1</t>
  </si>
  <si>
    <t>https://flowzz.com/product/remexian-20-1-white-widow</t>
  </si>
  <si>
    <t>https://flowzz.com/product/tilray-thc-15-spotlight-porto-mango-mango</t>
  </si>
  <si>
    <t>5,35</t>
  </si>
  <si>
    <t>https://flowzz.com/product/tilray-thc-15-spotlight-porto-sour-diesel</t>
  </si>
  <si>
    <t>https://flowzz.com/product/tilray-thc-15-spotlight-porto-pink-kush-pink-kush</t>
  </si>
  <si>
    <t>https://flowzz.com/product/tilray-thc-15-spotlight-porto-sirius-sirius</t>
  </si>
  <si>
    <t>https://flowzz.com/product/tilray-thc18-spotlight-porto-sirius-sirius</t>
  </si>
  <si>
    <t>Jack Herer</t>
  </si>
  <si>
    <t>HIV/AIDS</t>
  </si>
  <si>
    <t>https://flowzz.com/product/tilray-thc-18-spotlight-porto-jack-herer-jack-herer</t>
  </si>
  <si>
    <t>Rockstar</t>
  </si>
  <si>
    <t>https://flowzz.com/product/tilray-thc-18-spotlight-porto-rockstar-rockstar</t>
  </si>
  <si>
    <t>Lemon Sour Diesel</t>
  </si>
  <si>
    <t>4,96</t>
  </si>
  <si>
    <t>https://flowzz.com/product/tilray-thc-18-spotlight-porto-lemon-sour-diesel</t>
  </si>
  <si>
    <t>https://flowzz.com/product/tilray-thc-22-spotlight-porto-gorilla-glue-gorilla-glue</t>
  </si>
  <si>
    <t>8,45</t>
  </si>
  <si>
    <t>https://flowzz.com/product/tilray-thc-22-spotlight-porto-sour-diesel</t>
  </si>
  <si>
    <t>https://flowzz.com/product/tilray-thc-22-spotlight-porto-rockstar-rockstar</t>
  </si>
  <si>
    <t>Jean Guy</t>
  </si>
  <si>
    <t>Fibromyalgie</t>
  </si>
  <si>
    <t>6,89</t>
  </si>
  <si>
    <t>https://flowzz.com/product/tilray-thc18-spotlight-porto-jean-guy</t>
  </si>
  <si>
    <t>TYSON 2.0 26/1</t>
  </si>
  <si>
    <t>NYC Diesel</t>
  </si>
  <si>
    <t>10,99</t>
  </si>
  <si>
    <t>https://flowzz.com/product/tyson-26-1-nyc-diesel</t>
  </si>
  <si>
    <t>https://flowzz.com/product/tyson-28-1-nyc-diesel</t>
  </si>
  <si>
    <t>8,60</t>
  </si>
  <si>
    <t>https://flowzz.com/product/tyson-26-1-tiger-milk</t>
  </si>
  <si>
    <t>https://flowzz.com/product/nimbus-easy-22-1-gelato</t>
  </si>
  <si>
    <t>https://flowzz.com/product/remexian-20-1-frosted-lemon-cake</t>
  </si>
  <si>
    <t>Biscotti Mintz</t>
  </si>
  <si>
    <t>https://flowzz.com/product/remexian-25-1-biscotti-mintz</t>
  </si>
  <si>
    <t>Amnesia Lemon</t>
  </si>
  <si>
    <t>5,10</t>
  </si>
  <si>
    <t>https://flowzz.com/product/remexian-16-1-amnesia-lemon</t>
  </si>
  <si>
    <t>https://flowzz.com/product/tilray-thc-15-spotlight-porto-rockstar-rockstar</t>
  </si>
  <si>
    <t>4,99</t>
  </si>
  <si>
    <t>https://flowzz.com/product/tilray-thc-15-spotlight-porto-island-sweet-skunk-island-sweet-skunk</t>
  </si>
  <si>
    <t>12,49</t>
  </si>
  <si>
    <t>https://flowzz.com/product/tilray-thc-22-spotlight-porto-jack-herer-jack-herer</t>
  </si>
  <si>
    <t>MAC 2.0</t>
  </si>
  <si>
    <t>5,48</t>
  </si>
  <si>
    <t>https://flowzz.com/product/madrecan-21-1-mac-2-0</t>
  </si>
  <si>
    <t>Ginger Cookies</t>
  </si>
  <si>
    <t>10,40</t>
  </si>
  <si>
    <t>https://flowzz.com/product/cannamedical-cm-30-1-ginger-cookies</t>
  </si>
  <si>
    <t>Spanien</t>
  </si>
  <si>
    <t>7,70</t>
  </si>
  <si>
    <t>https://flowzz.com/product/cannamedical-cm-20-1-og-kush</t>
  </si>
  <si>
    <t>Cheddar Skunk</t>
  </si>
  <si>
    <t>5,40</t>
  </si>
  <si>
    <t>https://flowzz.com/product/cannamedical-indica-light-ury-cheddar-skunk</t>
  </si>
  <si>
    <t>Fast Orange</t>
  </si>
  <si>
    <t>Alpha-Bisabolol</t>
  </si>
  <si>
    <t>7,15</t>
  </si>
  <si>
    <t>https://flowzz.com/product/cannamedical-sativa-classic-fast-orange</t>
  </si>
  <si>
    <t>Blue Pavé</t>
  </si>
  <si>
    <t>https://flowzz.com/product/remexian-30-1-hcc-blue-pave</t>
  </si>
  <si>
    <t>Paradiso</t>
  </si>
  <si>
    <t>23</t>
  </si>
  <si>
    <t>7,50</t>
  </si>
  <si>
    <t>https://flowzz.com/product/mediprocan-lunaris-23-1-paradiso</t>
  </si>
  <si>
    <t>Craft Botanics 27/1</t>
  </si>
  <si>
    <t>MONTU</t>
  </si>
  <si>
    <t>Montu Group</t>
  </si>
  <si>
    <t>Mimosa</t>
  </si>
  <si>
    <t>29</t>
  </si>
  <si>
    <t>https://flowzz.com/product/craft-botanics-27-1-mimosa</t>
  </si>
  <si>
    <t>White Runtz</t>
  </si>
  <si>
    <t>https://flowzz.com/product/craft-botanics-27-1-white-runtz</t>
  </si>
  <si>
    <t>Cookies Kerosene Punch</t>
  </si>
  <si>
    <t>24</t>
  </si>
  <si>
    <t>8,19</t>
  </si>
  <si>
    <t>https://flowzz.com/product/cannamedical-indica-forte-dk-cookies-kerosene-punch</t>
  </si>
  <si>
    <t>Punch Cake</t>
  </si>
  <si>
    <t>21</t>
  </si>
  <si>
    <t>4,50</t>
  </si>
  <si>
    <t>https://flowzz.com/product/madrecan-21-1-punch-cake</t>
  </si>
  <si>
    <t>Cannamedical CM 24/1 - Hindu Kush</t>
  </si>
  <si>
    <t>Hindu Kush</t>
  </si>
  <si>
    <t>Asthma</t>
  </si>
  <si>
    <t>https://flowzz.com/product/cannamedical-cm-24-1-hindu-kush</t>
  </si>
  <si>
    <t>Cannamedical CM 20/1 - Hindu Kush</t>
  </si>
  <si>
    <t>20</t>
  </si>
  <si>
    <t>https://flowzz.com/product/cannamedical-cm-20-1-hindu-kush</t>
  </si>
  <si>
    <t>420 Evolution 25/1 CA ICC</t>
  </si>
  <si>
    <t>FOUR20PHAR</t>
  </si>
  <si>
    <t>Four20 Pharma</t>
  </si>
  <si>
    <t>Ice Cream Cake x Kush Mints</t>
  </si>
  <si>
    <t>Trans-Caryophyllen</t>
  </si>
  <si>
    <t>10,20</t>
  </si>
  <si>
    <t>Four 20 Pharma</t>
  </si>
  <si>
    <t>https://flowzz.com/product/420-evolution-25-1-ca-icc-ice-cream-cake-kush-mints</t>
  </si>
  <si>
    <t>Cannamedical Indica forte</t>
  </si>
  <si>
    <t>El Jefe</t>
  </si>
  <si>
    <t>9,40</t>
  </si>
  <si>
    <t>https://flowzz.com/product/cannamedical-indica-forte-el-jefe-el-jefe</t>
  </si>
  <si>
    <t>Cannamedical Indica ultra AU</t>
  </si>
  <si>
    <t>11,00</t>
  </si>
  <si>
    <t>https://flowzz.com/product/cannamedical-indica-ultra-au-el-jefe</t>
  </si>
  <si>
    <t>CannabiStada GAB 25</t>
  </si>
  <si>
    <t>CA-STADA</t>
  </si>
  <si>
    <t>Cannabistada</t>
  </si>
  <si>
    <t>Garlic Breath</t>
  </si>
  <si>
    <t>Stada</t>
  </si>
  <si>
    <t>https://flowzz.com/product/cannabi-stada-gab-25-garlic-breath</t>
  </si>
  <si>
    <t>Demecan 22:01 Florestura</t>
  </si>
  <si>
    <t>DEMECAN</t>
  </si>
  <si>
    <t>Demecan</t>
  </si>
  <si>
    <t>Super Haze x Amnesia</t>
  </si>
  <si>
    <t>11,99</t>
  </si>
  <si>
    <t>https://flowzz.com/product/demecan-22-01-florestura-super-haze-x-amnesia</t>
  </si>
  <si>
    <t>Demecan 22:01 Calama</t>
  </si>
  <si>
    <t>Sour Kush</t>
  </si>
  <si>
    <t>https://flowzz.com/product/demecan-22-01-calama-sour-kush</t>
  </si>
  <si>
    <t>Demecan 25:01 Calama</t>
  </si>
  <si>
    <t>Farnesen</t>
  </si>
  <si>
    <t>https://flowzz.com/product/demecan-25-01-calama-sour-kush</t>
  </si>
  <si>
    <t>Demecan Sunshine Cresina 24:01</t>
  </si>
  <si>
    <t>Creamy Kee's</t>
  </si>
  <si>
    <t>Südafrika</t>
  </si>
  <si>
    <t>SafriCanna</t>
  </si>
  <si>
    <t>https://flowzz.com/product/demecan-24-01-cresina-creamy-kee-s</t>
  </si>
  <si>
    <t>Demecan 24:01 Gasolime</t>
  </si>
  <si>
    <t>Karel's Haze</t>
  </si>
  <si>
    <t>https://flowzz.com/product/demecan-24-01-gasolime-karel-s-haze</t>
  </si>
  <si>
    <t>Demecan 27:01 Petaluma</t>
  </si>
  <si>
    <t>Tally Man</t>
  </si>
  <si>
    <t>https://flowzz.com/product/demecan-27-01-petaluma-tally-man</t>
  </si>
  <si>
    <t>420 Evolution 25/1 CA TGP</t>
  </si>
  <si>
    <t>Tiger Paw</t>
  </si>
  <si>
    <t>13,00</t>
  </si>
  <si>
    <t>https://flowzz.com/product/420-evolution-25-1-ca-tgp-tiger-paw</t>
  </si>
  <si>
    <t>Pedanios 22/1</t>
  </si>
  <si>
    <t>AURORA</t>
  </si>
  <si>
    <t>Aurora</t>
  </si>
  <si>
    <t>8,75</t>
  </si>
  <si>
    <t>https://flowzz.com/product/pedanios-22-1-dnk-ghost-train-haze</t>
  </si>
  <si>
    <t>Aurora 20/1</t>
  </si>
  <si>
    <t>9,90</t>
  </si>
  <si>
    <t>https://flowzz.com/product/aurora-20-1-dnk-pink-kush</t>
  </si>
  <si>
    <t>Pedanios 24/1 LAC CA</t>
  </si>
  <si>
    <t>LA Confidential</t>
  </si>
  <si>
    <t>https://flowzz.com/product/pedanios-24-1-lac-ca-la-confidential</t>
  </si>
  <si>
    <t>Aurora 22/1</t>
  </si>
  <si>
    <t>Delahaze</t>
  </si>
  <si>
    <t>8,50</t>
  </si>
  <si>
    <t>https://flowzz.com/product/aurora-22-1-dnk-delahaze-luminarium</t>
  </si>
  <si>
    <t>Demecan Typ 2</t>
  </si>
  <si>
    <t>Orange Velvet</t>
  </si>
  <si>
    <t>Deutschland</t>
  </si>
  <si>
    <t>BfArM</t>
  </si>
  <si>
    <t>https://flowzz.com/product/typ-2-demecan-orange-velvet</t>
  </si>
  <si>
    <t>Tilray THC9:CBD9 Warlock No 2</t>
  </si>
  <si>
    <t>Warlock CBD</t>
  </si>
  <si>
    <t>11,11</t>
  </si>
  <si>
    <t>https://flowzz.com/product/tilray-thc-9-cbd-9-no-2-warlock-cbd</t>
  </si>
  <si>
    <t>Aphria Typ 3</t>
  </si>
  <si>
    <t>Churchill</t>
  </si>
  <si>
    <t>https://flowzz.com/product/typ-3-aphria-churchill</t>
  </si>
  <si>
    <t>Aphria Typ 2</t>
  </si>
  <si>
    <t>Great Bear</t>
  </si>
  <si>
    <t>8,95</t>
  </si>
  <si>
    <t>https://flowzz.com/product/typ-2-aphria-great-bear</t>
  </si>
  <si>
    <t>Aphria Typ 1</t>
  </si>
  <si>
    <t>Bienville</t>
  </si>
  <si>
    <t>https://flowzz.com/product/typ-1-aphria-bienville</t>
  </si>
  <si>
    <t>Tilray THC 22 Sativa No 1</t>
  </si>
  <si>
    <t>https://flowzz.com/product/tilray-thc-22-sativa-no-1-headband</t>
  </si>
  <si>
    <t>Canopy AKH 22/1</t>
  </si>
  <si>
    <t>CANOPY</t>
  </si>
  <si>
    <t>Canopy Growth</t>
  </si>
  <si>
    <t>Afghan Kush</t>
  </si>
  <si>
    <t>7,65</t>
  </si>
  <si>
    <t>Canopy Medical</t>
  </si>
  <si>
    <t>https://flowzz.com/product/canopy-akh-22-afghan-kush</t>
  </si>
  <si>
    <t>Pedanios 10/10 EQI CA</t>
  </si>
  <si>
    <t>Equiposa</t>
  </si>
  <si>
    <t>8,49</t>
  </si>
  <si>
    <t>https://flowzz.com/product/pedanios-10-10-eqi-ca-equiposa</t>
  </si>
  <si>
    <t>Aurora 1/12 DNK CT</t>
  </si>
  <si>
    <t>Cannatonic</t>
  </si>
  <si>
    <t>https://flowzz.com/product/aurora-1-12-dnk-cannatonic</t>
  </si>
  <si>
    <t>420 Natural 22/1 CA GG4</t>
  </si>
  <si>
    <t>7,80</t>
  </si>
  <si>
    <t>https://flowzz.com/product/420-natural-22-1-ca-gg-4-gorilla-glue-4</t>
  </si>
  <si>
    <t>IQANNA Wappa No. 10</t>
  </si>
  <si>
    <t>CANTOURAGE</t>
  </si>
  <si>
    <t>Cantourage</t>
  </si>
  <si>
    <t>Wappa</t>
  </si>
  <si>
    <t>https://flowzz.com/product/iqanna-no-10-wappa</t>
  </si>
  <si>
    <t>avaay 23/1 CK</t>
  </si>
  <si>
    <t>VAYAMED</t>
  </si>
  <si>
    <t>Vayamed</t>
  </si>
  <si>
    <t>Critical Kush</t>
  </si>
  <si>
    <t>avaay</t>
  </si>
  <si>
    <t>https://flowzz.com/product/avaay-23-1-critical-kush-critical-kush</t>
  </si>
  <si>
    <t>Aphria forte 9</t>
  </si>
  <si>
    <t>Aphria</t>
  </si>
  <si>
    <t>https://flowzz.com/product/aphria-forte-9-bienville-jean-guy</t>
  </si>
  <si>
    <t>Demecan CRAFT Tricolo 27:01</t>
  </si>
  <si>
    <t>LA Kush Cake</t>
  </si>
  <si>
    <t>https://flowzz.com/product/demecan-craft-tricolo-27-01-la-kush-cake</t>
  </si>
  <si>
    <t>420 Evolution 27/1 CA ICC</t>
  </si>
  <si>
    <t>10,50</t>
  </si>
  <si>
    <t>https://flowzz.com/product/420-evolution-27-1-ca-icc-ice-cream-cake-kush-mints</t>
  </si>
  <si>
    <t>avaay 23/1 RG</t>
  </si>
  <si>
    <t>Royal Gorilla</t>
  </si>
  <si>
    <t>https://flowzz.com/product/avaay-23-1-royal-gorilla-royal-gorilla</t>
  </si>
  <si>
    <t>avaay 16/1 BBH</t>
  </si>
  <si>
    <t>Blueberry Haze</t>
  </si>
  <si>
    <t>https://flowzz.com/product/avaay-16-1-blueberry-haze-blueberry-haze</t>
  </si>
  <si>
    <t>420 Natural 27/1 CA ZRP</t>
  </si>
  <si>
    <t>Zour Apple</t>
  </si>
  <si>
    <t>Kaffee</t>
  </si>
  <si>
    <t>https://flowzz.com/product/420-natural-27-1-ca-zrp-zour-apple</t>
  </si>
  <si>
    <t>420 Evolution 30/1 CA TGP</t>
  </si>
  <si>
    <t>https://flowzz.com/product/420-evolution-30-1-ca-tgp-tiger-paw</t>
  </si>
  <si>
    <t>https://flowzz.com/product/cannabis-flos-22-1-pt-mango-mango</t>
  </si>
  <si>
    <t>CanPharma Flos 20/1</t>
  </si>
  <si>
    <t>CANPHARMA</t>
  </si>
  <si>
    <t>CanPharma</t>
  </si>
  <si>
    <t>https://flowzz.com/product/can-pharma-flos-20-1-hindu-kush</t>
  </si>
  <si>
    <t>Canify Cannabis flos 18/1 PT Ku.</t>
  </si>
  <si>
    <t>https://flowzz.com/product/cannabis-flos-18-1-pt-mango-mango</t>
  </si>
  <si>
    <t>Demecan CRAFT zoerO 25:01</t>
  </si>
  <si>
    <t>Oreoz</t>
  </si>
  <si>
    <t>Tabak</t>
  </si>
  <si>
    <t>12,99</t>
  </si>
  <si>
    <t>https://flowzz.com/product/demecan-craft-zoer0-25-01-oreoz</t>
  </si>
  <si>
    <t>Canify Cannabis flos 18/1 UY Ku.</t>
  </si>
  <si>
    <t>https://flowzz.com/product/canify-flos-18-1-pt-pink-kush</t>
  </si>
  <si>
    <t>Demecan 25:01 GOG-K</t>
  </si>
  <si>
    <t>Gelato OG</t>
  </si>
  <si>
    <t>https://flowzz.com/product/demecan-25-01-gog-k-gelato-og</t>
  </si>
  <si>
    <t>Beacon Indica THC20</t>
  </si>
  <si>
    <t>BEACON</t>
  </si>
  <si>
    <t>Beacon Medical Germany</t>
  </si>
  <si>
    <t>Sensi Star</t>
  </si>
  <si>
    <t>https://flowzz.com/product/beacon-indica-thc-20-sensi-star</t>
  </si>
  <si>
    <t>420 Evolution 27/1 CA STR</t>
  </si>
  <si>
    <t>Star Struck</t>
  </si>
  <si>
    <t>https://flowzz.com/product/420-evolution-27-1-ca-str-star-struck</t>
  </si>
  <si>
    <t>Cannamedical Hybrid Classic</t>
  </si>
  <si>
    <t>Chocolate Marshmallows</t>
  </si>
  <si>
    <t>https://flowzz.com/product/cannamedical-hybrid-classic-chocolate-marshmallows</t>
  </si>
  <si>
    <t>420 Natural 17/1 CA TRP</t>
  </si>
  <si>
    <t>Tropicana Cookies</t>
  </si>
  <si>
    <t>8,48</t>
  </si>
  <si>
    <t>https://flowzz.com/product/420-natural-17-1-ca-trp-tropicana-cookies</t>
  </si>
  <si>
    <t>RE:CANNIS 9.5/10.5 Hybrid</t>
  </si>
  <si>
    <t>FETTE-PHAR</t>
  </si>
  <si>
    <t>Fette Pharma GmbH</t>
  </si>
  <si>
    <t>Lesotho</t>
  </si>
  <si>
    <t>8,25</t>
  </si>
  <si>
    <t>FETTE Ph.Nordh.</t>
  </si>
  <si>
    <t>https://flowzz.com/product/cannis-9-5-10-5-hybrid-midnight</t>
  </si>
  <si>
    <t>RE:CANNIS 1/15 CBD</t>
  </si>
  <si>
    <t>Morbus Chron</t>
  </si>
  <si>
    <t>https://flowzz.com/product/cannis-1-15-cbd-avidekel</t>
  </si>
  <si>
    <t>avaay 24/1 DID</t>
  </si>
  <si>
    <t>Do-Si-Dos</t>
  </si>
  <si>
    <t>https://flowzz.com/product/avaay-24-1-did-do-si-dos</t>
  </si>
  <si>
    <t>Supreme 18/1</t>
  </si>
  <si>
    <t>WMG</t>
  </si>
  <si>
    <t>WMG Pharma</t>
  </si>
  <si>
    <t>6,29</t>
  </si>
  <si>
    <t>https://flowzz.com/product/supreme-18-1-white-widow</t>
  </si>
  <si>
    <t>IMC THC20 T01 HK</t>
  </si>
  <si>
    <t>IMC</t>
  </si>
  <si>
    <t>Alpha-Selinen</t>
  </si>
  <si>
    <t>https://flowzz.com/product/imc-20-1-t01-hindu-kush</t>
  </si>
  <si>
    <t>enua 27/1 CCK CA</t>
  </si>
  <si>
    <t>ENUA</t>
  </si>
  <si>
    <t>Enua</t>
  </si>
  <si>
    <t>Cold Creek Kush</t>
  </si>
  <si>
    <t>enua Pharma</t>
  </si>
  <si>
    <t>https://flowzz.com/product/enua-27-1-cck-ca-cold-creek-kush</t>
  </si>
  <si>
    <t>LOT 420 OC</t>
  </si>
  <si>
    <t>Orange Cake</t>
  </si>
  <si>
    <t>10,77</t>
  </si>
  <si>
    <t>LOT 420</t>
  </si>
  <si>
    <t>https://flowzz.com/product/lot-420-oc-orange-cake</t>
  </si>
  <si>
    <t>Cantourage MAC 1+</t>
  </si>
  <si>
    <t>MAC 1</t>
  </si>
  <si>
    <t>9,10</t>
  </si>
  <si>
    <t>Miracle Valley</t>
  </si>
  <si>
    <t>https://flowzz.com/product/cantourage-mac-1-mac-1</t>
  </si>
  <si>
    <t>Mediprocan Smaragd 22/1</t>
  </si>
  <si>
    <t>https://flowzz.com/product/mediprocan-smaragd-22-1-la-sage</t>
  </si>
  <si>
    <t>Drapalin 18/1 - Cheesotho</t>
  </si>
  <si>
    <t>DRAPALIN</t>
  </si>
  <si>
    <t>Drapalin</t>
  </si>
  <si>
    <t>Cheesotho</t>
  </si>
  <si>
    <t>Drapalin Pharmaceuticals</t>
  </si>
  <si>
    <t>MG Health</t>
  </si>
  <si>
    <t>https://flowzz.com/product/drapalin-18-1-cheesotho-cheesotho</t>
  </si>
  <si>
    <t>420 Natural 18/1 CA ZRP</t>
  </si>
  <si>
    <t>10,00</t>
  </si>
  <si>
    <t>https://flowzz.com/product/420-natural-18-1-ca-zrp-zour-apple</t>
  </si>
  <si>
    <t>Pure Sunfarms 20/1</t>
  </si>
  <si>
    <t>Pure Sunfarms</t>
  </si>
  <si>
    <t>https://flowzz.com/product/pure-sunfarms-20-1-pink-kush</t>
  </si>
  <si>
    <t>Banana Cream Herbery SC 22/1</t>
  </si>
  <si>
    <t>Banana Cream</t>
  </si>
  <si>
    <t>Herbery</t>
  </si>
  <si>
    <t>https://flowzz.com/product/banana-cream-herbery-sc-22-1</t>
  </si>
  <si>
    <t>avaay 22/1 BCP</t>
  </si>
  <si>
    <t>Black Cherry Punch</t>
  </si>
  <si>
    <t>https://flowzz.com/product/avaay-22-1-bcp-black-cherry-punch</t>
  </si>
  <si>
    <t>Demecan CRAFT Black Triangle 27:01</t>
  </si>
  <si>
    <t>Black Triangle</t>
  </si>
  <si>
    <t>https://flowzz.com/product/demecan-craft-black-triangle-27-01-black-triangle</t>
  </si>
  <si>
    <t>Vayamed 22/1</t>
  </si>
  <si>
    <t>https://flowzz.com/product/22-1-vayamed-ghost-train-haze</t>
  </si>
  <si>
    <t>Demecan CRAFT FCF 31:01</t>
  </si>
  <si>
    <t>First Class Funk</t>
  </si>
  <si>
    <t>11,24</t>
  </si>
  <si>
    <t>Mill Creek Growth</t>
  </si>
  <si>
    <t>https://flowzz.com/product/demecan-craft-30-01-first-class-funk</t>
  </si>
  <si>
    <t>Green Karat FS PT</t>
  </si>
  <si>
    <t>Fiji Sunset</t>
  </si>
  <si>
    <t>Green Karat</t>
  </si>
  <si>
    <t>https://flowzz.com/product/green-karat-fs-fiji-sunset-pt</t>
  </si>
  <si>
    <t>AMP Classic 18/1</t>
  </si>
  <si>
    <t>AMP</t>
  </si>
  <si>
    <t>Amp</t>
  </si>
  <si>
    <t>https://flowzz.com/product/amp-classic-18-1-white-widow</t>
  </si>
  <si>
    <t>AMP Classic 25/1</t>
  </si>
  <si>
    <t>Frosted Lemon Angel</t>
  </si>
  <si>
    <t>7,00</t>
  </si>
  <si>
    <t>https://flowzz.com/product/amp-classic-25-1-frosted-lemon-angel</t>
  </si>
  <si>
    <t>avaay 26/1 GLX</t>
  </si>
  <si>
    <t>Galaxy</t>
  </si>
  <si>
    <t>ADHS</t>
  </si>
  <si>
    <t>https://flowzz.com/product/avaay-26-1-glx-galaxy</t>
  </si>
  <si>
    <t>Pedanios 29/1 SRD CA</t>
  </si>
  <si>
    <t>Sourdough</t>
  </si>
  <si>
    <t>9,19</t>
  </si>
  <si>
    <t>https://flowzz.com/product/pedanios-29-1-srd-ca-sourdough</t>
  </si>
  <si>
    <t>avaay 24/1 SC</t>
  </si>
  <si>
    <t>Slurricane</t>
  </si>
  <si>
    <t>9,60</t>
  </si>
  <si>
    <t>https://flowzz.com/product/avaay-24-1-sc-slurricane</t>
  </si>
  <si>
    <t>Demecan Epic Drop 30:01</t>
  </si>
  <si>
    <t>Space Cake</t>
  </si>
  <si>
    <t>https://flowzz.com/product/demecan-epic-drop-space-cake</t>
  </si>
  <si>
    <t>aleph amber 22/1</t>
  </si>
  <si>
    <t>ALEPHSANA</t>
  </si>
  <si>
    <t>alephSana</t>
  </si>
  <si>
    <t>Mango Kush</t>
  </si>
  <si>
    <t>7,84</t>
  </si>
  <si>
    <t>https://flowzz.com/product/aleph-amber-22-1-mango-kush</t>
  </si>
  <si>
    <t>420 Evolution 20/1 CA PLD</t>
  </si>
  <si>
    <t>Plum Driver</t>
  </si>
  <si>
    <t>https://flowzz.com/product/420-evolution-20-1-ca-pld-plum-driver</t>
  </si>
  <si>
    <t>aleph citrin 23/1</t>
  </si>
  <si>
    <t>Mimosa Evo</t>
  </si>
  <si>
    <t>https://flowzz.com/product/alephsana-aleph-citrin-23-1</t>
  </si>
  <si>
    <t>avaay Signature 28/1 WB</t>
  </si>
  <si>
    <t>Waffle Bites</t>
  </si>
  <si>
    <t>11,75</t>
  </si>
  <si>
    <t>https://flowzz.com/product/avaay-28-1-signature-waffle-bites</t>
  </si>
  <si>
    <t>Therismos 25/1 DSM - Dark Side Of The Moon</t>
  </si>
  <si>
    <t>THERISMOS</t>
  </si>
  <si>
    <t>Therismos</t>
  </si>
  <si>
    <t>Dark Side of the Moon</t>
  </si>
  <si>
    <t>https://flowzz.com/product/therismos-25-1-dsm-dark-side-of-the-moon</t>
  </si>
  <si>
    <t>Cannamedical CM 24/1 LLY</t>
  </si>
  <si>
    <t>Legendary Larry</t>
  </si>
  <si>
    <t>https://flowzz.com/product/cannamedical-indica-forte-ng-legendary-larry</t>
  </si>
  <si>
    <t>Cannamedical CM 24/1 ZA</t>
  </si>
  <si>
    <t>https://flowzz.com/product/cannamedical-24-1-za-zour-apple</t>
  </si>
  <si>
    <t>Cannamedical Hybrid forte</t>
  </si>
  <si>
    <t>https://flowzz.com/product/cannamedical-hybrid-forte-chocolate-marshmallows-chocolate-marshmallows</t>
  </si>
  <si>
    <t>https://flowzz.com/product/cannamedical-sativa-forte-strawberry-ice-strawberry-ice</t>
  </si>
  <si>
    <t>Cannamedical Balanced Classic 8/8</t>
  </si>
  <si>
    <t>California Orange</t>
  </si>
  <si>
    <t>8,93</t>
  </si>
  <si>
    <t>https://flowzz.com/product/cannamedical-balanced-classic-8-8-california-orange</t>
  </si>
  <si>
    <t>Green Karat PV</t>
  </si>
  <si>
    <t>Pavé S1</t>
  </si>
  <si>
    <t>9,34</t>
  </si>
  <si>
    <t>https://flowzz.com/product/green-karat-pv-pave-s1-the-menthol-x-paris-og-hybrid</t>
  </si>
  <si>
    <t>Cannamedical Indica Ultra</t>
  </si>
  <si>
    <t>11,38</t>
  </si>
  <si>
    <t>https://flowzz.com/product/cannamedical-indica-ultra-crazy-rntz</t>
  </si>
  <si>
    <t>Cannamedical Sativa light</t>
  </si>
  <si>
    <t>7,14</t>
  </si>
  <si>
    <t>https://flowzz.com/product/cannamedical-sativa-light-strawberry-ice-strawberry-ice</t>
  </si>
  <si>
    <t>420 Natural 20/1 CA GG4</t>
  </si>
  <si>
    <t>7,60</t>
  </si>
  <si>
    <t>https://flowzz.com/product/420-natural-20-1-ca-gg-4-gorilla-glue-4</t>
  </si>
  <si>
    <t>Demecan Typ 1  forte</t>
  </si>
  <si>
    <t>Gushers</t>
  </si>
  <si>
    <t>https://flowzz.com/product/typ-1-demecan-forte-gushers</t>
  </si>
  <si>
    <t>IBT03.4</t>
  </si>
  <si>
    <t>LINNEO</t>
  </si>
  <si>
    <t>LINNEO Health S.L.</t>
  </si>
  <si>
    <t>Linneo Health</t>
  </si>
  <si>
    <t>https://flowzz.com/product/ibt-03-4-hindu-kush</t>
  </si>
  <si>
    <t>avaay 21/1 SK</t>
  </si>
  <si>
    <t>https://flowzz.com/product/avaay-21-1-sour-kush-sour-kush</t>
  </si>
  <si>
    <t>Demecan MC Strong Drop 27:01</t>
  </si>
  <si>
    <t>Sky Pie</t>
  </si>
  <si>
    <t>Germacrene</t>
  </si>
  <si>
    <t>https://flowzz.com/product/sky-pie-mc-strong-drop</t>
  </si>
  <si>
    <t>Cannamedical Hybrid Classic NG</t>
  </si>
  <si>
    <t>Orange Kush Cake</t>
  </si>
  <si>
    <t>trans-Nerolidol</t>
  </si>
  <si>
    <t>https://flowzz.com/product/cannamedical-hybrid-classic-ng-orange-kush-cake</t>
  </si>
  <si>
    <t>Demecan Craft T4N-G 25:01 Banjo</t>
  </si>
  <si>
    <t>Tangelo Boost</t>
  </si>
  <si>
    <t>11,19</t>
  </si>
  <si>
    <t>madrecan 21/1 MDR</t>
  </si>
  <si>
    <t>https://flowzz.com/product/demecan-craft-t4n-g-banjo-25-1</t>
  </si>
  <si>
    <t>Nimbus 24/1 GNC</t>
  </si>
  <si>
    <t>Grapes and Cream</t>
  </si>
  <si>
    <t>https://flowzz.com/product/nimbus-gnc-24-1-grapes-and-cream</t>
  </si>
  <si>
    <t>enua 22/1 JFG CA</t>
  </si>
  <si>
    <t>Jet Fuel Gelato</t>
  </si>
  <si>
    <t>https://flowzz.com/product/enua-22-1-jfg-ca</t>
  </si>
  <si>
    <t>avaay Signature 23/1 MC</t>
  </si>
  <si>
    <t>Mandarin Cookies</t>
  </si>
  <si>
    <t>Selinadiene</t>
  </si>
  <si>
    <t>Groupe Fuga</t>
  </si>
  <si>
    <t>https://flowzz.com/product/avaay-signature-23-1-mc-mandarin-cookies</t>
  </si>
  <si>
    <t>Green Karat MG PT</t>
  </si>
  <si>
    <t>Modified Gas</t>
  </si>
  <si>
    <t>https://flowzz.com/product/green-karat-mg-pt-modified-gas-24-1</t>
  </si>
  <si>
    <t>avaay Simple 23/1 CHM</t>
  </si>
  <si>
    <t>Chem OG</t>
  </si>
  <si>
    <t>https://flowzz.com/product/avaay-simple-23-1-chem-og-chm</t>
  </si>
  <si>
    <t>Peace Naturals 27/1 CB</t>
  </si>
  <si>
    <t>PEACENATUR</t>
  </si>
  <si>
    <t>Peace Naturals</t>
  </si>
  <si>
    <t>Cocoa Bomba</t>
  </si>
  <si>
    <t>https://flowzz.com/product/peace-naturals-27-1-cb</t>
  </si>
  <si>
    <t>Peace Naturals 31/1 GC</t>
  </si>
  <si>
    <t>GMO Cookies</t>
  </si>
  <si>
    <t>https://flowzz.com/product/peace-naturals-31-1-gc</t>
  </si>
  <si>
    <t>Peace Naturals 31/1 SC</t>
  </si>
  <si>
    <t>10,47</t>
  </si>
  <si>
    <t>https://flowzz.com/product/peace-naturals-31-1-sc</t>
  </si>
  <si>
    <t>KEjF. SMNZ 25/1</t>
  </si>
  <si>
    <t>CNBS</t>
  </si>
  <si>
    <t>CNBS Medical</t>
  </si>
  <si>
    <t>Siggis Minze</t>
  </si>
  <si>
    <t>13,60</t>
  </si>
  <si>
    <t>Medical CNBS</t>
  </si>
  <si>
    <t>https://flowzz.com/product/kejf-smnz-25-1</t>
  </si>
  <si>
    <t>CNBS FFC 21/1</t>
  </si>
  <si>
    <t>Frosted Fruit Cake</t>
  </si>
  <si>
    <t>https://flowzz.com/product/cnbs-ffc-21-1</t>
  </si>
  <si>
    <t>420 Evolution 27/1 CA WES</t>
  </si>
  <si>
    <t>Wedding Singer</t>
  </si>
  <si>
    <t>8,89</t>
  </si>
  <si>
    <t>https://flowzz.com/product/420-evolution-27-1-ca-wes-wedding-singer</t>
  </si>
  <si>
    <t>Demecan CRAFT GNC 24:01</t>
  </si>
  <si>
    <t>https://flowzz.com/product/demecan-craft-gnc-24-01-grapes-and-cream</t>
  </si>
  <si>
    <t>Cannamedical Balanced forte</t>
  </si>
  <si>
    <t>Mango Haze</t>
  </si>
  <si>
    <t>https://flowzz.com/product/cannamedical-balanced-forte-mango-haze-mango-haze</t>
  </si>
  <si>
    <t>Demecan MC Regular Drop 24:01</t>
  </si>
  <si>
    <t>Sherbet Mints</t>
  </si>
  <si>
    <t>https://flowzz.com/product/demecan-mc-regular-drop-sherbet-mints</t>
  </si>
  <si>
    <t>Cannamedical Indica Forte NM</t>
  </si>
  <si>
    <t>Sugar Bomb Punch</t>
  </si>
  <si>
    <t>11,30</t>
  </si>
  <si>
    <t>https://flowzz.com/product/cannamedical-indica-forte-nm-sugar-bomb-punch</t>
  </si>
  <si>
    <t>420 Evolution 30/1 CA BUL</t>
  </si>
  <si>
    <t>Bucket List</t>
  </si>
  <si>
    <t>12,00</t>
  </si>
  <si>
    <t>https://flowzz.com/product/420-evolution-30-1-ca-bul-bucket-list</t>
  </si>
  <si>
    <t>avaay 26/1 BCP</t>
  </si>
  <si>
    <t>https://flowzz.com/product/avaay-26-1-bcp-black-cherry-punch</t>
  </si>
  <si>
    <t>avaay 20/1 CK</t>
  </si>
  <si>
    <t>https://flowzz.com/product/avaay-20-1-critical-kush-critical-kush</t>
  </si>
  <si>
    <t>420 Natural 19/1 CA TRP</t>
  </si>
  <si>
    <t>https://flowzz.com/product/420-natural-19-1-ca-trp</t>
  </si>
  <si>
    <t>Cannamedical Hybrid forte PH</t>
  </si>
  <si>
    <t>THC Bomb</t>
  </si>
  <si>
    <t>https://flowzz.com/product/cannamedical-hybrid-forte-ph-thc-bomb</t>
  </si>
  <si>
    <t>Gorilla Mints</t>
  </si>
  <si>
    <t>https://flowzz.com/product/cannamedical-hybrid-forte-gorilla-mints</t>
  </si>
  <si>
    <t>Drapalin 1/17</t>
  </si>
  <si>
    <t>Maluti CBD</t>
  </si>
  <si>
    <t>https://flowzz.com/product/drapalin-1-17-maluti-cbd-maluti-cbd</t>
  </si>
  <si>
    <t>KEJF. SKR 23/1</t>
  </si>
  <si>
    <t>Siggis Kirsche</t>
  </si>
  <si>
    <t>https://flowzz.com/product/kejf-skr-23-1-siggis-kirsche</t>
  </si>
  <si>
    <t>CNBS Gelo 20/1</t>
  </si>
  <si>
    <t>Gelonade</t>
  </si>
  <si>
    <t>8,98</t>
  </si>
  <si>
    <t>https://flowzz.com/product/cnbs-gelo-20-1-gelonade</t>
  </si>
  <si>
    <t>KEjF. WRM 21/1</t>
  </si>
  <si>
    <t>White Runtz x Menthol</t>
  </si>
  <si>
    <t>https://flowzz.com/product/kejf-wrm-21-1-white-runtz-menthol</t>
  </si>
  <si>
    <t>Canopy HSK 8/7</t>
  </si>
  <si>
    <t>CBD Skunk Haze</t>
  </si>
  <si>
    <t>5,90</t>
  </si>
  <si>
    <t>https://flowzz.com/product/canopy-hsk-8-7-cbd-skunk-haze</t>
  </si>
  <si>
    <t>Bediol</t>
  </si>
  <si>
    <t>BEDROCAN</t>
  </si>
  <si>
    <t>Bedrocan</t>
  </si>
  <si>
    <t>Elida</t>
  </si>
  <si>
    <t>Niederlande</t>
  </si>
  <si>
    <t>5,36</t>
  </si>
  <si>
    <t>https://flowzz.com/product/bediol-elida</t>
  </si>
  <si>
    <t>Oceanic BC 25/1</t>
  </si>
  <si>
    <t>Black Cookies</t>
  </si>
  <si>
    <t>https://flowzz.com/product/oceanic-bc-black-cookies</t>
  </si>
  <si>
    <t>enua 30/1 DSH CA</t>
  </si>
  <si>
    <t>Dark Shadow Haze</t>
  </si>
  <si>
    <t>https://flowzz.com/product/enua-30-1-dsh-ca-dark-shadow-haze</t>
  </si>
  <si>
    <t>enua 25/1 CRO CA</t>
  </si>
  <si>
    <t>Crescendo Cookies</t>
  </si>
  <si>
    <t>https://flowzz.com/product/enua-25-1-cro-ca-crescendo-cookies</t>
  </si>
  <si>
    <t>enua 25/1 QSG CA</t>
  </si>
  <si>
    <t>Queen SanG</t>
  </si>
  <si>
    <t>https://flowzz.com/product/enua-25-1-qsg-ca-queen-san-g</t>
  </si>
  <si>
    <t>Demecan Organic MC 25:01</t>
  </si>
  <si>
    <t>Cherry Mints</t>
  </si>
  <si>
    <t>The Green Organic Dutchman</t>
  </si>
  <si>
    <t>https://flowzz.com/product/demecan-25-01-mc-organic-cherry-mints</t>
  </si>
  <si>
    <t>enua 22/1 CRO CA</t>
  </si>
  <si>
    <t>https://flowzz.com/product/enua-22-1-cro-ca-crescendo-cookies</t>
  </si>
  <si>
    <t>Weeco Duke 24/1</t>
  </si>
  <si>
    <t>WEECO</t>
  </si>
  <si>
    <t>Weeco</t>
  </si>
  <si>
    <t>Purple Rain by The Gram</t>
  </si>
  <si>
    <t>5,80</t>
  </si>
  <si>
    <t>https://flowzz.com/product/weeco-24-1-purple-rain</t>
  </si>
  <si>
    <t>ADREX 21 LMOG COL</t>
  </si>
  <si>
    <t>ADREX</t>
  </si>
  <si>
    <t>ADREXpharma</t>
  </si>
  <si>
    <t>Lemon OG</t>
  </si>
  <si>
    <t>Magersucht</t>
  </si>
  <si>
    <t>6,65</t>
  </si>
  <si>
    <t>Pideka</t>
  </si>
  <si>
    <t>https://flowzz.com/product/adrex-21-lmog-col-lemon-og</t>
  </si>
  <si>
    <t>Demecan CRAFT Walkie Talkie 31:01</t>
  </si>
  <si>
    <t>Sugar Cake</t>
  </si>
  <si>
    <t>11,95</t>
  </si>
  <si>
    <t>https://flowzz.com/product/demecan-craft-walkie-talkie-31-01-sugar-cake</t>
  </si>
  <si>
    <t>avaay 22/1 LSB</t>
  </si>
  <si>
    <t>Lemon Sherbet</t>
  </si>
  <si>
    <t>PHARMIN</t>
  </si>
  <si>
    <t>https://flowzz.com/product/avaay-22-1-lsb-lemon-sherbet</t>
  </si>
  <si>
    <t>enua 22/1 Mac F CA</t>
  </si>
  <si>
    <t>MacFlurry</t>
  </si>
  <si>
    <t>7,28</t>
  </si>
  <si>
    <t>https://flowzz.com/product/enua-22-1-mac-f-ca-macflurry</t>
  </si>
  <si>
    <t>Bathera 25/1 FC</t>
  </si>
  <si>
    <t>Fine Cookies</t>
  </si>
  <si>
    <t>https://flowzz.com/product/bathera-25-1-fine-cookies</t>
  </si>
  <si>
    <t>Demecan AG Epic Drop</t>
  </si>
  <si>
    <t>Guava Barz</t>
  </si>
  <si>
    <t>10,60</t>
  </si>
  <si>
    <t>https://flowzz.com/product/demecan-ag-epic-drop-guava-barz</t>
  </si>
  <si>
    <t>420 Natural 20/1 CA DBB</t>
  </si>
  <si>
    <t>DJ Blueberry</t>
  </si>
  <si>
    <t>https://flowzz.com/product/420-evolution-20-1-ca-dbb-dj-blueberry</t>
  </si>
  <si>
    <t>enua 22/1 JLSY CA</t>
  </si>
  <si>
    <t>Jealousy</t>
  </si>
  <si>
    <t>https://flowzz.com/product/enua-22-1-jlsy-ca-jeaulosy</t>
  </si>
  <si>
    <t>KEjF. SPZ 29/1</t>
  </si>
  <si>
    <t>Spritzer</t>
  </si>
  <si>
    <t>https://flowzz.com/product/kejf-spz-29-1-spritzer</t>
  </si>
  <si>
    <t>CNBS FK 30/1</t>
  </si>
  <si>
    <t>Florida Kush</t>
  </si>
  <si>
    <t>https://flowzz.com/product/cnbs-fk-30-1-florida-kush</t>
  </si>
  <si>
    <t>420 Natural 15/1 CA TRP</t>
  </si>
  <si>
    <t>https://flowzz.com/product/420-natural-15-1-ca-trp</t>
  </si>
  <si>
    <t>enua 22/1 BCP CA</t>
  </si>
  <si>
    <t>https://flowzz.com/product/enua-22-1-bcp-black-cherry-punch</t>
  </si>
  <si>
    <t>Canopy KMI 28/1</t>
  </si>
  <si>
    <t>Kush Mints</t>
  </si>
  <si>
    <t>8,44</t>
  </si>
  <si>
    <t>https://flowzz.com/product/canopy-kmi-28</t>
  </si>
  <si>
    <t>Cannamedical Sativa forte NM</t>
  </si>
  <si>
    <t>https://flowzz.com/product/cannamedical-sativa-forte-nm-wedding-tree</t>
  </si>
  <si>
    <t>Cannamedical Indica light NM</t>
  </si>
  <si>
    <t>OG Punch</t>
  </si>
  <si>
    <t>7,62</t>
  </si>
  <si>
    <t>https://flowzz.com/product/cannamedical-indica-light-nm-og-punch</t>
  </si>
  <si>
    <t>BOTANICS Purple Cream 22/1</t>
  </si>
  <si>
    <t>Purple Ice Water</t>
  </si>
  <si>
    <t>Tschechien</t>
  </si>
  <si>
    <t>8,69</t>
  </si>
  <si>
    <t>SensiQure</t>
  </si>
  <si>
    <t>https://flowzz.com/product/botanics-purple-cream-22-1-purple-ice-water</t>
  </si>
  <si>
    <t>Cannamedical Sunshine Coast</t>
  </si>
  <si>
    <t>Eve</t>
  </si>
  <si>
    <t>https://flowzz.com/product/cannamedical-sunshine-coast-eve</t>
  </si>
  <si>
    <t>Demecan Craft Sky 25:01</t>
  </si>
  <si>
    <t>https://flowzz.com/product/craft-sky-25-01-sky-pie</t>
  </si>
  <si>
    <t>Remexian 22/1</t>
  </si>
  <si>
    <t>https://flowzz.com/product/remexian-22-1-frosted-lemon-cake</t>
  </si>
  <si>
    <t>Therismos 24/1 SDK</t>
  </si>
  <si>
    <t>Sensi Double Kush</t>
  </si>
  <si>
    <t>9,48</t>
  </si>
  <si>
    <t>Aqualitas</t>
  </si>
  <si>
    <t>https://flowzz.com/product/therismos-24-1-sdk-sensi-double-kush</t>
  </si>
  <si>
    <t>Therismos 30/1 ATG</t>
  </si>
  <si>
    <t>Atlantic Glue GG4</t>
  </si>
  <si>
    <t>9,94</t>
  </si>
  <si>
    <t>https://flowzz.com/product/therismos-30-1-atg-atlantic-glue-gg4</t>
  </si>
  <si>
    <t>Therismos 30/1 BRB</t>
  </si>
  <si>
    <t>Bruce Banner</t>
  </si>
  <si>
    <t>10,48</t>
  </si>
  <si>
    <t>https://flowzz.com/product/therismos-30-1-brb-bruce-banner</t>
  </si>
  <si>
    <t>ADREX 22/1 WM COL</t>
  </si>
  <si>
    <t>Octagon Kush</t>
  </si>
  <si>
    <t>https://flowzz.com/product/adrex-22-1-wm-col-octagon-kush</t>
  </si>
  <si>
    <t>Cannamedical Hybrid classic URY</t>
  </si>
  <si>
    <t>White Gorilla</t>
  </si>
  <si>
    <t>https://flowzz.com/product/cannamedical-hybrid-classic-ury-white-gorilla</t>
  </si>
  <si>
    <t>N!CE 23/1 C</t>
  </si>
  <si>
    <t>CANSATIVA</t>
  </si>
  <si>
    <t>Cansativa</t>
  </si>
  <si>
    <t>Cherry Pie</t>
  </si>
  <si>
    <t>https://flowzz.com/product/23-1-nce-c-cherry-pie</t>
  </si>
  <si>
    <t>madrecan 21/1 WOP</t>
  </si>
  <si>
    <t>Wonder Punch</t>
  </si>
  <si>
    <t>5,25</t>
  </si>
  <si>
    <t>https://flowzz.com/product/madrecan-21-1-wonder-punch</t>
  </si>
  <si>
    <t>enua 21/1 SG CA</t>
  </si>
  <si>
    <t>Sherbert Glue</t>
  </si>
  <si>
    <t>8,20</t>
  </si>
  <si>
    <t>https://flowzz.com/product/enua-sg-ca-sherbert-glue</t>
  </si>
  <si>
    <t>enua 25/1 SC CA</t>
  </si>
  <si>
    <t>Strawberry Cake</t>
  </si>
  <si>
    <t>6,87</t>
  </si>
  <si>
    <t>https://flowzz.com/product/enua-25-1-sc-ca-strawberry-cake</t>
  </si>
  <si>
    <t>enua 27/1 ATG</t>
  </si>
  <si>
    <t>https://flowzz.com/product/enua-27-1-atg-atlantic-glue-gg4</t>
  </si>
  <si>
    <t>Bathera 21/1 - Zashimi</t>
  </si>
  <si>
    <t>Zashimi</t>
  </si>
  <si>
    <t>https://flowzz.com/product/bathera-21-1-zashimi</t>
  </si>
  <si>
    <t>Demecan MC Strong Drop</t>
  </si>
  <si>
    <t>Magic Marker #2</t>
  </si>
  <si>
    <t>10,98</t>
  </si>
  <si>
    <t>https://flowzz.com/product/demecan-mc-strong-drop-magic-marker-2</t>
  </si>
  <si>
    <t>Cannamedical Hybrid Forte NM</t>
  </si>
  <si>
    <t>Gorilla Zkittlez</t>
  </si>
  <si>
    <t>9,29</t>
  </si>
  <si>
    <t>https://flowzz.com/product/cannamedical-hybrid-forte-nm-gorilla-zkittlez-gorilla-zkittlez</t>
  </si>
  <si>
    <t>BOTANICS Golden Ace 20/1</t>
  </si>
  <si>
    <t>Orange Panties</t>
  </si>
  <si>
    <t>https://flowzz.com/product/botanics-golden-ace-20-1-orange-panties</t>
  </si>
  <si>
    <t>31/1 Amici AS</t>
  </si>
  <si>
    <t>Atomic Sour Grapefruit</t>
  </si>
  <si>
    <t>https://flowzz.com/product/31-1-amici-as-atomic-sour-grapefruit</t>
  </si>
  <si>
    <t>https://flowzz.com/product/navcora-thc-22-spotlight-porto-master-kush</t>
  </si>
  <si>
    <t>avaay Signature 30/1 CBX Chatterbox</t>
  </si>
  <si>
    <t>Chatterbox</t>
  </si>
  <si>
    <t>https://flowzz.com/product/avaay-signature-30-1-cbx-chatterbox</t>
  </si>
  <si>
    <t>Bathera 24/1</t>
  </si>
  <si>
    <t>6,95</t>
  </si>
  <si>
    <t>https://flowzz.com/product/bathera-24-1-permanent-marker</t>
  </si>
  <si>
    <t>Pedanios 10/13 MBE-CA</t>
  </si>
  <si>
    <t>Moon Berry</t>
  </si>
  <si>
    <t>https://flowzz.com/product/pedanios-10-13-mbe-ca-moon-berry</t>
  </si>
  <si>
    <t>Peace Naturals 33/1 SC</t>
  </si>
  <si>
    <t>https://flowzz.com/product/peace-naturals-33-1-sc</t>
  </si>
  <si>
    <t>enua 25/1 MB CA</t>
  </si>
  <si>
    <t>Mega Breath</t>
  </si>
  <si>
    <t>https://flowzz.com/product/enua-25-1-mb-ca-mega-breath</t>
  </si>
  <si>
    <t>enua 25/1 SJ CA</t>
  </si>
  <si>
    <t>Splitter Jelato</t>
  </si>
  <si>
    <t>Eucalyptol</t>
  </si>
  <si>
    <t>https://flowzz.com/product/enua-25-1-sj-ca-splitter-gelato</t>
  </si>
  <si>
    <t>Remexian 22/1 HUW</t>
  </si>
  <si>
    <t>Humble Warrior</t>
  </si>
  <si>
    <t>https://flowzz.com/product/remexian-22-1-huw-humble-warrior</t>
  </si>
  <si>
    <t>Cannamedical CM 18/1</t>
  </si>
  <si>
    <t>6,64</t>
  </si>
  <si>
    <t>https://flowzz.com/product/cannamedical-cm-18-1-karl-og</t>
  </si>
  <si>
    <t>CNBS VV 30/1</t>
  </si>
  <si>
    <t>Varnish Vapor</t>
  </si>
  <si>
    <t>https://flowzz.com/product/cnbs-vv-30-1-varnish-vapor</t>
  </si>
  <si>
    <t>enua 22/1 CCK CA</t>
  </si>
  <si>
    <t>https://flowzz.com/product/enua-22-1-cck-ca-cold-creek-kush</t>
  </si>
  <si>
    <t>Demecan MC Lean Drop</t>
  </si>
  <si>
    <t>Banana Marker</t>
  </si>
  <si>
    <t>https://flowzz.com/product/demecan-mc-lean-drop-banana-marker</t>
  </si>
  <si>
    <t>Peace Naturals 33/1 GC</t>
  </si>
  <si>
    <t>10,85</t>
  </si>
  <si>
    <t>https://flowzz.com/product/peace-naturals-33-1-gc</t>
  </si>
  <si>
    <t>Green Karat RO 30/1</t>
  </si>
  <si>
    <t>Runtz OG</t>
  </si>
  <si>
    <t>9,65</t>
  </si>
  <si>
    <t>https://flowzz.com/product/green-karat-ro-runtz-og</t>
  </si>
  <si>
    <t>Pedanios 31/1 COS-CA</t>
  </si>
  <si>
    <t>Cosmic Cream</t>
  </si>
  <si>
    <t>9,38</t>
  </si>
  <si>
    <t>https://flowzz.com/product/pedanios-31-1-cos-ca-cosmic-cream</t>
  </si>
  <si>
    <t>enua 25/1 GTH</t>
  </si>
  <si>
    <t>https://flowzz.com/product/enua-25-1-gthz-ghost-train-haze-z</t>
  </si>
  <si>
    <t>Demecan CRAFT D-Jungle 31:01</t>
  </si>
  <si>
    <t>Purple Punch x Jungle Cake</t>
  </si>
  <si>
    <t>https://flowzz.com/product/demecan-craft-d-jungle-31-1-purple-punch-x-jungle-cake</t>
  </si>
  <si>
    <t>420 Evolution 30/1 CA MMI</t>
  </si>
  <si>
    <t>Miracle Mint</t>
  </si>
  <si>
    <t>https://flowzz.com/product/420-evolution-30-1-ca-mmi-miracle-mint</t>
  </si>
  <si>
    <t>Pedanios 27/1 PND-CA</t>
  </si>
  <si>
    <t>Pink Diesel</t>
  </si>
  <si>
    <t>https://flowzz.com/product/pedanios-27-1-pnd-ca-pink-diesel</t>
  </si>
  <si>
    <t>madrecan 18/1</t>
  </si>
  <si>
    <t>5,09</t>
  </si>
  <si>
    <t>https://flowzz.com/product/madrecan-18-1-punch-cake</t>
  </si>
  <si>
    <t>madrecan 18/1 Mac 2.0</t>
  </si>
  <si>
    <t>4,95</t>
  </si>
  <si>
    <t>https://flowzz.com/product/madrecan-18-1-mac-2-0</t>
  </si>
  <si>
    <t>Bathera 24/1 ZS</t>
  </si>
  <si>
    <t>Z Splitter</t>
  </si>
  <si>
    <t>8,28</t>
  </si>
  <si>
    <t>https://flowzz.com/product/bathera-24-1-z-splitter</t>
  </si>
  <si>
    <t>Bathera 28/1</t>
  </si>
  <si>
    <t>https://flowzz.com/product/bathera-28-1-velvet-glove</t>
  </si>
  <si>
    <t>avaay Signature 28/1 PG</t>
  </si>
  <si>
    <t>Platinum Garlic</t>
  </si>
  <si>
    <t>Salbei</t>
  </si>
  <si>
    <t>https://flowzz.com/product/avaay-signature-28-1-pg-platinum-garlic</t>
  </si>
  <si>
    <t>RE:CANNIS 1/17 CBD</t>
  </si>
  <si>
    <t>https://flowzz.com/product/cannis-1-17-cbd-avidekel</t>
  </si>
  <si>
    <t>420 Compound 25/1 PT TGY</t>
  </si>
  <si>
    <t>Tigerz Eye</t>
  </si>
  <si>
    <t>7,88</t>
  </si>
  <si>
    <t>https://flowzz.com/product/420-compound-25-1-pt-tgy</t>
  </si>
  <si>
    <t>madrecan 18/1 WOP</t>
  </si>
  <si>
    <t>https://flowzz.com/product/madrecan-18-1-wonder-punch</t>
  </si>
  <si>
    <t>avaay Signature 28/1 GPM</t>
  </si>
  <si>
    <t>Gun Powder Milkshake</t>
  </si>
  <si>
    <t>11,90</t>
  </si>
  <si>
    <t>https://flowzz.com/product/avaay-signature-28-1-gpm-gun-powder-milkshake</t>
  </si>
  <si>
    <t>420 Evolution 25/1 CA MAC</t>
  </si>
  <si>
    <t>https://flowzz.com/product/420-evolution-25-1-ca-mac-mac-1</t>
  </si>
  <si>
    <t>420 Evolution 27/1 CA BUL</t>
  </si>
  <si>
    <t>9,89</t>
  </si>
  <si>
    <t>https://flowzz.com/product/420-evolution-27-1-ca-bul-bucket-list</t>
  </si>
  <si>
    <t>Cookies 22/1 A&amp;B</t>
  </si>
  <si>
    <t>Apples &amp; Bananas</t>
  </si>
  <si>
    <t>https://flowzz.com/product/cookies-22-1-a-and-b-apples-and-bananas</t>
  </si>
  <si>
    <t>420 Sungrown 25/1 CA ZRP</t>
  </si>
  <si>
    <t>https://flowzz.com/product/420-sungrown-25-1-ca-zrp</t>
  </si>
  <si>
    <t>420 Evolution 25/1 CA PLD</t>
  </si>
  <si>
    <t>https://flowzz.com/product/420-evolution-25-1-ca-pld-plum-driver</t>
  </si>
  <si>
    <t>Remexian 28/1 GFR</t>
  </si>
  <si>
    <t>Godfather OG x Schroll Medical</t>
  </si>
  <si>
    <t>6,85</t>
  </si>
  <si>
    <t>https://flowzz.com/product/remexian-28-1-gfr-godfather-og-schroll</t>
  </si>
  <si>
    <t>Drapalin 30/1 Kukis</t>
  </si>
  <si>
    <t>Animal Cookies</t>
  </si>
  <si>
    <t>8,33</t>
  </si>
  <si>
    <t>https://flowzz.com/product/drapalin-30-1-kukis</t>
  </si>
  <si>
    <t>Bathera 21/1 ZS</t>
  </si>
  <si>
    <t>7,59</t>
  </si>
  <si>
    <t>https://flowzz.com/product/bathera-21-1-z-splitter</t>
  </si>
  <si>
    <t>Peace Naturals 29/1 GC</t>
  </si>
  <si>
    <t>https://flowzz.com/product/peace-naturals-29-1-gc-gmo-cookies</t>
  </si>
  <si>
    <t>4,49</t>
  </si>
  <si>
    <t>https://flowzz.com/product/canify-cannabis-flos-18-1-uy-ku-big-buddha</t>
  </si>
  <si>
    <t>Curaleaf Natural 22/1 PT WPT</t>
  </si>
  <si>
    <t>Wedding Pop Triangle</t>
  </si>
  <si>
    <t>https://flowzz.com/product/curaleaf-natural-22-1-pt-wpt-wedding-pop-triangle</t>
  </si>
  <si>
    <t>Cookies 22/1</t>
  </si>
  <si>
    <t>Hawaiian Rain</t>
  </si>
  <si>
    <t>https://flowzz.com/product/cookies-22-1-hawaiian-rain</t>
  </si>
  <si>
    <t>Bathera 28/1 FA</t>
  </si>
  <si>
    <t>Facetz</t>
  </si>
  <si>
    <t>https://flowzz.com/product/bathera-28-1-fa-facetz</t>
  </si>
  <si>
    <t>Remexian 30/1 HMA CDC</t>
  </si>
  <si>
    <t>Chem de la Chem</t>
  </si>
  <si>
    <t>7,85</t>
  </si>
  <si>
    <t>https://flowzz.com/product/remexian-30-1-hma-cdc-chem-de-la-chem</t>
  </si>
  <si>
    <t>madrecan 18/1 SHA</t>
  </si>
  <si>
    <t>Shark Attack</t>
  </si>
  <si>
    <t>https://flowzz.com/product/madrecan-18-1-shark-attack</t>
  </si>
  <si>
    <t>CNBS Gelo 25/1</t>
  </si>
  <si>
    <t>https://flowzz.com/product/cnbs-gelo-25-1-gelonade</t>
  </si>
  <si>
    <t>Remexian 27/1 SNM</t>
  </si>
  <si>
    <t>Strawberry n' Mintz</t>
  </si>
  <si>
    <t>https://flowzz.com/product/remexian-27-1-snm-strawberry-n-mintz</t>
  </si>
  <si>
    <t>Remexian 30/1 PRT MTP</t>
  </si>
  <si>
    <t>Mokum's Tulip</t>
  </si>
  <si>
    <t>https://flowzz.com/product/remexian-prt-30-1-mokums-tulip</t>
  </si>
  <si>
    <t>enua 25/1 GGZ</t>
  </si>
  <si>
    <t>Gogurtz</t>
  </si>
  <si>
    <t>8,65</t>
  </si>
  <si>
    <t>https://flowzz.com/product/enua-25-1-ggz-gogurtz</t>
  </si>
  <si>
    <t>KEjF. SPZ 25/1</t>
  </si>
  <si>
    <t>https://flowzz.com/product/kejf-spz-25-1-spritzer</t>
  </si>
  <si>
    <t>madrecan 24/1</t>
  </si>
  <si>
    <t>https://flowzz.com/product/madrecan-24-1-hifi-4g</t>
  </si>
  <si>
    <t>madrecan 24/1 - Skywalker</t>
  </si>
  <si>
    <t>Skywalker</t>
  </si>
  <si>
    <t>5,49</t>
  </si>
  <si>
    <t>https://flowzz.com/product/madrecan-24-1-skywalker</t>
  </si>
  <si>
    <t>Social Choice 18/1 FLX MTS</t>
  </si>
  <si>
    <t>Manantiales</t>
  </si>
  <si>
    <t>https://flowzz.com/product/social-choice-18-1-flx-mts-manantiales</t>
  </si>
  <si>
    <t>Remexian 24/1 C3</t>
  </si>
  <si>
    <t>Black Amber</t>
  </si>
  <si>
    <t>8,59</t>
  </si>
  <si>
    <t>https://flowzz.com/product/remexian-24-1-c3-black-amber</t>
  </si>
  <si>
    <t>Top Shelf Medical S1E2 30/1</t>
  </si>
  <si>
    <t>TOPSHELF</t>
  </si>
  <si>
    <t>Top Shelf Medical</t>
  </si>
  <si>
    <t>Oasis OG</t>
  </si>
  <si>
    <t>10,75</t>
  </si>
  <si>
    <t>https://flowzz.com/product/top-shelf-medical-s1e2-301-oasis-og</t>
  </si>
  <si>
    <t>madrecan 18/1 RCH</t>
  </si>
  <si>
    <t>Remo Chemo</t>
  </si>
  <si>
    <t>4,60</t>
  </si>
  <si>
    <t>https://flowzz.com/product/madrecan-18-1-remo-chemo</t>
  </si>
  <si>
    <t>Remexian 27/1 PRT WEC</t>
  </si>
  <si>
    <t>Wedding Cake</t>
  </si>
  <si>
    <t>https://flowzz.com/product/remexian-27-1-prt-wec-wedding-cake</t>
  </si>
  <si>
    <t>Remexian 30/1  JUC</t>
  </si>
  <si>
    <t>Jungle Cake</t>
  </si>
  <si>
    <t>https://flowzz.com/product/remexian-30-1-juc-jungle-cake</t>
  </si>
  <si>
    <t>Remexian 18/1</t>
  </si>
  <si>
    <t>4,39</t>
  </si>
  <si>
    <t>https://flowzz.com/product/remexian-18-1-white-widow</t>
  </si>
  <si>
    <t>Remexian 30/1 HCC BMS</t>
  </si>
  <si>
    <t>Black Mountain Side</t>
  </si>
  <si>
    <t>https://flowzz.com/product/remexian-30-1-hcc-bms-black-mountain-side</t>
  </si>
  <si>
    <t>Remexian 27/1 LNL</t>
  </si>
  <si>
    <t>Purple Octane</t>
  </si>
  <si>
    <t>8,83</t>
  </si>
  <si>
    <t>https://flowzz.com/product/remexian-27-1-lnl-purple-octane</t>
  </si>
  <si>
    <t>Remexian 30/1 PRT TFT</t>
  </si>
  <si>
    <t>Think Fast</t>
  </si>
  <si>
    <t>https://flowzz.com/product/remexian-30-1-prt-think-fast</t>
  </si>
  <si>
    <t>Big Dreams 21/1 MIC ICC</t>
  </si>
  <si>
    <t>Ice Cream Cake</t>
  </si>
  <si>
    <t>https://flowzz.com/product/big-dreams-21-1-mic-icc</t>
  </si>
  <si>
    <t>Social Choice 15/1 GRO FBD</t>
  </si>
  <si>
    <t>Forbidden Dream</t>
  </si>
  <si>
    <t>4,45</t>
  </si>
  <si>
    <t>https://flowzz.com/product/social-choice-15-1-gro-fbd-forbidden-dream</t>
  </si>
  <si>
    <t>Remexian 27/1 FLV</t>
  </si>
  <si>
    <t>Flawless Victory</t>
  </si>
  <si>
    <t>https://flowzz.com/product/remexian-27-1-flv-flawless-victory</t>
  </si>
  <si>
    <t>420 Compound 22/1 CA MWZ</t>
  </si>
  <si>
    <t>Mellowz</t>
  </si>
  <si>
    <t>https://flowzz.com/product/420-compound-22-1-ca-mwz-mellowz</t>
  </si>
  <si>
    <t>420 Evolution 27/1 FLM CA</t>
  </si>
  <si>
    <t>Frozen Lemon Mints</t>
  </si>
  <si>
    <t>https://flowzz.com/product/420-evolution-27-1-ca-flm-frozen-lemon-mints</t>
  </si>
  <si>
    <t>All Nations GM PT</t>
  </si>
  <si>
    <t>Mac Doughnut</t>
  </si>
  <si>
    <t>8,58</t>
  </si>
  <si>
    <t>All Nations</t>
  </si>
  <si>
    <t>https://flowzz.com/product/all-nations-gm-pt-mac-doughnut</t>
  </si>
  <si>
    <t>All Nations LT 21/1</t>
  </si>
  <si>
    <t>Lemon Tartz</t>
  </si>
  <si>
    <t>https://flowzz.com/product/all-nations-lt-pt-lemon-tartz</t>
  </si>
  <si>
    <t>avaay 12/8 CAN</t>
  </si>
  <si>
    <t>https://flowzz.com/product/avaay-12-8-can-cannatonic</t>
  </si>
  <si>
    <t>avaay Simple 20/1 TNG</t>
  </si>
  <si>
    <t>Tangie</t>
  </si>
  <si>
    <t>Camphen</t>
  </si>
  <si>
    <t>Alzheimer</t>
  </si>
  <si>
    <t>https://flowzz.com/product/avaay-simple-20-1-tng-tangie</t>
  </si>
  <si>
    <t>avaay 23/1 BKR</t>
  </si>
  <si>
    <t>Black Krush</t>
  </si>
  <si>
    <t>https://flowzz.com/product/avaay-23-1-bkr-black-krush</t>
  </si>
  <si>
    <t>avaay 21/1 PYC</t>
  </si>
  <si>
    <t>Peyote Critical</t>
  </si>
  <si>
    <t>https://flowzz.com/product/avaay-21-1-pyc-peyote-critical-peyote-critical</t>
  </si>
  <si>
    <t>avaay 27/1 SCG</t>
  </si>
  <si>
    <t>Super Citra G</t>
  </si>
  <si>
    <t>Organigram</t>
  </si>
  <si>
    <t>https://flowzz.com/product/avaay-27-1-scg-super-citra-g</t>
  </si>
  <si>
    <t>avaay 28/1 AHC</t>
  </si>
  <si>
    <t>Amnesia Haze Cake</t>
  </si>
  <si>
    <t>https://flowzz.com/product/avaay-28-1-ahc-amnesia-haze-cake</t>
  </si>
  <si>
    <t>avaay 28/1 KH</t>
  </si>
  <si>
    <t>https://flowzz.com/product/avaay-28-1-kh-karel-s-haze</t>
  </si>
  <si>
    <t>Barongo 24/1 Banjo</t>
  </si>
  <si>
    <t>https://flowzz.com/product/barongo-24-1-banjo</t>
  </si>
  <si>
    <t>Blackrose 14 PT</t>
  </si>
  <si>
    <t>Garlic Sherbert</t>
  </si>
  <si>
    <t>https://flowzz.com/product/blackrose-14-pt-garlic-sherbert</t>
  </si>
  <si>
    <t>BOTANICS Tonic Fuel 22/1</t>
  </si>
  <si>
    <t>Gary Payton</t>
  </si>
  <si>
    <t>8,55</t>
  </si>
  <si>
    <t>https://flowzz.com/product/botanics-tonic-fuel-22-1-gary-payton</t>
  </si>
  <si>
    <t>Can Hydro PPC</t>
  </si>
  <si>
    <t>Purple Punch Cookies</t>
  </si>
  <si>
    <t>Can Hydro</t>
  </si>
  <si>
    <t>https://flowzz.com/product/can-hydro-ppc-purple-punch-cookies</t>
  </si>
  <si>
    <t>https://flowzz.com/product/canify-flos-18-1-gg-gorilla-glue-4</t>
  </si>
  <si>
    <t>Canify 22/1</t>
  </si>
  <si>
    <t>6,48</t>
  </si>
  <si>
    <t>https://flowzz.com/product/canify-flos-22-1-pdb-purple-dog-bud</t>
  </si>
  <si>
    <t>https://flowzz.com/product/cannabis-flos-22-1-pt-master-kush</t>
  </si>
  <si>
    <t>Canify Cannabis flos 23/1 CO Ku.</t>
  </si>
  <si>
    <t>https://flowzz.com/product/canify-flos-23-1-co-kush-mints</t>
  </si>
  <si>
    <t>Canify Cannabis flos 25/1 CO Ku.</t>
  </si>
  <si>
    <t>https://flowzz.com/product/canify-flos-25-1-co-kush-mints</t>
  </si>
  <si>
    <t>CannabiStada GAB 30</t>
  </si>
  <si>
    <t>https://flowzz.com/product/cannabi-stada-gab-30-garlic-breath</t>
  </si>
  <si>
    <t>Cannamedical CM 16/1 GRP</t>
  </si>
  <si>
    <t>Grapefruit Gift</t>
  </si>
  <si>
    <t>https://flowzz.com/product/cannamedical-cm-16-1-grp-grapefruit-gift</t>
  </si>
  <si>
    <t>Cannamedical CM 28/1</t>
  </si>
  <si>
    <t>https://flowzz.com/product/cm-28-1-koko-cookies</t>
  </si>
  <si>
    <t>10,71</t>
  </si>
  <si>
    <t>https://flowzz.com/product/cannamedical-sativa-forte-nm-gelato-dream</t>
  </si>
  <si>
    <t>Cannamedical Sativa Ultra NM</t>
  </si>
  <si>
    <t>Polar Cookies</t>
  </si>
  <si>
    <t>10,80</t>
  </si>
  <si>
    <t>https://flowzz.com/product/cannamedical-sativa-ultra-nm-polar-cookies</t>
  </si>
  <si>
    <t>Canopy Bakerstreet 22/1</t>
  </si>
  <si>
    <t>https://flowzz.com/product/bakerstreet-22-hindu-kush</t>
  </si>
  <si>
    <t>Canopy Krypton 23/1</t>
  </si>
  <si>
    <t>Krypton</t>
  </si>
  <si>
    <t>https://flowzz.com/product/canopy-krypton-23-krypton</t>
  </si>
  <si>
    <t>Canopy OGD 25/1</t>
  </si>
  <si>
    <t>OG Deluxe</t>
  </si>
  <si>
    <t>https://flowzz.com/product/canopy-ogd-25</t>
  </si>
  <si>
    <t>Canopy TCK 27/1</t>
  </si>
  <si>
    <t>Tiger Cake</t>
  </si>
  <si>
    <t>https://flowzz.com/product/canopy-tck-27</t>
  </si>
  <si>
    <t>Ceres No. 2 25/1</t>
  </si>
  <si>
    <t>Slurricane Mint</t>
  </si>
  <si>
    <t>Plantations Cérès</t>
  </si>
  <si>
    <t>https://flowzz.com/product/ceres-no-2-slurricane-mint</t>
  </si>
  <si>
    <t>Ceres No. 3</t>
  </si>
  <si>
    <t>Space Dust</t>
  </si>
  <si>
    <t>8,10</t>
  </si>
  <si>
    <t>https://flowzz.com/product/ceres-no-3-space-dust</t>
  </si>
  <si>
    <t>Ceres No. 4</t>
  </si>
  <si>
    <t>Top 5</t>
  </si>
  <si>
    <t>https://flowzz.com/product/ceres-no-4-top-5</t>
  </si>
  <si>
    <t>Drapalin 26/1 Oreoz</t>
  </si>
  <si>
    <t>https://flowzz.com/product/drapalin-26-1-oreoz</t>
  </si>
  <si>
    <t>Green Karat SD PT</t>
  </si>
  <si>
    <t>Supreme Diesel</t>
  </si>
  <si>
    <t>10,29</t>
  </si>
  <si>
    <t>https://flowzz.com/product/green-karat-sd-pt-supreme-diesel</t>
  </si>
  <si>
    <t>GROW 27 DC</t>
  </si>
  <si>
    <t>GROW-PHARM</t>
  </si>
  <si>
    <t>Grow Pharma</t>
  </si>
  <si>
    <t>Dosi Cookies</t>
  </si>
  <si>
    <t>GROW</t>
  </si>
  <si>
    <t>https://flowzz.com/product/grow-27-dc-dosi-cookies</t>
  </si>
  <si>
    <t>GROW 27 PL</t>
  </si>
  <si>
    <t>Pink Lilac</t>
  </si>
  <si>
    <t>https://flowzz.com/product/grow-27-pl-pink-lilac</t>
  </si>
  <si>
    <t>GROW 30</t>
  </si>
  <si>
    <t>Gelato Sherbert</t>
  </si>
  <si>
    <t>9,50</t>
  </si>
  <si>
    <t>https://flowzz.com/product/grow-30-gelato-sherbert</t>
  </si>
  <si>
    <t>IMC CBD12 C01</t>
  </si>
  <si>
    <t>God Bud</t>
  </si>
  <si>
    <t>https://flowzz.com/product/imc-1-12-hybrid-c01-god-bud</t>
  </si>
  <si>
    <t>IMC Balanced 7/8 B01</t>
  </si>
  <si>
    <t>Blue Dream</t>
  </si>
  <si>
    <t>https://flowzz.com/product/imc-balanced-7-8-b01-blue-dream</t>
  </si>
  <si>
    <t>IMC THC17 T01 HK</t>
  </si>
  <si>
    <t>6,70</t>
  </si>
  <si>
    <t>https://flowzz.com/product/imc-17-1-t01-hindu-kush</t>
  </si>
  <si>
    <t>IMC THC22 T02</t>
  </si>
  <si>
    <t>https://flowzz.com/product/imc-thc-22-t02-og-kush</t>
  </si>
  <si>
    <t>IMC THC22 T05 - Somango Skunk</t>
  </si>
  <si>
    <t>Somango</t>
  </si>
  <si>
    <t>https://flowzz.com/product/imc-thc22-t05-somango-skunk</t>
  </si>
  <si>
    <t>IMC THC22 T06 - Black Russian</t>
  </si>
  <si>
    <t>Black Russian</t>
  </si>
  <si>
    <t>https://flowzz.com/product/imc-thc22-t06-black-russian</t>
  </si>
  <si>
    <t>IMC THC25 T04</t>
  </si>
  <si>
    <t>Strawberry OG</t>
  </si>
  <si>
    <t>6,00</t>
  </si>
  <si>
    <t>https://flowzz.com/product/imc-thc-25-t04-strawberry-og</t>
  </si>
  <si>
    <t>IMC THC22 T01</t>
  </si>
  <si>
    <t>6,98</t>
  </si>
  <si>
    <t>https://flowzz.com/product/imc-thc-22-t01-hindu-kush</t>
  </si>
  <si>
    <t>IMC OOG THC 25 Outdoor</t>
  </si>
  <si>
    <t>https://flowzz.com/product/imc-thc-25-oog-og-kush</t>
  </si>
  <si>
    <t>IMC THC25 T03 GG4</t>
  </si>
  <si>
    <t>https://flowzz.com/product/imc-thc-25-t03-gg-4-gorilla-glue-4</t>
  </si>
  <si>
    <t>LOT 420 AB</t>
  </si>
  <si>
    <t>https://flowzz.com/product/lot-420-ab-apples-bananas</t>
  </si>
  <si>
    <t>LOT 420 MLND PT</t>
  </si>
  <si>
    <t>Melonade</t>
  </si>
  <si>
    <t>https://flowzz.com/product/lot-420-mlnd-pt-melonade</t>
  </si>
  <si>
    <t>MAC 4+</t>
  </si>
  <si>
    <t>Detroit Runtz</t>
  </si>
  <si>
    <t>https://flowzz.com/product/mac-4-detroit-runtz</t>
  </si>
  <si>
    <t>MCCN No. 8</t>
  </si>
  <si>
    <t>7,97</t>
  </si>
  <si>
    <t>https://flowzz.com/product/mccn-no-8</t>
  </si>
  <si>
    <t>Mediprocan 27/1 Mustique</t>
  </si>
  <si>
    <t>https://flowzz.com/product/mediprocan-27-1-mustique-think-fast</t>
  </si>
  <si>
    <t>MV RBP</t>
  </si>
  <si>
    <t>Rainbow Pie</t>
  </si>
  <si>
    <t>https://flowzz.com/product/mv-rbp-rainbow-pie</t>
  </si>
  <si>
    <t>Oceanic BL 25/1</t>
  </si>
  <si>
    <t>Black Lavender</t>
  </si>
  <si>
    <t>https://flowzz.com/product/oceanic-bl-black-lavender</t>
  </si>
  <si>
    <t>Cannabis Flos OHT CKZ 1</t>
  </si>
  <si>
    <t>RNTZ</t>
  </si>
  <si>
    <t>KnL Cannabis</t>
  </si>
  <si>
    <t>https://flowzz.com/product/cannabis-flos-oht-ckz-1-rntz</t>
  </si>
  <si>
    <t>Ostara DT</t>
  </si>
  <si>
    <t>Dirty Taxi</t>
  </si>
  <si>
    <t>Valencene</t>
  </si>
  <si>
    <t>Ostara Medical</t>
  </si>
  <si>
    <t>https://flowzz.com/product/ostara-dirty-taxi</t>
  </si>
  <si>
    <t>Ostara GC 25/1</t>
  </si>
  <si>
    <t>Gas Cake</t>
  </si>
  <si>
    <t>https://flowzz.com/product/ostara-gc-25-1-gas-cake</t>
  </si>
  <si>
    <t>Patagonia Plus TN</t>
  </si>
  <si>
    <t>The New</t>
  </si>
  <si>
    <t>Patagonia Heritage</t>
  </si>
  <si>
    <t>https://flowzz.com/product/patagonia-plus-tn-the-new</t>
  </si>
  <si>
    <t>Pedanios 18/1 TNG CA</t>
  </si>
  <si>
    <t>Tangerine Dream</t>
  </si>
  <si>
    <t>https://flowzz.com/product/pedanios-18-1-tng-dk-tangerine-dream</t>
  </si>
  <si>
    <t>Aurora 24/1 PNK-CA</t>
  </si>
  <si>
    <t>https://flowzz.com/product/aurora-24-1-dnk-pink-kush</t>
  </si>
  <si>
    <t>Pedanios 26/1 EHD CA</t>
  </si>
  <si>
    <t>Electric Honeydew</t>
  </si>
  <si>
    <t>https://flowzz.com/product/pedanios-26-1-ehd-ca-electric-honeydew</t>
  </si>
  <si>
    <t>Remexian 30/1 BAG</t>
  </si>
  <si>
    <t>Banana Gas</t>
  </si>
  <si>
    <t>https://flowzz.com/product/remexian-30-1-bag-banana-gas</t>
  </si>
  <si>
    <t>Roxton Air BS01</t>
  </si>
  <si>
    <t>Banana Sorbet</t>
  </si>
  <si>
    <t>Roxton Air</t>
  </si>
  <si>
    <t>https://flowzz.com/product/roxton-air-bs01-banana-sorbet</t>
  </si>
  <si>
    <t>Roxton Air FC 25/1</t>
  </si>
  <si>
    <t>Frosted Cookies</t>
  </si>
  <si>
    <t>https://flowzz.com/product/roxton-air-fc-frosted-cookies</t>
  </si>
  <si>
    <t>Rua Hihiko 27/1</t>
  </si>
  <si>
    <t>Grape Haze</t>
  </si>
  <si>
    <t>Neuseeland</t>
  </si>
  <si>
    <t>9,39</t>
  </si>
  <si>
    <t>https://flowzz.com/product/rua-hihiko-27-1-grape-haze</t>
  </si>
  <si>
    <t>Sumo Canada Craft No.3 27/1</t>
  </si>
  <si>
    <t>Garlic Chem</t>
  </si>
  <si>
    <t>https://flowzz.com/product/sumo-canada-craft-no3-27-1-garlic-chem</t>
  </si>
  <si>
    <t>Sumo Canada Craft No. 4</t>
  </si>
  <si>
    <t>Cement Shoes</t>
  </si>
  <si>
    <t>https://flowzz.com/product/sumo-canada-craft-no-4</t>
  </si>
  <si>
    <t>Therismos 23/1 JFG</t>
  </si>
  <si>
    <t>https://flowzz.com/product/therismos-23-1-jfg-jet-fuel-gelato</t>
  </si>
  <si>
    <t>Therismos 30/1 QSG</t>
  </si>
  <si>
    <t>9,75</t>
  </si>
  <si>
    <t>https://flowzz.com/product/therismos-30-1-qsg-queen-sang</t>
  </si>
  <si>
    <t>https://flowzz.com/product/tilray-thc15-spotlight-porto-blue-dream</t>
  </si>
  <si>
    <t>Tilray THC 22 Indica No. 2</t>
  </si>
  <si>
    <t>https://flowzz.com/product/tilray-thc-22-indica-no-2-master-kush</t>
  </si>
  <si>
    <t>Geranylacetat</t>
  </si>
  <si>
    <t>Geraniol</t>
  </si>
  <si>
    <t>https://flowzz.com/product/tilray-thc-22-spotlight-porto-mango-mango</t>
  </si>
  <si>
    <t>Tilray THC 22 Sativa No 2</t>
  </si>
  <si>
    <t>https://flowzz.com/product/tilray-thc-22-sativa-no-2-headband-headband</t>
  </si>
  <si>
    <t>Tilray THC 25 Indica No. 2</t>
  </si>
  <si>
    <t>https://flowzz.com/product/tilray-thc-25-indica-no-2-master-kush</t>
  </si>
  <si>
    <t>Tilray THC 25 Spotlight Porto</t>
  </si>
  <si>
    <t>https://flowzz.com/product/tilray-thc-25-spotlight-porto-island-sweet-skunk-island-sweet-skunk</t>
  </si>
  <si>
    <t>Tilray THC25 Spotlight Porto</t>
  </si>
  <si>
    <t>https://flowzz.com/product/tilray-thc-25-spotlight-porto-purps</t>
  </si>
  <si>
    <t>Tilray THC 25 Sativa No 2</t>
  </si>
  <si>
    <t>https://flowzz.com/product/tilray-thc-25-sativa-no-2-headband-headband</t>
  </si>
  <si>
    <t>Vasco PR PT</t>
  </si>
  <si>
    <t>Pave Runtz</t>
  </si>
  <si>
    <t>https://flowzz.com/product/vasco-pr-pt-pave-runtz</t>
  </si>
  <si>
    <t>Vayamed 1A 18/1</t>
  </si>
  <si>
    <t>https://flowzz.com/product/vayamed-18-1-white-widow</t>
  </si>
  <si>
    <t>enua 30/1 SLC CA</t>
  </si>
  <si>
    <t>8,00</t>
  </si>
  <si>
    <t>https://flowzz.com/product/enua-30-1-slc-ca-slurricane</t>
  </si>
  <si>
    <t>avaay 24/1 Simple CRE</t>
  </si>
  <si>
    <t>8,43</t>
  </si>
  <si>
    <t>https://flowzz.com/product/avaay-24-1-cre-creamy-kees</t>
  </si>
  <si>
    <t>avaay Signature 7/11 GCO</t>
  </si>
  <si>
    <t>Green Croc Orange</t>
  </si>
  <si>
    <t>https://flowzz.com/product/avaay-7-11-gco-green-croc-orange</t>
  </si>
  <si>
    <t>enua 22/1 ABG CA</t>
  </si>
  <si>
    <t>Sweets</t>
  </si>
  <si>
    <t>6,50</t>
  </si>
  <si>
    <t>https://flowzz.com/product/enua-22-1-abg-ca-sweets</t>
  </si>
  <si>
    <t>All Nations MD PT</t>
  </si>
  <si>
    <t>Mac Daddy</t>
  </si>
  <si>
    <t>https://flowzz.com/product/all-nations-md-pt-mac-daddy</t>
  </si>
  <si>
    <t>aleph amber 20/1</t>
  </si>
  <si>
    <t>7,10</t>
  </si>
  <si>
    <t>https://flowzz.com/product/aleph-amber-20-1-mango-kush</t>
  </si>
  <si>
    <t>420 Evolution 30/1 CA GMO</t>
  </si>
  <si>
    <t>https://flowzz.com/product/420-evolution-30-1-ca-gmo-gmo</t>
  </si>
  <si>
    <t>Bathera 23/1 GF</t>
  </si>
  <si>
    <t>Garlic Funk</t>
  </si>
  <si>
    <t>https://flowzz.com/product/bathera-23-1-gf-garlic-funk</t>
  </si>
  <si>
    <t>https://flowzz.com/product/madrecan-18-1-granddaddy-og</t>
  </si>
  <si>
    <t>enua 27/1 TIB CA</t>
  </si>
  <si>
    <t>Tickle Burger</t>
  </si>
  <si>
    <t>https://flowzz.com/product/enua-27-1-tib-ca-tickle-burger</t>
  </si>
  <si>
    <t>Demecan Craft Marker 28/1 MM#2</t>
  </si>
  <si>
    <t>https://flowzz.com/product/craft-marker-28-1-mm2-magic-marker-2</t>
  </si>
  <si>
    <t>Demecan MC Regular Drop 25/1</t>
  </si>
  <si>
    <t>Glitter Pop Bomb</t>
  </si>
  <si>
    <t>https://flowzz.com/product/demecan-mc-regular-drop-26-1-glitter-pop-bomb</t>
  </si>
  <si>
    <t>IMC CBD14 C01</t>
  </si>
  <si>
    <t>https://flowzz.com/product/imc-1-14-hybrid-c01-god-bud</t>
  </si>
  <si>
    <t>LOT 420 LEM PT</t>
  </si>
  <si>
    <t>Lemonatti</t>
  </si>
  <si>
    <t>https://flowzz.com/product/lot-420-lem-pt</t>
  </si>
  <si>
    <t>CNBS VV 26/1</t>
  </si>
  <si>
    <t>https://flowzz.com/product/cnbs-vv-26-1-varnish-vapor</t>
  </si>
  <si>
    <t>CannabiStada VED 27</t>
  </si>
  <si>
    <t>Ventura Dawg</t>
  </si>
  <si>
    <t>https://flowzz.com/product/cannabistada-ved-27-ventura-dawg</t>
  </si>
  <si>
    <t>Supreme 24/1</t>
  </si>
  <si>
    <t>https://flowzz.com/product/supreme-24-1-frosted-lemon-cake</t>
  </si>
  <si>
    <t>IMC GL41 THC20</t>
  </si>
  <si>
    <t>Gelato 41</t>
  </si>
  <si>
    <t>https://flowzz.com/product/imc-gl41-thc20-gelato-41</t>
  </si>
  <si>
    <t>IMC GO THC23</t>
  </si>
  <si>
    <t>Jokerz #53</t>
  </si>
  <si>
    <t>https://flowzz.com/product/imc-go-thc23-jokerz-53</t>
  </si>
  <si>
    <t>IMC TB THC24</t>
  </si>
  <si>
    <t>Tropicana Banana</t>
  </si>
  <si>
    <t>Israel</t>
  </si>
  <si>
    <t>https://flowzz.com/product/imc-tb-thc24-tropicana-banana</t>
  </si>
  <si>
    <t>Herbasana Colombiana 20:01</t>
  </si>
  <si>
    <t>HERBSANA</t>
  </si>
  <si>
    <t>Herbsana</t>
  </si>
  <si>
    <t>Apple Soda</t>
  </si>
  <si>
    <t>Herbasana</t>
  </si>
  <si>
    <t>https://flowzz.com/product/herbasana-colombiana-20-01-apple-soda</t>
  </si>
  <si>
    <t>Herbasana La Santa 24:01</t>
  </si>
  <si>
    <t>Passion Soda</t>
  </si>
  <si>
    <t>https://flowzz.com/product/herbasana-la-santa-24-01-passion-soda</t>
  </si>
  <si>
    <t>enua 22/1 GPP CA</t>
  </si>
  <si>
    <t>Gelly Popper</t>
  </si>
  <si>
    <t>8,35</t>
  </si>
  <si>
    <t>https://flowzz.com/product/enua-22-1-gpp-ca-gelly-popper</t>
  </si>
  <si>
    <t>Wellford Aquaponic 23/1 COP</t>
  </si>
  <si>
    <t>Critical Orange Punch</t>
  </si>
  <si>
    <t>https://flowzz.com/product/wellford-23-1-cop-critical-orange-punch</t>
  </si>
  <si>
    <t>Wellford Aquaponic 23/1 PIK</t>
  </si>
  <si>
    <t>https://flowzz.com/product/wellford-23-1-pik-pink-kush</t>
  </si>
  <si>
    <t>Bathera 23/1</t>
  </si>
  <si>
    <t>https://flowzz.com/product/bathera-23-1-permanent-marker</t>
  </si>
  <si>
    <t>enua 25/1 SBD CA - Strawberry Diesel</t>
  </si>
  <si>
    <t>Strawberry Diesel</t>
  </si>
  <si>
    <t>https://flowzz.com/product/enua-25-1-sbd-ca-strawberry-diesel</t>
  </si>
  <si>
    <t>Cannabis 1A 16/1</t>
  </si>
  <si>
    <t>3,75</t>
  </si>
  <si>
    <t>https://flowzz.com/product/cannabis-1-a-16-1-white-widow</t>
  </si>
  <si>
    <t>420 Evolution 30/1 FLM CA</t>
  </si>
  <si>
    <t>https://flowzz.com/product/420-evolution-30-1-ca-flm-frozen-lemon-mints</t>
  </si>
  <si>
    <t>420 Evolution 30/1 CA WES</t>
  </si>
  <si>
    <t>9,70</t>
  </si>
  <si>
    <t>https://flowzz.com/product/420-evolution-30-1-ca-wes-wedding-singer</t>
  </si>
  <si>
    <t>Vasco WR</t>
  </si>
  <si>
    <t>https://flowzz.com/product/cantourage-vasco-white-runtz-wr</t>
  </si>
  <si>
    <t>Tilray THC22 Spotlight Porto</t>
  </si>
  <si>
    <t>6,68</t>
  </si>
  <si>
    <t>https://flowzz.com/product/tilray-thc-22-spotlight-porto-purps</t>
  </si>
  <si>
    <t>Tilray THC 22 Spotlight Montevideo</t>
  </si>
  <si>
    <t>https://flowzz.com/product/tilray-thc-22-spotlight-montevideo-gorilla-glue-gorilla-glue</t>
  </si>
  <si>
    <t>enua 22/1 ICC CA</t>
  </si>
  <si>
    <t>https://flowzz.com/product/enua-22-1-icc-ca-ice-cream-cake</t>
  </si>
  <si>
    <t>Enua 22/1 WCK CA - La Kush Cake</t>
  </si>
  <si>
    <t>https://flowzz.com/product/enua-22-1-wck-ca-la-kush-cake</t>
  </si>
  <si>
    <t>Blackbird Strong Sativa</t>
  </si>
  <si>
    <t>Euforia</t>
  </si>
  <si>
    <t>https://flowzz.com/product/blackbird-strong-sativa-euforia</t>
  </si>
  <si>
    <t>Aurora Typ 1</t>
  </si>
  <si>
    <t>https://flowzz.com/product/typ-1-aurora-island-sweet-skunk</t>
  </si>
  <si>
    <t>https://flowzz.com/product/tilray-thc18-spotlight-porto-girl-scout-cookies</t>
  </si>
  <si>
    <t>KEjF. SMNZ 27/1</t>
  </si>
  <si>
    <t>https://flowzz.com/product/kejf-smnz-27-1</t>
  </si>
  <si>
    <t>aleph amber 26/1</t>
  </si>
  <si>
    <t>https://flowzz.com/product/aleph-amber-26-1-mango-kush</t>
  </si>
  <si>
    <t>Origine Nature CHEM 25/1</t>
  </si>
  <si>
    <t>Origine Nature</t>
  </si>
  <si>
    <t>https://flowzz.com/product/origine-nature-chem-og</t>
  </si>
  <si>
    <t>420 Compound 30/1 GAP</t>
  </si>
  <si>
    <t>Gastro Pop</t>
  </si>
  <si>
    <t>10,70</t>
  </si>
  <si>
    <t>https://flowzz.com/product/420-compound-30-1-gap-gastro-pop</t>
  </si>
  <si>
    <t>Demecan Craft Cali 29:01</t>
  </si>
  <si>
    <t>Hawaiian Rain X Permanent Marker</t>
  </si>
  <si>
    <t>https://flowzz.com/product/demecan-craft-cali-29-01-hawaiian_rain-x-permanent-marker</t>
  </si>
  <si>
    <t>RE:CANNIS 21/1 Indica - Erez</t>
  </si>
  <si>
    <t>Erez</t>
  </si>
  <si>
    <t>Alpha-2-Pinen</t>
  </si>
  <si>
    <t>https://flowzz.com/product/cannis-21-1-indica-erez</t>
  </si>
  <si>
    <t>IMC 9PPA THC20</t>
  </si>
  <si>
    <t>Peppermint</t>
  </si>
  <si>
    <t>https://flowzz.com/product/imc-9ppa-thc20-peppermint</t>
  </si>
  <si>
    <t>IMC EC2 THC22</t>
  </si>
  <si>
    <t>El Chivo</t>
  </si>
  <si>
    <t>https://flowzz.com/product/imc-ec2-thc22-el-chivo</t>
  </si>
  <si>
    <t>IMC GPI THC26</t>
  </si>
  <si>
    <t>Grapple Pie</t>
  </si>
  <si>
    <t>https://flowzz.com/product/imc-gpi-thc26-grapple-pie</t>
  </si>
  <si>
    <t>IMC K4 THC27</t>
  </si>
  <si>
    <t>Coco No 4</t>
  </si>
  <si>
    <t>https://flowzz.com/product/imc-k4-thc27-coco-no-4</t>
  </si>
  <si>
    <t>IMC RGR THC20 - Rose Gold Runtz</t>
  </si>
  <si>
    <t>Rose Gold Runtz</t>
  </si>
  <si>
    <t>6,76</t>
  </si>
  <si>
    <t>https://flowzz.com/product/imc-rgr-thc20-rose-gold-runtz</t>
  </si>
  <si>
    <t>Mediprocan 23/1 Mykonoz</t>
  </si>
  <si>
    <t>Sour Mango</t>
  </si>
  <si>
    <t>https://flowzz.com/product/mediprocan-23-1-mykonoz-sour-mango</t>
  </si>
  <si>
    <t>Demecan Epic Drop 30/1</t>
  </si>
  <si>
    <t>Cap Junky</t>
  </si>
  <si>
    <t>11,49</t>
  </si>
  <si>
    <t>https://flowzz.com/product/demecan-epic-drop-30-1-cap-junky</t>
  </si>
  <si>
    <t>Cannamedical Indica classic ZAF</t>
  </si>
  <si>
    <t>https://flowzz.com/product/cannamedical-indica-classic-zaf-black-cherry-punch</t>
  </si>
  <si>
    <t>Bathera 30/1 PP</t>
  </si>
  <si>
    <t>Polar Pop</t>
  </si>
  <si>
    <t>https://flowzz.com/product/bathera-30-1-pp-polar-pop</t>
  </si>
  <si>
    <t>420 Evolution 30/1 CA ICC</t>
  </si>
  <si>
    <t>https://flowzz.com/product/420-evolution-30-1-ca-icc-ice-cream-cake-kush-mints</t>
  </si>
  <si>
    <t>avaay 24/1 BPM</t>
  </si>
  <si>
    <t>Baby Pam</t>
  </si>
  <si>
    <t>https://flowzz.com/product/avaay-24-1-bpm-baby-pam</t>
  </si>
  <si>
    <t>avaay 31/1 SCG</t>
  </si>
  <si>
    <t>10,27</t>
  </si>
  <si>
    <t>https://flowzz.com/product/avaay-31-1-scg-super-citra-g</t>
  </si>
  <si>
    <t>Canify Cannabis flos 22/1 UY Ku.</t>
  </si>
  <si>
    <t>https://flowzz.com/product/canify-flos-22-1-gg-gorilla-glue-4</t>
  </si>
  <si>
    <t>Cannamedical Sativa Forte MA</t>
  </si>
  <si>
    <t>https://flowzz.com/product/cannamedical-sativa-forte-ma-lemon-slushie</t>
  </si>
  <si>
    <t>Weeco 20/1</t>
  </si>
  <si>
    <t>5,20</t>
  </si>
  <si>
    <t>https://flowzz.com/product/weeco-20-1-white-widow</t>
  </si>
  <si>
    <t>Demecan Craft Dosidos 24/1</t>
  </si>
  <si>
    <t>11,35</t>
  </si>
  <si>
    <t>https://flowzz.com/product/demecan-craft-dosidos-24-1-do-si-dos</t>
  </si>
  <si>
    <t>Cannabis 1A 18/1</t>
  </si>
  <si>
    <t>https://flowzz.com/product/cannabis-1-a-18-1-white-widow</t>
  </si>
  <si>
    <t>LOT 420 ATA PT</t>
  </si>
  <si>
    <t>Atomic Apple</t>
  </si>
  <si>
    <t>10,19</t>
  </si>
  <si>
    <t>https://flowzz.com/product/lot-420-ata-atomic-apple</t>
  </si>
  <si>
    <t>LOT 420 GLT PT</t>
  </si>
  <si>
    <t>Gelato 33</t>
  </si>
  <si>
    <t>10,88</t>
  </si>
  <si>
    <t>https://flowzz.com/product/lot-420-glt-pt-gelato-33</t>
  </si>
  <si>
    <t>Canify Pure 18/1 LS KU.</t>
  </si>
  <si>
    <t>Exodus Cheese</t>
  </si>
  <si>
    <t>https://flowzz.com/product/canify-pure-18-1-ls-ku-exodus-cheese</t>
  </si>
  <si>
    <t>Canify Pure 24/1 LS</t>
  </si>
  <si>
    <t>Bafokeng Choice</t>
  </si>
  <si>
    <t>https://flowzz.com/product/canify-pure-24-1-ls-bafokeng-choice</t>
  </si>
  <si>
    <t>avaay 5/1 THCV12</t>
  </si>
  <si>
    <t>THCV12</t>
  </si>
  <si>
    <t>10,25</t>
  </si>
  <si>
    <t>https://flowzz.com/product/avaay-5-1-thcv12</t>
  </si>
  <si>
    <t>TYSON 2.0 24/1</t>
  </si>
  <si>
    <t>https://flowzz.com/product/tyson-24-1-nyc-diesel</t>
  </si>
  <si>
    <t>420 Evolution 27/1 MMI</t>
  </si>
  <si>
    <t>https://flowzz.com/product/420-evolution-27-1-mmi-miracle-mint</t>
  </si>
  <si>
    <t>420 Compound 33/1 GAP</t>
  </si>
  <si>
    <t>https://flowzz.com/product/420-compound-33-1-gap-gastro-pop</t>
  </si>
  <si>
    <t>Remexian 14/1</t>
  </si>
  <si>
    <t>3,45</t>
  </si>
  <si>
    <t>https://flowzz.com/product/remexian-14-1-white-widow</t>
  </si>
  <si>
    <t>Remexian 30/1 PRT SCK</t>
  </si>
  <si>
    <t>Strawberry Cookies</t>
  </si>
  <si>
    <t>https://flowzz.com/product/remexian-30-1-sck-strawberry-cookies</t>
  </si>
  <si>
    <t>enua 22/1 ANF CA</t>
  </si>
  <si>
    <t>Animal Face</t>
  </si>
  <si>
    <t>https://flowzz.com/product/enua-22-1-anf-ca</t>
  </si>
  <si>
    <t>enua 27/1 BDO CA</t>
  </si>
  <si>
    <t>Black Dolato</t>
  </si>
  <si>
    <t>https://flowzz.com/product/enua-27-1-bdo-ca-black-dolato</t>
  </si>
  <si>
    <t>aleph water 5/13</t>
  </si>
  <si>
    <t>Amnesia Balanced</t>
  </si>
  <si>
    <t>7,55</t>
  </si>
  <si>
    <t>https://flowzz.com/product/alephsana-water-5-13-amnesia-balanced-dnf</t>
  </si>
  <si>
    <t>aleph air 18/1</t>
  </si>
  <si>
    <t>Sour Tangie</t>
  </si>
  <si>
    <t>https://flowzz.com/product/alephsana-air-18-1-sour-tangie</t>
  </si>
  <si>
    <t>aleph earth 19/1</t>
  </si>
  <si>
    <t>Sherbet Kush</t>
  </si>
  <si>
    <t>https://flowzz.com/product/aleph-earth-19-1-ko-kush-sherbert-pt</t>
  </si>
  <si>
    <t>Weeco 23/1</t>
  </si>
  <si>
    <t>5,78</t>
  </si>
  <si>
    <t>https://flowzz.com/product/weeco-23-1-frosted-lemon-angel</t>
  </si>
  <si>
    <t>Canify Cannabis flos 30/1 POR Ku.</t>
  </si>
  <si>
    <t>Chapel Of Love</t>
  </si>
  <si>
    <t>Canify Cannabis Flos 7/8</t>
  </si>
  <si>
    <t>https://flowzz.com/product/canify-cannabis-flos-30-1-por-ku-chapel-of-love</t>
  </si>
  <si>
    <t>CNBS CPJ 31/1</t>
  </si>
  <si>
    <t>https://flowzz.com/product/cnbs-cpj-31-1-cap-junky</t>
  </si>
  <si>
    <t>Demecan 26/1 MC Strong Drop</t>
  </si>
  <si>
    <t>Zkittlez x Sherb Bx1 x Permanent Marker</t>
  </si>
  <si>
    <t>https://flowzz.com/product/demecan-26-1-mc-strong-drop-zkittlez-x-sherb-bx1-x-permanent-marker</t>
  </si>
  <si>
    <t>enua 21/1 SC CA</t>
  </si>
  <si>
    <t>6,39</t>
  </si>
  <si>
    <t>https://flowzz.com/product/enua-21-1-sc-ca-strawberry-cake</t>
  </si>
  <si>
    <t>Cannamedical Indica forte URY</t>
  </si>
  <si>
    <t>https://flowzz.com/product/cannamedical-indica-forte-ury-dawg-bud-fusion</t>
  </si>
  <si>
    <t>enua 30/1 TTA CA</t>
  </si>
  <si>
    <t>Titanimal</t>
  </si>
  <si>
    <t>9,25</t>
  </si>
  <si>
    <t>https://flowzz.com/product/enua-30-1-tta-ca-titanimal</t>
  </si>
  <si>
    <t>MC Epic Drop 30/1</t>
  </si>
  <si>
    <t>12,40</t>
  </si>
  <si>
    <t>https://flowzz.com/product/mc-epic-drop-30-1-hawaiian-rain-x-permanent-marker</t>
  </si>
  <si>
    <t>Tilray THC22 Craft</t>
  </si>
  <si>
    <t>Jean Guy Bienville</t>
  </si>
  <si>
    <t>https://flowzz.com/product/tilray-thc22-craft-jean-guy-bienville</t>
  </si>
  <si>
    <t>avaay Signature 31/1 OGC</t>
  </si>
  <si>
    <t>Ocean Grown Cookies</t>
  </si>
  <si>
    <t>https://flowzz.com/product/avaay-signature-31-1-ogc-ocean-grown-cookies</t>
  </si>
  <si>
    <t>avaay 28/1 GNC</t>
  </si>
  <si>
    <t>9,80</t>
  </si>
  <si>
    <t>https://flowzz.com/product/avaay-28-1-gnc-grapes-and-cream</t>
  </si>
  <si>
    <t>avaay 21/1 BKR</t>
  </si>
  <si>
    <t>https://flowzz.com/product/avaay-21-1-bkr-black-krush</t>
  </si>
  <si>
    <t>Tilray THC25 Craft</t>
  </si>
  <si>
    <t>https://flowzz.com/product/tilray-thc25-craft-jean-guy-bienville</t>
  </si>
  <si>
    <t>Remexian 27/1 PRT BMK</t>
  </si>
  <si>
    <t>Blue Monkey</t>
  </si>
  <si>
    <t>https://flowzz.com/product/remexian-27-1-prt-bmk-blue-monkey</t>
  </si>
  <si>
    <t>Roxton Air BD 24/1</t>
  </si>
  <si>
    <t>Flap Jacks</t>
  </si>
  <si>
    <t>7,68</t>
  </si>
  <si>
    <t>https://flowzz.com/product/roxton-air-bd-24-1-flap-jacks</t>
  </si>
  <si>
    <t>Wellford Aquaponic 26/1 QSG</t>
  </si>
  <si>
    <t>https://flowzz.com/product/wellford-aquaponic-26-1-qsg-queen-sang</t>
  </si>
  <si>
    <t xml:space="preserve">RE:CANNIS 16/1 Sativa </t>
  </si>
  <si>
    <t>Bereshit</t>
  </si>
  <si>
    <t>https://flowzz.com/product/cannis-16-1-sativa-bereshit</t>
  </si>
  <si>
    <t>CannaZen 17/1</t>
  </si>
  <si>
    <t>Schulz OG</t>
  </si>
  <si>
    <t>unbekannt</t>
  </si>
  <si>
    <t>https://flowzz.com/product/cannazen-17-1-schulz-og</t>
  </si>
  <si>
    <t>Cannamedical CM 20/1 GRP</t>
  </si>
  <si>
    <t>https://flowzz.com/product/cannamedical-cm-20-1-grp-grapefruit-gift</t>
  </si>
  <si>
    <t>Cannamedical Indica classic URY</t>
  </si>
  <si>
    <t>https://flowzz.com/product/cannamedical-indica-classic-ury-dawg-bud-fusion</t>
  </si>
  <si>
    <t>Cannamedical Hybrid light URY</t>
  </si>
  <si>
    <t>https://flowzz.com/product/cannamedical-hybrid-light-ury-white-gorilla</t>
  </si>
  <si>
    <t>Cannamedical Sativa Vita</t>
  </si>
  <si>
    <t>https://flowzz.com/product/cannamedical-sativa-vita-strawberry-ice</t>
  </si>
  <si>
    <t>Cannamedical Hybrid Classic NM</t>
  </si>
  <si>
    <t>8,39</t>
  </si>
  <si>
    <t>https://flowzz.com/product/cannamedical-hybrid-classic-nm-gorilla-zkittlez-gorilla-zkittlez</t>
  </si>
  <si>
    <t>Cannamedical Indica classic 20/1 ZAF</t>
  </si>
  <si>
    <t>Dank Wafers</t>
  </si>
  <si>
    <t>https://flowzz.com/product/cannamedical-indica-classic-20-1-zaf-dank-wafers</t>
  </si>
  <si>
    <t>https://flowzz.com/product/cannamedical-sativa-forte-venomz-eve</t>
  </si>
  <si>
    <t>Cannamedical Hybrid classic NM</t>
  </si>
  <si>
    <t>Critical Bilbo</t>
  </si>
  <si>
    <t>https://flowzz.com/product/cannamedical-hybrid-classic-nm-critical-bilbo</t>
  </si>
  <si>
    <t>Cannamedical CM 30/1 DM</t>
  </si>
  <si>
    <t>Diamond Mints</t>
  </si>
  <si>
    <t>10,45</t>
  </si>
  <si>
    <t>https://flowzz.com/product/cannamedical-cm-30-1-dm-diamond-mints</t>
  </si>
  <si>
    <t>https://flowzz.com/product/cannamedical-hybrid-classic-mac</t>
  </si>
  <si>
    <t>Cannamedical Indica Forte DK 22/1</t>
  </si>
  <si>
    <t>Gelat Skyfloater</t>
  </si>
  <si>
    <t>https://flowzz.com/product/cannamedical-indica-forte-dk-22-1-gelat-skyfloater</t>
  </si>
  <si>
    <t>Cannamedical Hybrid forte DK</t>
  </si>
  <si>
    <t>SMS</t>
  </si>
  <si>
    <t>https://flowzz.com/product/cannamedical-hybrid-forte-sms</t>
  </si>
  <si>
    <t>Cannamedical Sativa classic AU</t>
  </si>
  <si>
    <t>https://flowzz.com/product/cannamedical-sativa-classic-au-tangie-chem-tangie-chem</t>
  </si>
  <si>
    <t>Cannamedical Indica Classic URY</t>
  </si>
  <si>
    <t>https://flowzz.com/product/cannamedical-indica-classic-ury-cheddar-skunk</t>
  </si>
  <si>
    <t>Bathera 25/1 BZ</t>
  </si>
  <si>
    <t>Blue Z</t>
  </si>
  <si>
    <t>https://flowzz.com/product/bathera-25-1-bz-zkittlez-x-kush-mints</t>
  </si>
  <si>
    <t>Weeco 25/1</t>
  </si>
  <si>
    <t>https://flowzz.com/product/weeco-25-1-frosted-lemon-angel</t>
  </si>
  <si>
    <t>enua 27/1 DSH CA</t>
  </si>
  <si>
    <t>https://flowzz.com/product/enua-27-1-dsh-ca-dark-shadow-haze</t>
  </si>
  <si>
    <t>aleph amber 24/1</t>
  </si>
  <si>
    <t>7,90</t>
  </si>
  <si>
    <t>https://flowzz.com/product/aleph-amber-24-1-mango-kush</t>
  </si>
  <si>
    <t>All Nations LT 25/1</t>
  </si>
  <si>
    <t>https://flowzz.com/product/all-nations-lt-25-1-pt-lemon-tartz</t>
  </si>
  <si>
    <t>All Nations SH 21/1</t>
  </si>
  <si>
    <t>Stolo Haze</t>
  </si>
  <si>
    <t>https://flowzz.com/product/all-nations-sh-21-1-stolo-haze</t>
  </si>
  <si>
    <t>avaay 26/1 SK</t>
  </si>
  <si>
    <t>9,14</t>
  </si>
  <si>
    <t>https://flowzz.com/product/avaay-26-1-sour-kush-sour-kush</t>
  </si>
  <si>
    <t>enua 25/1 CCK CA</t>
  </si>
  <si>
    <t>https://flowzz.com/product/enua-25-1-cck-ca-cold-creek-kush</t>
  </si>
  <si>
    <t>Sinceritas Sativa Verum 24/1</t>
  </si>
  <si>
    <t>https://flowzz.com/product/sinceritas-sativa-verum-24-1-kush-mints</t>
  </si>
  <si>
    <t>Canify Cannabis flos 21/1 PRT Ku.</t>
  </si>
  <si>
    <t>https://flowzz.com/product/canify-cannabis-flos-21-1-prt-ku-black-cherry-pie</t>
  </si>
  <si>
    <t>Canify Cannabis flos 25/1 PRT Ku.</t>
  </si>
  <si>
    <t>https://flowzz.com/product/canify-cannabis-flos-25-1-prt-ku-strawberry-banana</t>
  </si>
  <si>
    <t>Cannamedical CM 24/1 BRY</t>
  </si>
  <si>
    <t>https://flowzz.com/product/cannamedical-cm-24-1-bry-strawberry-og</t>
  </si>
  <si>
    <t>420 Compound 25/1 CA RGR - Rose Gold Runtz</t>
  </si>
  <si>
    <t>https://flowzz.com/product/420-compound-25-1-ca-rgr-rose-gold-runtz</t>
  </si>
  <si>
    <t>Craft Permanent Marker 22/1</t>
  </si>
  <si>
    <t>avaay 29/1 SCP</t>
  </si>
  <si>
    <t>Sour Cherry Punch</t>
  </si>
  <si>
    <t>9,85</t>
  </si>
  <si>
    <t>https://flowzz.com/product/avaay-29-1-scp-sour-cherry-punch</t>
  </si>
  <si>
    <t>All Nations FG 25/1</t>
  </si>
  <si>
    <t>Frosted Gelato</t>
  </si>
  <si>
    <t>https://flowzz.com/product/all-nations-fg-25-1-frosted-gelato</t>
  </si>
  <si>
    <t>Origine Nature MED 30/1</t>
  </si>
  <si>
    <t>Medellin</t>
  </si>
  <si>
    <t>https://flowzz.com/product/origine-nature-med-30-1-medellin</t>
  </si>
  <si>
    <t>Wellford Aquaponic 24/1 SDK</t>
  </si>
  <si>
    <t>https://flowzz.com/product/wellford-aquaponic-24-1-sdk-sensi-double-kush</t>
  </si>
  <si>
    <t>Wellford Aquaponic 26/1 CRO</t>
  </si>
  <si>
    <t>https://flowzz.com/product/wellford-aquaponic-26-1-cro-crescendo-cookies</t>
  </si>
  <si>
    <t>Demecan Craft Marker 25/1 MM#2</t>
  </si>
  <si>
    <t>https://flowzz.com/product/craft-marker-25-1-mm2-magic-marker-2</t>
  </si>
  <si>
    <t>RUA AIO 30/1</t>
  </si>
  <si>
    <t>8 Ball Kush</t>
  </si>
  <si>
    <t>https://flowzz.com/product/rua-aio-30-1-8-ball-kush</t>
  </si>
  <si>
    <t>enua 25/1 TTA CA</t>
  </si>
  <si>
    <t>https://flowzz.com/product/enua-25-1-tta-ca-titanimal</t>
  </si>
  <si>
    <t>Demecan CRAFT OZK x CC 24:01</t>
  </si>
  <si>
    <t>OZ Kush x Coffin Candy</t>
  </si>
  <si>
    <t>9,79</t>
  </si>
  <si>
    <t>https://flowzz.com/product/demecan-craft-ozk-x-cc-24-01-oz-kush-coffin-candy</t>
  </si>
  <si>
    <t>madrecan 21/1 MDR Minis - Mac Driver</t>
  </si>
  <si>
    <t>MAC Driver</t>
  </si>
  <si>
    <t>5,50</t>
  </si>
  <si>
    <t>https://flowzz.com/product/madrecan-21-1-mac-driver-minis</t>
  </si>
  <si>
    <t>madrecan 21/1 SHA</t>
  </si>
  <si>
    <t>https://flowzz.com/product/madrecan-21-1-shark-attack</t>
  </si>
  <si>
    <t>madrecan 24/1 SKY Minis</t>
  </si>
  <si>
    <t>6,10</t>
  </si>
  <si>
    <t>https://flowzz.com/product/madrecan-24-1-sky-minis-skywalker</t>
  </si>
  <si>
    <t>madrecan 18/1 MDR - Mac Driver</t>
  </si>
  <si>
    <t>4,79</t>
  </si>
  <si>
    <t>https://flowzz.com/product/madrecan-18-1-mac-driver</t>
  </si>
  <si>
    <t>Demecan Typ 1</t>
  </si>
  <si>
    <t>Bubba Kush</t>
  </si>
  <si>
    <t>https://flowzz.com/product/typ-1-demecan-bubba-kush</t>
  </si>
  <si>
    <t>Green Karat CG</t>
  </si>
  <si>
    <t>Cool Grapes</t>
  </si>
  <si>
    <t>https://flowzz.com/product/green-karat-cg-cool-grapes</t>
  </si>
  <si>
    <t>Canopy AKH 24/1</t>
  </si>
  <si>
    <t>https://flowzz.com/product/canopy-akh-24-afghan-kush</t>
  </si>
  <si>
    <t>Barongo 23/1</t>
  </si>
  <si>
    <t>Orange Octane</t>
  </si>
  <si>
    <t>https://flowzz.com/product/barongo-23-1-orange-octane</t>
  </si>
  <si>
    <t>Pedanios 31/1 PND-CA</t>
  </si>
  <si>
    <t>9,93</t>
  </si>
  <si>
    <t>https://flowzz.com/product/pedanios-31-1-pnd-ca-pink-diesel</t>
  </si>
  <si>
    <t>Canopy Bakerstreet 20/1</t>
  </si>
  <si>
    <t>7,64</t>
  </si>
  <si>
    <t>https://flowzz.com/product/bakerstreet-hindu-kush</t>
  </si>
  <si>
    <t>Cannamedical CM 24/1 SUN</t>
  </si>
  <si>
    <t>Sweet Sunrise</t>
  </si>
  <si>
    <t>https://flowzz.com/product/cm-sweet-sunrise-24-1</t>
  </si>
  <si>
    <t>Canopy Krypton 25/1</t>
  </si>
  <si>
    <t>https://flowzz.com/product/canopy-krypton-25-krypton</t>
  </si>
  <si>
    <t>Huala 25/1 CA ALM</t>
  </si>
  <si>
    <t>Alien Mints</t>
  </si>
  <si>
    <t>https://flowzz.com/product/huala-25-1-ca-alm</t>
  </si>
  <si>
    <t>Tweed Glitter Bomb 20/1</t>
  </si>
  <si>
    <t>Glitter Bomb</t>
  </si>
  <si>
    <t>7,47</t>
  </si>
  <si>
    <t>https://flowzz.com/product/tweed-glitter-bomb-20-1</t>
  </si>
  <si>
    <t>Huala 22/1 CA ALM</t>
  </si>
  <si>
    <t>https://flowzz.com/product/huala-22-1-ca-alm</t>
  </si>
  <si>
    <t>All Nations GM 25/1</t>
  </si>
  <si>
    <t>https://flowzz.com/product/all-nations-gm-25-1-mac-doughnut</t>
  </si>
  <si>
    <t>All Nations TT 25/1</t>
  </si>
  <si>
    <t>Tropic Thunder</t>
  </si>
  <si>
    <t>https://flowzz.com/product/all-nations-tt-25-1-tropic-thunder</t>
  </si>
  <si>
    <t>Medicus 30/1 EZA WCR</t>
  </si>
  <si>
    <t>Wedding Crasher</t>
  </si>
  <si>
    <t>https://flowzz.com/product/medicus-30-1-eza-wcr-wedding-crasher</t>
  </si>
  <si>
    <t>RE:CANNIS 19/1 Sativa</t>
  </si>
  <si>
    <t>https://flowzz.com/product/cannis-19-1-sativa-bereshit</t>
  </si>
  <si>
    <t>Beacon GO T23</t>
  </si>
  <si>
    <t>Galactica OG</t>
  </si>
  <si>
    <t>https://flowzz.com/product/beacon-go-t23-galactica-og</t>
  </si>
  <si>
    <t>Nimbus easy 30/1</t>
  </si>
  <si>
    <t>https://flowzz.com/product/nimbus-easy-30-1-french-cookies</t>
  </si>
  <si>
    <t>420 Sungrown 22/1 CA ZRP</t>
  </si>
  <si>
    <t>https://flowzz.com/product/420-sungrown-22-1-ca-zrp</t>
  </si>
  <si>
    <t>Khiron G 19/1</t>
  </si>
  <si>
    <t>KHIRON</t>
  </si>
  <si>
    <t>Khiron</t>
  </si>
  <si>
    <t>https://flowzz.com/product/khiron-g-19-1-gelato-gelato</t>
  </si>
  <si>
    <t>Khiron SLH 24/1</t>
  </si>
  <si>
    <t>Super Lemon Haze</t>
  </si>
  <si>
    <t>8,29</t>
  </si>
  <si>
    <t>https://flowzz.com/product/khiron-slh-24-1-super-lemon-haze</t>
  </si>
  <si>
    <t>GM Colour of Space 26/1</t>
  </si>
  <si>
    <t>GERMAN-MED</t>
  </si>
  <si>
    <t>German Medical</t>
  </si>
  <si>
    <t>Apple Fritter x Purple Punch</t>
  </si>
  <si>
    <t>https://flowzz.com/product/gm-colour-of-space-26-01</t>
  </si>
  <si>
    <t>South African  27/1 Mungo</t>
  </si>
  <si>
    <t>Mungo</t>
  </si>
  <si>
    <t>8,79</t>
  </si>
  <si>
    <t>https://flowzz.com/product/south-african-mungo-27-1-mungo</t>
  </si>
  <si>
    <t>GM 25/1 Supernova</t>
  </si>
  <si>
    <t>Supernova</t>
  </si>
  <si>
    <t>8,77</t>
  </si>
  <si>
    <t>https://flowzz.com/product/gm-supernova-25-01</t>
  </si>
  <si>
    <t>Remexian 30/1 NXN SPZ</t>
  </si>
  <si>
    <t>https://flowzz.com/product/remexian-30-1-nxn-spz</t>
  </si>
  <si>
    <t>Remexian 27/1 PSL</t>
  </si>
  <si>
    <t>Pink Slurricane</t>
  </si>
  <si>
    <t>https://flowzz.com/product/remexian-27-1-psl-pink-slurricane</t>
  </si>
  <si>
    <t>Social Choice 12/1 GRO CCR</t>
  </si>
  <si>
    <t>Cookies &amp; Cream</t>
  </si>
  <si>
    <t>https://flowzz.com/product/social-choice-12-1-gro-ccr-cookies-and-cream</t>
  </si>
  <si>
    <t>Beacon T24</t>
  </si>
  <si>
    <t>https://flowzz.com/product/beacon-t24-pink-kush</t>
  </si>
  <si>
    <t>Big Dreams 21/1 PSF PK</t>
  </si>
  <si>
    <t>https://flowzz.com/product/big-dreams-21-1-psf-pk-pink-kush</t>
  </si>
  <si>
    <t>Remexian 30/1 CHE</t>
  </si>
  <si>
    <t>Chem Cookies</t>
  </si>
  <si>
    <t>https://flowzz.com/product/remexian-30-1-che-chem-cookies</t>
  </si>
  <si>
    <t>420 Sungrown 22/1 CA LLY</t>
  </si>
  <si>
    <t>7,73</t>
  </si>
  <si>
    <t>https://flowzz.com/product/420-sungrown-22-1-ca-lly-legendary-larry</t>
  </si>
  <si>
    <t>All Nations MD 25/1</t>
  </si>
  <si>
    <t>8,63</t>
  </si>
  <si>
    <t>https://flowzz.com/product/all-nations-md-25-1-mac-daddy</t>
  </si>
  <si>
    <t>Demecan 20:20 Oktonia (Cannabisextrakt)</t>
  </si>
  <si>
    <t>CO2-Extraktion</t>
  </si>
  <si>
    <t>13,80</t>
  </si>
  <si>
    <t>Extrakt</t>
  </si>
  <si>
    <t>https://flowzz.com/extract/demecan-20-20-oktonia</t>
  </si>
  <si>
    <t>Demecan 30:01 Oktonia (Cannabisextrakt)</t>
  </si>
  <si>
    <t>Ethanolextraktion</t>
  </si>
  <si>
    <t>12,07</t>
  </si>
  <si>
    <t>https://flowzz.com/extract/demecan-30-01-oktonia</t>
  </si>
  <si>
    <t>Tilray THC10:CBD10 (Cannabisextrakt)</t>
  </si>
  <si>
    <t>https://flowzz.com/extract/tilray-thc-10-cbd-10</t>
  </si>
  <si>
    <t>Tilray THC25:CBD25 (Cannabisextrakt)</t>
  </si>
  <si>
    <t>10,59</t>
  </si>
  <si>
    <t>https://flowzz.com/extract/tilray-cannabisextrakt-thc-25-cbd-25</t>
  </si>
  <si>
    <t>Tilray THC25 (Cannabisextrakt)</t>
  </si>
  <si>
    <t>&lt; 1,0</t>
  </si>
  <si>
    <t>https://flowzz.com/extract/tilray-thc-25</t>
  </si>
  <si>
    <t>IMC Cannabisextrakt 10:10</t>
  </si>
  <si>
    <t>2,30</t>
  </si>
  <si>
    <t>https://flowzz.com/extract/imc-extrakt-10-10-b100</t>
  </si>
  <si>
    <t>Vayamed 10/10 Cannabisextrakt</t>
  </si>
  <si>
    <t>4,72</t>
  </si>
  <si>
    <t>https://flowzz.com/extract/10-10-vayamed-cannabisextrakt</t>
  </si>
  <si>
    <t>Demecan Oktonia Typ 2 10:10 (Cannabisextrakt)</t>
  </si>
  <si>
    <t>https://flowzz.com/extract/demecan-typ-2-10-10</t>
  </si>
  <si>
    <t>Vayamed 25/1 Cannabisextrakt</t>
  </si>
  <si>
    <t>7,40</t>
  </si>
  <si>
    <t>https://flowzz.com/extract/25-1-vayamed-cannabisextrakt</t>
  </si>
  <si>
    <t>Demecan Oktonia Typ 1 25:01 (Cannabisextrakt)</t>
  </si>
  <si>
    <t>https://flowzz.com/extract/demecan-typ-1-25-01</t>
  </si>
  <si>
    <t>Demecan Oktonia Typ 1 5:20 (Cannabisextrakt)</t>
  </si>
  <si>
    <t>https://flowzz.com/extract/demecan-typ-1-5-20</t>
  </si>
  <si>
    <t>Demecan Oktonia Typ 2 5:20 (Cannabisextrakt)</t>
  </si>
  <si>
    <t>https://flowzz.com/extract/demecan-typ-2-5-20</t>
  </si>
  <si>
    <t>Tilray THC20:CBD6 (Cannabisextrakt)</t>
  </si>
  <si>
    <t>7,09</t>
  </si>
  <si>
    <t>https://flowzz.com/extract/tilray-thc-20-cbd-6</t>
  </si>
  <si>
    <t>RE:CANNIS 3/3 (Cannabisextrakt)</t>
  </si>
  <si>
    <t>15,00</t>
  </si>
  <si>
    <t>Cannbit Pharmaceuticals</t>
  </si>
  <si>
    <t>https://flowzz.com/extract/re-cannis-3-3</t>
  </si>
  <si>
    <t>RE:CANNIS 5/1 (Cannabisextrakt)</t>
  </si>
  <si>
    <t>20,25</t>
  </si>
  <si>
    <t>https://flowzz.com/extract/re-cannis-5-1</t>
  </si>
  <si>
    <t>SOMAI Cannabisextrakt Hybrid 2,5:25</t>
  </si>
  <si>
    <t>CANNYMED</t>
  </si>
  <si>
    <t>Cannymed</t>
  </si>
  <si>
    <t>2,5</t>
  </si>
  <si>
    <t>3,30</t>
  </si>
  <si>
    <t>canymed</t>
  </si>
  <si>
    <t>https://flowzz.com/extract/somai-cannabisextrakt-hybrid-2-5-25</t>
  </si>
  <si>
    <t>Aurora THC 25 Extract</t>
  </si>
  <si>
    <t>4,64</t>
  </si>
  <si>
    <t>https://flowzz.com/extract/aurora-thc-25-extract-1</t>
  </si>
  <si>
    <t>CannabiStada Extrakt THC 1/CBD 25</t>
  </si>
  <si>
    <t>https://flowzz.com/extract/cannabi-stada-extrakt-thc-1-cbd-25</t>
  </si>
  <si>
    <t>CannabiStada Extrakt THC10/CBD10 CA</t>
  </si>
  <si>
    <t>https://flowzz.com/extract/cannabi-stada-extrakt-thc-10-cbd-10-ca</t>
  </si>
  <si>
    <t>Cannabistada Extrakt THC10/CBD100 CA</t>
  </si>
  <si>
    <t>31,79</t>
  </si>
  <si>
    <t>https://flowzz.com/extract/cannabistada-extrakt-thc-10-cbd-100-ca</t>
  </si>
  <si>
    <t>Cannabistada Extrakt THC30/CBD30 CA</t>
  </si>
  <si>
    <t>0,00</t>
  </si>
  <si>
    <t>https://flowzz.com/extract/cannabistada-extrakt-thc-30-cbd-30-ca</t>
  </si>
  <si>
    <t>Cannabistada Extrakt THC25/CBD1 CA</t>
  </si>
  <si>
    <t>https://flowzz.com/extract/cannabistada-extrakt-thc-25-cbd-1-ca</t>
  </si>
  <si>
    <t>Cannamedical THC850 Zkittlez Gorilla Zkittlez</t>
  </si>
  <si>
    <t>https://flowzz.com/extract/cannamedical-thc850-zkittlez-gorilla-zkittlez</t>
  </si>
  <si>
    <t>IMC Cannabisextrakt 25:1</t>
  </si>
  <si>
    <t>2,89</t>
  </si>
  <si>
    <t>https://flowzz.com/extract/imc-extrakt-25-1-t100</t>
  </si>
  <si>
    <t>NAXIVA-PANAXOL THC 25/CBD 25 Cannabis-Extrakt</t>
  </si>
  <si>
    <t>NAXIVA</t>
  </si>
  <si>
    <t>Naxiva</t>
  </si>
  <si>
    <t>17,26</t>
  </si>
  <si>
    <t>Panaxia</t>
  </si>
  <si>
    <t>https://flowzz.com/extract/naxiva-panaxol-thc-25-cbd-25-cannabis-extrakt</t>
  </si>
  <si>
    <t>Sinceritas 10/10</t>
  </si>
  <si>
    <t>https://flowzz.com/extract/sinceritas-10-10</t>
  </si>
  <si>
    <t>Sinceritas 25/1</t>
  </si>
  <si>
    <t>2,83</t>
  </si>
  <si>
    <t>https://flowzz.com/extract/sinceritas-25-1</t>
  </si>
  <si>
    <t>Sinceritas 25/25</t>
  </si>
  <si>
    <t>https://flowzz.com/extract/sinceritas-25-25</t>
  </si>
  <si>
    <t>GROW 10:10 CAN (Cannabisextrakt)</t>
  </si>
  <si>
    <t>https://flowzz.com/extract/grow-10-10-can</t>
  </si>
  <si>
    <t>GROW 25:25 CAN (Cannabisextrakt)</t>
  </si>
  <si>
    <t>https://flowzz.com/extract/grow-25-25-can</t>
  </si>
  <si>
    <t>Cannabisextrakt Avextra 25 THC</t>
  </si>
  <si>
    <t>AVEXTRA PH</t>
  </si>
  <si>
    <t>Avextra Pharma</t>
  </si>
  <si>
    <t>Soxhlet-Extraktion</t>
  </si>
  <si>
    <t>4,00</t>
  </si>
  <si>
    <t>https://flowzz.com/extract/cannabisextrakt-avextra-25-thc</t>
  </si>
  <si>
    <t>Cannabisextrakt Avextra 10/10</t>
  </si>
  <si>
    <t>3,60</t>
  </si>
  <si>
    <t>https://flowzz.com/extract/cannabisextrakt-avextra-10-10</t>
  </si>
  <si>
    <t>Demecan Oktonia Typ 1 10:10 (Cannabisextrakt)</t>
  </si>
  <si>
    <t>https://flowzz.com/extract/demecan-typ-1-10-10</t>
  </si>
  <si>
    <t>Cannamedical Cannabisextrakt THC50</t>
  </si>
  <si>
    <t>11,65</t>
  </si>
  <si>
    <t>https://flowzz.com/extract/cannamedical-cannabisextrakt-thc-50-cbd-1</t>
  </si>
  <si>
    <t>Demecan Oktonia Typ 2 25:01 (Cannabisextrakt)</t>
  </si>
  <si>
    <t>https://flowzz.com/extract/demecan-typ-2-25-01</t>
  </si>
  <si>
    <t>Somai Cannabisextrakt Mint 10/10</t>
  </si>
  <si>
    <t>2,95</t>
  </si>
  <si>
    <t>https://flowzz.com/extract/somai-mint-10-10</t>
  </si>
  <si>
    <t>Somai Cannabisextrakt Mint 25/25</t>
  </si>
  <si>
    <t>3,97</t>
  </si>
  <si>
    <t>https://flowzz.com/extract/somai-mint-25-25</t>
  </si>
  <si>
    <t>GROW 10:15 CAN (Cannabisextrakt)</t>
  </si>
  <si>
    <t>5,00</t>
  </si>
  <si>
    <t>https://flowzz.com/extract/grow-10-15-can</t>
  </si>
  <si>
    <t>Cannamedical Cannabisextrakt THC20:CBD20</t>
  </si>
  <si>
    <t>https://flowzz.com/extract/cannamedical-cannabisextrakt-thc-20-cbd-20</t>
  </si>
  <si>
    <t>Cannamedical Cannabisextrakt THC12,5:CBD12,5 Strawberry Ice</t>
  </si>
  <si>
    <t>https://flowzz.com/extract/cannamedical-cannabisextrakt-thc-12-5-cbd-12-5</t>
  </si>
  <si>
    <t>Cannamedical Cannabisextrakt THC20:CBD5</t>
  </si>
  <si>
    <t>6,33</t>
  </si>
  <si>
    <t>https://flowzz.com/extract/cannamedical-cannabisextrakt-thc-20-cbd-5</t>
  </si>
  <si>
    <t>Cannamedical Cannabisextrakt THC10:CBD10</t>
  </si>
  <si>
    <t>2,98</t>
  </si>
  <si>
    <t>https://flowzz.com/extract/cannamedical-cannabisextrakt-thc-10-cbd-10</t>
  </si>
  <si>
    <t>Cannamedical THC Extrakt THC25 ("El Jefe")</t>
  </si>
  <si>
    <t>6,24</t>
  </si>
  <si>
    <t>https://flowzz.com/extract/cannamedical-thc-extrakt-thc-25</t>
  </si>
  <si>
    <t>Cannabisextrakt Avextra 2.5/100</t>
  </si>
  <si>
    <t>22,55</t>
  </si>
  <si>
    <t>https://flowzz.com/extract/cannabisextrakt-avextra-2.5-100</t>
  </si>
  <si>
    <t>Vertanical THC 50 (Cannabisextrakt)</t>
  </si>
  <si>
    <t>VERTANICAL</t>
  </si>
  <si>
    <t>Vertanical</t>
  </si>
  <si>
    <t>22,65</t>
  </si>
  <si>
    <t>https://flowzz.com/extract/vertanical-thc</t>
  </si>
  <si>
    <t>Cannamedical Hybrid Cannabisextrakt THC25:CBD25</t>
  </si>
  <si>
    <t>5,91</t>
  </si>
  <si>
    <t>https://flowzz.com/extract/cannamedical-hybrid-cannabisextrakt-thc-25-cbd-25</t>
  </si>
  <si>
    <t>SOMAI Cannabisextrakt Hybrid 50:1</t>
  </si>
  <si>
    <t>5,15</t>
  </si>
  <si>
    <t>https://flowzz.com/extract/somai-cannabisextrakt-hybrid-50-1</t>
  </si>
  <si>
    <t>A+ Kineo Cannabisextrakt 10THC 10CBD</t>
  </si>
  <si>
    <t>KINEO</t>
  </si>
  <si>
    <t>Kineo Medical GmbH</t>
  </si>
  <si>
    <t>https://flowzz.com/extract/a-kineo-cannabisextrakt-10thc-10cbd</t>
  </si>
  <si>
    <t>ADREX 1/25 CBD Extrakt</t>
  </si>
  <si>
    <t>https://flowzz.com/extract/adrex-1-25-cbd-extrakt</t>
  </si>
  <si>
    <t>ADREX 10/10 Extrakt</t>
  </si>
  <si>
    <t>https://flowzz.com/extract/adrex-10-10-extrakt</t>
  </si>
  <si>
    <t>ADREX 25/1 THC Extrakt</t>
  </si>
  <si>
    <t>https://flowzz.com/extract/adrex-25-1-thc-extrakt</t>
  </si>
  <si>
    <t>ADREX 25/25 Extrakt</t>
  </si>
  <si>
    <t>https://flowzz.com/extract/adrex-25-25-cannabisextrakt-aus-adrex</t>
  </si>
  <si>
    <t>Adven 0/50 (Cannabisextrakt)</t>
  </si>
  <si>
    <t>ADVEN</t>
  </si>
  <si>
    <t>Adven</t>
  </si>
  <si>
    <t>https://flowzz.com/extract/adven-0-50</t>
  </si>
  <si>
    <t>Adven 10/0 (Cannabisextrakt)</t>
  </si>
  <si>
    <t>https://flowzz.com/extract/adven-10-0</t>
  </si>
  <si>
    <t>Adven 10/10 (Cannabisextrakt)</t>
  </si>
  <si>
    <t>4,33</t>
  </si>
  <si>
    <t>https://flowzz.com/extract/adven-10-10</t>
  </si>
  <si>
    <t>Adven 10/20 (Cannabisextrakt)</t>
  </si>
  <si>
    <t>https://flowzz.com/extract/adven-10-20</t>
  </si>
  <si>
    <t>Adven 20/0 (Cannabisextrakt)</t>
  </si>
  <si>
    <t>https://flowzz.com/extract/adven-20-0</t>
  </si>
  <si>
    <t>Adven 25/25 Cannabisextrakt EMT-2</t>
  </si>
  <si>
    <t>https://flowzz.com/extract/adven-25-25-cannabisextrakt-emt-2</t>
  </si>
  <si>
    <t>Afina Bedrocan Vollspektrumextrakt 50mg/ml</t>
  </si>
  <si>
    <t>GRUENHORN</t>
  </si>
  <si>
    <t>Grünhorn</t>
  </si>
  <si>
    <t>https://flowzz.com/extract/afina-bedrocan-vollspektrumextrakt-50</t>
  </si>
  <si>
    <t>Afina Tropfen Bedrocan Vollspektrum Extrakt 25mg/ml</t>
  </si>
  <si>
    <t>3,96</t>
  </si>
  <si>
    <t>https://flowzz.com/extract/afina-tropfen-bedrocan-vollspektrum-extrakt-25</t>
  </si>
  <si>
    <t>Alpino X 10/10 (Cannabisextrakt)</t>
  </si>
  <si>
    <t>SWISSALPIN</t>
  </si>
  <si>
    <t>Swiss Alpino Pharma</t>
  </si>
  <si>
    <t>https://flowzz.com/extract/alpino-x-10-10</t>
  </si>
  <si>
    <t>Alpino X 25/1 (Cannabisextrakt)</t>
  </si>
  <si>
    <t>https://flowzz.com/extract/alpino-x-25-1</t>
  </si>
  <si>
    <t>Althea 10/12 Cannabis Extrakt</t>
  </si>
  <si>
    <t>https://flowzz.com/extract/althea-cannabis-extrakt-thc-10-cbd-12</t>
  </si>
  <si>
    <t>Althea 2/25 Cannabis Extrakt</t>
  </si>
  <si>
    <t>https://flowzz.com/extract/althea-cannabis-extrakt-thc-2-cbd-25</t>
  </si>
  <si>
    <t>Althea 20/1 Canabis Extrakt</t>
  </si>
  <si>
    <t>https://flowzz.com/extract/althea-canabis-extrakt-thc-20-cbd-1</t>
  </si>
  <si>
    <t>Althea 5/10 Cannabis Extrakt</t>
  </si>
  <si>
    <t>https://flowzz.com/extract/althea-cannabis-extrakt-thc-5-cbd-10</t>
  </si>
  <si>
    <t>Aphria 10/13 Extrakt Henik / Tremblant</t>
  </si>
  <si>
    <t>https://flowzz.com/extract/aphria-10-13-extrakt-henik-tremblant</t>
  </si>
  <si>
    <t>Apocan 10/10 CAN Extractum Normatum</t>
  </si>
  <si>
    <t>APOCAN</t>
  </si>
  <si>
    <t>Apocan</t>
  </si>
  <si>
    <t>https://flowzz.com/extract/apocan-10-10-can-extractum-normatum</t>
  </si>
  <si>
    <t>Apocan 25/1 CAN Extractum Normatum</t>
  </si>
  <si>
    <t>https://flowzz.com/extract/apocan-25-1-can-extractum-normatum</t>
  </si>
  <si>
    <t>Aurora 12,5 : 12,5 Extract</t>
  </si>
  <si>
    <t>https://flowzz.com/extract/aurora-thc-cbd-extract-1</t>
  </si>
  <si>
    <t>Aurora 50:50 Extract</t>
  </si>
  <si>
    <t>15,99</t>
  </si>
  <si>
    <t>https://flowzz.com/extract/aurora-50-50-extract</t>
  </si>
  <si>
    <t>BREEZY Vape WHW</t>
  </si>
  <si>
    <t>ILLIOS-SAN</t>
  </si>
  <si>
    <t>Ilios Santé</t>
  </si>
  <si>
    <t>https://flowzz.com/extract/breezy-vape-whw</t>
  </si>
  <si>
    <t>Cannabisextrakt ACA 10/10 C</t>
  </si>
  <si>
    <t>ACA-MUELLE</t>
  </si>
  <si>
    <t>ACA Müller Pharma</t>
  </si>
  <si>
    <t>https://flowzz.com/extract/cannabisextrakt-aca-10-10-c</t>
  </si>
  <si>
    <t>Cannabisextrakt ACA 25/1 C</t>
  </si>
  <si>
    <t>https://flowzz.com/extract/cannabisextrakt-aca-25-1-c</t>
  </si>
  <si>
    <t>CannabiStada Extrakt THC 50/CBD 25 CA</t>
  </si>
  <si>
    <t>19,36</t>
  </si>
  <si>
    <t>https://flowzz.com/extract/cannabi-stada-extrakt-thc-50-cbd-25-ca</t>
  </si>
  <si>
    <t>Cannamedical Cannabis Extrakt THC50:CBD50 Crazy Rntz</t>
  </si>
  <si>
    <t>https://flowzz.com/extract/cannamedical-extrakt-thc50cbd50-crazy-rntz</t>
  </si>
  <si>
    <t>Cannamedical Cannabisextrakt CBD25</t>
  </si>
  <si>
    <t>5,89</t>
  </si>
  <si>
    <t>https://flowzz.com/extract/cannamedical-cannabisextrakt-cbd-25</t>
  </si>
  <si>
    <t>Cannamedical Cannabisextrakt THC5:CBD20 Tangie Chem</t>
  </si>
  <si>
    <t>2,69</t>
  </si>
  <si>
    <t>https://flowzz.com/extract/cannamedical-cannabisextrakt-thc-5-cbd-20</t>
  </si>
  <si>
    <t>Cannamedical Cannabisextrakt THC50:CBD50</t>
  </si>
  <si>
    <t>7,29</t>
  </si>
  <si>
    <t>https://flowzz.com/extract/cannamedical-cannabisextrakt-thc50-cbd50</t>
  </si>
  <si>
    <t>Cannamedical THC Extrakt THC30</t>
  </si>
  <si>
    <t>https://flowzz.com/extract/cannamedical-thc-extrakt-thc-30</t>
  </si>
  <si>
    <t>CannaXan Mundspray (THC-fokussierter SmartLipid Wirkstoff) Bedrocan-Extrakt</t>
  </si>
  <si>
    <t>APURANO</t>
  </si>
  <si>
    <t>Apurano</t>
  </si>
  <si>
    <t>CannaXan GmbH - Apurano</t>
  </si>
  <si>
    <t>https://flowzz.com/extract/cannaxan-mundspray-thc-fokussierter-smartlipid-wirkstoff-bedrocan-extrakt</t>
  </si>
  <si>
    <t>Cannovum Extrakt 10/15</t>
  </si>
  <si>
    <t>CANNOVUM</t>
  </si>
  <si>
    <t>Cannovum</t>
  </si>
  <si>
    <t>https://flowzz.com/extract/cannovum-extrakt-10-15</t>
  </si>
  <si>
    <t>Cannovum Extrakt 25</t>
  </si>
  <si>
    <t>9,28</t>
  </si>
  <si>
    <t>https://flowzz.com/extract/cannovum-extrakt-25</t>
  </si>
  <si>
    <t>CanPharma X1:25 (Cannabisextrakt)</t>
  </si>
  <si>
    <t>https://flowzz.com/extract/can-pharma-x1-25</t>
  </si>
  <si>
    <t>CanPharma X10:10 (Cannabisextrakt)</t>
  </si>
  <si>
    <t>https://flowzz.com/extract/can-pharma-x10-10</t>
  </si>
  <si>
    <t>CanPharma X25:1 (Cannabisextrakt)</t>
  </si>
  <si>
    <t>https://flowzz.com/extract/can-pharma-x25-1</t>
  </si>
  <si>
    <t>CanPharma X25:25 (Cannabisextrakt)</t>
  </si>
  <si>
    <t>4,70</t>
  </si>
  <si>
    <t>https://flowzz.com/extract/can-pharma-x25-25</t>
  </si>
  <si>
    <t>Drapalin 25/1 Bafokeng Choice Extrakt</t>
  </si>
  <si>
    <t>https://flowzz.com/extract/drapalin-25-1-bafokeng-choice-extrakt</t>
  </si>
  <si>
    <t>Drapalin 25/1 Cheesotho Extrakt</t>
  </si>
  <si>
    <t>https://flowzz.com/extract/drapalin-25-1-cheesotho-extrakt</t>
  </si>
  <si>
    <t>Dronabinol-Lösung CAN 25 mg/ml</t>
  </si>
  <si>
    <t>6,13</t>
  </si>
  <si>
    <t>https://flowzz.com/extract/dronabinol-can-25-mg-ml</t>
  </si>
  <si>
    <t>EL Jefe Vollspektrumextrakt 50 mg/ml</t>
  </si>
  <si>
    <t>https://flowzz.com/extract/grunhorn-el-jefe-vollspektrumextrakt-50</t>
  </si>
  <si>
    <t>Ethypharm CBD 100 (Cannabisextrakt)</t>
  </si>
  <si>
    <t>ETHYPHARM</t>
  </si>
  <si>
    <t>Ethypharm</t>
  </si>
  <si>
    <t>23,93</t>
  </si>
  <si>
    <t>https://flowzz.com/extract/ethypharm-cbd-100</t>
  </si>
  <si>
    <t>Ethypharm CBD 200 (Cannabisextrakt)</t>
  </si>
  <si>
    <t>5,7</t>
  </si>
  <si>
    <t>93,15</t>
  </si>
  <si>
    <t>https://flowzz.com/extract/ethypharm-cbd-200</t>
  </si>
  <si>
    <t>Ethypharm THC 10: CBD 10 (Cannabisextrakt)</t>
  </si>
  <si>
    <t>https://flowzz.com/extract/ethypharm-10-10</t>
  </si>
  <si>
    <t>Ethypharm THC 50 (Cannabisextrakt)</t>
  </si>
  <si>
    <t>https://flowzz.com/extract/ethypharm-thc-50</t>
  </si>
  <si>
    <t>Eurox 10/10 Orange Hill (Cannabisextrakt)</t>
  </si>
  <si>
    <t>https://flowzz.com/extract/extrakt-eurox-10-10-orange-hill</t>
  </si>
  <si>
    <t>Eurox 25 Orange Hill (Cannabisextrakt)</t>
  </si>
  <si>
    <t>https://flowzz.com/extract/extrakt-eurox-25-orange-hill</t>
  </si>
  <si>
    <t>Farmako 100 (Cannabisextrakt)</t>
  </si>
  <si>
    <t>FARMAKO</t>
  </si>
  <si>
    <t>Farmako</t>
  </si>
  <si>
    <t>Polen</t>
  </si>
  <si>
    <t>https://flowzz.com/extract/farmako-100</t>
  </si>
  <si>
    <t>Farmako 50 (Cannabisextrakt)</t>
  </si>
  <si>
    <t>https://flowzz.com/extract/farmako-50</t>
  </si>
  <si>
    <t>GROW 1:25 CAN (Cannabisextrakt)</t>
  </si>
  <si>
    <t>0</t>
  </si>
  <si>
    <t>https://flowzz.com/extract/grow-1-25-can</t>
  </si>
  <si>
    <t>GROW 25:1 CAN (Cannabisextrakt)</t>
  </si>
  <si>
    <t>https://flowzz.com/extract/grow-25-1-can</t>
  </si>
  <si>
    <t>Grünhorn Cannabisextrakt Hybrid 25:1</t>
  </si>
  <si>
    <t>2,96</t>
  </si>
  <si>
    <t>https://flowzz.com/extract/gruenhorn-cannabisextrakt-hybrid-25-1</t>
  </si>
  <si>
    <t>Grünhorn GG 22/1: Gorilla Glue Vollspektrumextrakt 25mg/ml</t>
  </si>
  <si>
    <t>https://flowzz.com/extract/gruenhorn-gg-22-1-gorilla-glue-vollspektrumextrakt-25</t>
  </si>
  <si>
    <t>Grünhorn GG 22/1: Gorilla Glue Vollspektrumextrakt 50mg/ml</t>
  </si>
  <si>
    <t>https://flowzz.com/extract/gruenhorn-gg-22-1-gorilla-glue-vollspektrumextrakt-50</t>
  </si>
  <si>
    <t>Grünhorn SCK 25/1: Scotti´s Cake Vollspektrumextrakt 25mg/ml</t>
  </si>
  <si>
    <t>indica</t>
  </si>
  <si>
    <t>https://flowzz.com/extract/gruenhorn-sck-27-1-Scottis-cake-vollspektrumextrakt-25</t>
  </si>
  <si>
    <t>Grünhorn SCK 25/1: Scotti´s Cake Vollspektrumextrakt 50mg/ml</t>
  </si>
  <si>
    <t>https://flowzz.com/extract/gruenhorn-sck-27-1-Scottis-cake-vollspektrumextrakt-50</t>
  </si>
  <si>
    <t>HAPA pharm THC10:CBD10</t>
  </si>
  <si>
    <t>HAPA-PHARM</t>
  </si>
  <si>
    <t>HAPA pharm</t>
  </si>
  <si>
    <t>https://flowzz.com/extract/hapa-pharm-thc-10-cbd-10</t>
  </si>
  <si>
    <t>Hempamed RX Extrakt 10:10</t>
  </si>
  <si>
    <t>MEDIPHARML</t>
  </si>
  <si>
    <t>Medipharm Labs</t>
  </si>
  <si>
    <t>https://flowzz.com/extract/hempamed-rx-extrakt-10-10</t>
  </si>
  <si>
    <t>Hempamed RX Extrakt 25</t>
  </si>
  <si>
    <t>https://flowzz.com/extract/hempamed-rx-extrakt-25</t>
  </si>
  <si>
    <t>IMC Cannabisextrakt 25:25</t>
  </si>
  <si>
    <t>https://flowzz.com/extract/imc-extrakt-25-25</t>
  </si>
  <si>
    <t>IUVO Balance THC10:CBD15 Tangie Chem x Eve 207</t>
  </si>
  <si>
    <t>https://flowzz.com/extract/iuvo-balance-thc10-cbd15</t>
  </si>
  <si>
    <t>IUVO THC26 Tangie Chem</t>
  </si>
  <si>
    <t>https://flowzz.com/extract/iuvo-thc26</t>
  </si>
  <si>
    <t>Khiriox 12/14 (Cannabisextrakt)</t>
  </si>
  <si>
    <t>9,02</t>
  </si>
  <si>
    <t>https://flowzz.com/extract/khiriox-12-14</t>
  </si>
  <si>
    <t>Khiriox 25/1 (Cannabisextrakt)</t>
  </si>
  <si>
    <t>7,35</t>
  </si>
  <si>
    <t>https://flowzz.com/extract/khiriox-25-1</t>
  </si>
  <si>
    <t>LGP 10:10 Classic Cannabisextrakt</t>
  </si>
  <si>
    <t>LITTLEGREE</t>
  </si>
  <si>
    <t>Little Green Pharma</t>
  </si>
  <si>
    <t>https://flowzz.com/extract/lgp-10-10-classic-cannabisextrakt</t>
  </si>
  <si>
    <t>LGP 20:5 Classic Cannabisextrakt</t>
  </si>
  <si>
    <t>https://flowzz.com/extract/lgp-20-5-classic-cannabisextrakt</t>
  </si>
  <si>
    <t>Lumir Cannabis Extract Balanced 10:10 Blue Wizard</t>
  </si>
  <si>
    <t>https://flowzz.com/extract/lumir-cannabis-extract-balanced-10-10-blue-wizard</t>
  </si>
  <si>
    <t>Lumir Cannabis Extract THC 25 Blue Wizard</t>
  </si>
  <si>
    <t>https://flowzz.com/extract/lumir-cannabis-extract-thc-25-blue-wizard</t>
  </si>
  <si>
    <t>Medican Heri 25:1 (Cannabisextrakt)</t>
  </si>
  <si>
    <t>MEDICANN</t>
  </si>
  <si>
    <t>MediCann</t>
  </si>
  <si>
    <t>https://flowzz.com/extract/medican-heri-25-1</t>
  </si>
  <si>
    <t>NAXIVA-PANAXOL CBD 25 Cannabis-Extrakt</t>
  </si>
  <si>
    <t>https://flowzz.com/extract/naxiva-panaxol-cbd-25-cannabis-extrakt</t>
  </si>
  <si>
    <t>NAXIVA-PANAXOL CBD 250 Cannabis-Extrakt</t>
  </si>
  <si>
    <t>69,95</t>
  </si>
  <si>
    <t>https://flowzz.com/extract/naxiva-panaxol-cbd-250-cannabis-extrakt</t>
  </si>
  <si>
    <t>NAXIVA-PANAXOL ONKO THC 100/CBD 20</t>
  </si>
  <si>
    <t>https://flowzz.com/extract/naxiva-panaxol-thc-100-cbd-20-cannabis-extrakt</t>
  </si>
  <si>
    <t>NAXIVA-PANAXOL ONKO THC 50 / CBD 10  (Cannabisextrakt)</t>
  </si>
  <si>
    <t>https://flowzz.com/extract/naxiva-panaxol-onko-thc-50-cbd-10</t>
  </si>
  <si>
    <t>NAXIVA-PANAXOL THC 10/CBD 10 Cannabis-Extrakt</t>
  </si>
  <si>
    <t>3,18</t>
  </si>
  <si>
    <t>https://flowzz.com/extract/naxiva-panaxol-thc-10-cbd-10-cannabis-extrakt</t>
  </si>
  <si>
    <t>NAXIVA-PANAXOL THC 25 Cannabis-Extrakt</t>
  </si>
  <si>
    <t>https://flowzz.com/extract/naxiva-panaxol-thc-25-cannabis-extrakt</t>
  </si>
  <si>
    <t>NAXIVA-PANAXOL THC 250 Cannabis-Extrakt</t>
  </si>
  <si>
    <t>250</t>
  </si>
  <si>
    <t>https://flowzz.com/extract/naxiva-panaxol-thc-250-cannabis-extrakt</t>
  </si>
  <si>
    <t>NAXIVA-PANAXOL THC 50 Cannabis-Extrakt</t>
  </si>
  <si>
    <t>22,69</t>
  </si>
  <si>
    <t>https://flowzz.com/extract/naxiva-panaxol-thc-50-cannabis-extrakt</t>
  </si>
  <si>
    <t>NIMBUS VITA BALANCE 10:10</t>
  </si>
  <si>
    <t>2,01</t>
  </si>
  <si>
    <t>https://flowzz.com/extract/nimbus-vita-balance-10-10</t>
  </si>
  <si>
    <t>NIMBUS VITA BALANCE 50:50</t>
  </si>
  <si>
    <t>10,30</t>
  </si>
  <si>
    <t>https://flowzz.com/extract/nimbus-vita-balance-50-50</t>
  </si>
  <si>
    <t>Nimbus Vita Pura 10:1</t>
  </si>
  <si>
    <t>1,34</t>
  </si>
  <si>
    <t>https://flowzz.com/extract/nimbus-vita-pura-10-1</t>
  </si>
  <si>
    <t>Nimbus Vita Pura 50:1</t>
  </si>
  <si>
    <t>https://flowzz.com/extract/nimbus-vita-pura-50-1</t>
  </si>
  <si>
    <t>Pedanios 5/5 (Cannabisextrakt)</t>
  </si>
  <si>
    <t>https://flowzz.com/extract/pedanios-5-5</t>
  </si>
  <si>
    <t>RE:CANNIS 1,5/30  (Cannabisextrakt)</t>
  </si>
  <si>
    <t>99,95</t>
  </si>
  <si>
    <t>https://flowzz.com/extract/re-cannis-1-5-30</t>
  </si>
  <si>
    <t>RE:CANNIS 10/1 (Cannabisextrakt)</t>
  </si>
  <si>
    <t>https://flowzz.com/extract/re-cannis-10-1</t>
  </si>
  <si>
    <t>RE:CANNIS 3/1 (Cannabisextrakt)</t>
  </si>
  <si>
    <t>https://flowzz.com/extract/re-cannis-3-1</t>
  </si>
  <si>
    <t>RE:CANNIS 3/9 (Cannabisextrakt)</t>
  </si>
  <si>
    <t>3,99</t>
  </si>
  <si>
    <t>https://flowzz.com/extract/re-cannis-3-9</t>
  </si>
  <si>
    <t>Remextrakt 10/10 Nr.1</t>
  </si>
  <si>
    <t>https://flowzz.com/extract/remextrakt-10-10-nr-1</t>
  </si>
  <si>
    <t>Remextrakt 10/15</t>
  </si>
  <si>
    <t>https://flowzz.com/extract/remextrakt-10-15</t>
  </si>
  <si>
    <t>Remextrakt 26/1</t>
  </si>
  <si>
    <t>https://flowzz.com/extract/remextrakt-26-1</t>
  </si>
  <si>
    <t>Sibanax Extrakt 25/25</t>
  </si>
  <si>
    <t>HEYDAY</t>
  </si>
  <si>
    <t>Heyda</t>
  </si>
  <si>
    <t>Heyday</t>
  </si>
  <si>
    <t>https://flowzz.com/extract/sibanax-extrakt-25-25</t>
  </si>
  <si>
    <t>Somai Canify Cannabisextrakt 5/20</t>
  </si>
  <si>
    <t>https://flowzz.com/extract/somai-canify-cannabisextrakt-5-20</t>
  </si>
  <si>
    <t>SOMAI Cannabisextrakt Hybrid 10:10</t>
  </si>
  <si>
    <t>2,80</t>
  </si>
  <si>
    <t>https://flowzz.com/extract/somai-cannabisextrakt-hybrid-10-10</t>
  </si>
  <si>
    <t>SOMAI Cannabisextrakt Hybrid 25:1</t>
  </si>
  <si>
    <t>2,84</t>
  </si>
  <si>
    <t>https://flowzz.com/extract/somai-cannabisextrakt-hybrid-25-1</t>
  </si>
  <si>
    <t>SOMAI Cannabisextrakt Hybrid 25:25</t>
  </si>
  <si>
    <t>2,97</t>
  </si>
  <si>
    <t>https://flowzz.com/extract/somai-cannabisextrakt-hybrid-25-25</t>
  </si>
  <si>
    <t>Somai Cannabisextrakt Mint 50/1</t>
  </si>
  <si>
    <t>https://flowzz.com/extract/somai-mint-50-1</t>
  </si>
  <si>
    <t>Stenocare AD 10-10 Cannabisextrakt</t>
  </si>
  <si>
    <t>Stenocare</t>
  </si>
  <si>
    <t>https://flowzz.com/extract/stenocare-ad-10-10-cannabisextrakt</t>
  </si>
  <si>
    <t>Tilray THC5:CBD20 (Cannabisextrakt)</t>
  </si>
  <si>
    <t>https://flowzz.com/extract/tilray-thc-5-cbd-20</t>
  </si>
  <si>
    <t>Tilray THC50:CBD50 (Cannabisextrakt)</t>
  </si>
  <si>
    <t>16,39</t>
  </si>
  <si>
    <t>https://flowzz.com/extract/tilray-cannabisextrakt-thc-50-cbd-50</t>
  </si>
  <si>
    <t>Vayamed 10/50 Cannabisextrakt</t>
  </si>
  <si>
    <t>14,22</t>
  </si>
  <si>
    <t>https://flowzz.com/extract/10-50-vayamed-cannabisextrakt</t>
  </si>
  <si>
    <t>Vayamed 20/1 Cannabisextrakt</t>
  </si>
  <si>
    <t>https://flowzz.com/extract/20-1-vayamed-cannabisextrakt</t>
  </si>
  <si>
    <t>Vayamed 25/25 Cannabisextrakt</t>
  </si>
  <si>
    <t>https://flowzz.com/extract/25-25-vayamed-cannabisextrakt</t>
  </si>
  <si>
    <t>Vayamed 50/1 Cannabisextrakt</t>
  </si>
  <si>
    <t>16,66</t>
  </si>
  <si>
    <t>https://flowzz.com/extract/50-1-vayamed-cannabisextrakt</t>
  </si>
  <si>
    <t>Vertanical CBD 50 (Cannabisextrakt)</t>
  </si>
  <si>
    <t>https://flowzz.com/extract/vertanical-cbd-50</t>
  </si>
  <si>
    <t>Vertanical THC/CBD (Cannabisextrakt)</t>
  </si>
  <si>
    <t>15,47</t>
  </si>
  <si>
    <t>https://flowzz.com/extract/vertanical-thc-cbd</t>
  </si>
  <si>
    <t>WEECO 25/1 Cannabisextrakt WW</t>
  </si>
  <si>
    <t>https://flowzz.com/extract/weeco-25-1-cannabis-extrakt-ww</t>
  </si>
  <si>
    <t>WVB BioCBD 10% Cannabidiol-Isolat Öl Tropfen</t>
  </si>
  <si>
    <t>SOLIDMIND</t>
  </si>
  <si>
    <t>Solidmind Group GmbH</t>
  </si>
  <si>
    <t>https://flowzz.com/extract/wvb-biocbd-10-cannabidiol-isolat-oel-tropfen</t>
  </si>
  <si>
    <t>WVB BioCBD 15% Cannabidiol-Isolat Öl Tropfen</t>
  </si>
  <si>
    <t>https://flowzz.com/extract/wvb-biocbd-15-cannabidiol-isolat-oel-tropfen</t>
  </si>
  <si>
    <t>WVB BioCBD 20% Cannabidiol-Isolat Öl Tropfen</t>
  </si>
  <si>
    <t>https://flowzz.com/extract/wvb-biocbd-20-cannabidiol-isolat-oel-tropfen</t>
  </si>
  <si>
    <t>WVB BioCBD 5% Cannabidiol-Isolat Öl Tropfen</t>
  </si>
  <si>
    <t>https://flowzz.com/extract/wvb-biocbd-5-cannabidiol-isolat-oel-tropfen</t>
  </si>
  <si>
    <t>Yuvigo 10/10 (Cannabisextrakt)</t>
  </si>
  <si>
    <t>https://flowzz.com/extract/yuvigo-10-10</t>
  </si>
  <si>
    <t>Yuvigo 20/0 (Cannabisextrakt)</t>
  </si>
  <si>
    <t>https://flowzz.com/extract/yuvigo-20-0</t>
  </si>
  <si>
    <t>101-C Extrakt 50:0</t>
  </si>
  <si>
    <t>https://flowzz.com/extract/101-c-extrakt-50-0</t>
  </si>
  <si>
    <t>101-C Extrakt 8:40</t>
  </si>
  <si>
    <t>https://flowzz.com/extract/101-c-extrakt-8-40</t>
  </si>
  <si>
    <t>Somai Cannabisextrakt Mint 25/1</t>
  </si>
  <si>
    <t>https://flowzz.com/extract/somai-mint-25-1</t>
  </si>
  <si>
    <t>101-C Blüten Sativa LSAGE 22/1</t>
  </si>
  <si>
    <t>https://flowzz.com/product/101-c-bluten-sativa-lsage-22-1-la-sage</t>
  </si>
  <si>
    <t>31/1 Amici WC</t>
  </si>
  <si>
    <t>https://flowzz.com/product/31-1-amici-wc-wedding-cake</t>
  </si>
  <si>
    <t>420 Evolution 20/1 CA MAC</t>
  </si>
  <si>
    <t>https://flowzz.com/product/420-evolution-20-1-ca-mac-mac-1</t>
  </si>
  <si>
    <t>Cannamedical Sativa Forte NM</t>
  </si>
  <si>
    <t>https://flowzz.com/product/cannamedical-sativa-forte-nm-candyland</t>
  </si>
  <si>
    <t>420 Evolution 25/1 CA BUL</t>
  </si>
  <si>
    <t>https://flowzz.com/product/420-evolution-25-1-ca-bul-bucket-list</t>
  </si>
  <si>
    <t>420 Evolution 25/1 CA STR</t>
  </si>
  <si>
    <t>https://flowzz.com/product/420-evolution-25-1-ca-str-star-struck</t>
  </si>
  <si>
    <t>420 Evolution 25/1 CA WES</t>
  </si>
  <si>
    <t>11,20</t>
  </si>
  <si>
    <t>https://flowzz.com/product/420-evolution-25-1-ca-wes-wedding-singer</t>
  </si>
  <si>
    <t>420 Evolution 27/1 CA GMO</t>
  </si>
  <si>
    <t>https://flowzz.com/product/420-evolution-27-1-ca-gmo-cookies</t>
  </si>
  <si>
    <t>420 Evolution 30/1 CA STR</t>
  </si>
  <si>
    <t>https://flowzz.com/product/420-evolution-30-1-ca-str-star-struck</t>
  </si>
  <si>
    <t>420 Evolution 33/1 CA ICC</t>
  </si>
  <si>
    <t>https://flowzz.com/product/420-evolution-33-1-ca-icc-ice-cream-cake-kush-mints</t>
  </si>
  <si>
    <t>420 Natural 18/1 CA GG4</t>
  </si>
  <si>
    <t>https://flowzz.com/product/420-natural-18-1-ca-gg-4-gorilla-glue-4</t>
  </si>
  <si>
    <t>420 Natural 18/1 CA SK</t>
  </si>
  <si>
    <t>https://flowzz.com/product/420-natural-18-1-ca-sk-sour-kush</t>
  </si>
  <si>
    <t>420 Natural 20/1 CA ZRP</t>
  </si>
  <si>
    <t>https://flowzz.com/product/420-natural-20-1-ca-zrp-zour-apple</t>
  </si>
  <si>
    <t>420 Natural 22/1 CA DBB</t>
  </si>
  <si>
    <t>https://flowzz.com/product/420-evolution-22-1-ca-dbb-dj-blueberry</t>
  </si>
  <si>
    <t>420 Natural 22/1 CA SRK</t>
  </si>
  <si>
    <t>https://flowzz.com/product/420-natural-22-1-ca-srk-sour-kush</t>
  </si>
  <si>
    <t>420 Natural 22/1 CA ZRP</t>
  </si>
  <si>
    <t>https://flowzz.com/product/420-natural-22-1-ca-zrp-zour-apple</t>
  </si>
  <si>
    <t>420 Natural 25/1 CA GG4</t>
  </si>
  <si>
    <t>https://flowzz.com/product/420-natural-25-1-ca-gg-4-gorilla-glue-4</t>
  </si>
  <si>
    <t>420 Natural 25/1 CA SRK</t>
  </si>
  <si>
    <t>https://flowzz.com/product/420-natural-25-1-ca-srk-sour-kush</t>
  </si>
  <si>
    <t>420 Sungrown 25/1 CA JEL</t>
  </si>
  <si>
    <t>https://flowzz.com/product/420-sungrown-25-1-ca-jel</t>
  </si>
  <si>
    <t>ACA 18/1 C</t>
  </si>
  <si>
    <t>https://flowzz.com/product/aca-18-1-c-white-widow</t>
  </si>
  <si>
    <t>ACA 22/1 C</t>
  </si>
  <si>
    <t>7,26</t>
  </si>
  <si>
    <t>https://flowzz.com/product/aca-22-1-c-frosted-lemon-angel</t>
  </si>
  <si>
    <t>ACA 24/1 C</t>
  </si>
  <si>
    <t>https://flowzz.com/product/aca-24-1-c-frosted-lemon-angel</t>
  </si>
  <si>
    <t>ADREX 15/1 day COL</t>
  </si>
  <si>
    <t>Gelato 45</t>
  </si>
  <si>
    <t>https://flowzz.com/product/adrex-15-1-day-col-gelato-45</t>
  </si>
  <si>
    <t>ADREX 17/1 CAN SB</t>
  </si>
  <si>
    <t>Shiskaberry</t>
  </si>
  <si>
    <t>https://flowzz.com/product/adrex-17-1-can-shishkaberry</t>
  </si>
  <si>
    <t>ADREX 18/1 CAN</t>
  </si>
  <si>
    <t>https://flowzz.com/product/adrex-18-1-can-delahaze</t>
  </si>
  <si>
    <t>ADREX 19/1 CAN</t>
  </si>
  <si>
    <t>https://flowzz.com/product/adrex-19-1-can-gorilla-glue-4</t>
  </si>
  <si>
    <t>ADREX 20/1 CAN</t>
  </si>
  <si>
    <t>https://flowzz.com/product/adrex-20-1-can-delahaze</t>
  </si>
  <si>
    <t>Adrex 20/1 KBN COL</t>
  </si>
  <si>
    <t>Kali Banana</t>
  </si>
  <si>
    <t>https://flowzz.com/product/adrex-20-kbn-col</t>
  </si>
  <si>
    <t>ADREX 21/1 CAN</t>
  </si>
  <si>
    <t>https://flowzz.com/product/adrex-21-1-can-gorilla-glue-4</t>
  </si>
  <si>
    <t>ADREX 22 GZ COL</t>
  </si>
  <si>
    <t>Gelato Zkittles</t>
  </si>
  <si>
    <t>https://flowzz.com/product/adrex-22-gz-col-gelato-zkittles</t>
  </si>
  <si>
    <t>ADREX 22/1 CAN</t>
  </si>
  <si>
    <t>https://flowzz.com/product/adrex-22-1-can-gorilla-glue-4</t>
  </si>
  <si>
    <t>ADREX 24/1 AK COL</t>
  </si>
  <si>
    <t>Arequipe Kush</t>
  </si>
  <si>
    <t>Phantomschmerzen</t>
  </si>
  <si>
    <t>https://flowzz.com/product/adrex-24-1-ak-col-arequipe-kush</t>
  </si>
  <si>
    <t>ADREX 24/1 CAN</t>
  </si>
  <si>
    <t>https://flowzz.com/product/adrex-24-1-can-gorilla-glue-4</t>
  </si>
  <si>
    <t>Vanilla Cake</t>
  </si>
  <si>
    <t>https://flowzz.com/product/cannabis-adrex-24-1-vc-can-vanilla-cake</t>
  </si>
  <si>
    <t>ADREX 24/1 SK CAN</t>
  </si>
  <si>
    <t>https://flowzz.com/product/adrex-24-1-can-sour-kush</t>
  </si>
  <si>
    <t>ADREX 25/1 CAN</t>
  </si>
  <si>
    <t>https://flowzz.com/product/cannabis-adrex-25-1-8bk-can-8-ball-kush</t>
  </si>
  <si>
    <t>ADREX 25/1 WM COL</t>
  </si>
  <si>
    <t>https://flowzz.com/product/adrex-25-1-wm-col-octagon-kush</t>
  </si>
  <si>
    <t>ADREX 26/1 SK CAN</t>
  </si>
  <si>
    <t>https://flowzz.com/product/adrex-26-1-sk-can-sour-kush</t>
  </si>
  <si>
    <t>ADREX 29/1 SCP CAN</t>
  </si>
  <si>
    <t>https://flowzz.com/product/adrex-29-1-scp-can-space-cake</t>
  </si>
  <si>
    <t>ADREX 30/1 AK COL</t>
  </si>
  <si>
    <t>https://flowzz.com/product/adrex-30-1-ak-col-arequipe-kush</t>
  </si>
  <si>
    <t>ADREX 30/1 CAN</t>
  </si>
  <si>
    <t>https://flowzz.com/product/cannabis-adrex-30-1-8bk-can-8-ball-kush</t>
  </si>
  <si>
    <t>ADREX Mother 26 GF CAN</t>
  </si>
  <si>
    <t>https://flowzz.com/product/cannabis-adrex-mother-26-gf-can-garlic-funk</t>
  </si>
  <si>
    <t>ADREX Mother 28 GF CAN</t>
  </si>
  <si>
    <t>https://flowzz.com/product/cannabis-adrex-mother-28-gf-can-garlic-funk</t>
  </si>
  <si>
    <t>aleph air 22/1</t>
  </si>
  <si>
    <t>https://flowzz.com/product/alephsana-air-22-1-sour-tangie</t>
  </si>
  <si>
    <t>aleph citrin 25/1</t>
  </si>
  <si>
    <t>https://flowzz.com/product/alephsana-aleph-citrin-25-1</t>
  </si>
  <si>
    <t>Alpinolin 20/1</t>
  </si>
  <si>
    <t>https://flowzz.com/product/alpinolin-20-1-french-cookies</t>
  </si>
  <si>
    <t>Alpinolin 22/1</t>
  </si>
  <si>
    <t>https://flowzz.com/product/alpinolin-22-1-strawberry-glue</t>
  </si>
  <si>
    <t>Althea THC24</t>
  </si>
  <si>
    <t>https://flowzz.com/product/althea-thc24</t>
  </si>
  <si>
    <t>Aphria medium 7</t>
  </si>
  <si>
    <t>https://flowzz.com/product/aphria-medium-7-white-widow</t>
  </si>
  <si>
    <t>Aphria strong 8</t>
  </si>
  <si>
    <t>Alien Dawg</t>
  </si>
  <si>
    <t>https://flowzz.com/product/aphria-strong-8-alien-dawg</t>
  </si>
  <si>
    <t>Aphria strong 9</t>
  </si>
  <si>
    <t>https://flowzz.com/product/aphria-strong-9-bienville-jean-guy</t>
  </si>
  <si>
    <t>Apocan Natural GG 20/1</t>
  </si>
  <si>
    <t>https://flowzz.com/product/apocan-natural-gg-20-1-gorilla-glue-4</t>
  </si>
  <si>
    <t>Apocan Natural GG 22/1</t>
  </si>
  <si>
    <t>https://flowzz.com/product/apocan-natural-gg-22-1-gorilla-glue-4</t>
  </si>
  <si>
    <t>Aurora 1/16 VSP CA</t>
  </si>
  <si>
    <t>Vespera</t>
  </si>
  <si>
    <t>https://flowzz.com/product/aurora-1-16-vsp-ca-vespera</t>
  </si>
  <si>
    <t>avaay 18/1 BBH</t>
  </si>
  <si>
    <t>https://flowzz.com/product/avaay-18-1-blueberry-haze-blueberry-haze</t>
  </si>
  <si>
    <t>avaay 19/1</t>
  </si>
  <si>
    <t>https://flowzz.com/product/avaay-19-1-gorilla-glue</t>
  </si>
  <si>
    <t>avaay 20/1 BBH</t>
  </si>
  <si>
    <t>https://flowzz.com/product/avaay-20-1-blueberry-haze-blueberry-haze</t>
  </si>
  <si>
    <t>avaay 20/1 RG</t>
  </si>
  <si>
    <t>https://flowzz.com/product/avaay-20-1-rg-royal-gorilla</t>
  </si>
  <si>
    <t>avaay 20/1 ZKT</t>
  </si>
  <si>
    <t>Zkittlez</t>
  </si>
  <si>
    <t>https://flowzz.com/product/avaay-20-1-zkt-zkittlez</t>
  </si>
  <si>
    <t>avaay 21/1</t>
  </si>
  <si>
    <t>https://flowzz.com/product/avaay-21-1-gorilla-glue-4</t>
  </si>
  <si>
    <t>avaay 23/1 CRE</t>
  </si>
  <si>
    <t>Creamy Kee's No.5</t>
  </si>
  <si>
    <t>https://flowzz.com/product/avaay-23-1-cre-creamy-kee-s-no-5</t>
  </si>
  <si>
    <t>avaay 23/1 PYC</t>
  </si>
  <si>
    <t>https://flowzz.com/product/avaay-23-1-pyc-peyote-critical-peyote-critical</t>
  </si>
  <si>
    <t>avaay 24/1 SK</t>
  </si>
  <si>
    <t>https://flowzz.com/product/avaay-24-1-sour-kush-sour-kush</t>
  </si>
  <si>
    <t>avaay 29/1 SCG</t>
  </si>
  <si>
    <t>https://flowzz.com/product/avaay-29-1-scg-super-citra-g</t>
  </si>
  <si>
    <t>avaay 3/1 THCV12</t>
  </si>
  <si>
    <t>https://flowzz.com/product/avaay-3-1-thcv12</t>
  </si>
  <si>
    <t>avaay 7/1 THCV12</t>
  </si>
  <si>
    <t>https://flowzz.com/product/avaay-7-1-thcv12</t>
  </si>
  <si>
    <t>avaay Signature 23/1 CR</t>
  </si>
  <si>
    <t>https://flowzz.com/product/avaay-signature-23-1-cr-crescendo</t>
  </si>
  <si>
    <t>avaay Signature 26/1 GPM</t>
  </si>
  <si>
    <t>https://flowzz.com/product/avaay-signature-26-1-gpm-gun-powder-milkshake</t>
  </si>
  <si>
    <t>avaay Signature 29/1 CBX</t>
  </si>
  <si>
    <t>https://flowzz.com/product/avaay-signature-29-1-cbx-chatterbox</t>
  </si>
  <si>
    <t>avaay Simple 21/1 CHM</t>
  </si>
  <si>
    <t>https://flowzz.com/product/avaay-simple-21-1-chem-og-chm</t>
  </si>
  <si>
    <t>avaay Simple 23/1 LSB</t>
  </si>
  <si>
    <t>https://flowzz.com/product/avaay-simple-23-1-lsb-lemon-sherbet</t>
  </si>
  <si>
    <t>Bathera 25/1 GF</t>
  </si>
  <si>
    <t>https://flowzz.com/product/bathera-25-1-gf-garlic-funk</t>
  </si>
  <si>
    <t>Bavaria Weed PT DAB 18/1</t>
  </si>
  <si>
    <t>BAVA-WEED</t>
  </si>
  <si>
    <t>Bavaria Weed</t>
  </si>
  <si>
    <t>https://flowzz.com/product/bavaria-weed-pt-dab-18-1-sirius</t>
  </si>
  <si>
    <t>https://flowzz.com/product/bavaria-weed-pt-dab-18-1-mango</t>
  </si>
  <si>
    <t>Bavaria Weed PT DAB 22/1</t>
  </si>
  <si>
    <t>https://flowzz.com/product/bavaria-weed-pt-dab-22-1-sirius</t>
  </si>
  <si>
    <t>BC Green  27/1 HGH</t>
  </si>
  <si>
    <t>BC-GREEN</t>
  </si>
  <si>
    <t>BC Green</t>
  </si>
  <si>
    <t>HGH</t>
  </si>
  <si>
    <t>https://flowzz.com/product/bc-green-hgh-27-1-hgh</t>
  </si>
  <si>
    <t>BC Green 33/1</t>
  </si>
  <si>
    <t>https://flowzz.com/product/bc-33-1-tiger-cake</t>
  </si>
  <si>
    <t>BC Green SCK 25/1</t>
  </si>
  <si>
    <t>Scotti´s Cake</t>
  </si>
  <si>
    <t>https://flowzz.com/product/bc-green-sck-25-1</t>
  </si>
  <si>
    <t>Beacon 30/1 GC</t>
  </si>
  <si>
    <t>9,88</t>
  </si>
  <si>
    <t>https://flowzz.com/product/beacon-30-1-gc-garlic-cookies</t>
  </si>
  <si>
    <t>Beacon BT T18</t>
  </si>
  <si>
    <t>https://flowzz.com/product/beacon-bt-t18-black-triangle</t>
  </si>
  <si>
    <t>Beacon I-Hybrid THC16</t>
  </si>
  <si>
    <t>https://flowzz.com/product/beacon-i-hybrid-thc16-wappa</t>
  </si>
  <si>
    <t>Beacon I-Hybrid THC18</t>
  </si>
  <si>
    <t>https://flowzz.com/product/beacon-i-hybrid-thc-18-wappa</t>
  </si>
  <si>
    <t>Beacon I-Hybrid THC22</t>
  </si>
  <si>
    <t>https://flowzz.com/product/beacon-i-hybrid-thc22-wappa</t>
  </si>
  <si>
    <t>Beacon Indica THC18</t>
  </si>
  <si>
    <t>https://flowzz.com/product/beacon-indica-thc-18-sensi-star</t>
  </si>
  <si>
    <t>Bedica</t>
  </si>
  <si>
    <t>Talea</t>
  </si>
  <si>
    <t>13,95</t>
  </si>
  <si>
    <t>https://flowzz.com/product/bedica-talea</t>
  </si>
  <si>
    <t>Bedrobinol</t>
  </si>
  <si>
    <t>Ludina</t>
  </si>
  <si>
    <t>4,87</t>
  </si>
  <si>
    <t>https://flowzz.com/product/bedrobinol-ludina</t>
  </si>
  <si>
    <t>Bedrolite</t>
  </si>
  <si>
    <t>Rensina</t>
  </si>
  <si>
    <t>Trans-β-Farnesen</t>
  </si>
  <si>
    <t>Epilepsie</t>
  </si>
  <si>
    <t>17,00</t>
  </si>
  <si>
    <t>https://flowzz.com/product/bedrolite-rensina</t>
  </si>
  <si>
    <t>BG Gog</t>
  </si>
  <si>
    <t>Glueberry OG</t>
  </si>
  <si>
    <t>hybrid</t>
  </si>
  <si>
    <t>https://flowzz.com/product/cantourage-bg-gog-glueberry-og</t>
  </si>
  <si>
    <t>BG MI</t>
  </si>
  <si>
    <t>https://flowzz.com/product/bg-mi-god-bud</t>
  </si>
  <si>
    <t>Big Dreams 20/1 HCC DBU</t>
  </si>
  <si>
    <t>Donkey Butter</t>
  </si>
  <si>
    <t>https://flowzz.com/product/big-dreams-20-1-hcc-dbu-donkey-butter</t>
  </si>
  <si>
    <t>Big Dreams 21/1 Mini PSF - T20</t>
  </si>
  <si>
    <t>T20</t>
  </si>
  <si>
    <t>https://flowzz.com/product/big-dreams-21-1-psf-t20</t>
  </si>
  <si>
    <t>Big Dreams 21/1 Mini PSF BCF</t>
  </si>
  <si>
    <t>Berry Cream Puff</t>
  </si>
  <si>
    <t>https://flowzz.com/product/big-dreams-21-1-psf-bcf-berry-cream-puff</t>
  </si>
  <si>
    <t>Big Dreams 21/1 Mini PSF PK</t>
  </si>
  <si>
    <t>https://flowzz.com/product/big-dreams-21-1-mini-psf-pk-pink-kush</t>
  </si>
  <si>
    <t>Big Dreams 24/1 PSF BAA</t>
  </si>
  <si>
    <t>Baked Animal</t>
  </si>
  <si>
    <t>https://flowzz.com/product/big-dreams-24-1-psf-baa-baked-animal</t>
  </si>
  <si>
    <t>Blackbird Plain Indica</t>
  </si>
  <si>
    <t>Kerosene Krash</t>
  </si>
  <si>
    <t>https://flowzz.com/product/blackbird-plain-indica-kerosene-krash</t>
  </si>
  <si>
    <t>Blackbird Plain Sativa</t>
  </si>
  <si>
    <t>https://flowzz.com/product/blackbird-plain-sativa-euforia</t>
  </si>
  <si>
    <t>Blackbird Strong Indica</t>
  </si>
  <si>
    <t>https://flowzz.com/product/blackbird-strong-indica-kerosene-krash</t>
  </si>
  <si>
    <t>BLKMKT CM THC22 BLK MLK</t>
  </si>
  <si>
    <t>Cereal Milk</t>
  </si>
  <si>
    <t>https://flowzz.com/product/blkmkt-cm-thc-22-cereal-milk</t>
  </si>
  <si>
    <t>BLKMKT RBP THC27</t>
  </si>
  <si>
    <t>https://flowzz.com/product/blkmkt-rbp-thc-27-rainbow-pie</t>
  </si>
  <si>
    <t>BOTANICS Golden Ace 22/1</t>
  </si>
  <si>
    <t>https://flowzz.com/product/botanics-golden-ace-22-1-orange-panties</t>
  </si>
  <si>
    <t>BOTANICS Purple Cream 20/1</t>
  </si>
  <si>
    <t>https://flowzz.com/product/botanics-purple-cream-20-1-purple-ice-water</t>
  </si>
  <si>
    <t>Breezy Malaga Green 25/1 N</t>
  </si>
  <si>
    <t>Lemon Skunk</t>
  </si>
  <si>
    <t>https://flowzz.com/product/breezy-malaga-green-25-1-n-lemon-skunk</t>
  </si>
  <si>
    <t>Breezy Organics GGL 20/1</t>
  </si>
  <si>
    <t>Green Gelato</t>
  </si>
  <si>
    <t>https://flowzz.com/product/breezy-organics-ggl-20-1</t>
  </si>
  <si>
    <t>Breezy Organics GGL 22/1</t>
  </si>
  <si>
    <t>https://flowzz.com/product/breezy-organics-ggl-22-1</t>
  </si>
  <si>
    <t>C&amp;C 23/1</t>
  </si>
  <si>
    <t>7,27</t>
  </si>
  <si>
    <t>https://flowzz.com/product/cc-23-1-frosted-lemon-angel</t>
  </si>
  <si>
    <t>Canify 23/1</t>
  </si>
  <si>
    <t>https://flowzz.com/product/canify-23-1-frosted-lemon-angel</t>
  </si>
  <si>
    <t>Canify 25/1</t>
  </si>
  <si>
    <t>https://flowzz.com/product/canify-25-1-frosted-lemon-angel</t>
  </si>
  <si>
    <t>Canify Cannabis flos 1/14 LS Ku</t>
  </si>
  <si>
    <t>https://flowzz.com/product/canify-cannabis-flos-1-14-ls-ku</t>
  </si>
  <si>
    <t>Canify Cannabis flos 20/1 CO Ku.</t>
  </si>
  <si>
    <t>MAC</t>
  </si>
  <si>
    <t>https://flowzz.com/product/canify-flos-20-1-co-mac</t>
  </si>
  <si>
    <t>https://flowzz.com/product/canify-flos-20-1-gg-gorilla-glue-4</t>
  </si>
  <si>
    <t>https://flowzz.com/product/cannabis-flos-22-1-pt-headband</t>
  </si>
  <si>
    <t>Canify Cannabis flos 22/1 PT Ku. ISS</t>
  </si>
  <si>
    <t>https://flowzz.com/product/cannabis-flos-22-1-pt-island-sweet-skunk</t>
  </si>
  <si>
    <t>https://flowzz.com/product/canify-cannabis-flos-22-1-uy-ku-big-buddha</t>
  </si>
  <si>
    <t>Canify Cannabis flos 24/1 LS Ku.</t>
  </si>
  <si>
    <t>Khanya Select</t>
  </si>
  <si>
    <t>https://flowzz.com/product/canify-cannabis-flos-24-1-ls-ku-khanya-select</t>
  </si>
  <si>
    <t>https://flowzz.com/product/canify-cannabis-flos-7-8-blue-dream</t>
  </si>
  <si>
    <t>White Lemon X Marakabei Local</t>
  </si>
  <si>
    <t>Cannabis FG 18.01 Flos</t>
  </si>
  <si>
    <t>FELDERGREE</t>
  </si>
  <si>
    <t>Felder Green</t>
  </si>
  <si>
    <t>https://flowzz.com/product/fg-18-1-white-widow</t>
  </si>
  <si>
    <t>Cannabis Flos All Nations SH-001</t>
  </si>
  <si>
    <t>8,21</t>
  </si>
  <si>
    <t>https://flowzz.com/product/all-nations-sh-001-stolo-haze</t>
  </si>
  <si>
    <t>CannabiStada 14/1</t>
  </si>
  <si>
    <t>https://flowzz.com/product/cannabi-stada-14-1-white-widow</t>
  </si>
  <si>
    <t>CannabiStada 17/1 - Shiskaberry</t>
  </si>
  <si>
    <t>https://flowzz.com/product/cannabi-stada-17-1-shiskaberry</t>
  </si>
  <si>
    <t>CannabiStada 18/1 - Delahaze</t>
  </si>
  <si>
    <t>https://flowzz.com/product/cannabi-stada-18-1-delahaze</t>
  </si>
  <si>
    <t>CannabiStada 19/1</t>
  </si>
  <si>
    <t>https://flowzz.com/product/cannabi-stada-19-1-gorilla-glue</t>
  </si>
  <si>
    <t>CannabiStada 20/1 - Delahaze</t>
  </si>
  <si>
    <t>https://flowzz.com/product/cannabi-stada-20-1-delahaze</t>
  </si>
  <si>
    <t>CannabiStada 22/1</t>
  </si>
  <si>
    <t>https://flowzz.com/product/cannabi-stada-22-1-gorilla-glue-4</t>
  </si>
  <si>
    <t>Cannabistada 22/1 WAP</t>
  </si>
  <si>
    <t>13,99</t>
  </si>
  <si>
    <t>https://flowzz.com/product/cannabistada-22-1-wap-wappa</t>
  </si>
  <si>
    <t>CannabiStada 24/1 SEN</t>
  </si>
  <si>
    <t>https://flowzz.com/product/cannabistada-24-1-sen-sensistar</t>
  </si>
  <si>
    <t>CannabiStada 25/1 GG</t>
  </si>
  <si>
    <t>https://flowzz.com/product/cannabistada-25-1-gg-gorilla-glue</t>
  </si>
  <si>
    <t>CannabiStada TRO 17</t>
  </si>
  <si>
    <t>https://flowzz.com/product/cannabi-stada-tro-17-tropicana-cookies</t>
  </si>
  <si>
    <t>CannabiStada WEM 25</t>
  </si>
  <si>
    <t>Wedding Mints</t>
  </si>
  <si>
    <t>https://flowzz.com/product/cannabi-stada-25-1-wem-wedding-mints</t>
  </si>
  <si>
    <t>Cannabixir medium</t>
  </si>
  <si>
    <t>OXYGEN</t>
  </si>
  <si>
    <t>Oxygen</t>
  </si>
  <si>
    <t>https://flowzz.com/product/cannabixir-medium-cannabixir-medium</t>
  </si>
  <si>
    <t>Cannamedical 16/1</t>
  </si>
  <si>
    <t>Dave's Kush</t>
  </si>
  <si>
    <t>https://flowzz.com/product/cannamedical-16-1-dave-s-kush</t>
  </si>
  <si>
    <t>Cannamedical 20/1</t>
  </si>
  <si>
    <t>https://flowzz.com/product/cannamedical-20-1-dave-s-kush</t>
  </si>
  <si>
    <t>Cannamedical Balanced classic</t>
  </si>
  <si>
    <t>https://flowzz.com/product/cannamedical-balanced-classic-mango-haze-mango-haze</t>
  </si>
  <si>
    <t>Cannamedical Balanced classic 6/10</t>
  </si>
  <si>
    <t>https://flowzz.com/product/cannamedical-balanced-classic-6-10-cali-o-california-orange</t>
  </si>
  <si>
    <t>Cannamedical Balanced Forte 10/10</t>
  </si>
  <si>
    <t>https://flowzz.com/product/cannamedical-balanced-forte-10-10-california-orange</t>
  </si>
  <si>
    <t>Cannamedical Balanced light 4/7</t>
  </si>
  <si>
    <t>11,50</t>
  </si>
  <si>
    <t>https://flowzz.com/product/cannamedical-balanced-light-6-10-cali-o-california-orange</t>
  </si>
  <si>
    <t>Cannamedical Balanced light 6/6</t>
  </si>
  <si>
    <t>https://flowzz.com/product/cannamedical-balanced-light-6-6-california-orange</t>
  </si>
  <si>
    <t>Cannamedical Balanced vita 1/10</t>
  </si>
  <si>
    <t>https://flowzz.com/product/cannamedical-balanced-vita-1-10-california-orange</t>
  </si>
  <si>
    <t>Cannamedical CM 20/1 CRM</t>
  </si>
  <si>
    <t>https://flowzz.com/product/cannamedical-cm-20-1-crm-creamy-kees-no-5</t>
  </si>
  <si>
    <t>Cannamedical CM 20/1 GG4</t>
  </si>
  <si>
    <t>6,20</t>
  </si>
  <si>
    <t>https://flowzz.com/product/cannamedical-20-1-gg4-gorilla-glue</t>
  </si>
  <si>
    <t>Cannamedical CM 20/1 LLY</t>
  </si>
  <si>
    <t>https://flowzz.com/product/cannamedical-20-1-lly-legendary-larry</t>
  </si>
  <si>
    <t>Blue Cookies Spritzer</t>
  </si>
  <si>
    <t>https://flowzz.com/product/cannamedical-cm-24-1-spritzer-blue-cookies-spritzer</t>
  </si>
  <si>
    <t>Cannamedical CM 24/1 PG</t>
  </si>
  <si>
    <t>Platinum Grapes</t>
  </si>
  <si>
    <t>https://flowzz.com/product/cannamedical-cm-24-1-pg-platinum-grapes</t>
  </si>
  <si>
    <t>Cannamedical CM 27/1</t>
  </si>
  <si>
    <t>https://flowzz.com/product/cannamedical-27-1-gelati-punch</t>
  </si>
  <si>
    <t>Cannamedical CM 27/1 PO</t>
  </si>
  <si>
    <t>Platinum Oranges</t>
  </si>
  <si>
    <t>organnicraft</t>
  </si>
  <si>
    <t>https://flowzz.com/product/cannamedical-cm-27-1-po-platinum-oranges</t>
  </si>
  <si>
    <t>Cannamedical CM 28/1 CRM</t>
  </si>
  <si>
    <t>10,69</t>
  </si>
  <si>
    <t>https://flowzz.com/product/cannamedical-cm-28-1-crm-creamy-kees-no-5</t>
  </si>
  <si>
    <t>Cannamedical CM 28/1 ZA</t>
  </si>
  <si>
    <t>https://flowzz.com/product/cannamedical-28-1-za-zour-apple</t>
  </si>
  <si>
    <t>Cannamedical CM 31/1 SPC</t>
  </si>
  <si>
    <t>https://flowzz.com/product/cannamedical-cm-31-1-spc-space-cake</t>
  </si>
  <si>
    <t>Blueberry Headband</t>
  </si>
  <si>
    <t>https://flowzz.com/product/cannamedical-hybrid-classic-blueberry-headband</t>
  </si>
  <si>
    <t>https://flowzz.com/product/cannamedical-hybrid-classic-gorilla-mints</t>
  </si>
  <si>
    <t>Cannamedical Hybrid classic</t>
  </si>
  <si>
    <t>Lost Cause</t>
  </si>
  <si>
    <t>https://flowzz.com/product/cannamedical-hybrid-classic-lost-cause-lost-cause</t>
  </si>
  <si>
    <t>https://flowzz.com/product/cannamedical-hybrid-classic-pt-headband</t>
  </si>
  <si>
    <t>Cannamedical Hybrid Classic 20/1</t>
  </si>
  <si>
    <t>Fullgas</t>
  </si>
  <si>
    <t>https://flowzz.com/product/cannamedical-hybrid-classic-20-1-fullgas</t>
  </si>
  <si>
    <t>https://flowzz.com/product/cannamedical-hybrid-forte-mac</t>
  </si>
  <si>
    <t>https://flowzz.com/product/cannamedical-hybrid-forte-lost-cause-lost-cause</t>
  </si>
  <si>
    <t>https://flowzz.com/product/cannamedical-hybrid-forte-headband</t>
  </si>
  <si>
    <t>Cannamedical Hybrid Forte DK 22/1</t>
  </si>
  <si>
    <t>9,05</t>
  </si>
  <si>
    <t>https://flowzz.com/product/cannamedical-hybridforte-dk-22-1-ghost-train-haze</t>
  </si>
  <si>
    <t>Cannamedical Hybrid forte NG</t>
  </si>
  <si>
    <t>https://flowzz.com/product/cannamedical-hybrid-forte-ng-orange-kush-cake</t>
  </si>
  <si>
    <t>https://flowzz.com/product/cannamedical-hybrid-forte-ng-jealousy</t>
  </si>
  <si>
    <t>Incredible Milk</t>
  </si>
  <si>
    <t>https://flowzz.com/product/cannamedical-hybrid-forte-ng-incredible-milk-incredible-milk</t>
  </si>
  <si>
    <t>https://flowzz.com/product/cannamedical-hybrid-forte-ng-dark-side-of-the-moon-dark-side-of-the-moon</t>
  </si>
  <si>
    <t>https://flowzz.com/product/cannamedical-hybrid-forte-nm-critical-bilbo</t>
  </si>
  <si>
    <t>Cannamedical Hybrid forte URY</t>
  </si>
  <si>
    <t>https://flowzz.com/product/cannamedical-hybrid-forte-ury-white-gorilla</t>
  </si>
  <si>
    <t>Cannamedical Hybrid Light</t>
  </si>
  <si>
    <t>https://flowzz.com/product/cannamedical-hybrid-light-pt-headband</t>
  </si>
  <si>
    <t>Cannamedical Hybrid light</t>
  </si>
  <si>
    <t>https://flowzz.com/product/cannamedical-hybrid-light-jean-guy</t>
  </si>
  <si>
    <t>Cannamedical Hybrid light NM</t>
  </si>
  <si>
    <t>Casey Jones</t>
  </si>
  <si>
    <t>https://flowzz.com/product/cannamedical-hybrid-light-nm-casey-jones</t>
  </si>
  <si>
    <t>Cannamedical Hybrid Ultra DK</t>
  </si>
  <si>
    <t>https://flowzz.com/product/cannamedical-hybrid-forte-dk-22-1-ghost-train-haze</t>
  </si>
  <si>
    <t>Cannamedical Hybrid Ultra DK 28/1</t>
  </si>
  <si>
    <t>https://flowzz.com/product/cannamedical-hybrid-ultra-dk-28-1-ghost-train-haze</t>
  </si>
  <si>
    <t>Cannamedical Hybrid Ultra NG</t>
  </si>
  <si>
    <t>https://flowzz.com/product/cannamedical-hybrid-ultra-ng-jealousy</t>
  </si>
  <si>
    <t>Cannamedical Hybrid vita</t>
  </si>
  <si>
    <t>https://flowzz.com/product/cannamedical-hybrid-vita-headband-headband</t>
  </si>
  <si>
    <t>Cannamedical Indica Classic</t>
  </si>
  <si>
    <t>https://flowzz.com/product/cannamedical-indica-classic-nm-sugar-bomb-punch</t>
  </si>
  <si>
    <t>Dark Star</t>
  </si>
  <si>
    <t>p-Cymen</t>
  </si>
  <si>
    <t>https://flowzz.com/product/cannamedical-indica-classic-dark-star</t>
  </si>
  <si>
    <t>Cannamedical Indica classic</t>
  </si>
  <si>
    <t>Kade's Kush</t>
  </si>
  <si>
    <t>https://flowzz.com/product/cannamedical-indica-classic-kade-s-kush-kade-s-kush</t>
  </si>
  <si>
    <t>https://flowzz.com/product/cannamedical-indica-classic-crazy-rntz-crazy-rntz</t>
  </si>
  <si>
    <t>Cannamedical Indica Classic DK 20/1</t>
  </si>
  <si>
    <t>https://flowzz.com/product/cannamedical-indica-classic-dk-201-cookies-kerosene-punch</t>
  </si>
  <si>
    <t>Cannamedical Indica Classic NM</t>
  </si>
  <si>
    <t>Purple Punch</t>
  </si>
  <si>
    <t>https://flowzz.com/product/cannamedical-indica-classic-nm-purple-punch</t>
  </si>
  <si>
    <t>Cannamedical Indica Classic NM 22/1</t>
  </si>
  <si>
    <t>https://flowzz.com/product/cannamedical-indica-classic-nm-22-1-kerosene-krash</t>
  </si>
  <si>
    <t>Cannamedical Indica Classic PT</t>
  </si>
  <si>
    <t>https://flowzz.com/product/cannamedical-indica-classic-pt-master-kush-master-kush</t>
  </si>
  <si>
    <t>Cheese Quake</t>
  </si>
  <si>
    <t>https://flowzz.com/product/cannamedical-indica-classic-ury-cheese-quake</t>
  </si>
  <si>
    <t>Cannamedical Indica forte NM</t>
  </si>
  <si>
    <t>https://flowzz.com/product/cannamedical-indica-forte-nm-kerosene-krash</t>
  </si>
  <si>
    <t>Cannamedical Indica forte ZAF</t>
  </si>
  <si>
    <t>https://flowzz.com/product/cannamedical-indica-forte-zaf-black-cherry-punch</t>
  </si>
  <si>
    <t>Cannamedical Indica light</t>
  </si>
  <si>
    <t>https://flowzz.com/product/cannamedical-indica-light-kade-s-kush-kade-s-kush</t>
  </si>
  <si>
    <t>https://flowzz.com/product/cannamedical-indica-light-dark-star</t>
  </si>
  <si>
    <t>Cannamedical Indica Ultra SF</t>
  </si>
  <si>
    <t>Rainmaker</t>
  </si>
  <si>
    <t>https://flowzz.com/product/cannamedical-indica-ultra-sf-rainmaker</t>
  </si>
  <si>
    <t>Cannamedical Indica Vita</t>
  </si>
  <si>
    <t>https://flowzz.com/product/cannamedical-indica-vita-dark-star</t>
  </si>
  <si>
    <t>Amnesia Haze</t>
  </si>
  <si>
    <t>https://flowzz.com/product/cannamedical-sativa-classic-amnesia-haze</t>
  </si>
  <si>
    <t>https://flowzz.com/product/cannamedical-sativa-classic-ghost-train-haze-ghost-train-haze</t>
  </si>
  <si>
    <t>Amsterdam Amnesia</t>
  </si>
  <si>
    <t>https://flowzz.com/product/cannamedical-sativa-classic-nm-amsterdam-amnesia</t>
  </si>
  <si>
    <t>https://flowzz.com/product/cannamedical-sativa-light-ghost-train-haze-ghost-train-haze</t>
  </si>
  <si>
    <t>CannGo BC 17/1 OC</t>
  </si>
  <si>
    <t>Orange Crasher</t>
  </si>
  <si>
    <t>https://flowzz.com/product/canngo-bc-17-1-oc-orange-crasher</t>
  </si>
  <si>
    <t>Cannovum Natura 20/1 Luna</t>
  </si>
  <si>
    <t>Alpha-Cedren</t>
  </si>
  <si>
    <t>https://flowzz.com/product/cannovum-natura-20-1-luna-somango</t>
  </si>
  <si>
    <t>Cannovum Natura 25/1 Vivid</t>
  </si>
  <si>
    <t>https://flowzz.com/product/cannovum-natura-25-1-vivid</t>
  </si>
  <si>
    <t>Canopy GDB 1/12</t>
  </si>
  <si>
    <t>https://flowzz.com/product/canopy-gdb-12-god-bud-2</t>
  </si>
  <si>
    <t>Canopy LSK 16/1</t>
  </si>
  <si>
    <t>https://flowzz.com/product/canopy-lsk-16-lemon-skunk</t>
  </si>
  <si>
    <t>Canopy LSK 18/1</t>
  </si>
  <si>
    <t>https://flowzz.com/product/canopy-lsk-18-lemon-skunk</t>
  </si>
  <si>
    <t>CanPharma Flos 1/14</t>
  </si>
  <si>
    <t>https://flowzz.com/product/can-pharma-flos-1-14-god-bud</t>
  </si>
  <si>
    <t>CanPharma Flos A 17/1</t>
  </si>
  <si>
    <t>https://flowzz.com/product/can-pharma-flos-a-17-1-shiskaberry</t>
  </si>
  <si>
    <t>CanPharma Flos A 19/1</t>
  </si>
  <si>
    <t>https://flowzz.com/product/can-pharma-flos-a-19-1-gorilla-4</t>
  </si>
  <si>
    <t>CanPharma Flos A 22/1</t>
  </si>
  <si>
    <t>https://flowzz.com/product/can-pharma-flos-a-22-1-gorilla-glue-4</t>
  </si>
  <si>
    <t>CanPharma Flos SK 24/1</t>
  </si>
  <si>
    <t>https://flowzz.com/product/can-pharma-flos-sk-24-1-sour-kush</t>
  </si>
  <si>
    <t>CanPharma Flos SK 26/1</t>
  </si>
  <si>
    <t>https://flowzz.com/product/can-pharma-flos-sk-26-1-sour-kush</t>
  </si>
  <si>
    <t>Cantourage MAC 2+</t>
  </si>
  <si>
    <t>Black Garlic</t>
  </si>
  <si>
    <t>https://flowzz.com/product/cantourage-mac-2-black-garlic</t>
  </si>
  <si>
    <t>Cantourage MAC 3+</t>
  </si>
  <si>
    <t>Ice &amp; Sugar</t>
  </si>
  <si>
    <t>https://flowzz.com/product/cantourage-mac-3-ice-and-sugar</t>
  </si>
  <si>
    <t>Ceres No. 2 29/1</t>
  </si>
  <si>
    <t>https://flowzz.com/product/ceres-no-2-slurricane-mint-29-1</t>
  </si>
  <si>
    <t>Ceres NO. 5 25/1</t>
  </si>
  <si>
    <t>Super Boof</t>
  </si>
  <si>
    <t>https://flowzz.com/product/ceres-no5-25-1-super-boof</t>
  </si>
  <si>
    <t>Costa Canna Dynamics Forte</t>
  </si>
  <si>
    <t>Grape Stomper</t>
  </si>
  <si>
    <t>https://flowzz.com/product/costa-canna-dynamics-forte-grape-stomper</t>
  </si>
  <si>
    <t>Costa Canna Dynamics Fortissimo PT 30/1</t>
  </si>
  <si>
    <t>Liberty Haze</t>
  </si>
  <si>
    <t>Costa Canna</t>
  </si>
  <si>
    <t>https://flowzz.com/product/cantourage-costa-canna-dynamics-fortissimo-liberty-haze</t>
  </si>
  <si>
    <t>Costa Canna Dynamics Mezzo Forte</t>
  </si>
  <si>
    <t>Hell Monkey</t>
  </si>
  <si>
    <t>https://flowzz.com/product/cantourage-costa-canna--dynamics-mezzo-forte-hell-monkey</t>
  </si>
  <si>
    <t>Cumulus Hybrid</t>
  </si>
  <si>
    <t>Lemon Berry Candy</t>
  </si>
  <si>
    <t>CannFX</t>
  </si>
  <si>
    <t>https://flowzz.com/product/cumulus-hybrid-lemon-berry-candy</t>
  </si>
  <si>
    <t>Curaleaf Natural 20/1 PT LVC</t>
  </si>
  <si>
    <t>Lavender Cake</t>
  </si>
  <si>
    <t>https://flowzz.com/product/curaleaf-natural-20-1-pt-lvc-lavender-cake</t>
  </si>
  <si>
    <t>Curaleaf Natural 25/1 PT WPT</t>
  </si>
  <si>
    <t>7,61</t>
  </si>
  <si>
    <t>https://flowzz.com/product/curaleaf-natural-25-1-pt-wpt-wedding-pop-triangle</t>
  </si>
  <si>
    <t>Curaleaf Natural 25/1 PT ZKS</t>
  </si>
  <si>
    <t>Zookies</t>
  </si>
  <si>
    <t>https://flowzz.com/product/curaleaf-natural-25-1-pt-zks-zookies</t>
  </si>
  <si>
    <t>Dascoli 19/1 - Gorilla Glue GG4</t>
  </si>
  <si>
    <t>NOC</t>
  </si>
  <si>
    <t>Noc Pharma GmbH</t>
  </si>
  <si>
    <t>https://flowzz.com/product/dascoli-gg-4-19-1-gorilla-glue</t>
  </si>
  <si>
    <t>Demecan 18:01 Florestura</t>
  </si>
  <si>
    <t>https://flowzz.com/product/demecan-18-01-florestura-super-haze</t>
  </si>
  <si>
    <t>Demecan 24:1 Florestura</t>
  </si>
  <si>
    <t>https://flowzz.com/product/demecan-24-01-florestura-super-haze-x-amnesia</t>
  </si>
  <si>
    <t>Demecan CRAFT Titanimal 23:01</t>
  </si>
  <si>
    <t>https://flowzz.com/product/demecan-craft-titanimal-23-1</t>
  </si>
  <si>
    <t>Demecan CRAFT Tricolo 24:01</t>
  </si>
  <si>
    <t>https://flowzz.com/product/demecan-24-01-tricolo-la-kush-cake</t>
  </si>
  <si>
    <t>Demecan CRAFT zoerO 22:01</t>
  </si>
  <si>
    <t>https://flowzz.com/product/demecan-craft-zoer0-22-01-oreoz</t>
  </si>
  <si>
    <t>Demecan GBH Regular Drop 25/1</t>
  </si>
  <si>
    <t>Peanut Butter Breath</t>
  </si>
  <si>
    <t>https://flowzz.com/product/demecan-gbh-regular-drop-25-1-peanut-butter-breath</t>
  </si>
  <si>
    <t>Demecan GBH Strong Drop</t>
  </si>
  <si>
    <t>https://flowzz.com/product/demecan-gbh-strong-drop-grape-gasoline</t>
  </si>
  <si>
    <t>Demecan MC Epic Drop 29:01</t>
  </si>
  <si>
    <t>https://flowzz.com/product/demecan-mc-epic-drop-purple-punch</t>
  </si>
  <si>
    <t>Demecan MC Regular Drop 26/1</t>
  </si>
  <si>
    <t>Gaschata</t>
  </si>
  <si>
    <t>https://flowzz.com/product/demecan-mc-regular-drop-26-1-gaschata</t>
  </si>
  <si>
    <t>Demecan MC Regular Drop 27/1</t>
  </si>
  <si>
    <t>https://flowzz.com/product/demecan-mc-regular-drop-27-1-glitter-pop-bomb</t>
  </si>
  <si>
    <t>Drapalin 10/11</t>
  </si>
  <si>
    <t>Batha Balanced</t>
  </si>
  <si>
    <t>https://flowzz.com/product/drapalin-10-11-batha-balanced-batha-balanced</t>
  </si>
  <si>
    <t>Drapalin 20/1 Pop</t>
  </si>
  <si>
    <t>Lemon Freeze Pop</t>
  </si>
  <si>
    <t>https://flowzz.com/product/drapalin-20-1-pop-lemon-freeze-pop</t>
  </si>
  <si>
    <t>Drapalin 21/1</t>
  </si>
  <si>
    <t>https://flowzz.com/product/drapalin-21-1-jack-herer</t>
  </si>
  <si>
    <t>Drapalin 25/1 GM Lagom</t>
  </si>
  <si>
    <t>Gush Mints</t>
  </si>
  <si>
    <t>Lagom Pharmatech</t>
  </si>
  <si>
    <t>https://flowzz.com/product/drapalin-25-1-gm-lagom-gush-mints</t>
  </si>
  <si>
    <t>Drapalin 27/1</t>
  </si>
  <si>
    <t>Pink Gas</t>
  </si>
  <si>
    <t>6,44</t>
  </si>
  <si>
    <t>https://flowzz.com/product/drapalin-27-1-pink-gas</t>
  </si>
  <si>
    <t>enua 20/1 ABG CA</t>
  </si>
  <si>
    <t>https://flowzz.com/product/enua-20-1-abg-ca-sweets</t>
  </si>
  <si>
    <t>enua 20/1 ANF CA</t>
  </si>
  <si>
    <t>https://flowzz.com/product/enua-20-1-anf-ca</t>
  </si>
  <si>
    <t>enua 20/1 CDG CA</t>
  </si>
  <si>
    <t>Crispy Doughnut</t>
  </si>
  <si>
    <t>https://flowzz.com/product/enua-20-1-cdg-ca-crispy-doughnut</t>
  </si>
  <si>
    <t>enua 20/1 JFG CA</t>
  </si>
  <si>
    <t>5,55</t>
  </si>
  <si>
    <t>https://flowzz.com/product/enua-20-1-jfg-ca</t>
  </si>
  <si>
    <t>enua 22/1 AFSC CA</t>
  </si>
  <si>
    <t>Animal Face Sherb Crasher</t>
  </si>
  <si>
    <t>7,25</t>
  </si>
  <si>
    <t>https://flowzz.com/product/enua-22-1-afsc-ca-animal-face-sherb-crasher</t>
  </si>
  <si>
    <t>enua 22/1 ATG</t>
  </si>
  <si>
    <t>https://flowzz.com/product/enua-22-1-atg-atlantic-glue-gg4</t>
  </si>
  <si>
    <t>enua 22/1 BDO CA</t>
  </si>
  <si>
    <t>https://flowzz.com/product/enua-22-1-bdo-ca-black-dolato</t>
  </si>
  <si>
    <t>enua 22/1 DB CA</t>
  </si>
  <si>
    <t>https://flowzz.com/product/enua-db-ca-22-1-pink-kush</t>
  </si>
  <si>
    <t>enua 22/1 SC CA</t>
  </si>
  <si>
    <t>https://flowzz.com/product/enua-22-1-sc-ca-strawberry-cake</t>
  </si>
  <si>
    <t>enua 25/1 AFSC CA</t>
  </si>
  <si>
    <t>8,09</t>
  </si>
  <si>
    <t>https://flowzz.com/product/enua-25-1-afsc-ca-animal-face-sherb-crasher</t>
  </si>
  <si>
    <t>enua 25/1 DSH CA</t>
  </si>
  <si>
    <t>https://flowzz.com/product/enua-25-1-dsh-ca-dark-shadow-haze</t>
  </si>
  <si>
    <t>enua 25/1 HWB CA - Head with Bang</t>
  </si>
  <si>
    <t>Head With Bang</t>
  </si>
  <si>
    <t>https://flowzz.com/product/enua-25-1-hwb-ca-head-with-bang</t>
  </si>
  <si>
    <t>enua 25/1 JFG CA</t>
  </si>
  <si>
    <t>https://flowzz.com/product/enua-25-1-jfg-ca</t>
  </si>
  <si>
    <t>enua 25/1 SLC CA</t>
  </si>
  <si>
    <t>https://flowzz.com/product/enua-25-1-slc-ca-slurricane</t>
  </si>
  <si>
    <t>enua 27/1 HWB CA - Head with Bang</t>
  </si>
  <si>
    <t>https://flowzz.com/product/enua-27-1-hwb-ca-head-with-bang</t>
  </si>
  <si>
    <t>enua 27/1 TTA CA</t>
  </si>
  <si>
    <t>https://flowzz.com/product/enua-27-1-tta-ca-titanimal</t>
  </si>
  <si>
    <t>enua 30/1 CCK CA</t>
  </si>
  <si>
    <t>https://flowzz.com/product/enua-30-1-cck-ca-cold-creek-kush</t>
  </si>
  <si>
    <t>enua 30/1 GGZ</t>
  </si>
  <si>
    <t>https://flowzz.com/product/enua-30-1-ggz-gogurtz</t>
  </si>
  <si>
    <t>enua 30/1 SBD CA - Strawberry Diesel</t>
  </si>
  <si>
    <t>https://flowzz.com/product/enua-30-1-sbd-ca-strawberry-diesel</t>
  </si>
  <si>
    <t>Fotmer T3h</t>
  </si>
  <si>
    <t>https://flowzz.com/product/fotmer-t3h-purple-dog-bud</t>
  </si>
  <si>
    <t>Fotmer T3i</t>
  </si>
  <si>
    <t>https://flowzz.com/product/fotmer-t3i-cheese-quake</t>
  </si>
  <si>
    <t>Fotmer T3s</t>
  </si>
  <si>
    <t>Red Dragon OG</t>
  </si>
  <si>
    <t>https://flowzz.com/product/fotmer-t3s-red-dragon-og</t>
  </si>
  <si>
    <t>GM Colour of Space 28/1</t>
  </si>
  <si>
    <t>https://flowzz.com/product/gm-colour-of-space-28-01</t>
  </si>
  <si>
    <t>Green Karat FS</t>
  </si>
  <si>
    <t>https://flowzz.com/product/green-karat-fs-fiji-sunset</t>
  </si>
  <si>
    <t>Green Karat FS 30/1</t>
  </si>
  <si>
    <t>https://flowzz.com/product/green-karat-fs-30-1-fiji-sunset-pt</t>
  </si>
  <si>
    <t>Green Karat MG 25/1</t>
  </si>
  <si>
    <t>https://flowzz.com/product/green-karat-mg-modified-gas-24-1</t>
  </si>
  <si>
    <t>Green Karat PV 30/1</t>
  </si>
  <si>
    <t>https://flowzz.com/product/green-karat-pv-30-1-pave-s1</t>
  </si>
  <si>
    <t>Green Karat PV PT</t>
  </si>
  <si>
    <t>8,88</t>
  </si>
  <si>
    <t>https://flowzz.com/product/green-karat-pv-pt-pave-s1</t>
  </si>
  <si>
    <t>Green Karat RO PT</t>
  </si>
  <si>
    <t>https://flowzz.com/product/green-karat-ro-pt-runtz-og</t>
  </si>
  <si>
    <t>Green Karat SD 30/1</t>
  </si>
  <si>
    <t>https://flowzz.com/product/green-karat-sd-30-1-supreme-diesel</t>
  </si>
  <si>
    <t>Greyscales GF 18/1</t>
  </si>
  <si>
    <t>Grape Fuel</t>
  </si>
  <si>
    <t>https://flowzz.com/product/greyscales-gf-18-1-grape-fuel</t>
  </si>
  <si>
    <t>Greyscales PS 21/1</t>
  </si>
  <si>
    <t>https://flowzz.com/product/greyscales-ps-21-1-pink-slurricane</t>
  </si>
  <si>
    <t>GROW 18 HF Mac</t>
  </si>
  <si>
    <t>Hellfire OG</t>
  </si>
  <si>
    <t>https://flowzz.com/product/grow-18-hf-mac-hellfire-og</t>
  </si>
  <si>
    <t>GROW 20/1 Euforia EU</t>
  </si>
  <si>
    <t>https://flowzz.com/product/grow-20-eu-euforia</t>
  </si>
  <si>
    <t>Grünhorn  27/1 - HGH</t>
  </si>
  <si>
    <t>https://flowzz.com/product/gruenhorn-hgh-27-1-hgh</t>
  </si>
  <si>
    <t>Grünhorn BC 17/1 OC</t>
  </si>
  <si>
    <t>https://flowzz.com/product/bc-green-17-1-oc-orange-crasher</t>
  </si>
  <si>
    <t>Grünhorn BC 33/1</t>
  </si>
  <si>
    <t>12,96</t>
  </si>
  <si>
    <t>https://flowzz.com/product/grunhorn-bc-33-1-tiger-cake</t>
  </si>
  <si>
    <t>Grünhorn CP 22/1</t>
  </si>
  <si>
    <t>https://flowzz.com/product/gruenhorn-cp-22-1-cherry-pie</t>
  </si>
  <si>
    <t>Grünhorn CP 24/1</t>
  </si>
  <si>
    <t>https://flowzz.com/product/gruenhorn-cp-24-1-cherry-pie</t>
  </si>
  <si>
    <t>Grünhorn CPC 25/1 - Cappuccino</t>
  </si>
  <si>
    <t>Cappuccino</t>
  </si>
  <si>
    <t>https://flowzz.com/product/gruenhorn-cpc-25-1-cappuccino</t>
  </si>
  <si>
    <t>Grünhorn GG 22/1</t>
  </si>
  <si>
    <t>https://flowzz.com/product/gruenhorn-gg-22-1-gg-gorilla-glue</t>
  </si>
  <si>
    <t>Grünhorn MC 25/1</t>
  </si>
  <si>
    <t>https://flowzz.com/product/gruenhorn-mc-25-1-mac-1</t>
  </si>
  <si>
    <t>Grünhorn SCK 25/1</t>
  </si>
  <si>
    <t>https://flowzz.com/product/grunhorn-sck-25-1-scottis-cake</t>
  </si>
  <si>
    <t>Grünhorn SCK 27/1</t>
  </si>
  <si>
    <t>https://flowzz.com/product/grunhorn-sck-27-1-scottis-cake</t>
  </si>
  <si>
    <t>hexa 18/1 WCA</t>
  </si>
  <si>
    <t>HEXACAN</t>
  </si>
  <si>
    <t>Hexacan</t>
  </si>
  <si>
    <t>hexacan</t>
  </si>
  <si>
    <t>https://flowzz.com/product/hexa-18-1-wca-wedding-cake</t>
  </si>
  <si>
    <t>hexa 23/1 LKC</t>
  </si>
  <si>
    <t>https://flowzz.com/product/hexa-23-1-lkc-la-kush-cake</t>
  </si>
  <si>
    <t>hexa22 cannabis flower - Iberian Icecream #33</t>
  </si>
  <si>
    <t>Iberian Icecream #33</t>
  </si>
  <si>
    <t>https://flowzz.com/product/hexa22-cannabis-flower-iberian-icecream-33</t>
  </si>
  <si>
    <t>hexa23 cannabis flower</t>
  </si>
  <si>
    <t>Iberian Icecream #35</t>
  </si>
  <si>
    <t>Portocanna</t>
  </si>
  <si>
    <t>https://flowzz.com/product/hexa23-cannabis-flower-iberian-icecream-35</t>
  </si>
  <si>
    <t>Huala 20/1 CA DOG</t>
  </si>
  <si>
    <t>Chemdog</t>
  </si>
  <si>
    <t>https://flowzz.com/product/huala-20-1-ca-dog-chemdog</t>
  </si>
  <si>
    <t>Huala 22/1 CA DOG</t>
  </si>
  <si>
    <t>https://flowzz.com/product/huala-22-1-ca-dog</t>
  </si>
  <si>
    <t>HummingBud - Wild Thailand</t>
  </si>
  <si>
    <t>Wild Thailand</t>
  </si>
  <si>
    <t>Jamaika</t>
  </si>
  <si>
    <t>https://flowzz.com/product/humming-bud-wild-thailand</t>
  </si>
  <si>
    <t>Hybrid 22</t>
  </si>
  <si>
    <t>https://flowzz.com/product/beacon-i-hybrid-22-kush-mints</t>
  </si>
  <si>
    <t>IMC CHD THC22</t>
  </si>
  <si>
    <t>Cherry DoSiDos</t>
  </si>
  <si>
    <t>https://flowzz.com/product/imc-chd-thc22-cherry-dosidos</t>
  </si>
  <si>
    <t>IMC THC20 T02</t>
  </si>
  <si>
    <t>https://flowzz.com/product/imc-thc-20-t02-og-kush</t>
  </si>
  <si>
    <t>IMC THC20 T03 GG4</t>
  </si>
  <si>
    <t>https://flowzz.com/product/imc-thc-20-t03-gg-4-gorilla-glue-4</t>
  </si>
  <si>
    <t>IMC THC20 T06 - Black Russian</t>
  </si>
  <si>
    <t>https://flowzz.com/product/imc-thc20-t06-black-russian</t>
  </si>
  <si>
    <t>IMC THC21 T01</t>
  </si>
  <si>
    <t>https://flowzz.com/product/imc-21-1-t01-hindu-kush</t>
  </si>
  <si>
    <t>IMC THC22 GGA</t>
  </si>
  <si>
    <t>Purple Grape</t>
  </si>
  <si>
    <t>https://flowzz.com/product/imc-22-1-gga-purple-grape</t>
  </si>
  <si>
    <t>IMC THC22 T03</t>
  </si>
  <si>
    <t>https://flowzz.com/product/imc-thc-22-t03-gorilla-glue</t>
  </si>
  <si>
    <t>IMC THC22 T04</t>
  </si>
  <si>
    <t>https://flowzz.com/product/imc-thc-22-t04-strawberry-og</t>
  </si>
  <si>
    <t>IMC THC27 PBM</t>
  </si>
  <si>
    <t>Peanut Butter Mac</t>
  </si>
  <si>
    <t>https://flowzz.com/product/imc-27-1-peanut-butter-mac</t>
  </si>
  <si>
    <t>IMC THC27 T03 GG4</t>
  </si>
  <si>
    <t>https://flowzz.com/product/imc-thc-27-t03-gg-4-gorilla-glue-4</t>
  </si>
  <si>
    <t>IQANNA No. 7 - Red Dragon OG</t>
  </si>
  <si>
    <t>https://flowzz.com/product/iqanna-no-7-red-dragon-og</t>
  </si>
  <si>
    <t>KEjF. SPZ 31/1</t>
  </si>
  <si>
    <t>https://flowzz.com/product/kejf-spz-31-1-spritzer</t>
  </si>
  <si>
    <t>Khiron 1/14</t>
  </si>
  <si>
    <t>https://flowzz.com/product/khiron-1-14-god-bud</t>
  </si>
  <si>
    <t>Khiron 20/1</t>
  </si>
  <si>
    <t>https://flowzz.com/product/khiron-20-1-hindu-kush</t>
  </si>
  <si>
    <t>Khiron C 5/7</t>
  </si>
  <si>
    <t>Caramel</t>
  </si>
  <si>
    <t>https://flowzz.com/product/khiron-c-5-7-caramel-caramel</t>
  </si>
  <si>
    <t>Khiron CK 23/1</t>
  </si>
  <si>
    <t>Cinderella Kush</t>
  </si>
  <si>
    <t>Jersey</t>
  </si>
  <si>
    <t>6,88</t>
  </si>
  <si>
    <t>https://flowzz.com/product/khiron-ck-23-1-cinderella-kush</t>
  </si>
  <si>
    <t>Khiron G 23/1 - Gelato 42</t>
  </si>
  <si>
    <t>https://flowzz.com/product/khiron-g-23-1-gelato-42</t>
  </si>
  <si>
    <t>Khiron GK 24/1</t>
  </si>
  <si>
    <t>Green Knight</t>
  </si>
  <si>
    <t>https://flowzz.com/product/khiron-gk-24-1-green-knight</t>
  </si>
  <si>
    <t>Khiron LBO 24/1</t>
  </si>
  <si>
    <t>Lemon Berry OG</t>
  </si>
  <si>
    <t>https://flowzz.com/product/khiron-lbo-24-1-lemon-berry-og</t>
  </si>
  <si>
    <t>Khiron PA 20/1</t>
  </si>
  <si>
    <t>Purple Amnesia</t>
  </si>
  <si>
    <t>https://flowzz.com/product/khiron-pa-20-1-purple-amnesia</t>
  </si>
  <si>
    <t>Khiron SCD 25/1</t>
  </si>
  <si>
    <t>Sour Chocolate Diesel</t>
  </si>
  <si>
    <t>https://flowzz.com/product/khiron-scd-25-1-sour-chocolate-diesel</t>
  </si>
  <si>
    <t>LOT 420 GLT - Gelato 33</t>
  </si>
  <si>
    <t>11,37</t>
  </si>
  <si>
    <t>https://flowzz.com/product/lot-420-glt-gelato</t>
  </si>
  <si>
    <t>LOT 420 OC PT</t>
  </si>
  <si>
    <t>https://flowzz.com/product/lot-420-oc-pt-orange-cake</t>
  </si>
  <si>
    <t>Lumir Blue wizzard</t>
  </si>
  <si>
    <t>Blue Wizard</t>
  </si>
  <si>
    <t>https://flowzz.com/product/lumir-blue-wizard</t>
  </si>
  <si>
    <t>madrecan 21/1 RCH</t>
  </si>
  <si>
    <t>https://flowzz.com/product/madrecan-21-1-remo-chemo</t>
  </si>
  <si>
    <t>Materia 8BK 30/1</t>
  </si>
  <si>
    <t>MATERIA</t>
  </si>
  <si>
    <t>Materia</t>
  </si>
  <si>
    <t>9,47</t>
  </si>
  <si>
    <t>Materia 8BK 30/1 - Bubba X King Kush</t>
  </si>
  <si>
    <t>Bubba X Kink Kush</t>
  </si>
  <si>
    <t>https://flowzz.com/product/materia-8bk-30-1-bubba-x-king-kush</t>
  </si>
  <si>
    <t>Materia GH 27/1</t>
  </si>
  <si>
    <t>https://flowzz.com/product/materia-gh-27-1-grape-haze</t>
  </si>
  <si>
    <t>MCCN No. 2</t>
  </si>
  <si>
    <t>6,97</t>
  </si>
  <si>
    <t>https://flowzz.com/product/mccn-no-2-skywalker</t>
  </si>
  <si>
    <t>MCCN NO. 5</t>
  </si>
  <si>
    <t>Encanto Therapeutics</t>
  </si>
  <si>
    <t>https://flowzz.com/product/mccn-no-5-lemon-sour-diesel</t>
  </si>
  <si>
    <t>MeCann 19/1</t>
  </si>
  <si>
    <t>MECANN</t>
  </si>
  <si>
    <t>MeCann</t>
  </si>
  <si>
    <t>https://flowzz.com/product/mecann-19-1-jack-herer</t>
  </si>
  <si>
    <t>MeCann 24/1 - Oreoz</t>
  </si>
  <si>
    <t>https://flowzz.com/product/Mecann-24-1-oreoz</t>
  </si>
  <si>
    <t>Medican Heri</t>
  </si>
  <si>
    <t>Herijuana</t>
  </si>
  <si>
    <t>https://flowzz.com/product/medican-heri-herijuana</t>
  </si>
  <si>
    <t>MediCann OZ 26/1</t>
  </si>
  <si>
    <t>https://flowzz.com/product/medicann-oz-26-1</t>
  </si>
  <si>
    <t>Medicus 24/1 EVS</t>
  </si>
  <si>
    <t>Godfather Biscotti</t>
  </si>
  <si>
    <t>7,39</t>
  </si>
  <si>
    <t>https://flowzz.com/product/medicus-24-1-evs-godfather-biscotti</t>
  </si>
  <si>
    <t>Medicus 27/1 EVS</t>
  </si>
  <si>
    <t>https://flowzz.com/product/medicus-27-1-evs-cereal-milk</t>
  </si>
  <si>
    <t>Mediprocan Lunaris 19/1</t>
  </si>
  <si>
    <t>Motor Breath</t>
  </si>
  <si>
    <t>https://flowzz.com/product/mediprocan-lunaris-19-1-motor-breath</t>
  </si>
  <si>
    <t>MEDMEN BCP T25</t>
  </si>
  <si>
    <t>https://flowzz.com/product/medmen-bcp-t25-black-cherry-punch</t>
  </si>
  <si>
    <t>MGF AB 22/1</t>
  </si>
  <si>
    <t>MGF</t>
  </si>
  <si>
    <t>MGF Via Medical</t>
  </si>
  <si>
    <t>https://flowzz.com/product/mgf-ab-22-1-apples-and-bananas</t>
  </si>
  <si>
    <t>MGF AB 27/1</t>
  </si>
  <si>
    <t>https://flowzz.com/product/mgf-ab-apples-and-bananas</t>
  </si>
  <si>
    <t>MGF Bifrost 26/1</t>
  </si>
  <si>
    <t>Bifrost</t>
  </si>
  <si>
    <t>https://flowzz.com/product/mgf-bifrost-26-1</t>
  </si>
  <si>
    <t>MGF Blue Monkey 26/1</t>
  </si>
  <si>
    <t>https://flowzz.com/product/mgf-blue-monkey-26-1</t>
  </si>
  <si>
    <t>MGF CD 22/1</t>
  </si>
  <si>
    <t>https://flowzz.com/product/mgf-cd-22-1-cherry-dosidos</t>
  </si>
  <si>
    <t>MGF GM 26/1</t>
  </si>
  <si>
    <t>Grape Mintz</t>
  </si>
  <si>
    <t>https://flowzz.com/product/mgf-gm-26-1-grape-mintz</t>
  </si>
  <si>
    <t>MGF GP 26/1</t>
  </si>
  <si>
    <t>https://flowzz.com/product/mgf-gp-26-1-grapple-pie</t>
  </si>
  <si>
    <t>MGF Lambo Diablo 22/1</t>
  </si>
  <si>
    <t>https://flowzz.com/product/mgf-lambo-diablo-22-1-el-chivo</t>
  </si>
  <si>
    <t>MGF Pop Up No. 1 26/1</t>
  </si>
  <si>
    <t>https://flowzz.com/product/mgf-pop-up-no-1-26-1-grapple-pie</t>
  </si>
  <si>
    <t>MGF Pop Up No. 2 22/1</t>
  </si>
  <si>
    <t>https://flowzz.com/product/mgf-pop-up-no-2-22-1-el-chivo</t>
  </si>
  <si>
    <t>MGF Pop Up No. 4 26/1</t>
  </si>
  <si>
    <t>https://flowzz.com/product/mgf-pop-up-no-4-26-1-grape-mintz</t>
  </si>
  <si>
    <t>MGF Pop Up No. 5 22/1</t>
  </si>
  <si>
    <t>https://flowzz.com/product/mgf-pop-up-no-5-22-1-rose-gold-runtz</t>
  </si>
  <si>
    <t>MGF Purple Babo 26/1</t>
  </si>
  <si>
    <t>https://flowzz.com/product/mgf-purple-babo-26-1-grapple-pie</t>
  </si>
  <si>
    <t>MGF Run Run Run 26/1</t>
  </si>
  <si>
    <t>https://flowzz.com/product/mgf-run-run-run-26-1-grape-mintz</t>
  </si>
  <si>
    <t>MGF UP</t>
  </si>
  <si>
    <t>Unicorn Pop</t>
  </si>
  <si>
    <t>https://flowzz.com/product/mgf-up-unicorn-poop</t>
  </si>
  <si>
    <t>Mother 28 B8 CAN</t>
  </si>
  <si>
    <t>Beta 808</t>
  </si>
  <si>
    <t>8,62</t>
  </si>
  <si>
    <t>https://flowzz.com/product/mother-28-b8-can-beta-808</t>
  </si>
  <si>
    <t>MV RNTZ</t>
  </si>
  <si>
    <t>https://flowzz.com/product/mv-rntz-detroit-runtz</t>
  </si>
  <si>
    <t>N!CE 26/1 C</t>
  </si>
  <si>
    <t>https://flowzz.com/product/26-1-nce-c-cherry-pie</t>
  </si>
  <si>
    <t>NICE KW 24/1</t>
  </si>
  <si>
    <t>Kirkwood White</t>
  </si>
  <si>
    <t>6,75</t>
  </si>
  <si>
    <t>https://flowzz.com/product/nice-kw-24-1-kirkwood-white</t>
  </si>
  <si>
    <t>Navcora THC 22 Spotlight Montevideo</t>
  </si>
  <si>
    <t>https://flowzz.com/product/navcora-thc-22-spotlight-montevideo-gorilla-glue</t>
  </si>
  <si>
    <t>https://flowzz.com/product/navcora-thc-22-spotlight-porto-sour-diesel</t>
  </si>
  <si>
    <t>https://flowzz.com/product/navcora-thc-22-spotlight-porto-galaxy-walker</t>
  </si>
  <si>
    <t>https://flowzz.com/product/navcora-thc-22-spotlight-porto-headband</t>
  </si>
  <si>
    <t>https://flowzz.com/product/navcora-thc-22-spotlight-porto-sirius-sirius</t>
  </si>
  <si>
    <t>Navcora THC 25 Spotlight Porto</t>
  </si>
  <si>
    <t>https://flowzz.com/product/navcora-thc-25-spotlight-porto-sirius-sirius</t>
  </si>
  <si>
    <t>Nimbus 21/1 ZRP</t>
  </si>
  <si>
    <t>https://flowzz.com/product/nimbus-zrp-21-1-zour-apple</t>
  </si>
  <si>
    <t>Nimbus 22/1 RZM</t>
  </si>
  <si>
    <t>Runtz Mintz</t>
  </si>
  <si>
    <t>Fidel's Seed Co</t>
  </si>
  <si>
    <t>https://flowzz.com/product/nimbus-rzm-22-1-runtz-mints</t>
  </si>
  <si>
    <t>Nimbus 26/1 ZRP</t>
  </si>
  <si>
    <t>https://flowzz.com/product/nimbus-zrp-26-1-zour-apple</t>
  </si>
  <si>
    <t>Ostara Balance</t>
  </si>
  <si>
    <t>Long Valley Legend</t>
  </si>
  <si>
    <t>https://flowzz.com/product/ostara-balance-long-valley-legend</t>
  </si>
  <si>
    <t>Ostara Eclipse</t>
  </si>
  <si>
    <t>Life Hack</t>
  </si>
  <si>
    <t>https://flowzz.com/product/ostara-eclipse-life-hack</t>
  </si>
  <si>
    <t>Ostara GC</t>
  </si>
  <si>
    <t>https://flowzz.com/product/ostara-gc-gas-cake</t>
  </si>
  <si>
    <t>Ostara Nova</t>
  </si>
  <si>
    <t>Bubblegum Biscotti x Grape Gasoline</t>
  </si>
  <si>
    <t>https://flowzz.com/product/ostara-nova-bubblegum-biscotti-grape-gasoline</t>
  </si>
  <si>
    <t>Ostara Solar 24/1</t>
  </si>
  <si>
    <t>https://flowzz.com/product/cantourage-24-1-ostara-solar</t>
  </si>
  <si>
    <t>Peace Naturals 29/1 SC</t>
  </si>
  <si>
    <t>https://flowzz.com/product/peace-naturals-29-1-sc</t>
  </si>
  <si>
    <t>Peace Naturals 31/1 CB</t>
  </si>
  <si>
    <t>https://flowzz.com/product/peace-naturals-31-1-cb-cocoa-bomba</t>
  </si>
  <si>
    <t>Pedanios 18/1</t>
  </si>
  <si>
    <t>https://flowzz.com/product/pedanios-18-1-sour-tangie</t>
  </si>
  <si>
    <t>Pedanios 20/1</t>
  </si>
  <si>
    <t>https://flowzz.com/product/pedanios-20-1-dnk-la-confidential</t>
  </si>
  <si>
    <t>Pedanios 27/1 BLY-CA</t>
  </si>
  <si>
    <t>Black Jelly</t>
  </si>
  <si>
    <t>9,84</t>
  </si>
  <si>
    <t>https://flowzz.com/product/pedanios-27-1-bly-ca-black-jelly</t>
  </si>
  <si>
    <t>Pedanios 8/8</t>
  </si>
  <si>
    <t>https://flowzz.com/product/pedanios-8-8-dnk-equiposa</t>
  </si>
  <si>
    <t>PharmaRolly Primo - Meringue</t>
  </si>
  <si>
    <t>Meringue</t>
  </si>
  <si>
    <t>https://flowzz.com/product/pharma-rolly-primo-meringue</t>
  </si>
  <si>
    <t>PharmCann Silver THC22</t>
  </si>
  <si>
    <t>PHARMCANN</t>
  </si>
  <si>
    <t>Pharmcann</t>
  </si>
  <si>
    <t>https://flowzz.com/product/pharmcann-silver-thc-22-la-sage</t>
  </si>
  <si>
    <t>PureCan B4NANA 25/1</t>
  </si>
  <si>
    <t>PURECAN</t>
  </si>
  <si>
    <t>PureCan</t>
  </si>
  <si>
    <t>Banana Sherbet</t>
  </si>
  <si>
    <t>https://flowzz.com/product/purecan-b4nana-25-1-banana-sherbet</t>
  </si>
  <si>
    <t>Relecan Hybrid Strong</t>
  </si>
  <si>
    <t>https://flowzz.com/product/relecan-hybrid-strong-gorilla-glue</t>
  </si>
  <si>
    <t>Relecan Indica Strong</t>
  </si>
  <si>
    <t>https://flowzz.com/product/relecan-indica-strong-peyote-critical</t>
  </si>
  <si>
    <t>Remexian 16/1 Nordle</t>
  </si>
  <si>
    <t>Nordle</t>
  </si>
  <si>
    <t>4,35</t>
  </si>
  <si>
    <t>https://flowzz.com/product/remexian-16-1-nordle</t>
  </si>
  <si>
    <t>Remexian 20/1 - Nordle</t>
  </si>
  <si>
    <t>https://flowzz.com/product/remexian-20-1-nordle-churchill</t>
  </si>
  <si>
    <t>Remexian 20/1 AVA FRY</t>
  </si>
  <si>
    <t>7,48</t>
  </si>
  <si>
    <t>https://flowzz.com/product/remexian-20-1-ava-fry-macflurry</t>
  </si>
  <si>
    <t>Remexian 20/1 HCC DBU</t>
  </si>
  <si>
    <t>https://flowzz.com/product/remexian-20-1-hcc-dbu-donkey-butter</t>
  </si>
  <si>
    <t>Remexian 21/1 ISL</t>
  </si>
  <si>
    <t>https://flowzz.com/product/remexian-21-1-isl-animal-face</t>
  </si>
  <si>
    <t>Remexian 22/1 APX</t>
  </si>
  <si>
    <t>Apex OG</t>
  </si>
  <si>
    <t>https://flowzz.com/product/remexian-22-1-apx-apex-og</t>
  </si>
  <si>
    <t>Remexian 22/1 GG4</t>
  </si>
  <si>
    <t>https://flowzz.com/product/remexian-22-1-gg4-gorilla-glue-4</t>
  </si>
  <si>
    <t>Remexian 22/1 GG4 Mini</t>
  </si>
  <si>
    <t>https://flowzz.com/product/remexian-22-1-gg4-mini-gorilla-glue-4</t>
  </si>
  <si>
    <t>Remexian 22/1 HUW Minis</t>
  </si>
  <si>
    <t>https://flowzz.com/product/remexian-22-1-huw-minis</t>
  </si>
  <si>
    <t>Remexian 23/1 MAD</t>
  </si>
  <si>
    <t>Magic Dream</t>
  </si>
  <si>
    <t>MHI Cultivo Medicinal</t>
  </si>
  <si>
    <t>https://flowzz.com/product/remexian-23-1-mad-magic-dream</t>
  </si>
  <si>
    <t>Remexian 24/1 DCT MOO</t>
  </si>
  <si>
    <t>Monaco Octane</t>
  </si>
  <si>
    <t>https://flowzz.com/product/remexian-24-1-dct-moo-monaco-octane</t>
  </si>
  <si>
    <t>Remexian 24/1 GRG</t>
  </si>
  <si>
    <t>Grape Galena</t>
  </si>
  <si>
    <t>9,15</t>
  </si>
  <si>
    <t>https://flowzz.com/product/remexian-24-1-grg-grape-galena-hybrid</t>
  </si>
  <si>
    <t>Remexian 24/1 GRO DBK</t>
  </si>
  <si>
    <t>Death Bubba Kush</t>
  </si>
  <si>
    <t>Growtown</t>
  </si>
  <si>
    <t>https://flowzz.com/product/remexian-24-1-gro-dbk-death-bubba-kush</t>
  </si>
  <si>
    <t>Remexian 24/1 MYW</t>
  </si>
  <si>
    <t>Mystic Wonder</t>
  </si>
  <si>
    <t>https://flowzz.com/product/remexian-24-1-myw-mystic-wonder</t>
  </si>
  <si>
    <t>Remexian 24/1 PRT MAB</t>
  </si>
  <si>
    <t>Mad Berry</t>
  </si>
  <si>
    <t>https://flowzz.com/product/remexian-24-1-prt-mab-mad-berry</t>
  </si>
  <si>
    <t>Remexian 24/1 VLI</t>
  </si>
  <si>
    <t>Vanilla Ice Cream</t>
  </si>
  <si>
    <t>https://flowzz.com/product/remexian-24-1-vli-vanilla-ice-cream</t>
  </si>
  <si>
    <t>Remexian 25/1 GAC</t>
  </si>
  <si>
    <t>https://flowzz.com/product/remexian-25-1-gac-grapes-and-cream</t>
  </si>
  <si>
    <t>Remexian 25/1 GFR</t>
  </si>
  <si>
    <t>https://flowzz.com/product/remexian-25-1-gfr-godfather-og-schroll</t>
  </si>
  <si>
    <t>Remexian 25/1 GG4</t>
  </si>
  <si>
    <t>https://flowzz.com/product/remexian-25-1-gg4-gorilla-glue-4</t>
  </si>
  <si>
    <t>Remexian 25/1 LPP</t>
  </si>
  <si>
    <t>Lemon Pepper Punch</t>
  </si>
  <si>
    <t>https://flowzz.com/product/remexian-25-1-lpp-lemon-pepper-punch</t>
  </si>
  <si>
    <t>Remexian 27/1 Eco MYZ</t>
  </si>
  <si>
    <t>Munyunz</t>
  </si>
  <si>
    <t>https://flowzz.com/product/remexian-27-1-eco-munyunz</t>
  </si>
  <si>
    <t>Remexian 27/1 FCO - Frosted Cookies</t>
  </si>
  <si>
    <t>https://flowzz.com/product/remexian-27-1-fco-frosted-cookies</t>
  </si>
  <si>
    <t>Remexian 27/1 FFG</t>
  </si>
  <si>
    <t>Franco's Fullgas</t>
  </si>
  <si>
    <t>https://flowzz.com/product/remexian-27-1-ffg-francos-fullgas</t>
  </si>
  <si>
    <t>Remexian 27/1 GRG</t>
  </si>
  <si>
    <t>9,69</t>
  </si>
  <si>
    <t>https://flowzz.com/product/remexian-27-1-grg-grape-galena-hybrid</t>
  </si>
  <si>
    <t>Remexian 27/1 OKC</t>
  </si>
  <si>
    <t>https://flowzz.com/product/remexian-27-1-okc-orange-kush-cake</t>
  </si>
  <si>
    <t>Remexian 27/1 PBB</t>
  </si>
  <si>
    <t>https://flowzz.com/product/remexian-27-1-pbb-peanut-butter-breath</t>
  </si>
  <si>
    <t>Remexian 27/1 PRT WEC Minis</t>
  </si>
  <si>
    <t>https://flowzz.com/product/remexian-27-1-prt-wec-minis-wedding-cake</t>
  </si>
  <si>
    <t>Remexian 27/1 SWV</t>
  </si>
  <si>
    <t>ShockWave</t>
  </si>
  <si>
    <t>https://flowzz.com/product/remexian-27-1-swv-shockwave</t>
  </si>
  <si>
    <t>Remexian 27/1 TRS</t>
  </si>
  <si>
    <t>Tropical Sour</t>
  </si>
  <si>
    <t>https://flowzz.com/product/remexian-27-1-trs-tropical-sour</t>
  </si>
  <si>
    <t>Remexian 30/1</t>
  </si>
  <si>
    <t>https://flowzz.com/product/remexian-30-1-oasis-og</t>
  </si>
  <si>
    <t>Remexian 30/1 BKC</t>
  </si>
  <si>
    <t>Black Kyber Crystal</t>
  </si>
  <si>
    <t>https://flowzz.com/product/remexian-30-1-bkc-black-kyber-crystal</t>
  </si>
  <si>
    <t>Remexian 30/1 BNM</t>
  </si>
  <si>
    <t>Bananimal</t>
  </si>
  <si>
    <t>9,52</t>
  </si>
  <si>
    <t>https://flowzz.com/product/remexian-30-1-bnm-bananimal</t>
  </si>
  <si>
    <t>Remexian 30/1 CHK</t>
  </si>
  <si>
    <t>Chemical Kush</t>
  </si>
  <si>
    <t>https://flowzz.com/product/remexian-30-1-chk-chemical-kush</t>
  </si>
  <si>
    <t>Remexian 30/1 CRN</t>
  </si>
  <si>
    <t>https://flowzz.com/product/remexian-30-1-crn-ventura-dawg</t>
  </si>
  <si>
    <t>Remexian 30/1 FLJ</t>
  </si>
  <si>
    <t>https://flowzz.com/product/remexian-30-1-flj-flap-jacks</t>
  </si>
  <si>
    <t>Remexian 30/1 GJY CCA</t>
  </si>
  <si>
    <t>Cosmic Candy</t>
  </si>
  <si>
    <t>https://flowzz.com/product/remexian-30-1-gjy-cca-cosmic-candy</t>
  </si>
  <si>
    <t>Remexian 30/1 GMO:</t>
  </si>
  <si>
    <t>GMO Breath</t>
  </si>
  <si>
    <t>https://flowzz.com/product/remexian-30-1-gmo-breath</t>
  </si>
  <si>
    <t>Remexian 30/1 HCC GRM</t>
  </si>
  <si>
    <t>Grease Monkey</t>
  </si>
  <si>
    <t>https://flowzz.com/product/remexian-30-1-hcc-grm-grease-monkey</t>
  </si>
  <si>
    <t>Remexian 30/1 HEG</t>
  </si>
  <si>
    <t>Helios Gold</t>
  </si>
  <si>
    <t>https://flowzz.com/product/remexian-30-1-heg-helios-gold</t>
  </si>
  <si>
    <t>Remexian 30/1 LPP</t>
  </si>
  <si>
    <t>https://flowzz.com/product/remexian-30-1-lpp-lemon-pepper-punch</t>
  </si>
  <si>
    <t>Remexian 30/1 NLC ANM</t>
  </si>
  <si>
    <t>Animal Mints</t>
  </si>
  <si>
    <t>https://flowzz.com/product/remexian-30-1-nlc-anm-animal-mints</t>
  </si>
  <si>
    <t>Remexian 30/1 STG</t>
  </si>
  <si>
    <t>Strawberry Grail</t>
  </si>
  <si>
    <t>https://flowzz.com/product/remexian-30-1-stg-strawberry-grail</t>
  </si>
  <si>
    <t>Rua Kia Kaha 26/1</t>
  </si>
  <si>
    <t>OG Kush x Wedding Cake</t>
  </si>
  <si>
    <t>https://flowzz.com/product/rua-kia-kaha-26-1-og-kush-x-wedding-cake</t>
  </si>
  <si>
    <t>Rua Kia Kaha 29/1</t>
  </si>
  <si>
    <t>https://flowzz.com/product/rua-kia-kaha-29-1-og-kush-x-wedding-cake</t>
  </si>
  <si>
    <t>Sibanax Crescendo Cookies 19/1</t>
  </si>
  <si>
    <t>https://flowzz.com/product/sibanax-crescendo-cookies-19-1</t>
  </si>
  <si>
    <t>Sibanax GMO Zkittlez 19/1</t>
  </si>
  <si>
    <t>GMO Zkittlez</t>
  </si>
  <si>
    <t>https://flowzz.com/product/sibanax-gmo-zkittlez-19-1</t>
  </si>
  <si>
    <t>Sibanax GMO Zkittlez 21/1</t>
  </si>
  <si>
    <t>6,35</t>
  </si>
  <si>
    <t>https://flowzz.com/product/sibanax-gmo-zkittlez-21-1</t>
  </si>
  <si>
    <t>Sibanax MCF 20/1 Mac Fem</t>
  </si>
  <si>
    <t>https://flowzz.com/product/sibanax-hybrid-mcf-20-1-mac-fem</t>
  </si>
  <si>
    <t>Sibanax MCF 23/1 Mac Fem</t>
  </si>
  <si>
    <t>6,43</t>
  </si>
  <si>
    <t>https://flowzz.com/product/sibanax-hybrid-mcf-23-1-mac-fem</t>
  </si>
  <si>
    <t>Sibanax The New 18/1</t>
  </si>
  <si>
    <t>https://flowzz.com/product/sibanax-the-new-18-1</t>
  </si>
  <si>
    <t>Social Choice 24/1 ICS DIE</t>
  </si>
  <si>
    <t>Driftwood Diesel</t>
  </si>
  <si>
    <t>https://flowzz.com/product/social-choice-24-1-ics-die-diesel</t>
  </si>
  <si>
    <t>Soma OG 28/1 FG</t>
  </si>
  <si>
    <t>https://flowzz.com/product/soma-og-28-1-gelato-sherbert</t>
  </si>
  <si>
    <t>Spectrum 18/1 Red No. 2</t>
  </si>
  <si>
    <t>https://flowzz.com/product/red-no-2-lemon-skunk</t>
  </si>
  <si>
    <t>Spectrum Blue 8/7</t>
  </si>
  <si>
    <t>https://flowzz.com/product/spectrum-blue-8-7-cbd-skunk-haze</t>
  </si>
  <si>
    <t>Stratus Indica 3</t>
  </si>
  <si>
    <t>Death Star</t>
  </si>
  <si>
    <t>https://flowzz.com/product/stratus-indica-3-death-star</t>
  </si>
  <si>
    <t>Stratus Indica Wappa</t>
  </si>
  <si>
    <t>https://flowzz.com/product/stratus-indica-wappa-wappa</t>
  </si>
  <si>
    <t>Sumo Canada Craft No. 1</t>
  </si>
  <si>
    <t>MAC Deluxe</t>
  </si>
  <si>
    <t>10,39</t>
  </si>
  <si>
    <t>https://flowzz.com/product/sumo-canada-craft-no-1-mac-deluxe</t>
  </si>
  <si>
    <t>Sumo Canada Craft No.2</t>
  </si>
  <si>
    <t>https://flowzz.com/product/sumo-canada-craft-no2-22-1</t>
  </si>
  <si>
    <t>Therismos 22/1 DSM - Dark Side Of The Moon</t>
  </si>
  <si>
    <t>https://flowzz.com/product/therismos-22-1-dsm</t>
  </si>
  <si>
    <t>Therismos 24/1 DRL</t>
  </si>
  <si>
    <t>Dr. Lime</t>
  </si>
  <si>
    <t>https://flowzz.com/product/therismos-24-1-drl-dr-lime</t>
  </si>
  <si>
    <t>Therismos 25/1 BRB</t>
  </si>
  <si>
    <t>https://flowzz.com/product/therismos-25-1-brb-bruce-banner</t>
  </si>
  <si>
    <t>Therismos 27/1 JFG</t>
  </si>
  <si>
    <t>https://flowzz.com/product/therismos-27-1-jfg-ca</t>
  </si>
  <si>
    <t>Therismos 28/1 SDK</t>
  </si>
  <si>
    <t>https://flowzz.com/product/therismos-28-1-sdk-sensi-double-kush</t>
  </si>
  <si>
    <t>Tilray Hybrid THC Strong</t>
  </si>
  <si>
    <t>https://flowzz.com/product/tilray-hybrid-thc-strong-gorilla-glue</t>
  </si>
  <si>
    <t>Tilray Indica THC Medium</t>
  </si>
  <si>
    <t>https://flowzz.com/product/tilray-indica-thc-medium-cheese-quake</t>
  </si>
  <si>
    <t>Tilray Indica THC Strong</t>
  </si>
  <si>
    <t>https://flowzz.com/product/tilray-indica-thc-strong-purple-dog-bud</t>
  </si>
  <si>
    <t>https://flowzz.com/product/tilray-indica-thc-strong-cheese-quake</t>
  </si>
  <si>
    <t>Tilray THC 18 Indica Sirius No. 4</t>
  </si>
  <si>
    <t>5,37</t>
  </si>
  <si>
    <t>https://flowzz.com/product/tilray-thc-18-indica-no-4-sirius</t>
  </si>
  <si>
    <t>Tilray THC 18 Spotlight Vancouver</t>
  </si>
  <si>
    <t>https://flowzz.com/product/tilray-thc-18-spotlight-vancouver-rockstar-rockstar</t>
  </si>
  <si>
    <t>Tilray THC 22 Indica Sirius No.4</t>
  </si>
  <si>
    <t>https://flowzz.com/product/tilray-thc-22-indica-no-4-sirius</t>
  </si>
  <si>
    <t>https://flowzz.com/product/tilray-thc-22-spotlight-montevideo-purple-dog-bud</t>
  </si>
  <si>
    <t>https://flowzz.com/product/tilray-thc-22-spotlight-porto-white-widow</t>
  </si>
  <si>
    <t>https://flowzz.com/product/tilray-thc-22-spotlight-porto-lemon-sour-diesel</t>
  </si>
  <si>
    <t>https://flowzz.com/product/tilray-thc-22-spotlight-porto-blueberry-blueberry</t>
  </si>
  <si>
    <t>Tilray THC 25 Indica No. 1</t>
  </si>
  <si>
    <t>https://flowzz.com/product/tilray-thc-25-indica-no-1-master-kush</t>
  </si>
  <si>
    <t>Tilray THC 25 Spotlight Montevideo</t>
  </si>
  <si>
    <t>https://flowzz.com/product/tilray-thc-25-spotlight-montevideo-purple-dog-bud-purple-dog-bud</t>
  </si>
  <si>
    <t>https://flowzz.com/product/tilray-thc-25-spotlight-montevideo-gorilla-glue-gorilla-glue</t>
  </si>
  <si>
    <t>https://flowzz.com/product/tilray-thc25-spotlight-porto-sirius-sirius</t>
  </si>
  <si>
    <t>https://flowzz.com/product/tilray-thc-25-spotlight-porto-gorilla-glue-gorilla-glue</t>
  </si>
  <si>
    <t>https://flowzz.com/product/tilray-thc-25-spotlight-porto-white-widow-white-widow</t>
  </si>
  <si>
    <t>18,00</t>
  </si>
  <si>
    <t>https://flowzz.com/product/tilray-thc-25-spotlight-porto-pink-kush-pink-kush</t>
  </si>
  <si>
    <t>https://flowzz.com/product/tilray-thc-25-spotlight-porto-mango-mango</t>
  </si>
  <si>
    <t>https://flowzz.com/product/tilray-thc-25-spotlight-porto-galaxy-walker-og-galaxy-walker-og</t>
  </si>
  <si>
    <t>Tilray THC 25 Spotlight Vancouver</t>
  </si>
  <si>
    <t>https://flowzz.com/product/tilray-thc-25-spotlight-vancouver-rockstar-rockstar</t>
  </si>
  <si>
    <t>Tilray THC10:CBD10 Warlock No.1</t>
  </si>
  <si>
    <t>https://flowzz.com/product/tilray-thc-10-cbd-10-no-1-warlock-cbd</t>
  </si>
  <si>
    <t>Tilray THC10:CBD10 Warlock No.2</t>
  </si>
  <si>
    <t>https://flowzz.com/product/tilray-thc-10-cbd-10-no-2-warlock-cbd</t>
  </si>
  <si>
    <t>Tilray THC9:CBD9 Warlock No.1</t>
  </si>
  <si>
    <t>https://flowzz.com/product/tilray-thc-9-cbd-9-no-1-warlock-cbd</t>
  </si>
  <si>
    <t>Together Pharma</t>
  </si>
  <si>
    <t>Uganda</t>
  </si>
  <si>
    <t>https://flowzz.com/product/together-pharma-glueberry-og-glueberry-og</t>
  </si>
  <si>
    <t>Together Pharma Andromeda</t>
  </si>
  <si>
    <t>Kush Kush</t>
  </si>
  <si>
    <t>https://flowzz.com/product/together-pharma-andromeda-kush-kush</t>
  </si>
  <si>
    <t>Together Pharma Cassiopeia</t>
  </si>
  <si>
    <t>Ninja</t>
  </si>
  <si>
    <t>https://flowzz.com/product/together-pharma-cassiopeia-ninja</t>
  </si>
  <si>
    <t>Together Pharma Iapetus</t>
  </si>
  <si>
    <t>Power Plant</t>
  </si>
  <si>
    <t>https://flowzz.com/product/together-pharma-iapetus-power-plant</t>
  </si>
  <si>
    <t>Top Shelf Medical S1E1-27</t>
  </si>
  <si>
    <t>https://flowzz.com/product/top-shelf-medical-s1e1-27-flawless-victory</t>
  </si>
  <si>
    <t>Top Shelf Medical S1E3</t>
  </si>
  <si>
    <t>Wes’ Coast Kush</t>
  </si>
  <si>
    <t>https://flowzz.com/product/top-shelf-medical-s1e3-wes-coast-kush</t>
  </si>
  <si>
    <t>Vasco GG</t>
  </si>
  <si>
    <t>https://flowzz.com/product/vasco-gg-grape-gasoline</t>
  </si>
  <si>
    <t>Vasco PR 21/1</t>
  </si>
  <si>
    <t>8,80</t>
  </si>
  <si>
    <t>https://flowzz.com/product/vasco-pr-pave-runtz</t>
  </si>
  <si>
    <t>Vasco WR 21/1</t>
  </si>
  <si>
    <t>https://flowzz.com/product/cantourage-vasco-21-1-white-runtz-wr</t>
  </si>
  <si>
    <t>Vayamed 8/8 - Equiposa</t>
  </si>
  <si>
    <t>https://flowzz.com/product/8-8-vayamed-equiposa</t>
  </si>
  <si>
    <t>5,75</t>
  </si>
  <si>
    <t>https://flowzz.com/product/weeco-20-1-frosted-lemon-angel</t>
  </si>
  <si>
    <t>Weeco 27/1 KL King Louis</t>
  </si>
  <si>
    <t>Cali Sunset</t>
  </si>
  <si>
    <t>7,96</t>
  </si>
  <si>
    <t>https://flowzz.com/product/weeco-27-1-kl-king-louis</t>
  </si>
  <si>
    <t>27/1 Amici CP</t>
  </si>
  <si>
    <t>https://flowzz.com/product/27-1-amici-cp-cherry-pie</t>
  </si>
  <si>
    <t>27/1 Amici WC</t>
  </si>
  <si>
    <t>https://flowzz.com/product/27-1-amici-wc-wedding-cake</t>
  </si>
  <si>
    <t>25/1 Amici CP</t>
  </si>
  <si>
    <t>https://flowzz.com/product/25-1-amici-cp-cherry-pie</t>
  </si>
  <si>
    <t>27/1 Amici AS</t>
  </si>
  <si>
    <t>13,90</t>
  </si>
  <si>
    <t>https://flowzz.com/product/27-1-amici-as-atomic-sour-grapefruit</t>
  </si>
  <si>
    <t>27/1 Amici SB</t>
  </si>
  <si>
    <t>https://flowzz.com/product/27-1-amici-sb-strawberry-banana</t>
  </si>
  <si>
    <t>420 Evolution 22/1 CA MAC</t>
  </si>
  <si>
    <t>https://flowzz.com/product/420-evolution-22-1-ca-mac-mac-1</t>
  </si>
  <si>
    <t>29/1 Amici SB</t>
  </si>
  <si>
    <t>https://flowzz.com/product/29-1-amici-sb-strawberry-banana</t>
  </si>
  <si>
    <t>29/1 Amici WC</t>
  </si>
  <si>
    <t>https://flowzz.com/product/29-1-amici-wc-wedding-cake</t>
  </si>
  <si>
    <t>420 Compound 25/1 CA MWZ</t>
  </si>
  <si>
    <t>https://flowzz.com/product/420-compound-25-1-ca-mwz-mellowz</t>
  </si>
  <si>
    <t>420 Compound 27/1 GAP</t>
  </si>
  <si>
    <t>14,99</t>
  </si>
  <si>
    <t>https://flowzz.com/product/420-compound-27-1-gap-gastro-pop</t>
  </si>
  <si>
    <t>420 Evolution 22/1 CA PLD</t>
  </si>
  <si>
    <t>https://flowzz.com/product/420-evolution-22-1-ca-pld-plum-driver</t>
  </si>
  <si>
    <t>Cookies 22/1 - Medellin</t>
  </si>
  <si>
    <t>https://flowzz.com/product/cookies-22-1-medellin</t>
  </si>
  <si>
    <t>https://flowzz.com/product/madrecan-21-1-mac-driver</t>
  </si>
  <si>
    <t>HAPA pharm 20/1</t>
  </si>
  <si>
    <t>Amnesia Kush</t>
  </si>
  <si>
    <t>https://flowzz.com/product/hapa-pharm-thc-20-cbd-1-amnesia-kush</t>
  </si>
  <si>
    <t>Afina</t>
  </si>
  <si>
    <t>Trans-Bergamoten</t>
  </si>
  <si>
    <t>https://flowzz.com/product/bedrocan-afina</t>
  </si>
  <si>
    <t>ADREX 26/1 AK COL</t>
  </si>
  <si>
    <t>https://flowzz.com/product/adrex-26-1-ak-col-arequipe-kush</t>
  </si>
  <si>
    <t>Demecan 20:01 Florestura</t>
  </si>
  <si>
    <t>https://flowzz.com/product/demecan-20-01-florestura-amnesia-haze</t>
  </si>
  <si>
    <t>Demecan CRAFT FCF 28:01</t>
  </si>
  <si>
    <t>https://flowzz.com/product/demecan-craft-28-01-first-class-funk</t>
  </si>
  <si>
    <t>madrecan 21/1  GDY Minis</t>
  </si>
  <si>
    <t>https://flowzz.com/product/madrecan-21-1-gdy-minis-granddaddy-og</t>
  </si>
  <si>
    <t>madrecan 18/1  GDY Minis</t>
  </si>
  <si>
    <t>https://flowzz.com/product/madrecan-18-1-gdy-minis-granddaddy-og</t>
  </si>
  <si>
    <t>madrecan 18/1 PUC Minis</t>
  </si>
  <si>
    <t>https://flowzz.com/product/madrecan-18-1-puc-minis-punch-cake</t>
  </si>
  <si>
    <t>madrecan 18/1 WOP Minis</t>
  </si>
  <si>
    <t>https://flowzz.com/product/madrecan-18-1-wop-minis-wonder-punch</t>
  </si>
  <si>
    <t>avaay 30/1 MIM</t>
  </si>
  <si>
    <t>Midnight Mimosa</t>
  </si>
  <si>
    <t>https://flowzz.com/product/avaay-30-1-mim-midnight-mimosa</t>
  </si>
  <si>
    <t>avaay 24/1 AHC</t>
  </si>
  <si>
    <t>Lyonleaf</t>
  </si>
  <si>
    <t>https://flowzz.com/product/avaay-24-1-ahc-amnesia-haze-cake</t>
  </si>
  <si>
    <t>avaay 22/1 PNK</t>
  </si>
  <si>
    <t>Pineapple Nuken</t>
  </si>
  <si>
    <t>https://flowzz.com/product/avaay-22-1-pnk-pineapple-nuken</t>
  </si>
  <si>
    <t>CNBS FRF 21/1</t>
  </si>
  <si>
    <t>Fire Fruit</t>
  </si>
  <si>
    <t>https://flowzz.com/product/cnbs-frf-21-1-fire-fruit</t>
  </si>
  <si>
    <t>enua 25/1 GPP CA</t>
  </si>
  <si>
    <t>https://flowzz.com/product/enua-25-1-gpp-ca-gelly-popper</t>
  </si>
  <si>
    <t>avaay 20/1 PNK</t>
  </si>
  <si>
    <t>7,75</t>
  </si>
  <si>
    <t>https://flowzz.com/product/avaay-20-1-pnk-pineapple-nuken</t>
  </si>
  <si>
    <t>Bathera 28/1 BZ</t>
  </si>
  <si>
    <t>https://flowzz.com/product/bathera-28-1-bz-zkittlez-x-kush-mints</t>
  </si>
  <si>
    <t>Remexian 27/1 HMA PYW</t>
  </si>
  <si>
    <t>Peyote Wifi</t>
  </si>
  <si>
    <t>https://flowzz.com/product/remexian-27-1-hma-pyw-peyote-wifi</t>
  </si>
  <si>
    <t>Cannamedical CM 29/1 SPC</t>
  </si>
  <si>
    <t>10,24</t>
  </si>
  <si>
    <t>https://flowzz.com/product/cannamedical-cm-29-1-spc-space-cake</t>
  </si>
  <si>
    <t>https://flowzz.com/product/cannamedical-sativa-light-amnesia-haze-amnesia-haze</t>
  </si>
  <si>
    <t>https://flowzz.com/product/cannamedical-sativa-vita-amnesia-haze</t>
  </si>
  <si>
    <t>Drapalin 20/1</t>
  </si>
  <si>
    <t>https://flowzz.com/product/drapalin-20-1-bafokeng-choice-bafokeng-choice</t>
  </si>
  <si>
    <t>Drapalin 24/1</t>
  </si>
  <si>
    <t>https://flowzz.com/product/drapalin-24-1-bafokeng-choice-bafokeng-choice</t>
  </si>
  <si>
    <t>enua 26/1 DB CA</t>
  </si>
  <si>
    <t>https://flowzz.com/product/enua-db-ca-26-1-pink-kush</t>
  </si>
  <si>
    <t>HAPA pharm 17/1</t>
  </si>
  <si>
    <t>https://flowzz.com/product/hapa-pharm-thc-17-cbd-1-amnesia-kush</t>
  </si>
  <si>
    <t>IndiMed 20/1 ISS - DE</t>
  </si>
  <si>
    <t>https://flowzz.com/product/indimed-20-1-iss-de-island-sweet-skunk</t>
  </si>
  <si>
    <t>Materia Carbasi Verde 20/1</t>
  </si>
  <si>
    <t>https://flowzz.com/product/materia-carbasi-verde-20-1-alien-dawg</t>
  </si>
  <si>
    <t>MGF Rose Gold Runtz 22/1</t>
  </si>
  <si>
    <t>https://flowzz.com/product/mgf-rose-gold-runtz-22-1-peppermint</t>
  </si>
  <si>
    <t>NEDCANN ML 25/01</t>
  </si>
  <si>
    <t>CALI-MED</t>
  </si>
  <si>
    <t>California’s Medical</t>
  </si>
  <si>
    <t>Moonlight</t>
  </si>
  <si>
    <t>https://flowzz.com/product/nedcann-ml-25-01-moonlight</t>
  </si>
  <si>
    <t>Phyto-Hemp PHCC 20/1</t>
  </si>
  <si>
    <t>PHYTO-HEMP</t>
  </si>
  <si>
    <t>phyto-hemp</t>
  </si>
  <si>
    <t>Cherry Cookies</t>
  </si>
  <si>
    <t>https://flowzz.com/product/phyto-hemp-phcc-20-1-cherry-cookies</t>
  </si>
  <si>
    <t>Remexian 27/1 LEO</t>
  </si>
  <si>
    <t>Lemorange</t>
  </si>
  <si>
    <t>https://flowzz.com/product/remexian-27-1-leo-lemorange</t>
  </si>
  <si>
    <t>Social Choice 12/1 GRO</t>
  </si>
  <si>
    <t>4,85</t>
  </si>
  <si>
    <t>https://flowzz.com/product/social-choice-12-1-gro-do-si-dos</t>
  </si>
  <si>
    <t>Social Choice 15/1 GRO - La Kush Cake</t>
  </si>
  <si>
    <t>https://flowzz.com/product/social-choice-15-1-gro-la-kush-cake</t>
  </si>
  <si>
    <t>Spectrum 22/1 Red No. 4</t>
  </si>
  <si>
    <t>https://flowzz.com/product/red-no-4-afghan-kush</t>
  </si>
  <si>
    <t>Sumo MDLX 29/1</t>
  </si>
  <si>
    <t>https://flowzz.com/product/sumo-mdlx-mac-deluxe</t>
  </si>
  <si>
    <t>Weeco HK 20/1</t>
  </si>
  <si>
    <t>https://flowzz.com/product/weeco-hk-20-1-hindu-kush</t>
  </si>
  <si>
    <t>Canify Cannabis flos 25/1 POR Ku.</t>
  </si>
  <si>
    <t>Moroccan Peaches</t>
  </si>
  <si>
    <t>https://flowzz.com/product/canify-25-1-por-ku-moroccan-peaches</t>
  </si>
  <si>
    <t>CM Craft No.1 30/1</t>
  </si>
  <si>
    <t>Scratch n Sniff</t>
  </si>
  <si>
    <t>https://flowzz.com/product/cm-craft-no1-30-1-scratch-n-sniff</t>
  </si>
  <si>
    <t>Curaleaf Natural 18/1 PT LVC</t>
  </si>
  <si>
    <t>https://flowzz.com/product/curaleaf-natural-18-1-pt-lvc-lavender-cake</t>
  </si>
  <si>
    <t>Huala 20/1 CA GRF</t>
  </si>
  <si>
    <t>Grape Face</t>
  </si>
  <si>
    <t>https://flowzz.com/product/huala-20-1-ca-grf-grape-face</t>
  </si>
  <si>
    <t>Horbery AH 23:01</t>
  </si>
  <si>
    <t>https://flowzz.com/product/horbery-ah-23-1-do-si-dos</t>
  </si>
  <si>
    <t>Demecan Core SKYGLOW 25:01</t>
  </si>
  <si>
    <t>https://flowzz.com/product/demecan-core-skyglow-25-01-grapes-and-cream</t>
  </si>
  <si>
    <t>enua 33/1 GGZ CA</t>
  </si>
  <si>
    <t>https://flowzz.com/product/enua-33-1-ggz-ca-gogurtz</t>
  </si>
  <si>
    <t>Demecan SC Low Drop</t>
  </si>
  <si>
    <t>Vanilla Ice</t>
  </si>
  <si>
    <t>https://flowzz.com/product/demecan-sc-low-drop-vanilla-ice</t>
  </si>
  <si>
    <t>enua 25/1 ICC CA</t>
  </si>
  <si>
    <t>https://flowzz.com/product/enua-25-1-icc-ca-ice-cream-cake</t>
  </si>
  <si>
    <t>Farmako Extrakt 10:10 Spray</t>
  </si>
  <si>
    <t>https://flowzz.com/extract/farmako-extrakt-10-10-spray</t>
  </si>
  <si>
    <t>Farmako Extrakt 10:15 Spray</t>
  </si>
  <si>
    <t>https://flowzz.com/extract/farmako-extrakt-10-15-spray</t>
  </si>
  <si>
    <t>Farmako Extrakt 25:1 Spray</t>
  </si>
  <si>
    <t>https://flowzz.com/extract/farmako-extrakt-25-1-spray</t>
  </si>
  <si>
    <t>Farmako Extrakt 50:1 Spray</t>
  </si>
  <si>
    <t>https://flowzz.com/extract/farmako-extrakt-50-1-spray</t>
  </si>
  <si>
    <t>Sibanax Extrakt 25/0</t>
  </si>
  <si>
    <t>https://flowzz.com/extract/sibanax-extrakt-25-0</t>
  </si>
  <si>
    <t>420 Compound 20/1 PT TGY</t>
  </si>
  <si>
    <t>https://flowzz.com/product/420-compound-20-1-pt-tgy</t>
  </si>
  <si>
    <t>420 Compound 22/1 GAP</t>
  </si>
  <si>
    <t>https://flowzz.com/product/420-compound-22-1-gap-gastro-pop</t>
  </si>
  <si>
    <t>420 Compound 25/1 GAP</t>
  </si>
  <si>
    <t>https://flowzz.com/product/420-compound-25-1-gap-gastro-pop</t>
  </si>
  <si>
    <t>420 Evolution 25/1 FLM CA</t>
  </si>
  <si>
    <t>https://flowzz.com/product/420-evolution-25-1-ca-flm-frozen-lemon-mints</t>
  </si>
  <si>
    <t>420 Sungrown 25/1 CA LLY</t>
  </si>
  <si>
    <t>https://flowzz.com/product/420-sungrown-25-1-ca-lly-legendary-larry</t>
  </si>
  <si>
    <t>BOTANICS Golden Ace 24/1</t>
  </si>
  <si>
    <t>https://flowzz.com/product/botanics-golden-ace-24-1-orange-panties</t>
  </si>
  <si>
    <t>BOTANICS Purple Cream 24/1</t>
  </si>
  <si>
    <t>https://flowzz.com/product/botanics-purple-cream-24-1-purple-ice-water</t>
  </si>
  <si>
    <t>Can Hydro PPC 21/1</t>
  </si>
  <si>
    <t>https://flowzz.com/product/can-hydro-ppc-21-1-purple-punch-cookies</t>
  </si>
  <si>
    <t>Canify Pure 21/1 LS KU.</t>
  </si>
  <si>
    <t>https://flowzz.com/product/canify-pure-21-1-ls-ku-exodus-cheese</t>
  </si>
  <si>
    <t>Cannamedical CM 33/1 DM</t>
  </si>
  <si>
    <t>10,68</t>
  </si>
  <si>
    <t>https://flowzz.com/product/cannamedical-cm-33-1-dm-diamond-mints</t>
  </si>
  <si>
    <t>enua 22/1 SBD CA - Strawberry Diesel</t>
  </si>
  <si>
    <t>https://flowzz.com/product/enua-22-1-sbd-ca-strawberry-diesel</t>
  </si>
  <si>
    <t>enua 25/1 ABG CA</t>
  </si>
  <si>
    <t>https://flowzz.com/product/enua-25-1-abg-ca-sweets</t>
  </si>
  <si>
    <t>enua 25/1 BDO CA</t>
  </si>
  <si>
    <t>https://flowzz.com/product/enua-25-1-bdo-ca-black-dolato</t>
  </si>
  <si>
    <t>enua 25/1 SG CA</t>
  </si>
  <si>
    <t>https://flowzz.com/product/enua-25-1-sg-ca-sherbert-glue</t>
  </si>
  <si>
    <t>enua 27/1 ABG CA</t>
  </si>
  <si>
    <t>https://flowzz.com/product/enua-27-1-abg-ca-sweets</t>
  </si>
  <si>
    <t>enua 27/1 ICC CA</t>
  </si>
  <si>
    <t>https://flowzz.com/product/enua-27-1-icc-ca-ice-cream-cake</t>
  </si>
  <si>
    <t>LOT 420 AB 25/1</t>
  </si>
  <si>
    <t>10,79</t>
  </si>
  <si>
    <t>https://flowzz.com/product/lot-420-ab-25-1-apples-bananas</t>
  </si>
  <si>
    <t>LOT 420 AB PT</t>
  </si>
  <si>
    <t>https://flowzz.com/product/lot-420-ab-pt-apples-bananas</t>
  </si>
  <si>
    <t>Soma OG 30/1 FG</t>
  </si>
  <si>
    <t>https://flowzz.com/product/soma-og-30-1-gelato-sherbert</t>
  </si>
  <si>
    <t>Soma OG 30/1 FG GOG Indica</t>
  </si>
  <si>
    <t>Ghost OG</t>
  </si>
  <si>
    <t>https://flowzz.com/product/soma-30-1-fg-indica-ghost-og</t>
  </si>
  <si>
    <t>Wellford Aquaponic 23/1 QSG</t>
  </si>
  <si>
    <t>https://flowzz.com/product/wellford-aquaponic-23-1-qsg-queen-sang</t>
  </si>
  <si>
    <t>Wellford Aquaponic 29/1 QSG</t>
  </si>
  <si>
    <t>https://flowzz.com/product/wellford-aquaponic-29-1-qsg-queen-sang</t>
  </si>
  <si>
    <t>IMC HDK THC26</t>
  </si>
  <si>
    <t>Chevy OG</t>
  </si>
  <si>
    <t>https://flowzz.com/product/imc-hdk-thc26-chevy-og</t>
  </si>
  <si>
    <t>IMC GO THC27</t>
  </si>
  <si>
    <t>https://flowzz.com/product/imc-go-thc27-jokerz-53</t>
  </si>
  <si>
    <t>IMC RGP THC26 26/1</t>
  </si>
  <si>
    <t>Rose Gold Pave</t>
  </si>
  <si>
    <t>https://flowzz.com/product/imc-rgp-thc26-26-1-rose-gold-pave</t>
  </si>
  <si>
    <t>Africann GG</t>
  </si>
  <si>
    <t>https://flowzz.com/product/africann-gg-gorilla-glue</t>
  </si>
  <si>
    <t>Citizen Labs CR 32/1</t>
  </si>
  <si>
    <t>Cali Rain</t>
  </si>
  <si>
    <t>https://flowzz.com/product/citizen-labs-cr-32-1-cali-rain</t>
  </si>
  <si>
    <t>Demecan Core Moonbow 23/1</t>
  </si>
  <si>
    <t>Moonbow 112 IX</t>
  </si>
  <si>
    <t>https://flowzz.com/product/demecan-core-moonbow-23-1-moonbow-112-ix</t>
  </si>
  <si>
    <t>NICE 26/1 LC</t>
  </si>
  <si>
    <t>Lemon Cookies</t>
  </si>
  <si>
    <t>https://flowzz.com/product/nice-26-1-lc-lemon-cookies</t>
  </si>
  <si>
    <t>Bathera 28/1 FC</t>
  </si>
  <si>
    <t>https://flowzz.com/product/bathera-28-1-fine-cookies</t>
  </si>
  <si>
    <t>Remexian Balanced CNF MCC 8/14</t>
  </si>
  <si>
    <t>Mango Cheese</t>
  </si>
  <si>
    <t>https://flowzz.com/product/remexian-balanced-cnf-mcc-8-14-mango-cheese</t>
  </si>
  <si>
    <t>Remexian 24/1 PRT SCK</t>
  </si>
  <si>
    <t>https://flowzz.com/product/remexian-24-1-sck-strawberry-cookies</t>
  </si>
  <si>
    <t>Remexian 30/1 PRT ROG</t>
  </si>
  <si>
    <t>Petrol OG</t>
  </si>
  <si>
    <t>https://flowzz.com/product/remexian-30-1-prt-rog-petrol-og</t>
  </si>
  <si>
    <t>Green Karat MG 31/1</t>
  </si>
  <si>
    <t>https://flowzz.com/product/green-karat-mg-modified-gas-30-1</t>
  </si>
  <si>
    <t>All Nations GM 30/1</t>
  </si>
  <si>
    <t>https://flowzz.com/product/all-nations-gm-30-1-mac-doughnut</t>
  </si>
  <si>
    <t>Organic Sweetgrass CB 25/1</t>
  </si>
  <si>
    <t>Crunch Berries</t>
  </si>
  <si>
    <t>Sweetgrass Cannabis</t>
  </si>
  <si>
    <t>https://flowzz.com/product/organic-sweetgrass-cb-25-1-crunch-berries</t>
  </si>
  <si>
    <t>enua 25/1 UDC CA</t>
  </si>
  <si>
    <t>Upside Down Cake</t>
  </si>
  <si>
    <t>https://flowzz.com/product/enua-25-1-udc-ca-upside-down-cake</t>
  </si>
  <si>
    <t>Avant 24/1 CCR</t>
  </si>
  <si>
    <t>Lemon Jane</t>
  </si>
  <si>
    <t>https://flowzz.com/product/avant-24-1-ccr-lemon-jane</t>
  </si>
  <si>
    <t>ADREX Mother 28 AIS CAN 28/1</t>
  </si>
  <si>
    <t>Apes in Space</t>
  </si>
  <si>
    <t>https://flowzz.com/product/adrex-mother-28-ais-can-28-1-apes-in-space</t>
  </si>
  <si>
    <t>aleph Matterhorn 25/1</t>
  </si>
  <si>
    <t>Banjo</t>
  </si>
  <si>
    <t>https://flowzz.com/product/aleph-matterhorn-26-1-banjo</t>
  </si>
  <si>
    <t>All Nations GM 104</t>
  </si>
  <si>
    <t>https://flowzz.com/product/all-nations-gm-104-mac-doughnut</t>
  </si>
  <si>
    <t>BLKMKT LAW THC27</t>
  </si>
  <si>
    <t>LA WoMAC</t>
  </si>
  <si>
    <t>Lit Farms</t>
  </si>
  <si>
    <t>https://flowzz.com/product/blkmkt-law-thc27-27-1-la-womac</t>
  </si>
  <si>
    <t>Breezy Organics CGL 25/1</t>
  </si>
  <si>
    <t>Lime Haze</t>
  </si>
  <si>
    <t>https://flowzz.com/product/breezy-organics-cgl-25-1-lime-haze</t>
  </si>
  <si>
    <t>Canify 24/1 LS</t>
  </si>
  <si>
    <t>White Lemon</t>
  </si>
  <si>
    <t>https://flowzz.com/product/canify-24-1-ls-white-lemon</t>
  </si>
  <si>
    <t>Canify Cannabis flos 27/1 PRT Ku.</t>
  </si>
  <si>
    <t>https://flowzz.com/product/canify-cannabis-flos-27-1-prt-ku-strawberry-banana</t>
  </si>
  <si>
    <t>Cannamedical Hybrid forte URY - White Gorilla Smalls</t>
  </si>
  <si>
    <t>https://flowzz.com/product/cannamedical-hybrid-forte-ury-white-gorilla-smalls</t>
  </si>
  <si>
    <t>Cannamedical Sativa forte - Duke Smalls</t>
  </si>
  <si>
    <t>https://flowzz.com/product/cannamedical-sativa-forte-duke-smalls</t>
  </si>
  <si>
    <t>IMC 24K THC26</t>
  </si>
  <si>
    <t>Egoist</t>
  </si>
  <si>
    <t>https://flowzz.com/product/imc-chd-thc26-egoist</t>
  </si>
  <si>
    <t>IMC ADE THC 26 26/1</t>
  </si>
  <si>
    <t>Face Off OG</t>
  </si>
  <si>
    <t>https://flowzz.com/product/imc-ade-thc-26-1-face-off-og</t>
  </si>
  <si>
    <t>MGF 069er 22/1</t>
  </si>
  <si>
    <t>https://flowzz.com/product/mgf-069er-22-1-apples-and-bananas</t>
  </si>
  <si>
    <t>MGF PC 22/1</t>
  </si>
  <si>
    <t>https://flowzz.com/product/mgf-pc-22-1-apples-and-bananas</t>
  </si>
  <si>
    <t>MGF PG 18/1</t>
  </si>
  <si>
    <t>Peppermint Guava</t>
  </si>
  <si>
    <t>https://flowzz.com/product/mgf-pg-18-1-peppermint-guava</t>
  </si>
  <si>
    <t>NICE 17/1 DD</t>
  </si>
  <si>
    <t>https://flowzz.com/product/nice-17-1-dd-do-si-dos</t>
  </si>
  <si>
    <t>NICE 17/1 KC</t>
  </si>
  <si>
    <t>https://flowzz.com/product/nice-17-1-kc-la-kush-cake</t>
  </si>
  <si>
    <t>NICE 18/1 CC</t>
  </si>
  <si>
    <t>https://flowzz.com/product/nice-18-1-cc-cookies-and-cream</t>
  </si>
  <si>
    <t>NICE 20/1 KC</t>
  </si>
  <si>
    <t>https://flowzz.com/product/nice-20-1-kc-la-kush-cake</t>
  </si>
  <si>
    <t>NICE 20/1 MB</t>
  </si>
  <si>
    <t>https://flowzz.com/product/nice-20-1-mb-motor-breath</t>
  </si>
  <si>
    <t>NICE 22/1 JS</t>
  </si>
  <si>
    <t>Jack Skunkset</t>
  </si>
  <si>
    <t>https://flowzz.com/product/nce-22-1-js-jack-skunkset</t>
  </si>
  <si>
    <t>NICE 24/1 CG</t>
  </si>
  <si>
    <t>Lemon Cherry Gelato</t>
  </si>
  <si>
    <t>https://flowzz.com/product/nice-24-1--cg-lemon-cherry-gelatto</t>
  </si>
  <si>
    <t>Nimbus 27/1</t>
  </si>
  <si>
    <t>https://flowzz.com/product/nimbus-27-1-pink-gas</t>
  </si>
  <si>
    <t>NOC KS 18/1</t>
  </si>
  <si>
    <t>KO x Sherbet Shocker</t>
  </si>
  <si>
    <t>Argentinien</t>
  </si>
  <si>
    <t>https://flowzz.com/product/noc-ks-18-1-ko-x-sherbet-shocker</t>
  </si>
  <si>
    <t>NOC LF 20/1</t>
  </si>
  <si>
    <t>Orangina 2.0</t>
  </si>
  <si>
    <t>https://flowzz.com/product/noc-lf-20-1-orangina-20</t>
  </si>
  <si>
    <t>Remexian 27/1 PRT SCK</t>
  </si>
  <si>
    <t>https://flowzz.com/product/remexian-27-1-sck-strawberry-cookies</t>
  </si>
  <si>
    <t>Remexian 30/1 GJY FLV</t>
  </si>
  <si>
    <t>9,33</t>
  </si>
  <si>
    <t>https://flowzz.com/product/remexian-30-1-flv-flawless-victory</t>
  </si>
  <si>
    <t>Soma OG 28/1 FG GOG Indica</t>
  </si>
  <si>
    <t>https://flowzz.com/product/soma-28-1-fg-indica-ghost-og</t>
  </si>
  <si>
    <t>Alaska</t>
  </si>
  <si>
    <t>5,29</t>
  </si>
  <si>
    <t>CNBS Gelo 22/1 - Gelonade</t>
  </si>
  <si>
    <t>https://flowzz.com/product/cnbs-gelo-22-1-gelonade</t>
  </si>
  <si>
    <t>Demecan Core Saxonia 28:01</t>
  </si>
  <si>
    <t>Wedding Cake x Jet Fuel Gelato</t>
  </si>
  <si>
    <t>https://flowzz.com/product/demecan-core-saxonia-28-01-wedding-cake-jet-fuel-gelato</t>
  </si>
  <si>
    <t>Remexian 30/1 NL CGA</t>
  </si>
  <si>
    <t>Creamy Gas</t>
  </si>
  <si>
    <t>https://flowzz.com/product/remexian-30-1-nl-cga-creamy-gas</t>
  </si>
  <si>
    <t>Barongo 27/1 - Mac 3</t>
  </si>
  <si>
    <t>MAC 3</t>
  </si>
  <si>
    <t>https://flowzz.com/product/barongo-27-1-mac-3</t>
  </si>
  <si>
    <t>420 Compound 30/1 CA RPV</t>
  </si>
  <si>
    <t>https://flowzz.com/product/420-compound-30-1-ca-rpv-rose-gold-pave</t>
  </si>
  <si>
    <t>enua SSV CA 25/1</t>
  </si>
  <si>
    <t>Sweet San Valley</t>
  </si>
  <si>
    <t>https://flowzz.com/product/enua-ssv-ca-25-1-sweet-san-valley</t>
  </si>
  <si>
    <t>avaay 32/1 AHC</t>
  </si>
  <si>
    <t>https://flowzz.com/product/avaay-32-1-ahc-amnesia-haze-cake</t>
  </si>
  <si>
    <t>420 Sungrown 22/1 CA Dog</t>
  </si>
  <si>
    <t>https://flowzz.com/product/420-sungrown-22-1-ca-dog-chemdog</t>
  </si>
  <si>
    <t>Mediprocan Simba 25/1</t>
  </si>
  <si>
    <t>Purple Panther</t>
  </si>
  <si>
    <t>Simbabwe</t>
  </si>
  <si>
    <t>https://flowzz.com/product/mediprocan-simba-25-1-purple-panther</t>
  </si>
  <si>
    <t>Demecan Core JM7 28/1</t>
  </si>
  <si>
    <t>Jelly Mints</t>
  </si>
  <si>
    <t>https://flowzz.com/product/demecan-core-jm7-28-1-jelly-mints</t>
  </si>
  <si>
    <t>420 Evolution 30/1 CA PCH</t>
  </si>
  <si>
    <t>Peach Chementine</t>
  </si>
  <si>
    <t>https://flowzz.com/product/420-evolution-30-1-ca-peach-chementine</t>
  </si>
  <si>
    <t>Demecan BH Lean Drop 22/1</t>
  </si>
  <si>
    <t>Sunset Sherbet</t>
  </si>
  <si>
    <t>https://flowzz.com/product/demecan-bh-lean-drop-22-1-sunset-sherbet</t>
  </si>
  <si>
    <t>Canify Basic 18/1 LS</t>
  </si>
  <si>
    <t>Durban Sky</t>
  </si>
  <si>
    <t>5,65</t>
  </si>
  <si>
    <t>https://flowzz.com/product/canify-durban-sky-18-1-durban-sky</t>
  </si>
  <si>
    <t>420 Evolution 33/1 CA PCH</t>
  </si>
  <si>
    <t>11,40</t>
  </si>
  <si>
    <t>https://flowzz.com/product/420-evolution-33-1-ca-peach-chementine</t>
  </si>
  <si>
    <t>avaay Signature 25/1 HYP</t>
  </si>
  <si>
    <t>Hyperion</t>
  </si>
  <si>
    <t>https://flowzz.com/product/avaay-signature-25-1-hyp-hyperion</t>
  </si>
  <si>
    <t>Pedanios 16/1 TNG-CA</t>
  </si>
  <si>
    <t>https://flowzz.com/product/pedanios-16-1-tng-dk-tangerine-dream</t>
  </si>
  <si>
    <t>Pedanios 31/1 CMK-CA</t>
  </si>
  <si>
    <t>Chemango Kush</t>
  </si>
  <si>
    <t>https://flowzz.com/product/pedanios-31-1-cmk-ca-chemango-kush</t>
  </si>
  <si>
    <t>ZOIKS 22/1 CHZ</t>
  </si>
  <si>
    <t>Columbian Haze</t>
  </si>
  <si>
    <t>Pharmacol Cannabis S.A.S.</t>
  </si>
  <si>
    <t>https://flowzz.com/product/zoiks-22-1-chz-columbian-haze</t>
  </si>
  <si>
    <t>aleph rose 16/1</t>
  </si>
  <si>
    <t>https://flowzz.com/product/aleph-rose-16-1-tropicana-haze</t>
  </si>
  <si>
    <t>enua 20/1 BNM CA</t>
  </si>
  <si>
    <t>Banana Mints</t>
  </si>
  <si>
    <t>https://flowzz.com/product/enua-20-1-bnm-ca-banana-mints</t>
  </si>
  <si>
    <t>NICE 24/1 BL</t>
  </si>
  <si>
    <t>Black Lime</t>
  </si>
  <si>
    <t>https://flowzz.com/product/nice-24-1-bl-black-lime</t>
  </si>
  <si>
    <t>Tweed 17/1</t>
  </si>
  <si>
    <t>https://flowzz.com/product/tweed-17-1-gelato-33</t>
  </si>
  <si>
    <t>Tweed 22/1</t>
  </si>
  <si>
    <t>https://flowzz.com/product/tweed-22-1-jack-herer</t>
  </si>
  <si>
    <t>Becanex PIEX 2 70% THC Rohextrakt</t>
  </si>
  <si>
    <t>BECANEX</t>
  </si>
  <si>
    <t>Becanex GmbH</t>
  </si>
  <si>
    <t>120,00</t>
  </si>
  <si>
    <t>https://flowzz.com/extract/becanex-piex-2-70-thc-rohextrakt</t>
  </si>
  <si>
    <t>Tweed Balanced 6/8</t>
  </si>
  <si>
    <t>https://flowzz.com/product/tweed-balanced-6-8-caramel</t>
  </si>
  <si>
    <t>420 Evolution 25/1 CA PCH</t>
  </si>
  <si>
    <t>https://flowzz.com/product/420-evolution-25-1-ca-peach-chementine</t>
  </si>
  <si>
    <t>420 Evolution 27/1 CA PCH</t>
  </si>
  <si>
    <t>https://flowzz.com/product/420-evolution-27-1-ca-peach-chementine</t>
  </si>
  <si>
    <t>ADREX 28 CAN</t>
  </si>
  <si>
    <t>https://flowzz.com/product/adrex-28-koko-can-cookies</t>
  </si>
  <si>
    <t>Canify Cannabis flos 27/1 POR Ku.</t>
  </si>
  <si>
    <t>Chapel of Love</t>
  </si>
  <si>
    <t>https://flowzz.com/product/canify-cannabis-flos-27-1-por-ku-chapel-of-love</t>
  </si>
  <si>
    <t>Roxton Air FC PT 25/1</t>
  </si>
  <si>
    <t>https://flowzz.com/product/roxton-air-fc-pt-frosted-cookies</t>
  </si>
  <si>
    <t>Demecan Craft OMG 22/1</t>
  </si>
  <si>
    <t>https://flowzz.com/product/demecan-craft-omg-22-1-glitter-pop-bomb</t>
  </si>
  <si>
    <t>avaay 34/1 MIM</t>
  </si>
  <si>
    <t>https://flowzz.com/product/avaay-34-1-mim-midnight-mimosa</t>
  </si>
  <si>
    <t>27/1 NICE S</t>
  </si>
  <si>
    <t>https://flowzz.com/product/27-1-nce-s-strawberry-banana</t>
  </si>
  <si>
    <t>22/1 Amici BH</t>
  </si>
  <si>
    <t>https://flowzz.com/product/22-1-amici-bh-blueberry-headband</t>
  </si>
  <si>
    <t>MGF Pop Up No. 1</t>
  </si>
  <si>
    <t>https://flowzz.com/product/mgf-pop-up-no-1-apples-and-bananas</t>
  </si>
  <si>
    <t>Tilray CRAFT THC25</t>
  </si>
  <si>
    <t>Triangle Mints</t>
  </si>
  <si>
    <t>12,50</t>
  </si>
  <si>
    <t>https://flowzz.com/product/tilray-craft-thc25-triangle-mints</t>
  </si>
  <si>
    <t>Demecan CORE SAXONIA 28:01 LB</t>
  </si>
  <si>
    <t>La Bomba No.4</t>
  </si>
  <si>
    <t>https://flowzz.com/product/demecan-core-saxonia-28-01-lb-la-bomba-no-4</t>
  </si>
  <si>
    <t>enua 25/1 MAC 1 CA</t>
  </si>
  <si>
    <t>Miracle Alien Cookies</t>
  </si>
  <si>
    <t>https://flowzz.com/product/enua-25-1-mac-1-ca-miracle-alien-cookies</t>
  </si>
  <si>
    <t>Remexian Balanced CNF MCC 10/13</t>
  </si>
  <si>
    <t>https://flowzz.com/product/remexian-balanced-cnf-mcc-10-13-mango-cheese</t>
  </si>
  <si>
    <t>enua 27/1 GMO CA</t>
  </si>
  <si>
    <t>https://flowzz.com/product/enua-27-1-gmo-ca-koko-cookies</t>
  </si>
  <si>
    <t>enua 27/1 ZKM CA</t>
  </si>
  <si>
    <t>Zkittlez Kushmints</t>
  </si>
  <si>
    <t>https://flowzz.com/product/enua-27-1-zkm-ca-zkittlez-kushmints</t>
  </si>
  <si>
    <t>Remexian 30/1 CRX GSH</t>
  </si>
  <si>
    <t>https://flowzz.com/product/remexian-30-1-crx-gsh-gelato-sherb</t>
  </si>
  <si>
    <t>Remexian 33/1 BAG GJY</t>
  </si>
  <si>
    <t>https://flowzz.com/product/remexian-33-1-bag-banana-gas</t>
  </si>
  <si>
    <t>Cookies 26/1 MD</t>
  </si>
  <si>
    <t>7,72</t>
  </si>
  <si>
    <t>https://flowzz.com/product/cookies-26-1-md-medellin</t>
  </si>
  <si>
    <t>enua 27/1 ZS CA</t>
  </si>
  <si>
    <t>Zurple Syrup</t>
  </si>
  <si>
    <t>https://flowzz.com/product/enua-27-1-zs-ca-zurple-syrup</t>
  </si>
  <si>
    <t>Remexian 27/1 GMO:</t>
  </si>
  <si>
    <t>8,87</t>
  </si>
  <si>
    <t>https://flowzz.com/product/remexian-27-1-gmo-breath</t>
  </si>
  <si>
    <t>Huala 22/1 UK CIN</t>
  </si>
  <si>
    <t>5,24</t>
  </si>
  <si>
    <t>https://flowzz.com/product/huala-22-1-uk-cin-cinderella-kush</t>
  </si>
  <si>
    <t>avaay 35/1 SCG</t>
  </si>
  <si>
    <t>https://flowzz.com/product/avaay-35-1-scg-super-citra-g</t>
  </si>
  <si>
    <t>aleph red 27/1</t>
  </si>
  <si>
    <t>Hokuzai</t>
  </si>
  <si>
    <t>https://flowzz.com/product/aleph-red-27-1-hokuzai</t>
  </si>
  <si>
    <t>aleph purple 26/1</t>
  </si>
  <si>
    <t>Straight Candy Gas</t>
  </si>
  <si>
    <t>https://flowzz.com/product/aleph-purple-26-1-straight-candy-gas</t>
  </si>
  <si>
    <t>MGF  26/1 King Bling</t>
  </si>
  <si>
    <t>King Bling</t>
  </si>
  <si>
    <t>https://flowzz.com/product/mgf-king-bling-26-1-king-bling</t>
  </si>
  <si>
    <t>Bathera 33/1 PP</t>
  </si>
  <si>
    <t>https://flowzz.com/product/bathera-33-1-pp-polar-pop</t>
  </si>
  <si>
    <t>30/1 Amici UL</t>
  </si>
  <si>
    <t>Ultra Limelight</t>
  </si>
  <si>
    <t>https://flowzz.com/product/30-1-amici-ul-ultra-limelight</t>
  </si>
  <si>
    <t>Northbound 25/1 GAB</t>
  </si>
  <si>
    <t>https://flowzz.com/product/northbound-25-1-gab-garlic-breath</t>
  </si>
  <si>
    <t>IMC PDE THC25</t>
  </si>
  <si>
    <t>Platinum Delight</t>
  </si>
  <si>
    <t>https://flowzz.com/product/imc-pde-thc25-platinum-delight</t>
  </si>
  <si>
    <t>IMC BD THC25</t>
  </si>
  <si>
    <t>Set Fire</t>
  </si>
  <si>
    <t>https://flowzz.com/product/imc-bd-thc25-set-fire</t>
  </si>
  <si>
    <t>IMC AGD THC25</t>
  </si>
  <si>
    <t>Afghani Drifter</t>
  </si>
  <si>
    <t>https://flowzz.com/product/imc-agd-thc25-afghani-drifter</t>
  </si>
  <si>
    <t>IMC BBQK THC21</t>
  </si>
  <si>
    <t>Korean BBQ</t>
  </si>
  <si>
    <t>https://flowzz.com/product/imc-bbqk-thc21-korean-bbq</t>
  </si>
  <si>
    <t>IMC NCC THC21</t>
  </si>
  <si>
    <t>https://flowzz.com/product/imc-ncc-thc21-21-1-cookies-and-cream</t>
  </si>
  <si>
    <t>MGF Pop Up No. 4 PU</t>
  </si>
  <si>
    <t>SFV OG Kush</t>
  </si>
  <si>
    <t>https://flowzz.com/product/mgf-pop-up-no-4-pu</t>
  </si>
  <si>
    <t>MGF Pop Up No. 4</t>
  </si>
  <si>
    <t>https://flowzz.com/product/mgf-pop-up-no-4-rpv-rose-gold-pave</t>
  </si>
  <si>
    <t>https://flowzz.com/product/mgf-pop-up-no-4-jokerz-53</t>
  </si>
  <si>
    <t>Wellford Aquaponic 30/1 QSG</t>
  </si>
  <si>
    <t>https://flowzz.com/product/wellford-aquaponic-30-1-qsg-queen-sang</t>
  </si>
  <si>
    <t>420 Natural 22/1 CA TRP</t>
  </si>
  <si>
    <t>https://flowzz.com/product/420-natural-22-1-ca-trp</t>
  </si>
  <si>
    <t>avaay Signature 34/1 OGC</t>
  </si>
  <si>
    <t>https://flowzz.com/product/avaay-signature-34-1-ogc-ocean-grown-cookies</t>
  </si>
  <si>
    <t>avaay Signature 29/1 OGC</t>
  </si>
  <si>
    <t>https://flowzz.com/product/avaay-signature-29-1-ogc-ocean-grown-cookies</t>
  </si>
  <si>
    <t>420 Evolution 36/1 CA PCH</t>
  </si>
  <si>
    <t>11,48</t>
  </si>
  <si>
    <t>https://flowzz.com/product/420-evolution-36-1-ca-peach-chementine</t>
  </si>
  <si>
    <t>Tweed 23/1 - Wappa</t>
  </si>
  <si>
    <t>https://flowzz.com/product/tweed-23-1-wappa</t>
  </si>
  <si>
    <t>avaay Khalifa 28/1 KM</t>
  </si>
  <si>
    <t>Khalifa Mints</t>
  </si>
  <si>
    <t>https://flowzz.com/product/avaay-khalifa-28-1-km-khalifa-mints</t>
  </si>
  <si>
    <t>420 Sungrown 18/1 CA Dog</t>
  </si>
  <si>
    <t>https://flowzz.com/product/420-sungrown-18-1-ca-dog-chemdog</t>
  </si>
  <si>
    <t>madrecan 24/1 DGV</t>
  </si>
  <si>
    <t>Dougs Varin</t>
  </si>
  <si>
    <t>https://flowzz.com/product/madrecan-24-1-dgv-dougs-varin</t>
  </si>
  <si>
    <t>Therismos 28/1 PKM</t>
  </si>
  <si>
    <t>Pink Kush Mints</t>
  </si>
  <si>
    <t>9,46</t>
  </si>
  <si>
    <t>https://flowzz.com/product/therismos-28-1-pkm-pink-kush-mints</t>
  </si>
  <si>
    <t>enua 22/1 BNM CA</t>
  </si>
  <si>
    <t>7,79</t>
  </si>
  <si>
    <t>https://flowzz.com/product/enua-22-1-bnm-ca-banana-mints</t>
  </si>
  <si>
    <t>Red Bullz</t>
  </si>
  <si>
    <t>https://flowzz.com/product/mgf-pop-up-no-1-red-bullz</t>
  </si>
  <si>
    <t>Demecan Core Solar 21/1</t>
  </si>
  <si>
    <t>https://flowzz.com/product/demecan-core-solar-21-1-black-russian</t>
  </si>
  <si>
    <t>Remexian 30/1 CRN GRB</t>
  </si>
  <si>
    <t>9,09</t>
  </si>
  <si>
    <t>https://flowzz.com/product/remexian-30-1-crm-grb-garlic-breath</t>
  </si>
  <si>
    <t>420 Sungrown 27/1 CA ZRP</t>
  </si>
  <si>
    <t>https://flowzz.com/product/420-sungrown-27-1-ca-zrp</t>
  </si>
  <si>
    <t>Ceres Cap J 30/1</t>
  </si>
  <si>
    <t>https://flowzz.com/product/ceres-cap-j-30-1-cap-junky</t>
  </si>
  <si>
    <t>Canify Cannabis flos 23/1 PRT Ku. S</t>
  </si>
  <si>
    <t>https://flowzz.com/product/canify-cannabis-flos-23-1-prt-ku-s-black-cherry-pie</t>
  </si>
  <si>
    <t>Cannamedical Indica forte URY Smalls</t>
  </si>
  <si>
    <t>https://flowzz.com/product/cannamedical-indica-forte-ury-dawg-bud-fusion-smalls</t>
  </si>
  <si>
    <t>enua 25/1 ICCK CA</t>
  </si>
  <si>
    <t>https://flowzz.com/product/enua-25-1-icck-ca-ice-cream-cake</t>
  </si>
  <si>
    <t>enua 22/1 ICCK CA</t>
  </si>
  <si>
    <t>https://flowzz.com/product/enua-22-1-icck-ca-ice-cream-cake</t>
  </si>
  <si>
    <t>enua 20/1 ICCK CA</t>
  </si>
  <si>
    <t>https://flowzz.com/product/enua-20-1-icck-ca-ice-cream-cake</t>
  </si>
  <si>
    <t>Wellford Aquaponic 26/1 BOC</t>
  </si>
  <si>
    <t>Bozy's Cure</t>
  </si>
  <si>
    <t>https://flowzz.com/product/wellford-aquaponic-26-1-bozys-cure</t>
  </si>
  <si>
    <t>Wellford Aquaponic 30/1 PKM</t>
  </si>
  <si>
    <t>https://flowzz.com/product/wellford-30-1-pik-pink-kush</t>
  </si>
  <si>
    <t>Demecan HS Lean Drop 20/1</t>
  </si>
  <si>
    <t>Mandarin Soda</t>
  </si>
  <si>
    <t>https://flowzz.com/product/demecan-hs-lean-drop-20-1-mandarin-soda</t>
  </si>
  <si>
    <t>Lavender Clouds</t>
  </si>
  <si>
    <t>https://flowzz.com/product/cannamedical-sativa-vita-lavender-clouds</t>
  </si>
  <si>
    <t>enua SSV CA 22/1</t>
  </si>
  <si>
    <t>https://flowzz.com/product/enua-ssv-ca-22-1-sweet-san-valley</t>
  </si>
  <si>
    <t>Cannamedical Sativa Light</t>
  </si>
  <si>
    <t>https://flowzz.com/product/cannamedical-sativa-light-lavender-clouds</t>
  </si>
  <si>
    <t>avaay 27/1 DID</t>
  </si>
  <si>
    <t>https://flowzz.com/product/avaay-27-1-did-do-si-dos</t>
  </si>
  <si>
    <t>420 Compound 30/1 RPV</t>
  </si>
  <si>
    <t>https://flowzz.com/product/420-compound-30-1-rpv-rose-gold-pave</t>
  </si>
  <si>
    <t>420 Compound 27/1 RPV</t>
  </si>
  <si>
    <t>https://flowzz.com/product/420-compound-27-1-rpv-rose-gold-pave</t>
  </si>
  <si>
    <t>avaay Khalifa 32/1 KK</t>
  </si>
  <si>
    <t>Khalifa Kush</t>
  </si>
  <si>
    <t>https://flowzz.com/product/avaay-khalifa-32-1-kk-khalifa-kush</t>
  </si>
  <si>
    <t>https://flowzz.com/product/canify-cannabis-flos-25-1-prt-ku-black-cherry-pie</t>
  </si>
  <si>
    <t>Pedanios 28/1 CMK-CA</t>
  </si>
  <si>
    <t>https://flowzz.com/product/pedanios-28-1-cmk-ca-chemango-kush</t>
  </si>
  <si>
    <t>https://flowzz.com/product/tilray-thc22-spotlight-porto-jean-guy</t>
  </si>
  <si>
    <t>420 Sungrown 27/1 CA LLY</t>
  </si>
  <si>
    <t>https://flowzz.com/product/420-sungrown-27-1-ca-lly-legendary-larry</t>
  </si>
  <si>
    <t>Cannamedical Indica Classic URY Smalls</t>
  </si>
  <si>
    <t>https://flowzz.com/product/cannamedical-indica-classic-ury-cheddar-skunk-smalls</t>
  </si>
  <si>
    <t>madrecan 18/1 Mac Minis</t>
  </si>
  <si>
    <t>https://flowzz.com/product/madrecan-18-1-mac-minis-mac-2-0</t>
  </si>
  <si>
    <t>BC Green 20/1 CPC</t>
  </si>
  <si>
    <t>https://flowzz.com/product/bc-green-20-1-cpc-cappuccino</t>
  </si>
  <si>
    <t>Wellford Aquaponic 30/1 ATG</t>
  </si>
  <si>
    <t>https://flowzz.com/product/wellford-aquaponic-30-1-atg-atlantic-glue</t>
  </si>
  <si>
    <t>Demecan Craft 22/1</t>
  </si>
  <si>
    <t>https://flowzz.com/product/craft-permanent-marker-22-01</t>
  </si>
  <si>
    <t>Pedanios 14/1 TNG-CA</t>
  </si>
  <si>
    <t>https://flowzz.com/product/pedanios-14-1-tng-dk-tangerine-dream</t>
  </si>
  <si>
    <t>PureCan Cooki3 S 25/1</t>
  </si>
  <si>
    <t>https://flowzz.com/product/cookies-b4nana-25-1-girl-scout-cookies</t>
  </si>
  <si>
    <t>Pedanios 27/1 FRG-CA</t>
  </si>
  <si>
    <t>Farm Gas</t>
  </si>
  <si>
    <t>https://flowzz.com/product/pedanios-27-1-frg-ca-farm-gas</t>
  </si>
  <si>
    <t>Eufloria 27/1 PSL</t>
  </si>
  <si>
    <t>https://flowzz.com/product/eufloria-27-1-psl-pink-slurricane</t>
  </si>
  <si>
    <t>Demecan Craft Blue Z 20/1</t>
  </si>
  <si>
    <t>Demecan Craft Blue Z 20/1 - Blue Zushi</t>
  </si>
  <si>
    <t>Blue Zushi</t>
  </si>
  <si>
    <t>https://flowzz.com/product/craft-blue-z-20-1-blue-zushi</t>
  </si>
  <si>
    <t>Tweed 21/1 Wappa</t>
  </si>
  <si>
    <t>https://flowzz.com/product/tweed-21-1-wappa</t>
  </si>
  <si>
    <t>All Nations PE 25/1</t>
  </si>
  <si>
    <t>Pineapple Express</t>
  </si>
  <si>
    <t>https://flowzz.com/product/all-nations-pe-25-1-pineapple-express</t>
  </si>
  <si>
    <t>All Nations AKM 25/1</t>
  </si>
  <si>
    <t>Alien Kush Mintz</t>
  </si>
  <si>
    <t>https://flowzz.com/product/all-nations-akm-25-1-alien-kush-mintz</t>
  </si>
  <si>
    <t>Grünhorn Hybrid 25/25 Vollspektrum Extrakt</t>
  </si>
  <si>
    <t>https://flowzz.com/extract/grunhorn-hybrid-25-25-vollspektrum-extrakt</t>
  </si>
  <si>
    <t>Grünhorn Hybrid 50/1 Vollspektrum Extrakt</t>
  </si>
  <si>
    <t>https://flowzz.com/extract/grunhorn-hybrid-50-1-vollspektrum-extrakt</t>
  </si>
  <si>
    <t>Cannabisextrakt Avextra 25/25</t>
  </si>
  <si>
    <t>https://flowzz.com/extract/cannabisextrakt-avextra-25-25</t>
  </si>
  <si>
    <t>Grünhorn Cannabisextrakt Hybrid 10/10</t>
  </si>
  <si>
    <t>https://flowzz.com/extract/grunhorn-cannabisextrakt-hybrid-10-10</t>
  </si>
  <si>
    <t>XATEPA</t>
  </si>
  <si>
    <t>8</t>
  </si>
  <si>
    <t>https://flowzz.com/extract/xatepa</t>
  </si>
  <si>
    <t>BC Green 17/1 A&amp;B</t>
  </si>
  <si>
    <t>BC Green 17/1 A&amp;B - Apples &amp; Bananas</t>
  </si>
  <si>
    <t>17</t>
  </si>
  <si>
    <t>https://flowzz.com/product/bc-green-17-1-ab-apples-and-bananas</t>
  </si>
  <si>
    <t>Big Dreams 21/1 PSF</t>
  </si>
  <si>
    <t>Big Dreams 21/1 PSF - PK0300</t>
  </si>
  <si>
    <t>PK0300</t>
  </si>
  <si>
    <t>https://flowzz.com/product/big-dreams-21-1-psf-pko</t>
  </si>
  <si>
    <t>CNBS OCM 23/1</t>
  </si>
  <si>
    <t>CNBS OCM 23/1 - Orange Cookie Mac</t>
  </si>
  <si>
    <t>Orange Cookie Mac</t>
  </si>
  <si>
    <t>https://flowzz.com/product/cnbs-ocm-23-1-orange-cookies-mac</t>
  </si>
  <si>
    <t>Demecan HS Light Drop 17:1</t>
  </si>
  <si>
    <t>Demecan HS Light Drop 17:1 - Santa Maria Golden x C99</t>
  </si>
  <si>
    <t>Santa Maria Golden x C99</t>
  </si>
  <si>
    <t>https://flowzz.com/product/demecan-hs-light-drop-17-1-santa-maria-golden-x-c99</t>
  </si>
  <si>
    <t>Eufloria 27/1 FCO</t>
  </si>
  <si>
    <t>Eufloria 27/1 FCO - Frosted Cookies</t>
  </si>
  <si>
    <t>https://flowzz.com/product/eufloria-27-1-ban-frosted-cookies</t>
  </si>
  <si>
    <t>Eufloria 30/1 KUM</t>
  </si>
  <si>
    <t>Eufloria 30/1 KUM - Kush Mints</t>
  </si>
  <si>
    <t>30</t>
  </si>
  <si>
    <t>https://flowzz.com/product/eufloria-30-1-kum-kush-mints</t>
  </si>
  <si>
    <t>Eufloria 30/1 MCD</t>
  </si>
  <si>
    <t>Eufloria 30/1 MCD - MAC Deluxe</t>
  </si>
  <si>
    <t>https://flowzz.com/product/eufloria-30-1-mcd-mac-deluxe</t>
  </si>
  <si>
    <t>IMC PF THC25</t>
  </si>
  <si>
    <t>IMC PF THC25 - Purple Flame</t>
  </si>
  <si>
    <t>Purple Flame</t>
  </si>
  <si>
    <t>https://flowzz.com/product/imc-pf-thc25-purple-flame</t>
  </si>
  <si>
    <t>IMC PDE THC27</t>
  </si>
  <si>
    <t>IMC PDE THC27 - Platinum Delight</t>
  </si>
  <si>
    <t>https://flowzz.com/product/imc-pde-thc27-platinum-delight</t>
  </si>
  <si>
    <t>BLKMKT LAW THC25</t>
  </si>
  <si>
    <t>https://flowzz.com/product/blkmkt-law-thc25-la-womac</t>
  </si>
  <si>
    <t>Remexian 25/1 BPD</t>
  </si>
  <si>
    <t>Big Purple Dragon</t>
  </si>
  <si>
    <t>https://flowzz.com/product/remexian-25-1-bdp-big-purple-dragon</t>
  </si>
  <si>
    <t>Tikun Midnight 10/14</t>
  </si>
  <si>
    <t>TIKUNOLAM</t>
  </si>
  <si>
    <t>Tikun Olam Europe</t>
  </si>
  <si>
    <t>Midnight</t>
  </si>
  <si>
    <t>https://flowzz.com/product/tikun-midnight-10-14</t>
  </si>
  <si>
    <t>Tikun Erez 20/1</t>
  </si>
  <si>
    <t>https://flowzz.com/product/tikun-erez-20-1</t>
  </si>
  <si>
    <t>Eufloria 27/1 SRU</t>
  </si>
  <si>
    <t>Slurricane Pancakes Runtz</t>
  </si>
  <si>
    <t>https://flowzz.com/product/eufloria-27-1-sru-slurricane-pancakes-runtz</t>
  </si>
  <si>
    <t>Eufloria 27/1 RVC</t>
  </si>
  <si>
    <t>Red Velvet Cake</t>
  </si>
  <si>
    <t>26</t>
  </si>
  <si>
    <t>https://flowzz.com/product/eufloria-27-1-rvc-red-velvet-cake</t>
  </si>
  <si>
    <t>Therismos CJU 30/1</t>
  </si>
  <si>
    <t>https://flowzz.com/product/therismos-cju-30-1-cap-junky</t>
  </si>
  <si>
    <t>Big Dreams 21/1 PSF (Small Buds)</t>
  </si>
  <si>
    <t>https://flowzz.com/product/big-dreams-21-1-psf-pko-small-buds</t>
  </si>
  <si>
    <t>IMC PF THC27</t>
  </si>
  <si>
    <t>https://flowzz.com/product/imc-pf-thc-27-1-purple-flame</t>
  </si>
  <si>
    <t>Cookies 24/1 Blanco</t>
  </si>
  <si>
    <t>Blanco</t>
  </si>
  <si>
    <t>https://flowzz.com/product/cookies-24-1-blanco</t>
  </si>
  <si>
    <t>IMC AGD THC25 Smalls</t>
  </si>
  <si>
    <t>https://flowzz.com/product/imc-agd-thc25-afghani-drifter-smalls</t>
  </si>
  <si>
    <t>Remexian Balanced CNF MCC 9/15</t>
  </si>
  <si>
    <t>https://flowzz.com/product/remexian-balanced-cnf-mcc-9-15-mango-cheese</t>
  </si>
  <si>
    <t>Demecan Regular Drop</t>
  </si>
  <si>
    <t>Animal Face Cookies</t>
  </si>
  <si>
    <t>https://flowzz.com/product/demecan-regular-drop-animal-face-cookies</t>
  </si>
  <si>
    <t>IMC PF THC21 Smalls</t>
  </si>
  <si>
    <t>4,75</t>
  </si>
  <si>
    <t>https://flowzz.com/product/imc-pf-thc21-purple-flame-smalls</t>
  </si>
  <si>
    <t>Buuo Beat 26/1</t>
  </si>
  <si>
    <t>https://flowzz.com/product/buuo-beat-26-1-chem-de-la-chem</t>
  </si>
  <si>
    <t>Remexian 20/1 GJY FCO</t>
  </si>
  <si>
    <t>https://flowzz.com/product/remexian-20-1-gjy-fco-frosted-cookies</t>
  </si>
  <si>
    <t>Remexian 24/1 LET</t>
  </si>
  <si>
    <t>Lemon Thrill</t>
  </si>
  <si>
    <t>https://flowzz.com/product/remexian-24-1-let-lemon-thrill</t>
  </si>
  <si>
    <t>Aphria Typ 1 23/1</t>
  </si>
  <si>
    <t>https://flowzz.com/product/typ-1-aphria-23-1-bienville</t>
  </si>
  <si>
    <t>Social Choice 27/1 LUX MER</t>
  </si>
  <si>
    <t>Luxacan</t>
  </si>
  <si>
    <t>https://flowzz.com/product/social-choice-27-1-lux-mer-meringue</t>
  </si>
  <si>
    <t>Big Dreams 18/1 PSF DOB</t>
  </si>
  <si>
    <t>Donny Burger</t>
  </si>
  <si>
    <t>https://flowzz.com/product/big-dreams-18-1-psf-dob-donny-burger</t>
  </si>
  <si>
    <t>BLKMKT CM THC24 BLK MLK</t>
  </si>
  <si>
    <t>https://flowzz.com/product/blkmkt-cm-thc-24-cereal-milk</t>
  </si>
  <si>
    <t>Breezy Organics PS 23/1</t>
  </si>
  <si>
    <t>Pink Sherbet</t>
  </si>
  <si>
    <t>22</t>
  </si>
  <si>
    <t>https://flowzz.com/product/breezy-organics-ps-23-1-pink-sherbet</t>
  </si>
  <si>
    <t>Grünhorn BC 24/1 A&amp;G</t>
  </si>
  <si>
    <t>Apple &amp; Gas</t>
  </si>
  <si>
    <t>https://flowzz.com/product/gruenhorn-bc-24-1-apple-gas</t>
  </si>
  <si>
    <t>IMC PF THC27 Smalls</t>
  </si>
  <si>
    <t>https://flowzz.com/product/imc-pf-thc27-purple-flame</t>
  </si>
  <si>
    <t>BC Green 24/1 A&amp;G</t>
  </si>
  <si>
    <t>https://flowzz.com/product/bc-green-24-1-apple-gas</t>
  </si>
  <si>
    <t>Canify Cannabis flos 23/1 PT Ku.</t>
  </si>
  <si>
    <t>https://flowzz.com/product/cannabis-flos-23-1-pt-pink-kush-pink-kush</t>
  </si>
  <si>
    <t>Balancial 22/1 PT Runtz</t>
  </si>
  <si>
    <t>BALANCIAL</t>
  </si>
  <si>
    <t>Balancial GmbH</t>
  </si>
  <si>
    <t>https://flowzz.com/product/balancial-22-1-pt-runtz</t>
  </si>
  <si>
    <t>Balancial 21/1 PT</t>
  </si>
  <si>
    <t>Purple Dream</t>
  </si>
  <si>
    <t>https://flowzz.com/product/balancial-21-1-pt-purple-dream</t>
  </si>
  <si>
    <t>Cannamedical Hybrid Classsic 20/1</t>
  </si>
  <si>
    <t>Waffle Cone #2</t>
  </si>
  <si>
    <t>https://flowzz.com/product/cannamedical-hybrid-classsic-20-1-waffle-cone-2</t>
  </si>
  <si>
    <t>madrecan 18/1 SHA Minis</t>
  </si>
  <si>
    <t>https://flowzz.com/product/madrecan-18-1-shark-attack-minis</t>
  </si>
  <si>
    <t>Nimbus Easy 22/1</t>
  </si>
  <si>
    <t>Gul of Mexiko</t>
  </si>
  <si>
    <t>https://flowzz.com/product/nimbus-easy-22-1-gul-of-mexiko</t>
  </si>
  <si>
    <t>Grünhorn Cannabisextrakt Hybrid 25:25</t>
  </si>
  <si>
    <t>https://flowzz.com/extract/gruenhorn-cannabisextrakt-hybrid-25-25</t>
  </si>
  <si>
    <t>Grünhorn Cannabisextrakt Hybrid 50:1</t>
  </si>
  <si>
    <t>https://flowzz.com/extract/gruenhorn-cannabisextrakt-hybrid-50-1</t>
  </si>
  <si>
    <t>enua 30/1 STP CA</t>
  </si>
  <si>
    <t>Strawberry Pavé</t>
  </si>
  <si>
    <t>https://flowzz.com/product/enua-30-1-stp-ca-strawberry-pave</t>
  </si>
  <si>
    <t>Mediprocan 19/1</t>
  </si>
  <si>
    <t>19</t>
  </si>
  <si>
    <t>https://flowzz.com/product/mediprocan-19-1-sour-mango</t>
  </si>
  <si>
    <t>enua 27/1 LHZ CA</t>
  </si>
  <si>
    <t>Lemonade Haze</t>
  </si>
  <si>
    <t>28</t>
  </si>
  <si>
    <t>https://flowzz.com/product/enua-27-1-lhz-ca-lemonade-haze</t>
  </si>
  <si>
    <t>Remexian 27/1 LPP</t>
  </si>
  <si>
    <t>https://flowzz.com/product/remexian-27-1-lpp-lemon-pepper-punch</t>
  </si>
  <si>
    <t>Green Karat RO 33/1</t>
  </si>
  <si>
    <t>33</t>
  </si>
  <si>
    <t>10,58</t>
  </si>
  <si>
    <t>https://flowzz.com/product/green-karat-ro-33-1-runtz-og</t>
  </si>
  <si>
    <t>NEDCANN AH 22/01 Amnesia #D21</t>
  </si>
  <si>
    <t>https://flowzz.com/product/nedcann-ah-22-01-amnesia-d21</t>
  </si>
  <si>
    <t>NEDCANN SC 21/01 Chemdog #36</t>
  </si>
  <si>
    <t>https://flowzz.com/product/nedcann-sc-21-01-chemdog-36</t>
  </si>
  <si>
    <t>All Nations 25/1 AKM</t>
  </si>
  <si>
    <t>Black Marker</t>
  </si>
  <si>
    <t>https://flowzz.com/product/all-nations-25-1-akm-black-marker</t>
  </si>
  <si>
    <t>bava med 21/1</t>
  </si>
  <si>
    <t>BAVAMED</t>
  </si>
  <si>
    <t>Bavamedical</t>
  </si>
  <si>
    <t>Sunset Diesel</t>
  </si>
  <si>
    <t>6,94</t>
  </si>
  <si>
    <t>https://flowzz.com/product/bavamed-21-1-sunset-diesel</t>
  </si>
  <si>
    <t>enua 20/1 BNR CA</t>
  </si>
  <si>
    <t>Blue Nerdz</t>
  </si>
  <si>
    <t>https://flowzz.com/product/enua-20-1-bnr-ca-blue-nerdz</t>
  </si>
  <si>
    <t>Original Blitz</t>
  </si>
  <si>
    <t>https://flowzz.com/product/bavamed-21-1-original-blitz</t>
  </si>
  <si>
    <t>Platinum Dosi-Dos</t>
  </si>
  <si>
    <t>5,58</t>
  </si>
  <si>
    <t>https://flowzz.com/product/bavamed-21-1-platinum-dosi-dos</t>
  </si>
  <si>
    <t>Skywalker Kush</t>
  </si>
  <si>
    <t>https://flowzz.com/product/bavamed-21-1-skywalker-kush</t>
  </si>
  <si>
    <t>bava med 25/1</t>
  </si>
  <si>
    <t>Berry Blitz</t>
  </si>
  <si>
    <t>https://flowzz.com/product/bavamed-25-1-berry-blitz</t>
  </si>
  <si>
    <t>Zesty Punch</t>
  </si>
  <si>
    <t>5,97</t>
  </si>
  <si>
    <t>https://flowzz.com/product/bavamed-21-1-zesty-punch</t>
  </si>
  <si>
    <t>bava med 21/1 GEL-PI</t>
  </si>
  <si>
    <t>Gelato Pie</t>
  </si>
  <si>
    <t>https://flowzz.com/product/bavamed-21-1-gel-pi-gelato-pie</t>
  </si>
  <si>
    <t>bava med 21/1 BLU-SK</t>
  </si>
  <si>
    <t>Blue Skittlz</t>
  </si>
  <si>
    <t>6,80</t>
  </si>
  <si>
    <t>https://flowzz.com/product/bavamed-21-1-blu-sk-blue-skittlz</t>
  </si>
  <si>
    <t>bava med 24/1</t>
  </si>
  <si>
    <t>https://flowzz.com/product/bavamed-24-1-mac-1</t>
  </si>
  <si>
    <t>bava med 21/1 PIA-EX</t>
  </si>
  <si>
    <t>https://flowzz.com/product/bavamed-21-1-pia-ex-pineapple-express</t>
  </si>
  <si>
    <t>Remexian 30/1 MYW</t>
  </si>
  <si>
    <t>https://flowzz.com/product/remexian-30-1-myw-mystic-wonder</t>
  </si>
  <si>
    <t>enua 30/1 LHZ CA</t>
  </si>
  <si>
    <t>https://flowzz.com/product/enua-30-1-lhz-ca-lemonade-haze</t>
  </si>
  <si>
    <t>enua 27/1 STP CA</t>
  </si>
  <si>
    <t>8,68</t>
  </si>
  <si>
    <t>https://flowzz.com/product/enua-27-1-stp-ca-strawberry-pave</t>
  </si>
  <si>
    <t>Materia GH 29/1</t>
  </si>
  <si>
    <t>8,66</t>
  </si>
  <si>
    <t>https://flowzz.com/product/materia-gh-29-1-grape-haze</t>
  </si>
  <si>
    <t>enua 25/1 PMMA</t>
  </si>
  <si>
    <t>https://flowzz.com/product/enua-25-1-pmma-permanent-marker</t>
  </si>
  <si>
    <t>Demecan MC Light Drop</t>
  </si>
  <si>
    <t>Bomb Popz</t>
  </si>
  <si>
    <t>https://flowzz.com/product/demecan-mc-light-drop-bomb-popz</t>
  </si>
  <si>
    <t>enua 27/1 SBD CA</t>
  </si>
  <si>
    <t>https://flowzz.com/product/enua-27-1-sbd-ca-strawberry-diesel</t>
  </si>
  <si>
    <t>Canify Cannabis flos 25/1 PRT Ku. Strawberry Banana Smalls</t>
  </si>
  <si>
    <t>5,72</t>
  </si>
  <si>
    <t>https://flowzz.com/product/canify-cannabis-flos-25-1-prt-ku-strawberry-banana-s</t>
  </si>
  <si>
    <t>Demecan Strong Drop 24:01</t>
  </si>
  <si>
    <t>RS11</t>
  </si>
  <si>
    <t>https://flowzz.com/product/demecan-strong-drop-24-01-rs11</t>
  </si>
  <si>
    <t>Rua Hihiko 30/1</t>
  </si>
  <si>
    <t>https://flowzz.com/product/rua-hihiko-30-1-grape-haze</t>
  </si>
  <si>
    <t>Cannamedical Indica Light BC</t>
  </si>
  <si>
    <t>https://flowzz.com/product/cannamedical-indica-light-bc-purple-punch</t>
  </si>
  <si>
    <t>bava med 21/1 LEG-LA LLY</t>
  </si>
  <si>
    <t>4,10</t>
  </si>
  <si>
    <t>https://flowzz.com/product/bavamed-21-1-leg-la-lly-legendary-larry</t>
  </si>
  <si>
    <t>CannabiStada 20/1 SEN  Sensistar</t>
  </si>
  <si>
    <t>https://flowzz.com/product/cannabistada-20-1-sen-sensistar</t>
  </si>
  <si>
    <t>https://flowzz.com/product/cannamedical-hybrid-classic-exodus-cheese</t>
  </si>
  <si>
    <t>Huala 20/1 CA ALM</t>
  </si>
  <si>
    <t>https://flowzz.com/product/huala-20-1-ca-alm</t>
  </si>
  <si>
    <t>aleph water 4/8</t>
  </si>
  <si>
    <t>https://flowzz.com/product/alephsana-water-4-8-amnesia-balanced-dnf</t>
  </si>
  <si>
    <t>Huala 22/1 CA BTR</t>
  </si>
  <si>
    <t>https://flowzz.com/product/huala-22-1-ca-btr-black-triangle</t>
  </si>
  <si>
    <t>Remexian 30/1 MTL WCK</t>
  </si>
  <si>
    <t>https://flowzz.com/product/remexian-30-1-mtl-wck-wes-coast-kush</t>
  </si>
  <si>
    <t>enua 30/1 8BK CA</t>
  </si>
  <si>
    <t>https://flowzz.com/product/enua-30-1-bk-ca-8-ball-kush</t>
  </si>
  <si>
    <t>Remexian 30/1 MTL LAB</t>
  </si>
  <si>
    <t>LA Brunch</t>
  </si>
  <si>
    <t>https://flowzz.com/product/remexian-30-1-mtl-lab-la-brunch</t>
  </si>
  <si>
    <t>Remexian 24/1 TEN BAN</t>
  </si>
  <si>
    <t>https://flowzz.com/product/remexian-24-1-ten-ban-banjo</t>
  </si>
  <si>
    <t>Mediprocan African Ruby 26/1</t>
  </si>
  <si>
    <t>https://flowzz.com/product/mediprocan-african-ruby-26-1-gorilla-glue</t>
  </si>
  <si>
    <t>Buuo 15/1 SC</t>
  </si>
  <si>
    <t>Strawberry Cloud</t>
  </si>
  <si>
    <t>https://flowzz.com/product/buuo-15-1-sc-strawberry-cloud</t>
  </si>
  <si>
    <t>Buuo 20/1 CDLC</t>
  </si>
  <si>
    <t>https://flowzz.com/product/buuo-20-1-cdlc-chem-de-la-chem</t>
  </si>
  <si>
    <t>IMC Craft SUS THC26 Super Sativa</t>
  </si>
  <si>
    <t>https://flowzz.com/product/imc-craft-sus-thc26-super-sativa-tangelo-boost</t>
  </si>
  <si>
    <t>Social Choice 18/1 MPS ZKI</t>
  </si>
  <si>
    <t>https://flowzz.com/product/social-choice-18-1-zki-zkittlez</t>
  </si>
  <si>
    <t>Demecan SC Low Drop Creamy Kees</t>
  </si>
  <si>
    <t>https://flowzz.com/product/demecan-sc-low-drop-creamy-kees</t>
  </si>
  <si>
    <t>Cannamedical Hybrid Forte DK 24/1</t>
  </si>
  <si>
    <t>https://flowzz.com/product/cannamedical-hybridforte-dk-24-1-ghost-train-haze</t>
  </si>
  <si>
    <t>Cannamedical Indica Forte</t>
  </si>
  <si>
    <t>https://flowzz.com/product/cannamedical-indica-forte-dank-wafers</t>
  </si>
  <si>
    <t>Cannamedical CM 28/1 PO</t>
  </si>
  <si>
    <t>https://flowzz.com/product/cannabis-flos-cm-28-1-po-platinum-oranges</t>
  </si>
  <si>
    <t>Remexian 30/1 T8C DEB</t>
  </si>
  <si>
    <t>https://flowzz.com/product/remexian-30-1-t8c-deb-death-bubba</t>
  </si>
  <si>
    <t>Remexian 21/1 TEN BAN</t>
  </si>
  <si>
    <t>https://flowzz.com/product/remexian-21-1-ten-ban-banjo</t>
  </si>
  <si>
    <t>Remexian 30/1 SIU GG4</t>
  </si>
  <si>
    <t>https://flowzz.com/product/remexian-30-1-siu-gg4-gorilla-glue</t>
  </si>
  <si>
    <t>Barongo 27/1 Banjo</t>
  </si>
  <si>
    <t>8,15</t>
  </si>
  <si>
    <t>https://flowzz.com/product/barongo-27-1-banjo</t>
  </si>
  <si>
    <t>Remexian 27/1 HEG</t>
  </si>
  <si>
    <t>https://flowzz.com/product/remexian-27-1-heg-helios-gold</t>
  </si>
  <si>
    <t>Social Choice 18/1 AUR SAT</t>
  </si>
  <si>
    <t>Jet Fuel Gelato x White Mac</t>
  </si>
  <si>
    <t>https://flowzz.com/product/social-choice-18-1-aur-sat-jet-fuel-gelato-white-mac</t>
  </si>
  <si>
    <t>Remexian 27/1 GJY BAG</t>
  </si>
  <si>
    <t>https://flowzz.com/product/remexian-27-1-bag-banana-gas</t>
  </si>
  <si>
    <t>Bathera 26/1 PP</t>
  </si>
  <si>
    <t>https://flowzz.com/product/bathera-26-1-pp-polar-pop</t>
  </si>
  <si>
    <t>NICE 22/1 PM</t>
  </si>
  <si>
    <t>Punchple Mintz</t>
  </si>
  <si>
    <t>https://flowzz.com/product/nice-22-1-pm-punchple-mintz</t>
  </si>
  <si>
    <t>Sour Pie</t>
  </si>
  <si>
    <t>https://flowzz.com/product/cannamedical-cm-28-1-sour-pie</t>
  </si>
  <si>
    <t>Mediprocan African Ruby 22/1</t>
  </si>
  <si>
    <t>https://flowzz.com/product/mediprocan-african-ruby-22-1-gorilla-glue</t>
  </si>
  <si>
    <t>All Nations PE 21/1</t>
  </si>
  <si>
    <t>8,74</t>
  </si>
  <si>
    <t>https://flowzz.com/product/all-nations-pe-21-1-pineapple-express</t>
  </si>
  <si>
    <t xml:space="preserve">Crazy Rntz [Cannamedical Indica Classic 18/1 ] </t>
  </si>
  <si>
    <t>Legendary Larry [Cannamedical Indica forte NG]</t>
  </si>
  <si>
    <t>Cannabis flos 18/1  LS</t>
  </si>
  <si>
    <t>Demecan Core Sunset 21/1 - Maui Wowie</t>
  </si>
  <si>
    <t>Maui Wowie</t>
  </si>
  <si>
    <t>Weeco 18/1 - White Widow</t>
  </si>
  <si>
    <t>Cannamedical Hybrid - Classic NM Blueberry</t>
  </si>
  <si>
    <t>Collini-Medflower 24:01 - Black Amber</t>
  </si>
  <si>
    <t>Cannabis Flos MV RNTZ</t>
  </si>
  <si>
    <t>madrecan 21/1 MAC MINIS</t>
  </si>
  <si>
    <t>madrecan 21/1 PUC MINIS</t>
  </si>
  <si>
    <t xml:space="preserve">madrecan 21/1 RCH MINIS </t>
  </si>
  <si>
    <t>madrecan 21/1 SKY MINIS</t>
  </si>
  <si>
    <t>madrecan 21/1 WOP MINIS</t>
  </si>
  <si>
    <t>madrecan 21/1 WOP MINIS - Wonder Punch</t>
  </si>
  <si>
    <t>madrecan 18/1 RCH MINIS</t>
  </si>
  <si>
    <t>madrecan 18/1 RCH MINIS - Remo Chemo</t>
  </si>
  <si>
    <t>Peace Naturals Northbound 25/1 - Garlic Breath</t>
  </si>
  <si>
    <t>101 C-Extrakt - Big Bud X AK47</t>
  </si>
  <si>
    <t>Aurora THC/CBD 1 - LA Confidentional x Cannatonic</t>
  </si>
  <si>
    <t>CannabisStada 25/1 - Northern Lights</t>
  </si>
  <si>
    <t>Cannab MPL 900/900MG EXT 30</t>
  </si>
  <si>
    <t>MPL 30/750MG EXT</t>
  </si>
  <si>
    <t>Cannabisextrakt Avextra THC 10% E 250ML</t>
  </si>
  <si>
    <t>Cannabistada MPL 1500/750mg</t>
  </si>
  <si>
    <t>Cannabistada MPL 30/750mg</t>
  </si>
  <si>
    <t>Cannabistada MPL STADA 300/300mg</t>
  </si>
  <si>
    <t>Cannabistada MPL 750/30mg</t>
  </si>
  <si>
    <t>CannaXan 771</t>
  </si>
  <si>
    <t>PNX Lösung</t>
  </si>
  <si>
    <t>COLLINI</t>
  </si>
  <si>
    <t xml:space="preserve">Collini Apotheke </t>
  </si>
  <si>
    <t>Cannamedical Extrakt 25/25</t>
  </si>
  <si>
    <t>Cannaflos Extrakt THC dominant</t>
  </si>
  <si>
    <t>CANNAFLOS</t>
  </si>
  <si>
    <t>Cannaflos</t>
  </si>
  <si>
    <t>Cannab MPL 300/3000MG EXT</t>
  </si>
  <si>
    <t>Rosin Avaay RG</t>
  </si>
  <si>
    <t>Spezial Rezeptur</t>
  </si>
  <si>
    <t>Demecan One Concentrate Bubba Kush</t>
  </si>
  <si>
    <t>Rosin Avaay SCG 83 %</t>
  </si>
  <si>
    <t>Remexian 27/1 BAG - Banana Gas</t>
  </si>
  <si>
    <t>Demecan Low Drop 16/1 - Creamy Kees</t>
  </si>
  <si>
    <t xml:space="preserve">Madrecan 21/1 PUC - Punch Cake </t>
  </si>
  <si>
    <t>Remexian 21/1 TAN - Banjo</t>
  </si>
  <si>
    <t>Remexian Balanced CNF MCC 10/15 - Mango Cheese</t>
  </si>
  <si>
    <t>Remexian 27/1 T8C GLT</t>
  </si>
  <si>
    <t>Remexian 27/1 T8C GLT - Gelato</t>
  </si>
  <si>
    <t>https://flowzz.com/product/remexian-27-1-t8c-glt-gelato</t>
  </si>
  <si>
    <t>Canify Cannabis flos 23/1 CND</t>
  </si>
  <si>
    <t>Canify Cannabis flos 23/1 CND - Pink Kush</t>
  </si>
  <si>
    <t>https://flowzz.com/product/cannabis-flos-23-1-cnd-pink-kush-pink-kush</t>
  </si>
  <si>
    <t>Wellford Aquaponic 28/1</t>
  </si>
  <si>
    <t>Wellford Aquaponic 28/1 - Pink Kush Mints</t>
  </si>
  <si>
    <t>https://flowzz.com/product/wellford-28-1-pink-kush-mints</t>
  </si>
  <si>
    <t>avaay Signature 19/1 MC</t>
  </si>
  <si>
    <t>avaay Signature 19/1 MC - Mandarin Cookies</t>
  </si>
  <si>
    <t>https://flowzz.com/product/avaay-signature-19-1-mc-mandarin-cookies</t>
  </si>
  <si>
    <t>avaay Signature 28/1 HYP</t>
  </si>
  <si>
    <t>avaay Signature 28/1 HYP - Hyperion</t>
  </si>
  <si>
    <t>https://flowzz.com/product/avaay-signature-28-1-hyp-hyperion</t>
  </si>
  <si>
    <t>Oceanic BL 21/1</t>
  </si>
  <si>
    <t>Oceanic BL 21/1 - Black Lavender</t>
  </si>
  <si>
    <t>https://flowzz.com/product/oceanic-bl-21-1-black-lavender</t>
  </si>
  <si>
    <t>Sumo Canada Craft No.3 23/1</t>
  </si>
  <si>
    <t>Sumo Canada Craft No.3 23/1 - Garlic Chem</t>
  </si>
  <si>
    <t>https://flowzz.com/product/sumo-canada-craft-no3-23-1-garlic-chem</t>
  </si>
  <si>
    <t>Canify Cannabis flos 20/1 UY Ku. Chem Dawg</t>
  </si>
  <si>
    <t>Canify Cannabis flos 20/1 UY Ku. Chem Dawg - Chemdog</t>
  </si>
  <si>
    <t>https://flowzz.com/product/canify-20-1-chemdawg</t>
  </si>
  <si>
    <t>ADREX Mother 24 KI-Z CAN</t>
  </si>
  <si>
    <t>ADREX Mother 24 KI-Z CAN - King Z</t>
  </si>
  <si>
    <t>King Z</t>
  </si>
  <si>
    <t>https://flowzz.com/product/mother-24-ki-z-can-king-z</t>
  </si>
  <si>
    <t>Remexian 24/1 TEN CIH</t>
  </si>
  <si>
    <t>Remexian 24/1 TEN CIH - Cinderella Haze</t>
  </si>
  <si>
    <t>Cinderella Haze</t>
  </si>
  <si>
    <t>https://flowzz.com/product/remexian-24-1-ten-cih-cinderella-haze</t>
  </si>
  <si>
    <t>Costa Canna Dynamics Crescendo 25/1</t>
  </si>
  <si>
    <t>Costa Canna Dynamics Crescendo 25/1 - Pucker Up</t>
  </si>
  <si>
    <t>Pucker Up</t>
  </si>
  <si>
    <t>https://flowzz.com/product/costa-canna-dynamics-crescendo-25-1-pucker-up</t>
  </si>
  <si>
    <t>ZOIKS 26/1 LK</t>
  </si>
  <si>
    <t>ZOIKS 26/1 LK - OG Lime Kush</t>
  </si>
  <si>
    <t>OG Lime Kush</t>
  </si>
  <si>
    <t>https://flowzz.com/product/zoiks-26-1-lk-og-lime-kush</t>
  </si>
  <si>
    <t>Cantourage Pink D1 30/1</t>
  </si>
  <si>
    <t>Pink D1</t>
  </si>
  <si>
    <t>https://flowzz.com/product/cantourage-pink-d1-30-1</t>
  </si>
  <si>
    <t>Barongo 24/1 Ba</t>
  </si>
  <si>
    <t>Barongo 24/1 Ba - Black Amber</t>
  </si>
  <si>
    <t>Athritis</t>
  </si>
  <si>
    <t>https://flowzz.com/product/barongo-24-1-ba-black-amber</t>
  </si>
  <si>
    <t>Remexian 24/1 VER SPB</t>
  </si>
  <si>
    <t>Remexian 24/1 VER SPB - Super Boof</t>
  </si>
  <si>
    <t>https://flowzz.com/product/remexian-24-1-ver-spb-super-boof</t>
  </si>
  <si>
    <t>ADREX Mother AIS CAN 22/1</t>
  </si>
  <si>
    <t>ADREX Mother AIS CAN 22/1 - Apes in Space</t>
  </si>
  <si>
    <t>https://flowzz.com/product/adrex-mother-22-ais-can-22-1-apes-in-space</t>
  </si>
  <si>
    <t>Social Choice 14/1 MPS WW</t>
  </si>
  <si>
    <t>Social Choice 14/1 MPS WW - White Widow</t>
  </si>
  <si>
    <t>4,40</t>
  </si>
  <si>
    <t>https://flowzz.com/product/social-choice-14-1-mps-ww-white-widow</t>
  </si>
  <si>
    <t>Blackbird Hybrid Intense</t>
  </si>
  <si>
    <t>Blackbird Hybrid Intense - Wedding Crasher</t>
  </si>
  <si>
    <t>https://flowzz.com/product/blackbird-hybrid-intense-wedding-crasher</t>
  </si>
  <si>
    <t>Remexian 27/1 T8C ICC</t>
  </si>
  <si>
    <t>Remexian 27/1 T8C ICC - Ice Cream Cake</t>
  </si>
  <si>
    <t>https://flowzz.com/product/remexian-27-1-t8c-icc-ice-cream-cake</t>
  </si>
  <si>
    <t>flighh 23/1</t>
  </si>
  <si>
    <t>flighh 23/1 - Cakes N Creams</t>
  </si>
  <si>
    <t>Cakes N Creams</t>
  </si>
  <si>
    <t>https://flowzz.com/product/flighh-no-xii-23-1-cakes-n-creams</t>
  </si>
  <si>
    <t>Cannamedical CM 28/1 DM</t>
  </si>
  <si>
    <t>Cannamedical CM 28/1 DM - Diamond Mints</t>
  </si>
  <si>
    <t>https://flowzz.com/product/cannamedical-cm-28-1-dm-diamond-mints</t>
  </si>
  <si>
    <t>Barongo 26/1 SSS</t>
  </si>
  <si>
    <t>Barongo 26/1 SSS - Sunset Strudel</t>
  </si>
  <si>
    <t>Sunset Strudel</t>
  </si>
  <si>
    <t>https://flowzz.com/product/barongo-26-1-sss-sunset-strudel</t>
  </si>
  <si>
    <t>ZOIKS 22/1 PYB</t>
  </si>
  <si>
    <t>ZOIKS 22/1 PYB - Papaya Bomb</t>
  </si>
  <si>
    <t>Papaya Bomb</t>
  </si>
  <si>
    <t>Clever Leaves</t>
  </si>
  <si>
    <t>https://flowzz.com/product/zoiks-22-1-pyb-papaya-bomb</t>
  </si>
  <si>
    <t>Barongo 26/1 - Kali</t>
  </si>
  <si>
    <t>KALI</t>
  </si>
  <si>
    <t>https://flowzz.com/product/barongo-26-1-kali</t>
  </si>
  <si>
    <t>24/1 Amici ISW</t>
  </si>
  <si>
    <t>24/1 Amici ISW - Indigo Swan</t>
  </si>
  <si>
    <t>Indigo Swan</t>
  </si>
  <si>
    <t>8,91</t>
  </si>
  <si>
    <t>https://flowzz.com/product/24-1-amici-isw-indigo-swan</t>
  </si>
  <si>
    <t>28/1 Amici ISW</t>
  </si>
  <si>
    <t>28/1 Amici ISW - Indigo Swan</t>
  </si>
  <si>
    <t>https://flowzz.com/product/28-1-amici-isw-indigo-swan</t>
  </si>
  <si>
    <t>enua 25/1 RS11</t>
  </si>
  <si>
    <t>enua 25/1 RS11 - Rainbow Sherbert 11</t>
  </si>
  <si>
    <t>Rainbow Sherbert 11</t>
  </si>
  <si>
    <t>8,38</t>
  </si>
  <si>
    <t>https://flowzz.com/product/enua-25-1-rs11</t>
  </si>
  <si>
    <t>NICE 25/1 RAM</t>
  </si>
  <si>
    <t>NICE 25/1 RAM - Rainbow Amnesia</t>
  </si>
  <si>
    <t>Rainbow Amnesia</t>
  </si>
  <si>
    <t>https://flowzz.com/product/nice-25-1-ram-rainbow-amnesia</t>
  </si>
  <si>
    <t>CNBS VV 32/1</t>
  </si>
  <si>
    <t>32</t>
  </si>
  <si>
    <t>https://flowzz.com/product/cnbs-vv-32-1-varnish-vapor</t>
  </si>
  <si>
    <t>Remexian 24/1 CBM FUI</t>
  </si>
  <si>
    <t>Future Island</t>
  </si>
  <si>
    <t>https://flowzz.com/product/remexian-24-1-cbm-fui-future-island</t>
  </si>
  <si>
    <t>Extrakt Beacon 10/10</t>
  </si>
  <si>
    <t xml:space="preserve">Extrakt Beacon 10/10 </t>
  </si>
  <si>
    <t>Canify 20/1 UY Ku.</t>
  </si>
  <si>
    <t>Canify 20/1 UY Ku. Chemdawg</t>
  </si>
  <si>
    <t>Chemdawg</t>
  </si>
  <si>
    <t>Remexian 27/1 ADV PMK</t>
  </si>
  <si>
    <t>Peppermint Kush</t>
  </si>
  <si>
    <t>https://flowzz.com/product/remexian-27-1-adv-pmk-peppermint-kush</t>
  </si>
  <si>
    <t>avaay 27/1 MIM</t>
  </si>
  <si>
    <t>https://flowzz.com/product/avaay-27-1-mim-midnight-mimosa</t>
  </si>
  <si>
    <t>Remexian 30/1 JOI OKC</t>
  </si>
  <si>
    <t>https://flowzz.com/product/remexian-30-1-joi-okc-orange-kush-cake</t>
  </si>
  <si>
    <t>Canify Cannabis flos 8/9 LS KU.</t>
  </si>
  <si>
    <t>Basotho Even</t>
  </si>
  <si>
    <t>https://flowzz.com/product/canify-cannabis-flos-8-9-ls-ku-basotho-even</t>
  </si>
  <si>
    <t>Remexian 33/1 VCC GWA</t>
  </si>
  <si>
    <t>G Wagon</t>
  </si>
  <si>
    <t>https://flowzz.com/product/remexian-33-1-vcc-gwa-g-wagon</t>
  </si>
  <si>
    <t>Cannamedical Indica classic DK</t>
  </si>
  <si>
    <t>Lemon Krash</t>
  </si>
  <si>
    <t>https://flowzz.com/product/cannamedical-indica-classic-dk-lemon-krash</t>
  </si>
  <si>
    <t>Cannamedical Hybrid Classic DK</t>
  </si>
  <si>
    <t>Alpha-Terpineol</t>
  </si>
  <si>
    <t>https://flowzz.com/product/cannamedical-hybrid-classic-dk-lemon-skunk</t>
  </si>
  <si>
    <t>madrecan 24/1 GDY</t>
  </si>
  <si>
    <t>5,30</t>
  </si>
  <si>
    <t>https://flowzz.com/product/madrecan-24-1-granddaddy-og</t>
  </si>
  <si>
    <t>Canify Cannabis flos 22/1 BB</t>
  </si>
  <si>
    <t>https://flowzz.com/product/canify-cannabis-flos-22-1-bb-big-buddha</t>
  </si>
  <si>
    <t>J.R. Strain GP 31/1</t>
  </si>
  <si>
    <t>31</t>
  </si>
  <si>
    <t>https://flowzz.com/product/jr-strain-gp-31-1-gastro-pop</t>
  </si>
  <si>
    <t>J.R. Strain 27/1</t>
  </si>
  <si>
    <t>Sudz</t>
  </si>
  <si>
    <t>https://flowzz.com/product/cannabis-flos-jr-27-1-sudz</t>
  </si>
  <si>
    <t>enua 25/1 J31 CA</t>
  </si>
  <si>
    <t>Jokerz #31</t>
  </si>
  <si>
    <t>8,30</t>
  </si>
  <si>
    <t>https://flowzz.com/product/enua-25-1-j31-jokerz-31</t>
  </si>
  <si>
    <t>Canopy JH 19/1</t>
  </si>
  <si>
    <t>Jack Haze</t>
  </si>
  <si>
    <t>https://flowzz.com/product/canopy-jh-19-1-jack-haze</t>
  </si>
  <si>
    <t>ZOIKS 31/1 LK</t>
  </si>
  <si>
    <t>8,47</t>
  </si>
  <si>
    <t>https://flowzz.com/product/zoiks-31-1-lk-og-lime-kush</t>
  </si>
  <si>
    <t>420 Compound 27/1 CA BER</t>
  </si>
  <si>
    <t>Berlin Berries</t>
  </si>
  <si>
    <t>https://flowzz.com/product/420-compound-27-1-ca-ber-berlin-berries</t>
  </si>
  <si>
    <t>Patagonia 30/1</t>
  </si>
  <si>
    <t>Aconcagua+ Haze Breath</t>
  </si>
  <si>
    <t>https://flowzz.com/product/patagonia-30-1-aconcagua-haze-breath</t>
  </si>
  <si>
    <t>J.R. Strain GT 25/1</t>
  </si>
  <si>
    <t>Garlic Truffle</t>
  </si>
  <si>
    <t>https://flowzz.com/product/jr-strain-gt-25-1-garlic-truffle</t>
  </si>
  <si>
    <t>THC AKUT 22 RS11 - Rainbow Sherbert 11</t>
  </si>
  <si>
    <t>https://flowzz.com/product/thc-akut-22-rs11-rainbow-sherbert</t>
  </si>
  <si>
    <t>madrecan 24/1 MDR</t>
  </si>
  <si>
    <t>https://flowzz.com/product/madrecan-24-1-mac-driver</t>
  </si>
  <si>
    <t>Remexian 24/1 MCS CGR</t>
  </si>
  <si>
    <t>https://flowzz.com/product/remexian-24-1-mcs-cgr-cool-grapes</t>
  </si>
  <si>
    <t>Remexian 27/1 QUI FAC</t>
  </si>
  <si>
    <t>Facade</t>
  </si>
  <si>
    <t>https://flowzz.com/product/remexian-27-1-qui-fac-facade</t>
  </si>
  <si>
    <t>Remexian 27/1 ADV FCO</t>
  </si>
  <si>
    <t>https://flowzz.com/product/remexian-27-1-adv-fco-frosted-cookies</t>
  </si>
  <si>
    <t>Remexian 30/1 ADV PMK</t>
  </si>
  <si>
    <t>https://flowzz.com/product/remexian-30-1-adv-pmk-peppermint-kush</t>
  </si>
  <si>
    <t>Remexian 27/1 HMA CDC</t>
  </si>
  <si>
    <t>https://flowzz.com/product/remexian-27-1-hma-cdc-chem-de-la-chem</t>
  </si>
  <si>
    <t>enua 30/1 GMO CA</t>
  </si>
  <si>
    <t>https://flowzz.com/product/enua-30-1-gmo-ca-koko-cookies</t>
  </si>
  <si>
    <t>420 Natural 25/1 CA ZRP</t>
  </si>
  <si>
    <t>https://flowzz.com/product/420-natural-25-1-ca-zrp-zour-apple</t>
  </si>
  <si>
    <t>MGF DVC 26</t>
  </si>
  <si>
    <t>Da Vinci Cake</t>
  </si>
  <si>
    <t>https://flowzz.com/product/mgf-dvc-26-da-vinci-cake</t>
  </si>
  <si>
    <t>MGF 26/1 DG Day Glow</t>
  </si>
  <si>
    <t>Dayglow</t>
  </si>
  <si>
    <t>https://flowzz.com/product/mgf-26-1-dg-day-glow</t>
  </si>
  <si>
    <t>MGF DR 26</t>
  </si>
  <si>
    <t>Dark Rainbow</t>
  </si>
  <si>
    <t>https://flowzz.com/product/mgf-dr-26-dark-rainbow</t>
  </si>
  <si>
    <t>MGF 26/1 BD</t>
  </si>
  <si>
    <t>https://flowzz.com/product/mgf-26-1-blue-dream</t>
  </si>
  <si>
    <t>Cannamedical CM 24/1 CRM Creamy Kees No.5</t>
  </si>
  <si>
    <t>https://flowzz.com/product/cannamedical-cm-24-1-crm-creamy-kees-no-5</t>
  </si>
  <si>
    <t>Remexian 27/1 CIV PKU</t>
  </si>
  <si>
    <t>Poison Kush</t>
  </si>
  <si>
    <t>https://flowzz.com/product/remexian-27-1-civ-pku-poison-kush</t>
  </si>
  <si>
    <t>https://flowzz.com/product/nimbus-easy-30-1-la-sage</t>
  </si>
  <si>
    <t>CNBS BYC 30/1</t>
  </si>
  <si>
    <t>Booty Clapper</t>
  </si>
  <si>
    <t>https://flowzz.com/product/cnbs-byc-30-1-booty-clapper</t>
  </si>
  <si>
    <t>Remexian 30/1 CIV BOB</t>
  </si>
  <si>
    <t>Booberry Cookies</t>
  </si>
  <si>
    <t>https://flowzz.com/product/remexian-30-1-civ-bob-booberry-cookies</t>
  </si>
  <si>
    <t>Be Humble DD 25/1</t>
  </si>
  <si>
    <t>https://flowzz.com/product/cannabis-flos-be-humble-dd-25-1-devil-driver</t>
  </si>
  <si>
    <t>Be Humble BA 30/1</t>
  </si>
  <si>
    <t>El Chapo</t>
  </si>
  <si>
    <t>https://flowzz.com/product/cannabis-flos-be-humble-ba-30-1-black-amber</t>
  </si>
  <si>
    <t>Remexian 24/1 MHI HUW</t>
  </si>
  <si>
    <t>https://flowzz.com/product/remexian-24-1-huw-humble-warrior</t>
  </si>
  <si>
    <t>Remexian 27/1 CIV BDY</t>
  </si>
  <si>
    <t>Banana Daddy</t>
  </si>
  <si>
    <t>https://flowzz.com/product/remexian-27-1-civ-bdy-banana-daddy</t>
  </si>
  <si>
    <t>Tikun GNC 30/1</t>
  </si>
  <si>
    <t>DOPIOPHARM</t>
  </si>
  <si>
    <t>Dopiopharm</t>
  </si>
  <si>
    <t>Griechenland</t>
  </si>
  <si>
    <t>https://flowzz.com/product/tikun-gnc-30-1</t>
  </si>
  <si>
    <t>Tikun Noga 27/1</t>
  </si>
  <si>
    <t>Noga</t>
  </si>
  <si>
    <t>https://flowzz.com/product/tikun-noga-27-1</t>
  </si>
  <si>
    <t>Eufloria 30/1 SFR</t>
  </si>
  <si>
    <t>Strawberry Froyo</t>
  </si>
  <si>
    <t>https://flowzz.com/product/eufloria-30-1-sfr-strawberry-froyo</t>
  </si>
  <si>
    <t>Luana 28/1 Sundae</t>
  </si>
  <si>
    <t>Luana 28/1 Sundae - Sour Sundae</t>
  </si>
  <si>
    <t>enua 20/1 DB CA</t>
  </si>
  <si>
    <t>https://flowzz.com/product/enua-db-ca-20-1-pink-kush</t>
  </si>
  <si>
    <t>Remexian 33/1 PGF TIM</t>
  </si>
  <si>
    <t>Tingle Mint</t>
  </si>
  <si>
    <t>https://flowzz.com/product/remexian-33-1-pgf-tim-tingle-mint</t>
  </si>
  <si>
    <t>flighh 24/1 MK</t>
  </si>
  <si>
    <t>Mandarin Kush</t>
  </si>
  <si>
    <t>https://flowzz.com/product/flighh-24-1-mk-mandarin-kush</t>
  </si>
  <si>
    <t>Sibanax Wedding C 23/1</t>
  </si>
  <si>
    <t>https://flowzz.com/product/sibanax-wedding-c-23-1-wedding-cake</t>
  </si>
  <si>
    <t>Demecan MC Light Drop 20:01</t>
  </si>
  <si>
    <t>Acapulco Gold</t>
  </si>
  <si>
    <t>https://flowzz.com/product/demecan-mc-light-drop-20-01-acapulco-gold</t>
  </si>
  <si>
    <t>Vasco x Cipher BL</t>
  </si>
  <si>
    <t>Blue Lobster</t>
  </si>
  <si>
    <t>https://flowzz.com/product/vasco-x-cipher-bl-blue-lobster</t>
  </si>
  <si>
    <t>Barongo 28/1 SR</t>
  </si>
  <si>
    <t>Zkittlez Runtz</t>
  </si>
  <si>
    <t>10,12</t>
  </si>
  <si>
    <t>https://flowzz.com/product/barongo-28-1-sr-zkittlez-runtz</t>
  </si>
  <si>
    <t>Breezy Organics CGL 22/1</t>
  </si>
  <si>
    <t>9,20</t>
  </si>
  <si>
    <t>https://flowzz.com/product/breezy-organics-cgl-22-1-lime-haze</t>
  </si>
  <si>
    <t>avaay 29/1</t>
  </si>
  <si>
    <t>AVAAY</t>
  </si>
  <si>
    <t>Candy Pave</t>
  </si>
  <si>
    <t>Schweiz</t>
  </si>
  <si>
    <t>9,87</t>
  </si>
  <si>
    <t>https://flowzz.com/product/avaay-29-1-candy-pave</t>
  </si>
  <si>
    <t>avaay 30/1 JFP</t>
  </si>
  <si>
    <t>Jet Fuel Pie</t>
  </si>
  <si>
    <t>https://flowzz.com/product/avaay-30-1-jfp-jet-fuel-pie</t>
  </si>
  <si>
    <t>Remexian 33/1 GJY LIB</t>
  </si>
  <si>
    <t>https://flowzz.com/product/remexian-33-1-gjy-lib-liberty-haze</t>
  </si>
  <si>
    <t>Remexian 30/1 PGF BCL</t>
  </si>
  <si>
    <t>https://flowzz.com/product/remexian-30-1-pgf-bcl-booty-clapper</t>
  </si>
  <si>
    <t>avaay Signature 23/1 BYY</t>
  </si>
  <si>
    <t>Blueberry Yum Yum</t>
  </si>
  <si>
    <t>https://flowzz.com/product/avaay-signature-23-1-byy-blueberry-yum-yum</t>
  </si>
  <si>
    <t>Remexian 33/1 BKC</t>
  </si>
  <si>
    <t>https://flowzz.com/product/remexian-33-1-bkc-black-kyber-crystal</t>
  </si>
  <si>
    <t>Remexian 27/1 CIV MIM</t>
  </si>
  <si>
    <t>https://flowzz.com/product/remexian-27-1-civ-mim-mimosa</t>
  </si>
  <si>
    <t>avaay Signature 26/1 WB</t>
  </si>
  <si>
    <t>10,76</t>
  </si>
  <si>
    <t>Habitat Life Sciences Inc. Cake &amp; Caviar</t>
  </si>
  <si>
    <t>https://flowzz.com/product/avaay-26-1-signature-waffle-bites</t>
  </si>
  <si>
    <t>20/1 IUVO OC</t>
  </si>
  <si>
    <t>BATHERA</t>
  </si>
  <si>
    <t>Orange Z</t>
  </si>
  <si>
    <t>https://flowzz.com/product/20-1-iuvo-oc-orange-z</t>
  </si>
  <si>
    <t>Lazer Fuel</t>
  </si>
  <si>
    <t>https://flowzz.com/product/20-1-iuvo-oc-lazer-fuel</t>
  </si>
  <si>
    <t>Killer Cupcake</t>
  </si>
  <si>
    <t>https://flowzz.com/product/20-1-iuvo-oc-killer-cup</t>
  </si>
  <si>
    <t>Eufloria 24/1 BAN</t>
  </si>
  <si>
    <t>6,59</t>
  </si>
  <si>
    <t>C3_Innovativ_Solutions</t>
  </si>
  <si>
    <t>https://flowzz.com/product/eufloria-24-1-ban-banjo</t>
  </si>
  <si>
    <t>CNBS RNTZ 30/1</t>
  </si>
  <si>
    <t>https://flowzz.com/product/cnbs-30-1-rntz</t>
  </si>
  <si>
    <t>Demecan HS Light Drop</t>
  </si>
  <si>
    <t>Rainbow Dawg</t>
  </si>
  <si>
    <t>https://flowzz.com/product/demecan-hs-light-drop-rainbow-dawg</t>
  </si>
  <si>
    <t>madrecan 24/1 GDY Minis</t>
  </si>
  <si>
    <t>madrecan 24/1 MDR Minis - Mac Driver</t>
  </si>
  <si>
    <t>https://flowzz.com/product/madrecan-24-1-minis-mac-driver</t>
  </si>
  <si>
    <t>madrecan 24/1 DGV Minis</t>
  </si>
  <si>
    <t>https://flowzz.com/product/madrecan-24-1-dgv-minis-dougs-varin</t>
  </si>
  <si>
    <t>OMG! 24/1 HGM SUD</t>
  </si>
  <si>
    <t>https://flowzz.com/product/omg-24-1-hgm-sud-sudz</t>
  </si>
  <si>
    <t>Remexian 24/1 JOI PPM</t>
  </si>
  <si>
    <t>Purple Punch Mints</t>
  </si>
  <si>
    <t>https://flowzz.com/product/remexian-24-1-joi-ppm-purple-punch-mints</t>
  </si>
  <si>
    <t>Remexian 27/1 JOI JFF</t>
  </si>
  <si>
    <t>Jet Fuel Funk</t>
  </si>
  <si>
    <t>https://flowzz.com/product/remexian-27-1-joi-jff-jet-fuel-funk</t>
  </si>
  <si>
    <t>CNBS GMXOZ 30/1</t>
  </si>
  <si>
    <t>GMO x OZ Kush</t>
  </si>
  <si>
    <t>https://flowzz.com/product/cnbs-gmxoz-30-1-gmo-oz-kush</t>
  </si>
  <si>
    <t>420 Compound 27/1 CA BBW</t>
  </si>
  <si>
    <t>Bling Blaow</t>
  </si>
  <si>
    <t>10,78</t>
  </si>
  <si>
    <t>https://flowzz.com/product/420-compound-27-1-ca-bbw-bling-blaow</t>
  </si>
  <si>
    <t>Remexian 24/1 RAY GTR</t>
  </si>
  <si>
    <t>Gas Truffle</t>
  </si>
  <si>
    <t>https://flowzz.com/product/remexian-24-1-ray-gtr--gas-truffle</t>
  </si>
  <si>
    <t>Cannamedical Hybrid classic DK</t>
  </si>
  <si>
    <t>https://flowzz.com/product/cannamedical-hybrid-classic-dk-fullgas</t>
  </si>
  <si>
    <t>Tilray THC22 Spotlight Porto W</t>
  </si>
  <si>
    <t>https://flowzz.com/product/tilray-thc22-spotlight-porto-w-wappa</t>
  </si>
  <si>
    <t>Canify Cannabis flos 23/1 PRT Ku. Strawberry Banana S</t>
  </si>
  <si>
    <t>https://flowzz.com/product/canify-cannabis-flos-23-1-prt-ku-strawberry-banana-s</t>
  </si>
  <si>
    <t>MGF REB 26</t>
  </si>
  <si>
    <t>8,84</t>
  </si>
  <si>
    <t>https://flowzz.com/product/mgf-reb-26-red-bullz</t>
  </si>
  <si>
    <t>Cookies 29/1 MD</t>
  </si>
  <si>
    <t>7,78</t>
  </si>
  <si>
    <t>https://flowzz.com/product/cookies-29-1-md-medellin</t>
  </si>
  <si>
    <t>Barongo 24/1 CG</t>
  </si>
  <si>
    <t>Caviar Gold</t>
  </si>
  <si>
    <t>https://flowzz.com/product/barongo-24-1-cg-caviar-gold</t>
  </si>
  <si>
    <t>Social Choice 24/1 HGM ECH</t>
  </si>
  <si>
    <t>https://flowzz.com/product/social-choice-24-1-hgm-ech-el-chapo</t>
  </si>
  <si>
    <t>Weeco Duke 20/1 Purple Rain</t>
  </si>
  <si>
    <t>https://flowzz.com/product/weeco-20-1-purple-rain</t>
  </si>
  <si>
    <t>Organic Sweetgrass MCC 25/1 Mint Chocolate Chips</t>
  </si>
  <si>
    <t>Mint Chocolate Chip</t>
  </si>
  <si>
    <t>https://flowzz.com/product/organic-sweetgrass-mcc-25-1-mint-chocolate-chips</t>
  </si>
  <si>
    <t>THC AKUT 25 RBP</t>
  </si>
  <si>
    <t>https://flowzz.com/product/thc-akut-25-rbp-rainbow-pie</t>
  </si>
  <si>
    <t>Buuo 22/1 CDLC</t>
  </si>
  <si>
    <t>https://flowzz.com/product/buuo-22-1-cdlc-chem-de-la-chem</t>
  </si>
  <si>
    <t>enua 27/1 GPU</t>
  </si>
  <si>
    <t>Gastro Pop Ultra</t>
  </si>
  <si>
    <t>https://flowzz.com/product/enua-27-1-gpu-gastro-pop-ultra</t>
  </si>
  <si>
    <t>canymed BC 28/1: Alphaflos</t>
  </si>
  <si>
    <t>Schneewittchen</t>
  </si>
  <si>
    <t>https://flowzz.com/product/canymed-bc-28-1-alphaflos-schneewittchen</t>
  </si>
  <si>
    <t>24/1 Amici GB</t>
  </si>
  <si>
    <t>Godberry</t>
  </si>
  <si>
    <t>Parkinson</t>
  </si>
  <si>
    <t>https://flowzz.com/product/24-1-amici-gb-godberry</t>
  </si>
  <si>
    <t>420 Balanced Basic PT SLG</t>
  </si>
  <si>
    <t>Super Lemon G</t>
  </si>
  <si>
    <t>6</t>
  </si>
  <si>
    <t>https://flowzz.com/product/420-balanced-basic-pt-slg-super-lemon-g</t>
  </si>
  <si>
    <t>Bathera 23/1 DS</t>
  </si>
  <si>
    <t>Dank Sinatra</t>
  </si>
  <si>
    <t>https://flowzz.com/product/bathera-23-1-ds-dank-sinatra</t>
  </si>
  <si>
    <t>THC AKUT 25 RBC</t>
  </si>
  <si>
    <t>Rainbow Cake</t>
  </si>
  <si>
    <t>https://flowzz.com/product/thc-akut-25-rbc-rainbow-cake</t>
  </si>
  <si>
    <t>Mediprocan African Ruby 20/1</t>
  </si>
  <si>
    <t>https://flowzz.com/product/african-ruby-20-1-mimosa</t>
  </si>
  <si>
    <t>Demecan Oktonia Typ 2 30:01 (Cannabisextrakt)</t>
  </si>
  <si>
    <t>11,57</t>
  </si>
  <si>
    <t>https://flowzz.com/extract/demecan-typ-2-30-01</t>
  </si>
  <si>
    <t>CannabiStada 24/1 PIK</t>
  </si>
  <si>
    <t>14,26</t>
  </si>
  <si>
    <t>https://flowzz.com/product/cannabistada-24-1-pik-pink-kush</t>
  </si>
  <si>
    <t>Barrocas PMK 26/1 Premium</t>
  </si>
  <si>
    <t>https://flowzz.com/product/barrocas-pmk-26-1-premium-mandarin-kush</t>
  </si>
  <si>
    <t>Huala 25/1 UK CIN</t>
  </si>
  <si>
    <t>https://flowzz.com/product/huala-25-1-uk-cin-cinderella-kush</t>
  </si>
  <si>
    <t>Remexian 24/1 CBM FBC</t>
  </si>
  <si>
    <t>Frozen Black Cherry</t>
  </si>
  <si>
    <t>Cannabiomedic Inc.</t>
  </si>
  <si>
    <t>https://flowzz.com/product/remexian-24-1-cbm-fbc-frozen-black-cherry</t>
  </si>
  <si>
    <t>Eufloria 27/1 BTR</t>
  </si>
  <si>
    <t>https://flowzz.com/product/eufloria-27-1-btr-black-triangle</t>
  </si>
  <si>
    <t>MGF RGP/26</t>
  </si>
  <si>
    <t>https://flowzz.com/product/mgf-rgp-26-rose-gold-pave</t>
  </si>
  <si>
    <t>All Nations Pretty Smalls MD 21/1</t>
  </si>
  <si>
    <t>6,05</t>
  </si>
  <si>
    <t>https://flowzz.com/product/all-nations-pretty-smalls-md-21-1-mac-daddy</t>
  </si>
  <si>
    <t>All Nations Pretty Smalls LT 21/1</t>
  </si>
  <si>
    <t>https://flowzz.com/product/all-nations-pretty-smalls-lt-21-1-lemon-tartz</t>
  </si>
  <si>
    <t>Pretty Smalls MD 21/1</t>
  </si>
  <si>
    <t>Pretty Smalls MD 21/1 - Mac Daddy</t>
  </si>
  <si>
    <t>Demecan MC Epic Drop 29/1</t>
  </si>
  <si>
    <t>https://flowzz.com/product/demecan-mc-epic-drop-29-1-lava-cake</t>
  </si>
  <si>
    <t>Cannamedical Indica ultra BC</t>
  </si>
  <si>
    <t>Grape Pie</t>
  </si>
  <si>
    <t>https://flowzz.com/product/cannamedical-indica-ultra-bc-grape-pie</t>
  </si>
  <si>
    <t>Demecan MC Low Drop</t>
  </si>
  <si>
    <t>https://flowzz.com/product/demecan-mc-low-drop-acapulco-gold</t>
  </si>
  <si>
    <t>Remexian 24/1 CRX OOG</t>
  </si>
  <si>
    <t>https://flowzz.com/product/remexian-24-1--crx-oog-oasis-og</t>
  </si>
  <si>
    <t>aleph silver 23/1</t>
  </si>
  <si>
    <t>Purple Mac</t>
  </si>
  <si>
    <t>https://flowzz.com/product/aleph-sana-silver-23-1-purple-mac</t>
  </si>
  <si>
    <t>Mother 26 CTBX</t>
  </si>
  <si>
    <t>https://flowzz.com/product/mother-26-ctbx-chatterbox</t>
  </si>
  <si>
    <t>Remexian 21/1 IRC EDG</t>
  </si>
  <si>
    <t>End Game</t>
  </si>
  <si>
    <t>https://flowzz.com/product/remexian-21-1-irc-edg-endgame</t>
  </si>
  <si>
    <t>Bathera 26/1 FA</t>
  </si>
  <si>
    <t>https://flowzz.com/product/bathera-26-1-fa-facetz</t>
  </si>
  <si>
    <t>aleph green 24/1</t>
  </si>
  <si>
    <t>Doce da Casa</t>
  </si>
  <si>
    <t>https://flowzz.com/product/aleph-sana-aleph-green-24-1-doce-da-casa</t>
  </si>
  <si>
    <t>TYSON 2.0 32/1</t>
  </si>
  <si>
    <t>https://flowzz.com/product/tyson-32-1-haymaker-haze</t>
  </si>
  <si>
    <t>avaay 27/1 JFP</t>
  </si>
  <si>
    <t>https://flowzz.com/product/avaay-27-1-jfp-jet-fuel-pie</t>
  </si>
  <si>
    <t>Remexian 27/1 OTA ZAD</t>
  </si>
  <si>
    <t>Zanda´s Dream</t>
  </si>
  <si>
    <t>5,93</t>
  </si>
  <si>
    <t>https://flowzz.com/product/remexian-27-1-ota-zad-zandas-dream</t>
  </si>
  <si>
    <t>MeCann 25/1</t>
  </si>
  <si>
    <t>https://flowzz.com/product/mecann-25-1-permanent-marker</t>
  </si>
  <si>
    <t>Remexian 30/1 PGF CIS</t>
  </si>
  <si>
    <t>Citrus Spritz</t>
  </si>
  <si>
    <t>https://flowzz.com/product/remexian-30-1-pgf-citrus-spritz-cis</t>
  </si>
  <si>
    <t>Demecan PG Strong Drop 27:01</t>
  </si>
  <si>
    <t>https://flowzz.com/product/demecan-pg-strong-drop-27-01-purple-octane</t>
  </si>
  <si>
    <t>Remexian 30/1 TWE TRD</t>
  </si>
  <si>
    <t>Triangle Deluxe</t>
  </si>
  <si>
    <t>7,24</t>
  </si>
  <si>
    <t>https://flowzz.com/product/remexian-30-1-twe-trd-triangle-deluxe</t>
  </si>
  <si>
    <t>avaay Khalifa 24/1 KM</t>
  </si>
  <si>
    <t>https://flowzz.com/product/avaay-khalifa-24-1-km-khalifa-mints</t>
  </si>
  <si>
    <t>Frosted Cherry Cookies</t>
  </si>
  <si>
    <t>https://flowzz.com/product/tilray-thc18-spotlight-porto-frosted-cherry-cookies</t>
  </si>
  <si>
    <t>Demecan Regular Drop 25:01 LA WP</t>
  </si>
  <si>
    <t>LA Wedding Pop</t>
  </si>
  <si>
    <t>https://flowzz.com/product/demecan-regular-drop-25-01-la-wp-la-wedding-pop</t>
  </si>
  <si>
    <t>avaay Khalifa 28/1 KK</t>
  </si>
  <si>
    <t>11,44</t>
  </si>
  <si>
    <t>https://flowzz.com/product/avaay-khalifa-28-1-kk-khalifa-kush</t>
  </si>
  <si>
    <t>Cannamedical Indica Forte BC</t>
  </si>
  <si>
    <t>Tangerine Boost</t>
  </si>
  <si>
    <t>https://flowzz.com/product/cannamedical-indica-forte-bc-tangerine-boost</t>
  </si>
  <si>
    <t>TRUU HS 21/01</t>
  </si>
  <si>
    <t>Mandarin Sunset</t>
  </si>
  <si>
    <t>https://flowzz.com/product/demecan-truu-hs-21-1-mandarin-sunset</t>
  </si>
  <si>
    <t>Demecan TRUU HS 26/01</t>
  </si>
  <si>
    <t>Citron Cookies</t>
  </si>
  <si>
    <t>https://flowzz.com/product/demecan-truu-hs-26-1-citron-cookies</t>
  </si>
  <si>
    <t>Greyscales AM 21/1</t>
  </si>
  <si>
    <t>7,34</t>
  </si>
  <si>
    <t>https://flowzz.com/product/greyscales-am-21-1-animal-mints</t>
  </si>
  <si>
    <t>Bathera 22/1</t>
  </si>
  <si>
    <t>https://flowzz.com/product/bathera-22-1-permanent-marker</t>
  </si>
  <si>
    <t>Green Karat MG 28/1</t>
  </si>
  <si>
    <t>https://flowzz.com/product/green-karat-mg-28-1-modified-gas</t>
  </si>
  <si>
    <t>Remexian 27/1 PBC WTR</t>
  </si>
  <si>
    <t>White Truffle</t>
  </si>
  <si>
    <t>https://flowzz.com/product/remexian-27-1-pbc-wtr-white-truffle</t>
  </si>
  <si>
    <t>Remexian 30/1 TWE ABR</t>
  </si>
  <si>
    <t>Alien Breath</t>
  </si>
  <si>
    <t>https://flowzz.com/product/remexian-30-1-twe-abr-alien-breath</t>
  </si>
  <si>
    <t>Remexian 24/1 CCU STC</t>
  </si>
  <si>
    <t>Strawberry &amp; Cream</t>
  </si>
  <si>
    <t>https://flowzz.com/product/remexian-24-1-ccu-stc-strawberry-cream</t>
  </si>
  <si>
    <t>Mediprocan African Ruby 26/1 SOGC</t>
  </si>
  <si>
    <t>Sour OG Cheese</t>
  </si>
  <si>
    <t>https://flowzz.com/product/mediprocan-african-ruby-26-1-sogc-sour-og-cheese</t>
  </si>
  <si>
    <t>Remexian 30/1 CRX</t>
  </si>
  <si>
    <t>https://flowzz.com/product/remexian-30-1-crx-gmo-breath</t>
  </si>
  <si>
    <t>Demecan Craft Luana 31:01</t>
  </si>
  <si>
    <t>Peechy Keen</t>
  </si>
  <si>
    <t>https://flowzz.com/product/demecan-craft-luana-31-01-peechy-keen</t>
  </si>
  <si>
    <t>Remexian 27/1 CIV SBU</t>
  </si>
  <si>
    <t>Strawberry Bubbles</t>
  </si>
  <si>
    <t>https://flowzz.com/product/remexian-27-1-civ-sbu-strawberry-bubbles</t>
  </si>
  <si>
    <t>Dronabinol Sub Candoro</t>
  </si>
  <si>
    <t>Canopy OGD 27/1</t>
  </si>
  <si>
    <t>https://flowzz.com/product/canopy-ogd-27-og-deluxe</t>
  </si>
  <si>
    <t>Cirrus Indica 27/1</t>
  </si>
  <si>
    <t>https://flowzz.com/product/cannfx-cirrus-indica-27-1space-cake</t>
  </si>
  <si>
    <t>Cirrus Platinum Hybrid 27/1</t>
  </si>
  <si>
    <t>https://flowzz.com/product/cannfx-cirrus-platinum-hybrid-27-1-po-platinum-oranges</t>
  </si>
  <si>
    <t>https://flowzz.com/product/remexian-22-1-biscotti-mintz</t>
  </si>
  <si>
    <t>Remexian 27/1 PGF GOZ</t>
  </si>
  <si>
    <t>https://flowzz.com/product/remexian-27-1-pgf-gmo-x-ozk-goz</t>
  </si>
  <si>
    <t>enua 20/1 BA CA</t>
  </si>
  <si>
    <t>Busy Animal</t>
  </si>
  <si>
    <t>https://flowzz.com/product/enua-20-1-ba-ca-busy-animal</t>
  </si>
  <si>
    <t>Strawberry Guava</t>
  </si>
  <si>
    <t>https://flowzz.com/product/buuo-22-1-cdlc-strawberry-guava</t>
  </si>
  <si>
    <t>Dosi Cake</t>
  </si>
  <si>
    <t>https://flowzz.com/product/cannfx-cirrus-platinum-hybrid-27-1</t>
  </si>
  <si>
    <t>Bedrocan Cannabis Flos 25/1</t>
  </si>
  <si>
    <t>https://flowzz.com/product/bedrocan-cannabis-flos-dab-2018</t>
  </si>
  <si>
    <t>HiSociety TT Banjo</t>
  </si>
  <si>
    <t>https://flowzz.com/product/hisociety-tt-banjo</t>
  </si>
  <si>
    <t>All Nations Pretty Smalls GM 21/1 MacDoughnut</t>
  </si>
  <si>
    <t>https://flowzz.com/product/all-nations-pretty-smalls-gm-21-1-macdoughnut</t>
  </si>
  <si>
    <t>CNBS BTY GP 30/1</t>
  </si>
  <si>
    <t>Better Than Your Gary Payton</t>
  </si>
  <si>
    <t>https://flowzz.com/product/CNBS-bty-gp-30-1-better-than-your-gary-payton</t>
  </si>
  <si>
    <t>enua 30/1 ZKM CA</t>
  </si>
  <si>
    <t>8,05</t>
  </si>
  <si>
    <t>https://flowzz.com/product/enua-30-1-zkm-ca-zkittlez-kushmints</t>
  </si>
  <si>
    <t>IMC X4 THC25 Token</t>
  </si>
  <si>
    <t>Gorilla Queen</t>
  </si>
  <si>
    <t>https://flowzz.com/product/imc-thc25-e6-gorilla-queen</t>
  </si>
  <si>
    <t>ADREX 24 CSC CAN</t>
  </si>
  <si>
    <t>Chem Scout Cookies</t>
  </si>
  <si>
    <t>https://flowzz.com/product/adrex-24-csc-can-chem-scout-cookies</t>
  </si>
  <si>
    <t>Canify Cannabis flos 25/1 PRT Ku. Black Cherry Pie Small buds</t>
  </si>
  <si>
    <t>https://flowzz.com/product/canify-cannabis-flos-25-1-prt-ku-black-cherry-pie-s</t>
  </si>
  <si>
    <t>CannGo OCR 20/1 Orange Crasher by The BC Green</t>
  </si>
  <si>
    <t>https://flowzz.com/product/canngo-ocr-20-1-by-The-bc-green</t>
  </si>
  <si>
    <t>Lilac Diesel</t>
  </si>
  <si>
    <t>https://flowzz.com/product/tilray-thc18-spotlight-porto-lilac-diesel</t>
  </si>
  <si>
    <t>IMC THC25 E6</t>
  </si>
  <si>
    <t>Royal OG</t>
  </si>
  <si>
    <t>https://flowzz.com/product/imc-thc25-e6-royal-og</t>
  </si>
  <si>
    <t>Barrocas ICM 18/1</t>
  </si>
  <si>
    <t>Ice Cream Man</t>
  </si>
  <si>
    <t>https://flowzz.com/product/barrocas-icm-18-1-ice-cream-man</t>
  </si>
  <si>
    <t>Sibanax Crescendo Cookies 16/1</t>
  </si>
  <si>
    <t>https://flowzz.com/product/sibanax-crescendo-cookies-16-1</t>
  </si>
  <si>
    <t>Remexian 30/1 ECO FFG</t>
  </si>
  <si>
    <t>Eco Canadian Organic</t>
  </si>
  <si>
    <t>https://flowzz.com/product/remexian-30-1-eco-ffg-francos-fullgas</t>
  </si>
  <si>
    <t>Luana 20/1</t>
  </si>
  <si>
    <t>Grape LA</t>
  </si>
  <si>
    <t>Luana</t>
  </si>
  <si>
    <t>https://flowzz.com/product/luana-20-1-grape-la</t>
  </si>
  <si>
    <t>Remexian 24/1 OTA</t>
  </si>
  <si>
    <t>https://flowzz.com/product/remexian-24-1-ota-lemon-cherry-gelato</t>
  </si>
  <si>
    <t>Remexian 20/1 GJY GRG</t>
  </si>
  <si>
    <t>5,69</t>
  </si>
  <si>
    <t>https://flowzz.com/product/remexian-20-1-grg-grape-galena-hybrid</t>
  </si>
  <si>
    <t>Pharma Leaves Indica dominant Strong 21/1</t>
  </si>
  <si>
    <t>TetraHip</t>
  </si>
  <si>
    <t>https://flowzz.com/product/pharma-leaves-indica-dominant-strong-21-1-do-si-dos</t>
  </si>
  <si>
    <t>Green Karat MG 29/1</t>
  </si>
  <si>
    <t>https://flowzz.com/product/green-karat-mg-29-1-modified-gas</t>
  </si>
  <si>
    <t>Demecan MC Epic Drop 30/1</t>
  </si>
  <si>
    <t>https://flowzz.com/product/demecan-mc-epic-drop-30-1-lava-cake</t>
  </si>
  <si>
    <t>Nedcann VM 23/01</t>
  </si>
  <si>
    <t>https://flowzz.com/product/nedcann-vm-23-01-jack-herer</t>
  </si>
  <si>
    <t>420 Compound 20/1 CA MWZ</t>
  </si>
  <si>
    <t>https://flowzz.com/product/420-compound-20-1-ca-mwz-mellowz</t>
  </si>
  <si>
    <t>Remexian 27/1 CRX SUP</t>
  </si>
  <si>
    <t>Super Sherb</t>
  </si>
  <si>
    <t>Canary_RX</t>
  </si>
  <si>
    <t>https://flowzz.com/product/remexian-27-1-crx-sup-super-sherb</t>
  </si>
  <si>
    <t>KEjF. SPZ 33/1</t>
  </si>
  <si>
    <t>https://flowzz.com/product/kejf-spz-33-1-spritzer</t>
  </si>
  <si>
    <t>Cold Dank x Jelly Breath</t>
  </si>
  <si>
    <t>https://flowzz.com/product/buuo-22-1-cdlc-cold-dank-jelly-breath</t>
  </si>
  <si>
    <t>Buuo 26/1 SL</t>
  </si>
  <si>
    <t>Key Lime Kush x Sexy Limes</t>
  </si>
  <si>
    <t>https://flowzz.com/product/buuo-26-1-sl-key-lime-kush-sexy-limes</t>
  </si>
  <si>
    <t>All Nations Pretty Smalls FG 30/1</t>
  </si>
  <si>
    <t>https://flowzz.com/product/all-nations-pretty-smalls-fg-30-1-frosted-gelato</t>
  </si>
  <si>
    <t>420 Compound 25/1 RPV</t>
  </si>
  <si>
    <t>https://flowzz.com/product/420-compound-25-1-rpv-rose-gold-pave</t>
  </si>
  <si>
    <t>Canify Cannabis flos 27/1 PRT Ku. Strawberry Banana S</t>
  </si>
  <si>
    <t>https://flowzz.com/product/canify-cannabis-flos-27-1-prt-ku-strawberry-banana-s</t>
  </si>
  <si>
    <t>enua 25/1 GMO CA</t>
  </si>
  <si>
    <t>https://flowzz.com/product/enua-25-1-gmo-ca-koko-cookies</t>
  </si>
  <si>
    <t>Biscuit Rntz I</t>
  </si>
  <si>
    <t>https://flowzz.com/product/tilray-thc22-spotlight-porto-biscuit-rntz</t>
  </si>
  <si>
    <t>Barrocas ICM 16/1</t>
  </si>
  <si>
    <t>https://flowzz.com/product/barrocas-icm-16-1-ice-cream-man</t>
  </si>
  <si>
    <t>aleph swiss Bliss 17/1</t>
  </si>
  <si>
    <t>https://flowzz.com/product/aleph-sana-swiss-bliss-17-1-motor-breath</t>
  </si>
  <si>
    <t>enua 25/1 GPU</t>
  </si>
  <si>
    <t>https://flowzz.com/product/enua-25-1-gpu-gastro-pop-ultra</t>
  </si>
  <si>
    <t>420 Evolution 22/1 CA MMI</t>
  </si>
  <si>
    <t>https://flowzz.com/product/420-evolution-22-1-ca-miracle-Mmnt</t>
  </si>
  <si>
    <t>Remexian Balanced CNF MCC 11/17</t>
  </si>
  <si>
    <t>https://flowzz.com/product/remexian-balanced-cnf-mcc-11-17-mango-cheese</t>
  </si>
  <si>
    <t>Tilray THC25 Sativa No 4</t>
  </si>
  <si>
    <t>https://flowzz.com/product/tilray-thc-25-sativa-no-4-island-sweet-skunk</t>
  </si>
  <si>
    <t>CannGo 24/1 BC Green A&amp;G Apples and Gas</t>
  </si>
  <si>
    <t>Apples &amp; Gas</t>
  </si>
  <si>
    <t>7,38</t>
  </si>
  <si>
    <t>https://flowzz.com/product/canngo-24-1-bc-green-ag-apples-and-gas</t>
  </si>
  <si>
    <t>Remexian 24/1 PRT MCR</t>
  </si>
  <si>
    <t>Motor Crasher</t>
  </si>
  <si>
    <t>Cannprisma</t>
  </si>
  <si>
    <t>https://flowzz.com/product/remexian-24-1-prt-mcr-motor-crasher</t>
  </si>
  <si>
    <t>enua 30/1 CCK-GBZ CA</t>
  </si>
  <si>
    <t>https://flowzz.com/product/enua-30-1-cck-gbz-ca-guava-barz</t>
  </si>
  <si>
    <t>Demecan Core OZK x CC 24:01</t>
  </si>
  <si>
    <t>https://flowzz.com/product/demecan-core-ozk-x-cc-24-1</t>
  </si>
  <si>
    <t>Enua 25/1 WCK CA 100</t>
  </si>
  <si>
    <t>https://flowzz.com/product/enua-25-1-wck-ca-100-la-kush-cake</t>
  </si>
  <si>
    <t>https://flowzz.com/product/tilray-thc22-spotlight-porto-frosted-cherry-cookies</t>
  </si>
  <si>
    <t>Tilray Craft Cannabisblüten THC25 BBD Blueberry Donuts 29</t>
  </si>
  <si>
    <t>Blueberry Donuts</t>
  </si>
  <si>
    <t>https://flowzz.com/product/tilray-craft-thc25-bbd-blueberry-donuts-29</t>
  </si>
  <si>
    <t>Tilray Craft Cannabisblüten THC25 BCR</t>
  </si>
  <si>
    <t>Beach Crasher</t>
  </si>
  <si>
    <t>https://flowzz.com/product/tilray-craft-thc25-bcr-beach-crasher</t>
  </si>
  <si>
    <t xml:space="preserve">Remexian 21/1 CCU SBE </t>
  </si>
  <si>
    <t>Super Berry</t>
  </si>
  <si>
    <t>https://flowzz.com/product/remexian-21-1-ccu-sbe-super-berry</t>
  </si>
  <si>
    <t>Enua 22/1 SAM CA</t>
  </si>
  <si>
    <t>Super Alien Mints</t>
  </si>
  <si>
    <t>https://flowzz.com/product/enua-22-1-sam-ca-super-alien-mints</t>
  </si>
  <si>
    <t>Remexian Balanced CNF MCC 11/17 CBD Mango Cream Cheese</t>
  </si>
  <si>
    <t>https://flowzz.com/product/remexian-balanced-cnf11-17-cbd</t>
  </si>
  <si>
    <t>Sibanax GMO Zkittlez 20/1</t>
  </si>
  <si>
    <t>https://flowzz.com/product/sibanax-gmo-zkittlez-20-1</t>
  </si>
  <si>
    <t>Remexian 33/1 GJY FLJ Flap Jack</t>
  </si>
  <si>
    <t>Betralif Corp</t>
  </si>
  <si>
    <t>https://flowzz.com/product/remexian-33-1-gjy-flj-flap-jack</t>
  </si>
  <si>
    <t>NICE 20/1 JS</t>
  </si>
  <si>
    <t>https://flowzz.com/product/nice-20-1-js-jack-skunkset</t>
  </si>
  <si>
    <t>Cannamedical Indica Forte BC TB</t>
  </si>
  <si>
    <t>https://flowzz.com/product/cannamedical-indica-forte-bc-tb-tangelo-boost</t>
  </si>
  <si>
    <t>Medicus 30/1 EVS WHP Smalls</t>
  </si>
  <si>
    <t>White Poison</t>
  </si>
  <si>
    <t>EverGreen</t>
  </si>
  <si>
    <t>https://flowzz.com/product/medicus-30-1-evs-whp-white-poison</t>
  </si>
  <si>
    <t>Remexian 21/1 CCU LAR</t>
  </si>
  <si>
    <t>LA Runtz</t>
  </si>
  <si>
    <t>https://flowzz.com/product/remexian-21-1-ccu-lar-la-runtz</t>
  </si>
  <si>
    <t>enua 22/1 MAC 1 CA</t>
  </si>
  <si>
    <t>https://flowzz.com/product/enua-22-1-mac-1-ca-miracle-alien-cookies</t>
  </si>
  <si>
    <t>enua 25/1 GTHZ</t>
  </si>
  <si>
    <t>https://flowzz.com/product/enua-25-1-ghost-train-haze</t>
  </si>
  <si>
    <t>Materia SIS 20/0</t>
  </si>
  <si>
    <t>4,76</t>
  </si>
  <si>
    <t>https://flowzz.com/extract/materia-sis-20-0</t>
  </si>
  <si>
    <t>Materia SIS 10/10</t>
  </si>
  <si>
    <t>https://flowzz.com/extract/materia-sis-10-10</t>
  </si>
  <si>
    <t>Materia 10/1 30 ml</t>
  </si>
  <si>
    <t>https://flowzz.com/extract/materia-10-1-30-ml</t>
  </si>
  <si>
    <t>Materia 20/1 30 ml</t>
  </si>
  <si>
    <t>https://flowzz.com/extract/materia-20-1-30-ml</t>
  </si>
  <si>
    <t>Demecan Core PULSE 27:01 Zativa</t>
  </si>
  <si>
    <t>https://flowzz.com/product/demecan-core-pulse-27-01-zativa-tangelo-boost</t>
  </si>
  <si>
    <t>Remexian 24/1 PRT MTP</t>
  </si>
  <si>
    <t>https://flowzz.com/product/remexian-prt-24-1-mokums-tulip</t>
  </si>
  <si>
    <t>Remexian 30/1 PRT WEC</t>
  </si>
  <si>
    <t>https://flowzz.com/product/remexian-30-1-prt-wec-wedding-cake</t>
  </si>
  <si>
    <t>MCOS Strong 27/1 MDOC PXY</t>
  </si>
  <si>
    <t>Proxy</t>
  </si>
  <si>
    <t>5,84</t>
  </si>
  <si>
    <t>M.D.O.C Growing</t>
  </si>
  <si>
    <t>https://flowzz.com/product/mcos-strong-27-1-mdoc-pxy-proxy</t>
  </si>
  <si>
    <t>Demecan CRAFT Walkie Talkie 27:01</t>
  </si>
  <si>
    <t>https://flowzz.com/product/demecan-craft-walkie-talkie-27-01-sugar-cake</t>
  </si>
  <si>
    <t>avaay 28/1 CK</t>
  </si>
  <si>
    <t>Farma Growers</t>
  </si>
  <si>
    <t>https://flowzz.com/product/avaay-28-1-critical-kush-critical-kush</t>
  </si>
  <si>
    <t>Demecan Core Cros 26:01</t>
  </si>
  <si>
    <t>Crossbow</t>
  </si>
  <si>
    <t>https://flowzz.com/product/demecan-core-cros-26-01-crossbow</t>
  </si>
  <si>
    <t>avaay 25/1 RG</t>
  </si>
  <si>
    <t>https://flowzz.com/product/avaay-25-1-royal-gorilla-royal-gorilla</t>
  </si>
  <si>
    <t>Remexian 27/1 BRC TRE</t>
  </si>
  <si>
    <t>Tropical Breath</t>
  </si>
  <si>
    <t>https://flowzz.com/product/remexian-27-1-brc-tre-tropical-breath</t>
  </si>
  <si>
    <t>30/1 Amici TR</t>
  </si>
  <si>
    <t>Tropical Reign</t>
  </si>
  <si>
    <t>https://flowzz.com/product/30-1-amici-tr-tropical-reign</t>
  </si>
  <si>
    <t>Demecan Core ICC 20:01</t>
  </si>
  <si>
    <t>https://flowzz.com/product/demecan-core-icc-20-01-ice-cream-cake</t>
  </si>
  <si>
    <t>Together Pharma GB 18/1</t>
  </si>
  <si>
    <t>https://flowzz.com/product/together-pharma-gb-18-1-glueberry-og</t>
  </si>
  <si>
    <t>Canify Cannabis Flos 10/14</t>
  </si>
  <si>
    <t>https://flowzz.com/product/canify-cannabi-flos-10-14-midnight</t>
  </si>
  <si>
    <t>avaay 34/1 SCP</t>
  </si>
  <si>
    <t>34</t>
  </si>
  <si>
    <t>https://flowzz.com/product/avaay-34-1-scp-sour-cherry-punch</t>
  </si>
  <si>
    <t>Keylime Kush</t>
  </si>
  <si>
    <t>https://flowzz.com/product/buuo-26-1-sl-keylime-kush</t>
  </si>
  <si>
    <t>Remexian 27/1 TRF CHM</t>
  </si>
  <si>
    <t>Pink Champagne</t>
  </si>
  <si>
    <t>6,15</t>
  </si>
  <si>
    <t>https://flowzz.com/product/remexian-27-1-trf-chm-pink-champagne</t>
  </si>
  <si>
    <t>avaay Signature 23/1 WB</t>
  </si>
  <si>
    <t>https://flowzz.com/product/avaay-23-1-signature-waffle-bites</t>
  </si>
  <si>
    <t>Remexian 24/1 CKE FLV</t>
  </si>
  <si>
    <t>Green Joÿ</t>
  </si>
  <si>
    <t>https://flowzz.com/product/remexian-24-1-cke-flv-flawless-victory</t>
  </si>
  <si>
    <t>Buuo 24/1 DC</t>
  </si>
  <si>
    <t>Rainbow Lava</t>
  </si>
  <si>
    <t>https://flowzz.com/product/buuo-24-1-dc-rainbow-lava</t>
  </si>
  <si>
    <t>Buuo 26/1 GP</t>
  </si>
  <si>
    <t>https://flowzz.com/product/buuo-26-1-gp-gastro-pop</t>
  </si>
  <si>
    <t>Buuo 24/1 Sudz</t>
  </si>
  <si>
    <t>https://flowzz.com/product/buuo-24-1-sudz</t>
  </si>
  <si>
    <t>Barongo 26/1 BM</t>
  </si>
  <si>
    <t>Kandi Klouds Kush</t>
  </si>
  <si>
    <t>https://flowzz.com/product/barongo-26-1-bm-kandi-klouds-kush</t>
  </si>
  <si>
    <t>Tropic Boom</t>
  </si>
  <si>
    <t>https://flowzz.com/product/barongo-26-1-bm-tropic-boom</t>
  </si>
  <si>
    <t>Barongo 24/1 UDC</t>
  </si>
  <si>
    <t>https://flowzz.com/product/barongo-24-1-upside-down-cake</t>
  </si>
  <si>
    <t>https://flowzz.com/product/buuo-24-1-dc-cookies-cream</t>
  </si>
  <si>
    <t>Demecan Craft Rocket 31:01 Pave x Gastro Pop</t>
  </si>
  <si>
    <t>https://flowzz.com/product/demecan-craft-rocket-31-01-pave-gastro-pop</t>
  </si>
  <si>
    <t>https://flowzz.com/product/cannamedical-sativa-light-fast-orange</t>
  </si>
  <si>
    <t>Demecan Core ICC 22:01</t>
  </si>
  <si>
    <t>https://flowzz.com/product/demecan-core-icc-22-01-ice-cream-cake</t>
  </si>
  <si>
    <t>Remexian 27/1 TRF GRC</t>
  </si>
  <si>
    <t>Grape Crusher</t>
  </si>
  <si>
    <t>True Fire</t>
  </si>
  <si>
    <t>https://flowzz.com/product/remexian-27-1-tfr-grc-grape-crusher</t>
  </si>
  <si>
    <t>enua 27/1 GPP CA</t>
  </si>
  <si>
    <t>https://flowzz.com/product/enua-27-1-gpp-ca-gelly-popper</t>
  </si>
  <si>
    <t>6,53</t>
  </si>
  <si>
    <t>https://flowzz.com/product/tilray-thc22-spotlight-port-beach-crasher</t>
  </si>
  <si>
    <t>Balancial 18/1 PT-S1</t>
  </si>
  <si>
    <t>Old Skool</t>
  </si>
  <si>
    <t>4,69</t>
  </si>
  <si>
    <t>https://flowzz.com/product/balancial-18-1-pt-s1-old-skool</t>
  </si>
  <si>
    <t>GROW 9/12 AM</t>
  </si>
  <si>
    <t>Apricot Mints</t>
  </si>
  <si>
    <t>https://flowzz.com/product/grow-9-12-am-apricot-mints</t>
  </si>
  <si>
    <t>Tilray Craft Cannabisblüten THC25 PPV</t>
  </si>
  <si>
    <t>Platinum Pave</t>
  </si>
  <si>
    <t>https://flowzz.com/product/tilray-craft-thc25-ppv-platinum-pave</t>
  </si>
  <si>
    <t>Craft Botanics 25/1</t>
  </si>
  <si>
    <t>Georgia Pie</t>
  </si>
  <si>
    <t>https://flowzz.com/product/craft-botanics-25-1-georgia-pie</t>
  </si>
  <si>
    <t>Demecan Core Cros 29:01</t>
  </si>
  <si>
    <t>https://flowzz.com/product/demecan-core-cros-29-01-crossbow</t>
  </si>
  <si>
    <t>All Nations AKM 18/1</t>
  </si>
  <si>
    <t>https://flowzz.com/product/all-nations-akm-18-1-alien-kush-mintz</t>
  </si>
  <si>
    <t>South African  23/1 Mungo</t>
  </si>
  <si>
    <t>https://flowzz.com/product/south-african-mungo-23-1-mungo</t>
  </si>
  <si>
    <t>Tilray Craft Cannabisblüten THC28 BBD Blueberry Donuts 29</t>
  </si>
  <si>
    <t>https://flowzz.com/product/tilray-craft-thc28-bbd-blueberry-donuts-29</t>
  </si>
  <si>
    <t>Demecan SC Light Drop 20:01</t>
  </si>
  <si>
    <t>https://flowzz.com/product/demecan-sc-light-drop-20-01-mimosa</t>
  </si>
  <si>
    <t>BC Green  25/1 HGH</t>
  </si>
  <si>
    <t>https://flowzz.com/product/bc-green-hgh-25-1-hgh</t>
  </si>
  <si>
    <t>avaay 24/1 PNK</t>
  </si>
  <si>
    <t>Emblem</t>
  </si>
  <si>
    <t>https://flowzz.com/product/avaay-24-1-pnk-pineapple-nuken</t>
  </si>
  <si>
    <t>Cannamedical Indica Classic CKP</t>
  </si>
  <si>
    <t>https://flowzz.com/product/cannamedical-indica-classic-ckp-cookies-kerosene-punch</t>
  </si>
  <si>
    <t>https://flowzz.com/product/tilray-thc22-spotlight-porto-triangle-mints</t>
  </si>
  <si>
    <t>Buuo 24/1 JGB</t>
  </si>
  <si>
    <t>Juggernaut x Gas Breath</t>
  </si>
  <si>
    <t>https://flowzz.com/product/buuo-24-1-jgb-juggernaut-gas-breath</t>
  </si>
  <si>
    <t>Barongo 30/1 MC</t>
  </si>
  <si>
    <t>Animal Mintz Cross</t>
  </si>
  <si>
    <t>https://flowzz.com/product/barongo-30-1-mc-animal-mintz-cross</t>
  </si>
  <si>
    <t>Barongo 30/1 KM</t>
  </si>
  <si>
    <t>Kush Mintz</t>
  </si>
  <si>
    <t>8,78</t>
  </si>
  <si>
    <t>https://flowzz.com/product/barongo-30-1-km-kush-mintz</t>
  </si>
  <si>
    <t>28/1 Amici GB</t>
  </si>
  <si>
    <t>https://flowzz.com/product/28-1-amici-gb-godberry</t>
  </si>
  <si>
    <t>Huala 27/1 UK CIN</t>
  </si>
  <si>
    <t>5,94</t>
  </si>
  <si>
    <t>https://flowzz.com/product/huala-27-1-uk-cin-cinderella-kush</t>
  </si>
  <si>
    <t>IMC THC30 T03 GG4</t>
  </si>
  <si>
    <t>6,40</t>
  </si>
  <si>
    <t>https://flowzz.com/product/imc-thc-30-t03-gg-4-gorilla-glue-4</t>
  </si>
  <si>
    <t>enua 22/1 EG CA</t>
  </si>
  <si>
    <t>Electric Grapefruit</t>
  </si>
  <si>
    <t>ENUA Pharma</t>
  </si>
  <si>
    <t>https://flowzz.com/product/enua-22-1-eg-ca-electric-grapefruit</t>
  </si>
  <si>
    <t>NICE 22/1 TC</t>
  </si>
  <si>
    <t>https://flowzz.com/product/nice-22-1-tc-tropicana-cookies</t>
  </si>
  <si>
    <t>Soma OG 24/1 CC</t>
  </si>
  <si>
    <t>https://flowzz.com/product/soma-og-24-1-black-cherry-punch</t>
  </si>
  <si>
    <t>Demecan RF Epic Drop Gelato X OG Kush</t>
  </si>
  <si>
    <t>https://flowzz.com/product/demecan-rf-epic-drop-gelato-x-og-kush</t>
  </si>
  <si>
    <t>Social Choice! 24/1 SEN GTH</t>
  </si>
  <si>
    <t xml:space="preserve">Herbery SC 25:01 </t>
  </si>
  <si>
    <t>Herbery SC 25:01 Banana Cream</t>
  </si>
  <si>
    <t>Together Pharma KH 21/1</t>
  </si>
  <si>
    <t>https://flowzz.com/product/together-pharma-gb-21-1-karels-haze</t>
  </si>
  <si>
    <t>Together Pharma KHH 18/1</t>
  </si>
  <si>
    <t>Kosher Haze</t>
  </si>
  <si>
    <t>3,90</t>
  </si>
  <si>
    <t>https://flowzz.com/product/together-pharma-khh-18-1-kosher-haze</t>
  </si>
  <si>
    <t>Social Choice! 27/1 LUX</t>
  </si>
  <si>
    <t>Social Choice! 27/1 LUX OMG</t>
  </si>
  <si>
    <t>Pharmaleaves Indica Plain 20</t>
  </si>
  <si>
    <t>PHARMALEA</t>
  </si>
  <si>
    <t>Pharmaleaves</t>
  </si>
  <si>
    <t>Chocolate Mint</t>
  </si>
  <si>
    <t>4,89</t>
  </si>
  <si>
    <t>https://flowzz.com/product/pharmaleaves-indica-plain-20-chocolate-mint</t>
  </si>
  <si>
    <t>THC AKUT BF 25 PSC ZATLA</t>
  </si>
  <si>
    <t>Platinum Girl Scout Cookies</t>
  </si>
  <si>
    <t>https://flowzz.com/product/thc-akut-bf-25-psc-zatla</t>
  </si>
  <si>
    <t>Madrecan 27/1</t>
  </si>
  <si>
    <t>Pineapple Purps</t>
  </si>
  <si>
    <t>https://flowzz.com/product/madrecan-27-1-pineapple-purps</t>
  </si>
  <si>
    <t>Madrecan 27/1 SKY</t>
  </si>
  <si>
    <t>https://flowzz.com/product/madrecan-27-1-sky-skywalker</t>
  </si>
  <si>
    <t>Soma OG 22/1 GG</t>
  </si>
  <si>
    <t>https://flowzz.com/product/soma-og-22-1-gg-gorilla-glue</t>
  </si>
  <si>
    <t>THC AKUT 28 BF</t>
  </si>
  <si>
    <t>Blunicorn</t>
  </si>
  <si>
    <t>https://flowzz.com/product/thc-akut-28-bf-blunicorn</t>
  </si>
  <si>
    <t>Sibanax Crescendo  24/1</t>
  </si>
  <si>
    <t>HEYDAYY</t>
  </si>
  <si>
    <t>https://flowzz.com/product/sibanax-crescendo-24-1</t>
  </si>
  <si>
    <t>Remexian 30/1 MTL JUC</t>
  </si>
  <si>
    <t>Jungl's Cake</t>
  </si>
  <si>
    <t>https://flowzz.com/product/remexian-30-1-mtl-juc</t>
  </si>
  <si>
    <t>Barongo 24/1 Sudz</t>
  </si>
  <si>
    <t>https://flowzz.com/product/barongo-24-1-sudz</t>
  </si>
  <si>
    <t>Sibanax Crescendo  20/1</t>
  </si>
  <si>
    <t>https://flowzz.com/product/sibanax-crescendo-20-1</t>
  </si>
  <si>
    <t>Sibanax Hybrid MCF 28/1 Mac Fem</t>
  </si>
  <si>
    <t>https://flowzz.com/product/sibanax-hybrid-mcf-28-1</t>
  </si>
  <si>
    <t>https://flowzz.com/product/cannamedical-hybrid-forte-dk-fullgas</t>
  </si>
  <si>
    <t>Together Pharma GB 21/1</t>
  </si>
  <si>
    <t>https://flowzz.com/product/together-pharma-gb-21-1-glueberry-og</t>
  </si>
  <si>
    <t>Botanics Orient Bazaar 22/1</t>
  </si>
  <si>
    <t>Orient Bazaar</t>
  </si>
  <si>
    <t>Caspergrower</t>
  </si>
  <si>
    <t>https://flowzz.com/product/botanics-orient-bazaar-22-1</t>
  </si>
  <si>
    <t>Botanics Velvet Sherbet 22/1</t>
  </si>
  <si>
    <t>Velvet Sherbet</t>
  </si>
  <si>
    <t>https://flowzz.com/product/botanics-velvet-sherbet-22-1</t>
  </si>
  <si>
    <t>Bathera 26/1 DS</t>
  </si>
  <si>
    <t>https://flowzz.com/product/bathera-26-1-ds-dank-sinatra</t>
  </si>
  <si>
    <t>Nedcann JOG 25/01 Joker OG #3</t>
  </si>
  <si>
    <t>Natural Pharma</t>
  </si>
  <si>
    <t>Joker OG</t>
  </si>
  <si>
    <t>https://flowzz.com/product/nedcann-jog-25-01-joker-og</t>
  </si>
  <si>
    <t>Demecan Craft Magister 31/1 BM</t>
  </si>
  <si>
    <t>9,77</t>
  </si>
  <si>
    <t>https://flowzz.com/product/demecan-craft-magister-31-1-bm-black-marker</t>
  </si>
  <si>
    <t>Remexian WTF 24/1 MIC SGC</t>
  </si>
  <si>
    <t>Sugar Cookies</t>
  </si>
  <si>
    <t>https://flowzz.com/product/remexian-wtf-24-1-mic-sgc-sugar-cookies</t>
  </si>
  <si>
    <t>ADREX 22 CKD</t>
  </si>
  <si>
    <t>Cookie Dough</t>
  </si>
  <si>
    <t>https://flowzz.com/product/adrex-22-ckd-cookie-dough</t>
  </si>
  <si>
    <t>Herbery SC 26/1</t>
  </si>
  <si>
    <t>HERBERY</t>
  </si>
  <si>
    <t>https://flowzz.com/product/herbery-sc-26-1-banana-cram</t>
  </si>
  <si>
    <t>Bathera 24/1 BZ</t>
  </si>
  <si>
    <t>https://flowzz.com/product/bathera-24-1-bz-zkittlez-x-kush-mints</t>
  </si>
  <si>
    <t>avaay Signature 31/1 GOG</t>
  </si>
  <si>
    <t>Gossip Gun</t>
  </si>
  <si>
    <t>https://flowzz.com/product/avaay-signature-31-1-gog</t>
  </si>
  <si>
    <t>TRUU GT 31:01</t>
  </si>
  <si>
    <t>Kush Cookies</t>
  </si>
  <si>
    <t>https://flowzz.com/product/truu-gt-31-01-kush-cookies</t>
  </si>
  <si>
    <t>Cannamedical Hybrid Forte 24/1</t>
  </si>
  <si>
    <t>https://flowzz.com/product/cannamedical-hybridforte-24-1-garlic-truffle</t>
  </si>
  <si>
    <t>BC Green 20/1 A&amp;B - Apples &amp; Bananas</t>
  </si>
  <si>
    <t>Remexian 27/1 BBR CRS</t>
  </si>
  <si>
    <t>https://flowzz.com/product/remexian-27-1-bbr-crs-crossbow</t>
  </si>
  <si>
    <t>Cookies OG</t>
  </si>
  <si>
    <t>Greentone</t>
  </si>
  <si>
    <t>https://flowzz.com/product/truu-gt-31-01-cookies-og</t>
  </si>
  <si>
    <t>Botanics Orient Bazaar 20/1</t>
  </si>
  <si>
    <t>Sherbz</t>
  </si>
  <si>
    <t>https://flowzz.com/product/botanics-orient-bazaar-20-1</t>
  </si>
  <si>
    <t>Social Choice 21/1 LUX</t>
  </si>
  <si>
    <t>OMG</t>
  </si>
  <si>
    <t>Zimbabwe</t>
  </si>
  <si>
    <t>https://flowzz.com/product/social-choice-21-1-lux-omg</t>
  </si>
  <si>
    <t>Social Choice 24/1 SEN GTH</t>
  </si>
  <si>
    <t>https://flowzz.com/product/social-choice-24-1-sen-gth-ghost-train-haze</t>
  </si>
  <si>
    <t>BRIAH Cannabis 27/1 Gorilla Glue Forte</t>
  </si>
  <si>
    <t>DAY3</t>
  </si>
  <si>
    <t>Day3 Pharma</t>
  </si>
  <si>
    <t>https://flowzz.com/product/briah-cannabis-27-1-gorilla-glue-forte</t>
  </si>
  <si>
    <t>Green Karat RO 31/1 PT</t>
  </si>
  <si>
    <t>https://flowzz.com/product/green-karat-ro-31-1-pt-runtz-og</t>
  </si>
  <si>
    <t>Botanics Velvet Twister 20/1</t>
  </si>
  <si>
    <t>Candy Cartel</t>
  </si>
  <si>
    <t>https://flowzz.com/product/botanics-velvet-twister-20-1-candy-cartel</t>
  </si>
  <si>
    <t>enua 25/1 ANF CA</t>
  </si>
  <si>
    <t>https://flowzz.com/product/enua-25-1-anf-ca</t>
  </si>
  <si>
    <t>TruHC LL 22</t>
  </si>
  <si>
    <t>https://flowzz.com/product/truhc-ll-22-legendary-larry</t>
  </si>
  <si>
    <t>TruHC LL 25</t>
  </si>
  <si>
    <t>https://flowzz.com/product/truhc-ll-25-legendary-larry</t>
  </si>
  <si>
    <t>IMC PPMK THC25</t>
  </si>
  <si>
    <t>Mountain Kush</t>
  </si>
  <si>
    <t>https://flowzz.com/product/imc-ppmk-thc-25-mountain-kush</t>
  </si>
  <si>
    <t>IMC PPMK THC20</t>
  </si>
  <si>
    <t>https://flowzz.com/product/imc-ppmk-thc-20-mountain-kush</t>
  </si>
  <si>
    <t>NEDCANN GHC 22/01</t>
  </si>
  <si>
    <t>NEDCANN</t>
  </si>
  <si>
    <t>Chemical Bride</t>
  </si>
  <si>
    <t>5,82</t>
  </si>
  <si>
    <t>https://flowzz.com/product/nedcann-ghc-22-1-chemical-bride</t>
  </si>
  <si>
    <t>Luana 24/1 Sundae</t>
  </si>
  <si>
    <t>Sour Sundae</t>
  </si>
  <si>
    <t>https://flowzz.com/product/luana-24-1-sundae</t>
  </si>
  <si>
    <t>Demecan Craft Cali 26:01</t>
  </si>
  <si>
    <t>https://flowzz.com/product/demecan-craft-cali-26-01-hawaiian_rain-x-permanent-marker</t>
  </si>
  <si>
    <t>Remexian 27/1 GCC BCJ</t>
  </si>
  <si>
    <t>Biscotti Jealousy</t>
  </si>
  <si>
    <t>https://flowzz.com/product/remexian-27-1-gcc-bcj-biscotti-jealousy</t>
  </si>
  <si>
    <t>27/1 NICE CB</t>
  </si>
  <si>
    <t>https://flowzz.com/product/27-1-nice-cb-cocoa-bomba</t>
  </si>
  <si>
    <t>enua 27/1 GTHZ</t>
  </si>
  <si>
    <t>https://flowzz.com/product/enua-27-1-ghost-train-haze</t>
  </si>
  <si>
    <t>enua 25/1 USR CA Smalls</t>
  </si>
  <si>
    <t>Ultra Sour</t>
  </si>
  <si>
    <t>4,67</t>
  </si>
  <si>
    <t>https://flowzz.com/product/enua-25-1-usr-ca-ultra-sour</t>
  </si>
  <si>
    <t>Bava Med 21/1 LEM-SK</t>
  </si>
  <si>
    <t>bavamedical</t>
  </si>
  <si>
    <t>4,59</t>
  </si>
  <si>
    <t>https://flowzz.com/product/bava-med-21-1-lem-sk-lemon-skunk</t>
  </si>
  <si>
    <t>Bava Med 21/1 BAN-SP</t>
  </si>
  <si>
    <t>Banana Split</t>
  </si>
  <si>
    <t>7,22</t>
  </si>
  <si>
    <t>https://flowzz.com/product/bava-med-21-1-ban-sp-banana-split</t>
  </si>
  <si>
    <t>Remexian 21/1 NEB KKT</t>
  </si>
  <si>
    <t>Karamel Kut Throat</t>
  </si>
  <si>
    <t>https://flowzz.com/product/remexian-21-1-neb-kkt-karamel-kut-throat</t>
  </si>
  <si>
    <t>Tweed 27/1</t>
  </si>
  <si>
    <t>5,96</t>
  </si>
  <si>
    <t>https://flowzz.com/product/tweed-27-1-jack-herer</t>
  </si>
  <si>
    <t>Medicus 27/1 EZA DSD</t>
  </si>
  <si>
    <t>https://flowzz.com/product/medicus-27-1-eza-dsd-do-si-dos</t>
  </si>
  <si>
    <t>Remexian 27/1 GCC SWB</t>
  </si>
  <si>
    <t>https://flowzz.com/product/remexian-27-1-gcc-swb-strawberry-banana</t>
  </si>
  <si>
    <t>Bava Med 23/1 MAN-CO</t>
  </si>
  <si>
    <t>https://flowzz.com/product/bava-med-23-1-man-co-23-1-mc-mandarin-cookies</t>
  </si>
  <si>
    <t>IMC CCS THC22 Crescendo</t>
  </si>
  <si>
    <t>https://flowzz.com/product/imc-ccs-thc22-crescendo</t>
  </si>
  <si>
    <t>TRUU GT 27/01</t>
  </si>
  <si>
    <t>Skull Cap</t>
  </si>
  <si>
    <t>https://flowzz.com/product/truu-gt-27-01-skull-cap</t>
  </si>
  <si>
    <t>Remexian 35/1 GJY TAR</t>
  </si>
  <si>
    <t>White Tar</t>
  </si>
  <si>
    <t>35</t>
  </si>
  <si>
    <t>8,34</t>
  </si>
  <si>
    <t>https://flowzz.com/product/remexian-35-1-gjy-tar-white-tar</t>
  </si>
  <si>
    <t>Remexian 33/1 HMA LOG</t>
  </si>
  <si>
    <t>7,94</t>
  </si>
  <si>
    <t>Harmonia World</t>
  </si>
  <si>
    <t>https://flowzz.com/product/remexian-33-1-hma-log-lemon-og</t>
  </si>
  <si>
    <t>Remexian 27/1 JPM WFM</t>
  </si>
  <si>
    <t>Wicked Frosted Mintz</t>
  </si>
  <si>
    <t>https://flowzz.com/product/remexian-27-1-jpm-wfm-wicked-frosted-mintz</t>
  </si>
  <si>
    <t>Remexian 24/1 JPM CFZ</t>
  </si>
  <si>
    <t>Candy Fumez</t>
  </si>
  <si>
    <t>https://flowzz.com/product/remexian-24-1-jpm-cfz-candy-fumez</t>
  </si>
  <si>
    <t>Remexian 24/1 JPM HWD</t>
  </si>
  <si>
    <t>Hollywood</t>
  </si>
  <si>
    <t>https://flowzz.com/product/remexian-24-1-jpm-hwd-hollywood</t>
  </si>
  <si>
    <t>Remexian WTF 18/1 MIC SCD</t>
  </si>
  <si>
    <t>Sour Cherry Diesel</t>
  </si>
  <si>
    <t>https://flowzz.com/product/remexian-wtf-18-1-mic-scd-sour-cherry-diesel</t>
  </si>
  <si>
    <t>Remexian 30/1 GCC GUB Guava Bars</t>
  </si>
  <si>
    <t>https://flowzz.com/product/remexian-30-1-gcc-gub-guava-bars</t>
  </si>
  <si>
    <t>Herbery BB 23/01 Moonbow x Planet Purple</t>
  </si>
  <si>
    <t>https://flowzz.com/product/herbery-bb-23-01-moonbow-x-planet-purple</t>
  </si>
  <si>
    <t>madrecan 24/1 GB9</t>
  </si>
  <si>
    <t>Garlic Budder</t>
  </si>
  <si>
    <t>https://flowzz.com/product/madrecan-24-1-gb9-garlic-budder</t>
  </si>
  <si>
    <t>Remexian 24/1 GCC BCJ</t>
  </si>
  <si>
    <t>https://flowzz.com/product/remexian-24-1-gcc-bcj-biscotti-jealousy</t>
  </si>
  <si>
    <t>Remexian 21/1 JPM BBD</t>
  </si>
  <si>
    <t>Barry Bonds</t>
  </si>
  <si>
    <t>https://flowzz.com/product/remexian-21-1-jpm-bbd-barry-bonds</t>
  </si>
  <si>
    <t>Remexian 27/1 GCC THZ</t>
  </si>
  <si>
    <t>The Zoap</t>
  </si>
  <si>
    <t>https://flowzz.com/product/remexian-27-1-gcc-thz-the-zoap</t>
  </si>
  <si>
    <t>420 Natural 16/1 CA TRP</t>
  </si>
  <si>
    <t>https://flowzz.com/product/420-natural-16-1-ca-trp</t>
  </si>
  <si>
    <t>Remexian 18/1 JPM HWD</t>
  </si>
  <si>
    <t>https://flowzz.com/product/remexian-18-1-jpm-hwd-hollywood</t>
  </si>
  <si>
    <t>Demecan Core Moonbow 27/1</t>
  </si>
  <si>
    <t>https://flowzz.com/product/demecan-core-moonbow-27-1-moonbow-112-ix</t>
  </si>
  <si>
    <t>Huala 27/1 UK WTR</t>
  </si>
  <si>
    <t>Waffle Truffle</t>
  </si>
  <si>
    <t>England</t>
  </si>
  <si>
    <t>https://flowzz.com/product/huala-27-1-uk-wtr-white-truffle</t>
  </si>
  <si>
    <t>Remexian 30/1 MTL PAR</t>
  </si>
  <si>
    <t>Pablo's Revenge</t>
  </si>
  <si>
    <t>https://flowzz.com/product/remexian-30-1-mtl-par-pablos-revenge</t>
  </si>
  <si>
    <t>TYSON 2.0 22/1</t>
  </si>
  <si>
    <t>Frozen Fist</t>
  </si>
  <si>
    <t>https://flowzz.com/product/tyson-22-1-frozen-fist</t>
  </si>
  <si>
    <t>Alexander The Great</t>
  </si>
  <si>
    <t>https://flowzz.com/product/tyson-28-1-alexander-the-great</t>
  </si>
  <si>
    <t>Exodus</t>
  </si>
  <si>
    <t>https://flowzz.com/product/tyson-24-1-exodus</t>
  </si>
  <si>
    <t>Remexian 30/1 TWE GBY</t>
  </si>
  <si>
    <t>Gorilla Berry</t>
  </si>
  <si>
    <t>https://flowzz.com/product/remexian-30-1-twe-gby-gorilla-berry</t>
  </si>
  <si>
    <t>Top Shelf Medical 34/1 MTL WCK</t>
  </si>
  <si>
    <t>Wes' Coast Kush</t>
  </si>
  <si>
    <t>https://flowzz.com/product/top-shelf-medical-34-1-mtl-wck-coast-kush</t>
  </si>
  <si>
    <t>Top Shelf Medical 34/1 MTL SNM Strawberry N‘ Mintz</t>
  </si>
  <si>
    <t>https://flowzz.com/product/top-shelf-medical-34-1-mtl-snm-strawberry-n-mintz</t>
  </si>
  <si>
    <t>IMC Cannabisblüten RWT THC27 Token</t>
  </si>
  <si>
    <t>White Rhino</t>
  </si>
  <si>
    <t>https://flowzz.com/product/imc-thc-27-rtw-white-rhino</t>
  </si>
  <si>
    <t>Cannamedical Sativa ultra ES</t>
  </si>
  <si>
    <t>Nova</t>
  </si>
  <si>
    <t>https://flowzz.com/product/cannamedical-sativa-ultra-es-nova</t>
  </si>
  <si>
    <t>enua 22/1 BA CA</t>
  </si>
  <si>
    <t>https://flowzz.com/product/enua-22-1-ba-ca-busy-animal</t>
  </si>
  <si>
    <t>Remexian 35/1 GJY BPA</t>
  </si>
  <si>
    <t>Black Pave</t>
  </si>
  <si>
    <t>https://flowzz.com/product/remexian-35-1-gjy-bpa-black-pave</t>
  </si>
  <si>
    <t>IMC THC27 T04</t>
  </si>
  <si>
    <t>https://flowzz.com/product/imc-thc-27-t04-strawberry-og</t>
  </si>
  <si>
    <t>Curaleaf Natural 27/1 PT WPT</t>
  </si>
  <si>
    <t>https://flowzz.com/product/curaleaf-natural-27-1-pt-wpt-wedding-pop-triangle</t>
  </si>
  <si>
    <t>Medicus 27/1 EZA GMO</t>
  </si>
  <si>
    <t>https://flowzz.com/product/medicus-27-1-eza-gmo</t>
  </si>
  <si>
    <t>Remexian 36/1 MER RUP</t>
  </si>
  <si>
    <t>Runtz Punch</t>
  </si>
  <si>
    <t>36</t>
  </si>
  <si>
    <t>https://flowzz.com/product/remexian-36-1-mer-rup-runtz-punch</t>
  </si>
  <si>
    <t>Pretty Smalls MR 21/1</t>
  </si>
  <si>
    <t>Midnight Runtz</t>
  </si>
  <si>
    <t>5,17</t>
  </si>
  <si>
    <t>https://flowzz.com/product/pretty-smalls-mr-21-1-midnight-runtz</t>
  </si>
  <si>
    <t>Pretty Smalls BSC 21/1</t>
  </si>
  <si>
    <t>Biscotti</t>
  </si>
  <si>
    <t>https://flowzz.com/product/pretty-smalls-bsc-21-1-biscotti</t>
  </si>
  <si>
    <t>420 Evolution 27/1 CA MFG</t>
  </si>
  <si>
    <t>Modified Grapes</t>
  </si>
  <si>
    <t>https://flowzz.com/product/420-evolution-27-1-ca-mfg-modified-grapes</t>
  </si>
  <si>
    <t>420 Evolution 22/1 CA PVB</t>
  </si>
  <si>
    <t>Private Banana</t>
  </si>
  <si>
    <t>https://flowzz.com/product/420-evolution-22-1-ca-pvb-private-banana</t>
  </si>
  <si>
    <t>Huala 25/1 CA SCO</t>
  </si>
  <si>
    <t>Scoops</t>
  </si>
  <si>
    <t>4,94</t>
  </si>
  <si>
    <t>https://flowzz.com/product/huala-25-1-ca-sco-scoops</t>
  </si>
  <si>
    <t>420 Evolution FRG 27/1 Glaced Apricot Gelato</t>
  </si>
  <si>
    <t>Bava Med 24/1 BAN-SP</t>
  </si>
  <si>
    <t>4,74</t>
  </si>
  <si>
    <t>https://flowzz.com/product/bava-med-24-1-ban-sp-banana-split</t>
  </si>
  <si>
    <t>https://flowzz.com/product/tyson-26-1-alexander-the-great</t>
  </si>
  <si>
    <t>Remexian 27/1 CBT CHK</t>
  </si>
  <si>
    <t>https://flowzz.com/product/remexian-27-1-cbt-chk-chemical-kush</t>
  </si>
  <si>
    <t>Ceres Cap J 25/1</t>
  </si>
  <si>
    <t>https://flowzz.com/product/ceres-cap-j-25-1-cap-junky</t>
  </si>
  <si>
    <t>Roxton Air STV 25/1</t>
  </si>
  <si>
    <t>Jelly Rancher</t>
  </si>
  <si>
    <t>https://flowzz.com/product/roxton-air-stv-25-1-jelly-rancher</t>
  </si>
  <si>
    <t>Origine Nature GG 21/1</t>
  </si>
  <si>
    <t>Golden Gauth</t>
  </si>
  <si>
    <t>https://flowzz.com/product/origine-nature-gg-21-1-golden-gauth</t>
  </si>
  <si>
    <t>Pretty Smalls ICC 21/1</t>
  </si>
  <si>
    <t>https://flowzz.com/product/pretty-smalls-icc-21-1-ice-cream-cake</t>
  </si>
  <si>
    <t>Mediprocan African Ruby 30/1</t>
  </si>
  <si>
    <t>https://flowzz.com/product/mediprocan-lunaris-30-1-black-cherry-punch</t>
  </si>
  <si>
    <t>420 Evolution 25/1 CA MMI</t>
  </si>
  <si>
    <t>https://flowzz.com/product/420-evolution-25-1-mmi-miracle-mint</t>
  </si>
  <si>
    <t>420 Evolution 27/1 CA FRG</t>
  </si>
  <si>
    <t>Frosted Gumbo</t>
  </si>
  <si>
    <t>https://flowzz.com/product/420-evolution-27-1-ca-frg-frosted-gumbo</t>
  </si>
  <si>
    <t>Green Karat PF 22/1</t>
  </si>
  <si>
    <t>Permanent Fruz</t>
  </si>
  <si>
    <t>https://flowzz.com/product/green-karat-pf-22-1-permanent-fruz</t>
  </si>
  <si>
    <t>BC Green 14/1 A&amp;B</t>
  </si>
  <si>
    <t>4,29</t>
  </si>
  <si>
    <t>https://flowzz.com/product/bc-green-14-1-ab-apples-and-bananas</t>
  </si>
  <si>
    <t>Canify Cannabis Flos 27/1 CDA Ku.</t>
  </si>
  <si>
    <t>https://flowzz.com/product/canify-27-1-cda-ku-pink-slurricane</t>
  </si>
  <si>
    <t>Canify Cannabis Flos 25/1 CSF Ku.</t>
  </si>
  <si>
    <t>Carnez Citric</t>
  </si>
  <si>
    <t>https://flowzz.com/product/canify-cannabis-flos-25-1-csf-ku-carnez-citric</t>
  </si>
  <si>
    <t>Wellford Aquaponic 32/1 LBO</t>
  </si>
  <si>
    <t>Legendary Bozy</t>
  </si>
  <si>
    <t>https://flowzz.com/product/wellford-aquaponic-32-1-gth-legendary-bozy</t>
  </si>
  <si>
    <t>Wellford Peak CA T95 30/1</t>
  </si>
  <si>
    <t>Tres Dawg x I-95</t>
  </si>
  <si>
    <t>https://flowzz.com/product/wellford-peak-ca-t95-30-1-tres-dawg-x-i-95</t>
  </si>
  <si>
    <t>Therismos 33/1 PKM</t>
  </si>
  <si>
    <t>https://flowzz.com/product/therismos-33-1-pkm-pink-kush-mints</t>
  </si>
  <si>
    <t>Wellford Aquaponic 23/1 GTH</t>
  </si>
  <si>
    <t>https://flowzz.com/product/wellford-aquaponic-23-1-gth-ghost-train-haze</t>
  </si>
  <si>
    <t>Craft Botanics 30/1</t>
  </si>
  <si>
    <t>https://flowzz.com/product/craft-botanics-30-1-white-runtz</t>
  </si>
  <si>
    <t>420 Compound 18/1 CA GAG</t>
  </si>
  <si>
    <t>Glaced Apricot Gelato</t>
  </si>
  <si>
    <t>https://flowzz.com/product/420-compound-18-1-ca-gag-glaced-apricot-gelato</t>
  </si>
  <si>
    <t>aleph air 13/1</t>
  </si>
  <si>
    <t>https://flowzz.com/product/alephsana-air-13-1-sour-tangie</t>
  </si>
  <si>
    <t>MediCann 19/1 MC Oro 21</t>
  </si>
  <si>
    <t>Duende</t>
  </si>
  <si>
    <t>https://flowzz.com/product/medicann-19-1-mc-oro-21</t>
  </si>
  <si>
    <t>Luana 28/1 Electric - Bashengo</t>
  </si>
  <si>
    <t>Luana 20/1 Delight</t>
  </si>
  <si>
    <t>https://flowzz.com/product/luana-20-1-delight-carnez-citric</t>
  </si>
  <si>
    <t>IMC Cannabisblüten OGC THC 25 - OG Cheese</t>
  </si>
  <si>
    <t>420 Cannabisextrakt THC 10 / CBD 10</t>
  </si>
  <si>
    <t>3,77</t>
  </si>
  <si>
    <t>https://flowzz.com/extract/420-cannabisextrakt-thc-10-cbd-10</t>
  </si>
  <si>
    <t>420 Cannabisextrakt THC 25 / CBD 25</t>
  </si>
  <si>
    <t>https://flowzz.com/extract/420-cannabisextrakt-thc-25-cbd-25</t>
  </si>
  <si>
    <t>Somai Cannabisextrakt Senses Mango 25/1</t>
  </si>
  <si>
    <t>SOMAI</t>
  </si>
  <si>
    <t>SOMAÍ Pharmaceuticals</t>
  </si>
  <si>
    <t>https://flowzz.com/extract/somai-cannabisextrakt-senses-mango-25-1</t>
  </si>
  <si>
    <t>Somai Cannabisextrakt Senses Zitrone 25/1</t>
  </si>
  <si>
    <t>https://flowzz.com/extract/somai-cannabisextrakt-senses-zitrone-25-1</t>
  </si>
  <si>
    <t>Somai Cannabisextrakt Senses Guave 25/1</t>
  </si>
  <si>
    <t>https://flowzz.com/extract/somai-senses-guave-25-1</t>
  </si>
  <si>
    <t>Demecan FE 800</t>
  </si>
  <si>
    <t>80</t>
  </si>
  <si>
    <t>5</t>
  </si>
  <si>
    <t>104,99</t>
  </si>
  <si>
    <t>https://flowzz.com/extract/demecan-fe-800</t>
  </si>
  <si>
    <t>Greyscale HF 31/1</t>
  </si>
  <si>
    <t>Hawaiian Faanta</t>
  </si>
  <si>
    <t>https://flowzz.com/product/greyscale-hf-31-1-hawaiian-faanta</t>
  </si>
  <si>
    <t>avaay Signature 29/1 LEM</t>
  </si>
  <si>
    <t>Lemon Loaf</t>
  </si>
  <si>
    <t>https://flowzz.com/product/avaay-signature-29-1-lem-lemon-loaf</t>
  </si>
  <si>
    <t>Remexian 24/1 HMA PYW</t>
  </si>
  <si>
    <t>https://flowzz.com/product/remexian-24-1-hma-pyw-peyote-wifi</t>
  </si>
  <si>
    <t>Remexian 27/1 GCC CCK</t>
  </si>
  <si>
    <t>https://flowzz.com/product/remexian-27-1-gcc-cck-cold-creek-kush</t>
  </si>
  <si>
    <t>aleph air 16/1</t>
  </si>
  <si>
    <t>https://flowzz.com/product/alephsana-air-16-1-sour-tangie</t>
  </si>
  <si>
    <t>Remexian WTF 21/1 MIC ICC</t>
  </si>
  <si>
    <t>4,48</t>
  </si>
  <si>
    <t>https://flowzz.com/product/remexian-wtf-21-1-mic-icc-ice-cream-cake</t>
  </si>
  <si>
    <t>Remexian WTF 21/1 MIC BJE</t>
  </si>
  <si>
    <t>Bangerine</t>
  </si>
  <si>
    <t>https://flowzz.com/product/remexian-wtf-21-1-mic-bje-banjerine</t>
  </si>
  <si>
    <t>Remexian WTF 21/1 MIC TAP</t>
  </si>
  <si>
    <t>Tangerine Punch</t>
  </si>
  <si>
    <t>4,47</t>
  </si>
  <si>
    <t>https://flowzz.com/product/remexian-wtf-21-1-mic-tap-tangerine-punch</t>
  </si>
  <si>
    <t>Social Choice 27/1 LUX</t>
  </si>
  <si>
    <t>https://flowzz.com/product/social-choice-27-1-lux-omg-ghost-omg</t>
  </si>
  <si>
    <t>https://flowzz.com/product/craft-botanics-27-1-gelonade</t>
  </si>
  <si>
    <t>enua 22/1 USR CA Smalls</t>
  </si>
  <si>
    <t>4,20</t>
  </si>
  <si>
    <t>https://flowzz.com/product/enua-22-1-usr-ca-smalls-ultra-sour</t>
  </si>
  <si>
    <t>Craft Serenova 31:01</t>
  </si>
  <si>
    <t>https://flowzz.com/product/craft-serenova-31-01-cap-junky</t>
  </si>
  <si>
    <t>Mother 26 B8 CAN</t>
  </si>
  <si>
    <t>https://flowzz.com/product/mother-26-b8-can-beta-808</t>
  </si>
  <si>
    <t>Barrocas PMK 24/1 Premium</t>
  </si>
  <si>
    <t>https://flowzz.com/product/barrocas-pmk-24-1-premium-mandarin-kush</t>
  </si>
  <si>
    <t>Canopy AKH 26/1</t>
  </si>
  <si>
    <t>https://flowzz.com/product/canopy-akh-26-afghan-kush</t>
  </si>
  <si>
    <t>IMC Cannabisblüten THC25 T18</t>
  </si>
  <si>
    <t>Notorious Gush</t>
  </si>
  <si>
    <t>https://flowzz.com/product/imc-cannabisblueten-thc-25-t18-notorious-gush</t>
  </si>
  <si>
    <t>Wellford Peak CA PKM 28/1</t>
  </si>
  <si>
    <t>https://flowzz.com/product/Wellford-peak-ca-pkm-28-1-pink-kush-mints</t>
  </si>
  <si>
    <t>aleph Fire 32/1 Amnesia Skittlez</t>
  </si>
  <si>
    <t>Amnesia Skittles</t>
  </si>
  <si>
    <t>https://flowzz.com/product/aleph-fire-32-1-amnesia-skittlez</t>
  </si>
  <si>
    <t>https://flowzz.com/product/craft-botanics-30-1-mimosa</t>
  </si>
  <si>
    <t>Cannamedical Sativa ultra ES CDLC</t>
  </si>
  <si>
    <t>https://flowzz.com/product/cannamedical-sativa-ultra-es-chem-da-la-chem</t>
  </si>
  <si>
    <t>Herbasana Salsa Lover 20:01</t>
  </si>
  <si>
    <t>Cosmic Soda</t>
  </si>
  <si>
    <t>https://flowzz.com/product/herbasana-salsa-lover-20-01-cosmic-soda</t>
  </si>
  <si>
    <t>Forbidden Lolly</t>
  </si>
  <si>
    <t>https://flowzz.com/product/mediprocan-lunaris-19-1-forbidden-lolly</t>
  </si>
  <si>
    <t>Canify Cannabis Flos 20/1 CSF Ku.</t>
  </si>
  <si>
    <t>Bashengo</t>
  </si>
  <si>
    <t>https://flowzz.com/product/canify-cannabis-flos-20-1-csf-ku-bashengo</t>
  </si>
  <si>
    <t>Social Choice 24/1 LUX MER</t>
  </si>
  <si>
    <t>https://flowzz.com/product/social-choice-24-1-lux-mer-meringue</t>
  </si>
  <si>
    <t>Remexian 20/1 MHI GG4</t>
  </si>
  <si>
    <t>4,68</t>
  </si>
  <si>
    <t>https://flowzz.com/product/remexian-20-1-mhi-gg4-gorilla-glue</t>
  </si>
  <si>
    <t>Remexian 20/1 MHI HUW</t>
  </si>
  <si>
    <t>https://flowzz.com/product/remexian-20-1-huw-humble-warrior</t>
  </si>
  <si>
    <t>Tikun  22/1 OZ</t>
  </si>
  <si>
    <t>OZ</t>
  </si>
  <si>
    <t>https://flowzz.com/product/tikun-oz-22-1-oz</t>
  </si>
  <si>
    <t>Tikun CAP J 31/1</t>
  </si>
  <si>
    <t>https://flowzz.com/product/tikun-cap-j-31-1-cap-junky</t>
  </si>
  <si>
    <t>Roxton Air STV 21/1</t>
  </si>
  <si>
    <t>https://flowzz.com/product/roxton-air-stv-21-1-jelly-rancher</t>
  </si>
  <si>
    <t>Remexian 24/1 GCC BBG</t>
  </si>
  <si>
    <t>GG4 x Blueberry</t>
  </si>
  <si>
    <t>https://flowzz.com/product/remexian-24-1-gcc-bbg-gg4-blueberry</t>
  </si>
  <si>
    <t>enua 30/1 JGF</t>
  </si>
  <si>
    <t>Jungle Fumes</t>
  </si>
  <si>
    <t>https://flowzz.com/product/enua-30-1-jgf-jungle-fumes</t>
  </si>
  <si>
    <t>Social Choice 15/1 AUR LDO</t>
  </si>
  <si>
    <t>Lemon Diamond OG</t>
  </si>
  <si>
    <t>https://flowzz.com/product/social-choice-15-1-aur-ldo-lemon-diamond-og</t>
  </si>
  <si>
    <t>NICE 20/1 LMJ</t>
  </si>
  <si>
    <t>4,92</t>
  </si>
  <si>
    <t>https://flowzz.com/product/nice-20-1-lmj-lemon-jane</t>
  </si>
  <si>
    <t>NICE 19/1 FZK</t>
  </si>
  <si>
    <t>Forbidden Zkittlez</t>
  </si>
  <si>
    <t>https://flowzz.com/product/nice-19-1-fzk-forbidden-zkittlez</t>
  </si>
  <si>
    <t>Remexian 20/1 MHI MAD</t>
  </si>
  <si>
    <t>https://flowzz.com/product/remexian-20-1-mhi-mad-magic-dream</t>
  </si>
  <si>
    <t>avaay 19/1 TNG</t>
  </si>
  <si>
    <t>https://flowzz.com/product/avaay-19-1-tng-tangie</t>
  </si>
  <si>
    <t>WEECO NG 1/16</t>
  </si>
  <si>
    <t>Nightingale</t>
  </si>
  <si>
    <t>https://flowzz.com/product/weeco-ng-1-16-nightingale</t>
  </si>
  <si>
    <t>IMC Cannabisblüten RWT THC25 Token</t>
  </si>
  <si>
    <t>https://flowzz.com/product/imc-thc-25-rwt-white-rhino</t>
  </si>
  <si>
    <t>avaay 34/1 JFP</t>
  </si>
  <si>
    <t>https://flowzz.com/product/avaay-34-1-jfp-jet-fuel-pie</t>
  </si>
  <si>
    <t>Remexian 33/1 HMA LOG Minis</t>
  </si>
  <si>
    <t>https://flowzz.com/product/remexian-33-1-hma-log-minis-lemon-og</t>
  </si>
  <si>
    <t>Hycann KCO 27/1 CA</t>
  </si>
  <si>
    <t>https://flowzz.com/product/hycann-kco-27-1-ca-kush-cookies</t>
  </si>
  <si>
    <t>Rainbow Jungle</t>
  </si>
  <si>
    <t>https://flowzz.com/product/cannamedical-hybrid-forte-nm-rainbow-jungle</t>
  </si>
  <si>
    <t>Luana 25/1 Donny B</t>
  </si>
  <si>
    <t>Bunatic</t>
  </si>
  <si>
    <t>https://flowzz.com/product/luana-25-1-donny-b-bunatic</t>
  </si>
  <si>
    <t>Remexian 33/1 GJY FLV</t>
  </si>
  <si>
    <t>https://flowzz.com/product/remexian-33-1-flv-flawless-victory</t>
  </si>
  <si>
    <t>Tilray THC22 Bienville</t>
  </si>
  <si>
    <t>https://flowzz.com/product/tilray-thc22-bienville</t>
  </si>
  <si>
    <t>420 Evolution 33/1 CA MSP</t>
  </si>
  <si>
    <t>Masterpiece</t>
  </si>
  <si>
    <t>EastCann</t>
  </si>
  <si>
    <t>https://flowzz.com/product/420-evolution-33-1-ca-msp-masterpiece</t>
  </si>
  <si>
    <t>canymed BC 24/1</t>
  </si>
  <si>
    <t>Pollux Green Pump</t>
  </si>
  <si>
    <t>https://flowzz.com/product/canymed-bc-24-1-pollux-green-pump</t>
  </si>
  <si>
    <t>Luana 24/1 Pine</t>
  </si>
  <si>
    <t>Solpina Magic</t>
  </si>
  <si>
    <t>https://flowzz.com/product/luana-24-1-pine-solpina-magic</t>
  </si>
  <si>
    <t>Remexian 21/1 NEB PLG</t>
  </si>
  <si>
    <t>Platinum Gushers</t>
  </si>
  <si>
    <t>https://flowzz.com/product/remexian-21-1-neb-plg-platinum-gushers</t>
  </si>
  <si>
    <t>avaay 15/1 PYC</t>
  </si>
  <si>
    <t>https://flowzz.com/product/avaay-15-1-pyc-peyote-critical-peyote-critical</t>
  </si>
  <si>
    <t>IMC Cannabisblüten RWT THC21 Token</t>
  </si>
  <si>
    <t>https://flowzz.com/product/imc-thc-21-rwt-white-rhino</t>
  </si>
  <si>
    <t>Tilray Spotlight Porto THC22</t>
  </si>
  <si>
    <t>https://flowzz.com/product/tilray-thc22-spotlight-porto-beach-crasher</t>
  </si>
  <si>
    <t>Nedcann JH 21/01</t>
  </si>
  <si>
    <t>https://flowzz.com/product/nedcann-jh-21-01-jack-herer</t>
  </si>
  <si>
    <t>NOC SE 15 Light</t>
  </si>
  <si>
    <t>Scoop of Chem x Early Orange</t>
  </si>
  <si>
    <t>https://flowzz.com/product/noc-se-15</t>
  </si>
  <si>
    <t>Adrexpharma Beacon Pink Kush Cannabisextrakt 10:10</t>
  </si>
  <si>
    <t>https://flowzz.com/extract/adrexpharma-beacon-cannabisextrakt-10</t>
  </si>
  <si>
    <t>Christophorus Pedanios 22/1 Ghost Train Haze Extrakt</t>
  </si>
  <si>
    <t>2,99</t>
  </si>
  <si>
    <t>https://flowzz.com/extract/chp-pedanios-22-1-ghost-train-haze-extract</t>
  </si>
  <si>
    <t>Drapalin 12,5/12,5 M Runtz Cannabisextrakt</t>
  </si>
  <si>
    <t xml:space="preserve">CO2-Extraktion	</t>
  </si>
  <si>
    <t>3,00</t>
  </si>
  <si>
    <t>https://flowzz.com/extract/drapalin-12-5-12-5-m-runzt-cannabisextrakt</t>
  </si>
  <si>
    <t>Christophorus Pedanios 24/1 LAC-CA Extrakt</t>
  </si>
  <si>
    <t>3,39</t>
  </si>
  <si>
    <t>https://flowzz.com/extract/chp-pedanios-24-1-lac-ca-extract</t>
  </si>
  <si>
    <t>Christophorus Pedanios 10/10 EQI-CA Equiposa Extrakt</t>
  </si>
  <si>
    <t>https://flowzz.com/extract/chp-pedanios-10-10-equiposa</t>
  </si>
  <si>
    <t>Drapalin 25/1 M Runtz Cannabisextrakt</t>
  </si>
  <si>
    <t>https://flowzz.com/extract/drapalin-25-1-m-runzt-cannabisextrakt</t>
  </si>
  <si>
    <t>Astrum 10:10 Stenocare</t>
  </si>
  <si>
    <t>3,49</t>
  </si>
  <si>
    <t>https://flowzz.com/extract/astrum-10-10-stenocare</t>
  </si>
  <si>
    <t>420 Cannabisextrakt THC 20 / CBD 0</t>
  </si>
  <si>
    <t>3,95</t>
  </si>
  <si>
    <t>https://flowzz.com/extract/420-cannabisextrakt-thc-20-cbd-0</t>
  </si>
  <si>
    <t>Adrexpharma Adrex Astrum Cannabisextrakt 10:10</t>
  </si>
  <si>
    <t>https://flowzz.com/extract/adrexpharma-adrex-astrum-cannabisextrakt-thc-10-cbd-10</t>
  </si>
  <si>
    <t>Drapalin 5/50 M Runtz Cannabisextrakt</t>
  </si>
  <si>
    <t>4,17</t>
  </si>
  <si>
    <t>https://flowzz.com/extract/drapalin-5-50-m-runzt-cannabisextrakt</t>
  </si>
  <si>
    <t>Drapalin 27/25 M Runtz Cannabisextrakt</t>
  </si>
  <si>
    <t>https://flowzz.com/extract/drapalin-27-25-m-runzt-cannabisextrakt</t>
  </si>
  <si>
    <t>Somai Canify Cannabisextrakt 10/10</t>
  </si>
  <si>
    <t>https://flowzz.com/extract/somai-canify-cannabisextrakt-10-10</t>
  </si>
  <si>
    <t>420 Cannabisextrakt THC 0 / CBD 50</t>
  </si>
  <si>
    <t>https://flowzz.com/extract/420-cannabisextrakt-thc-0-cbd-50</t>
  </si>
  <si>
    <t>Somai Canify Cannabisextrakt 25/1</t>
  </si>
  <si>
    <t>https://flowzz.com/extract/somai-canify-cannabisextrakt-25-1</t>
  </si>
  <si>
    <t>Cannabistada Extrakt THC15/CBD30 CA</t>
  </si>
  <si>
    <t>13,15</t>
  </si>
  <si>
    <t>https://flowzz.com/extract/cannabistada-extrakt-thc-15-cbd-30-ca</t>
  </si>
  <si>
    <t>Drapalin 250/1 M Runtz Cannabisextrakt</t>
  </si>
  <si>
    <t>24,95</t>
  </si>
  <si>
    <t>https://flowzz.com/extract/drapalin-250-1-m-runzt-cannabisextrakt</t>
  </si>
  <si>
    <t>Demecan Oktonia Typ 1 30:01 (Cannabisextrakt)</t>
  </si>
  <si>
    <t>https://flowzz.com/extract/demecan-typ-1-30-01</t>
  </si>
  <si>
    <t>Huala 22/1 CA GRF</t>
  </si>
  <si>
    <t>https://flowzz.com/product/huala-22-1-ca-grf-grape-face</t>
  </si>
  <si>
    <t>Demecan Craft Vert 25/1</t>
  </si>
  <si>
    <t>Blueberry Cookies</t>
  </si>
  <si>
    <t>https://flowzz.com/product/demecan-craft-vert-25-1-blueberry-cookies</t>
  </si>
  <si>
    <t>Demecan BB Regular Drop 25/1</t>
  </si>
  <si>
    <t>Prodigy</t>
  </si>
  <si>
    <t>https://flowzz.com/product/demecan-cc-regular-drop-25-1-prodigy</t>
  </si>
  <si>
    <t>Demecan MC Strong Drop 27/1</t>
  </si>
  <si>
    <t>Exotic Marker</t>
  </si>
  <si>
    <t>https://flowzz.com/product/demecan-mc-strong-drop-27-1-exotic-marker</t>
  </si>
  <si>
    <t>J.R. Strain 22/1</t>
  </si>
  <si>
    <t>Dycer/ J.R. Strain</t>
  </si>
  <si>
    <t>https://flowzz.com/product/j-r-s-jr-strain-22-1-sudz</t>
  </si>
  <si>
    <t>Sibanax SHB 28/1 Shishkaberry</t>
  </si>
  <si>
    <t>Ahara</t>
  </si>
  <si>
    <t>https://flowzz.com/product/sibanax-shb-28-1-shishkaberry</t>
  </si>
  <si>
    <t>Cannamedical indica Ultra AU LKC</t>
  </si>
  <si>
    <t>https://flowzz.com/product/cannamedical-indica-ultra-au-lkc-la-kush-cake</t>
  </si>
  <si>
    <t>https://flowzz.com/product/cannamedical-sativa-forte-nm-amsterdam-amnesia</t>
  </si>
  <si>
    <t>Demecan SC Light Drop 19:01</t>
  </si>
  <si>
    <t>https://flowzz.com/product/demecan-sc-light-drop-19-01-mimosa</t>
  </si>
  <si>
    <t>bava med 24/1 SUN DI</t>
  </si>
  <si>
    <t>https://flowzz.com/product/bavamed-24-1-sunset-diesel</t>
  </si>
  <si>
    <t>Good Supply Cannabisblüten THC28 SAC</t>
  </si>
  <si>
    <t>Space Age Cake</t>
  </si>
  <si>
    <t>7,87</t>
  </si>
  <si>
    <t>https://flowzz.com/product/good-supply-cannabisblueten-thc28-sac-space-age-cake</t>
  </si>
  <si>
    <t>Good Supply Cannabisblüten THC18 SWK</t>
  </si>
  <si>
    <t>https://flowzz.com/product/good-supply-cannabisblueten-thc18-swk-skywalker-kush</t>
  </si>
  <si>
    <t>Good Supply Cannabisblüten THC25 MRG</t>
  </si>
  <si>
    <t>Meringue 64</t>
  </si>
  <si>
    <t>https://flowzz.com/product/good-supply-cannabisblueten-thc25-mrg-meringue-64</t>
  </si>
  <si>
    <t>Good Supply Cannabisblüten THC22 SNL</t>
  </si>
  <si>
    <t>Snow Leopard</t>
  </si>
  <si>
    <t>6,26</t>
  </si>
  <si>
    <t>https://flowzz.com/product/good-supply-cannabisblueten-thc-22-snl-snow-leopard</t>
  </si>
  <si>
    <t>All Nations MD 21/1</t>
  </si>
  <si>
    <t>https://flowzz.com/product/all-nations-md-21-1-mac-daddy</t>
  </si>
  <si>
    <t>Mera A&amp;P 27/1</t>
  </si>
  <si>
    <t>HERBAMED</t>
  </si>
  <si>
    <t>HerbaMedica</t>
  </si>
  <si>
    <t>Apes &amp; Space</t>
  </si>
  <si>
    <t>Mera Cannabis Corp.</t>
  </si>
  <si>
    <t>https://flowzz.com/product/mera-ap-27-1-apes-and-space</t>
  </si>
  <si>
    <t>TRUU GT 26:01</t>
  </si>
  <si>
    <t>https://flowzz.com/product/truu-gt-26-01-skull-cap</t>
  </si>
  <si>
    <t>420 Evolution 20/1 CA LCG Lemon Cherry Gelato</t>
  </si>
  <si>
    <t>Sunset Sherbert x Girl Scout Cookies</t>
  </si>
  <si>
    <t>https://flowzz.com/product/420-evolution-20-1-ca-lcg-lemon-cherry-gelato</t>
  </si>
  <si>
    <t>Remexian 24/1 MHI MAD</t>
  </si>
  <si>
    <t>3,55</t>
  </si>
  <si>
    <t>https://flowzz.com/product/remexian-24-1-mhi-mad-magic-dream</t>
  </si>
  <si>
    <t>Remexian 24/1 GCC SWB</t>
  </si>
  <si>
    <t>https://flowzz.com/product/remexian-24-1-gcc-swb-strawberry-banana</t>
  </si>
  <si>
    <t>IMC THC25 Token OGC</t>
  </si>
  <si>
    <t>OG Cheese</t>
  </si>
  <si>
    <t>https://flowzz.com/product/imc-thc-25-ogc-og-cheese</t>
  </si>
  <si>
    <t>Khiron SLH 26/1</t>
  </si>
  <si>
    <t>https://flowzz.com/product/khiron-slh-26-1-super-lemon-haze</t>
  </si>
  <si>
    <t>Demecan CB Regular Drop 25/1</t>
  </si>
  <si>
    <t>Slurricane x Platinum Kush Breath</t>
  </si>
  <si>
    <t>Süd Afrika</t>
  </si>
  <si>
    <t>https://flowzz.com/product/demecan-cb-regular-drop-25-1-slurricane-x-platinum-kush-breath</t>
  </si>
  <si>
    <t>Demecan CV Regular Drop 25/1</t>
  </si>
  <si>
    <t>Moby Dick</t>
  </si>
  <si>
    <t>https://flowzz.com/product/demecan-cv-regular-drop-25-1-moby-dick</t>
  </si>
  <si>
    <t>avaay Khalifa 24/1 KK</t>
  </si>
  <si>
    <t>https://flowzz.com/product/avaay-khalifa-24-1-kk-khalifa-kush</t>
  </si>
  <si>
    <t>King Sherb</t>
  </si>
  <si>
    <t>https://flowzz.com/product/tilray-thc22-spotlight-porto-king-sherb</t>
  </si>
  <si>
    <t>Demecan JM7 25/1</t>
  </si>
  <si>
    <t>https://flowzz.com/product/demecan-jm7-25-1-jelly-mints</t>
  </si>
  <si>
    <t>Tilray Craft THC22 BCR</t>
  </si>
  <si>
    <t>https://flowzz.com/product/tilray-craft-thc22-bcr-beach-crasher</t>
  </si>
  <si>
    <t>Tilray Craft Cannabisblüten THC28 CTB</t>
  </si>
  <si>
    <t>Cactus Breath</t>
  </si>
  <si>
    <t>https://flowzz.com/product/tilray-craft-thc28-ctb-cactus-breath</t>
  </si>
  <si>
    <t>Remexian 33/1 BCL GRY</t>
  </si>
  <si>
    <t>Grape Yogurt</t>
  </si>
  <si>
    <t>Mera Cannabis</t>
  </si>
  <si>
    <t>https://flowzz.com/product/remexian-33-1-bcl-gry-grape-yogurt</t>
  </si>
  <si>
    <t>bava med 24/1 BLU-SK</t>
  </si>
  <si>
    <t>https://flowzz.com/product/bavamed-24-1-blu-sk-blue-skittlz</t>
  </si>
  <si>
    <t>Wellford Aquaponic 26/1 GTH</t>
  </si>
  <si>
    <t>https://flowzz.com/product/wellford-aquaponic-26-1-gth-ghost-train-haze</t>
  </si>
  <si>
    <t>Wellford Aquaponic 23/1 CRO</t>
  </si>
  <si>
    <t>https://flowzz.com/product/wellford-aquaponic-23-1-cro-crescendo-cookies</t>
  </si>
  <si>
    <t>Bathera 35/1 PP</t>
  </si>
  <si>
    <t>https://flowzz.com/product/bathera-35-1-pp-polar-pop</t>
  </si>
  <si>
    <t>IMC THC22 Token OGC</t>
  </si>
  <si>
    <t>https://flowzz.com/product/imc-thc-22-ogc-og-cheese</t>
  </si>
  <si>
    <t>Nedcann JOG 23/01 Joker OG #3</t>
  </si>
  <si>
    <t>https://flowzz.com/product/nedcann-jog-23-01-joker-og</t>
  </si>
  <si>
    <t>Buuo 20/1 FO USS Ultra Sour Sativa</t>
  </si>
  <si>
    <t>https://flowzz.com/product/buuo-20-1-fo-ultra-sour-sativa</t>
  </si>
  <si>
    <t>Buuo 20/1 FO BH</t>
  </si>
  <si>
    <t>Boss Haze</t>
  </si>
  <si>
    <t>https://flowzz.com/product/buuo-20-1-fo-boss-haze</t>
  </si>
  <si>
    <t>https://flowzz.com/product/tilray-thc-18-spotlight-vancouver-island-sweet-skunk-island-sweet-skunk</t>
  </si>
  <si>
    <t>Somai Canify Cannabisextrakt 25/25</t>
  </si>
  <si>
    <t>https://flowzz.com/extract/somai-canify-cannabisextrakt-25-25</t>
  </si>
  <si>
    <t>Becanex PIEX 1 70% THC Rohextrakt</t>
  </si>
  <si>
    <t>1Schritt Extraktion</t>
  </si>
  <si>
    <t>https://flowzz.com/extract/becanex-piex-1-70-thc-rohextrakt</t>
  </si>
  <si>
    <t>Nimbus Vita Pura 25:1</t>
  </si>
  <si>
    <t>https://flowzz.com/extract/nimbus-vita-pura-25-1</t>
  </si>
  <si>
    <t>Nimbus Vita Balance 25:25</t>
  </si>
  <si>
    <t>https://flowzz.com/extract/nimbus-vita-balance-25-25</t>
  </si>
  <si>
    <t>enua 22/1 USR CA</t>
  </si>
  <si>
    <t>https://flowzz.com/product/enua-22-1-usr-ca-ultra-sour</t>
  </si>
  <si>
    <t>420 Evolution 25/1 CA UNC</t>
  </si>
  <si>
    <t>Unicorn Cake</t>
  </si>
  <si>
    <t>https://flowzz.com/product/420-evolution-25-1-ca-unc-unicorn-cake</t>
  </si>
  <si>
    <t>Luana 28/1 Pine</t>
  </si>
  <si>
    <t>https://flowzz.com/product/luana-28-1-pine-solpina-magic</t>
  </si>
  <si>
    <t>Demecan Craft Cali 31:01</t>
  </si>
  <si>
    <t>https://flowzz.com/product/demecan-craft-cali-31-01-hawaiian_rain-x-permanent-marker</t>
  </si>
  <si>
    <t xml:space="preserve">ZOIKS 22/1 TG </t>
  </si>
  <si>
    <t>Tangrini</t>
  </si>
  <si>
    <t>https://flowzz.com/product/zoiks-22-1-tg-tangrini</t>
  </si>
  <si>
    <t>TRUU GT 28:01</t>
  </si>
  <si>
    <t>https://flowzz.com/product/truu-gt-28-01-cookies-og</t>
  </si>
  <si>
    <t>Breezy Organics GGL 25/1</t>
  </si>
  <si>
    <t>6,72</t>
  </si>
  <si>
    <t>https://flowzz.com/product/breezy-organics-ggl-25-1</t>
  </si>
  <si>
    <t>canymed BC 28/1</t>
  </si>
  <si>
    <t>Diesel Crisp</t>
  </si>
  <si>
    <t>https://flowzz.com/product/canymed-bc-28-1-diesel-crisp</t>
  </si>
  <si>
    <t>Tannenbusch 31/1 TF</t>
  </si>
  <si>
    <t>Tubitti Frubitti</t>
  </si>
  <si>
    <t>https://flowzz.com/product/tannenbusch-31-1-tf-tubitti-frubitti</t>
  </si>
  <si>
    <t>bava med 27/1 BLA-GA</t>
  </si>
  <si>
    <t>Black Gas</t>
  </si>
  <si>
    <t>4,58</t>
  </si>
  <si>
    <t>https://flowzz.com/product/bava-med-27-1-bla-ga-black-gas</t>
  </si>
  <si>
    <t>bava med 29/1 MON-BU</t>
  </si>
  <si>
    <t>Monkey Butter</t>
  </si>
  <si>
    <t>https://flowzz.com/product/bava-med-29-1-mon-bu-monkey-butter</t>
  </si>
  <si>
    <t>bava med 26/1 PLA-OG</t>
  </si>
  <si>
    <t>Platinum OG</t>
  </si>
  <si>
    <t>https://flowzz.com/product/bava-med-26-1-pla-og-platinum-og</t>
  </si>
  <si>
    <t>ZOIKS 26/1 SR</t>
  </si>
  <si>
    <t>Space Rider</t>
  </si>
  <si>
    <t>https://flowzz.com/product/zoiks-26-1-sr-space-rider</t>
  </si>
  <si>
    <t>Demecan Core Horizon 27:01</t>
  </si>
  <si>
    <t>https://flowzz.com/product/demecan-core-horizon-27-01-lava-cake</t>
  </si>
  <si>
    <t>IMC NCH THC18</t>
  </si>
  <si>
    <t>Nag Champa</t>
  </si>
  <si>
    <t>4,66</t>
  </si>
  <si>
    <t>https://flowzz.com/product/imc-nch-thc18-nag-champa</t>
  </si>
  <si>
    <t>MGF CANN SNL 26/1</t>
  </si>
  <si>
    <t>Honey Suckle</t>
  </si>
  <si>
    <t>https://flowzz.com/product/mgf-cann-snl-26-1-honey-suckle</t>
  </si>
  <si>
    <t>THC AKUT TM 24 RB</t>
  </si>
  <si>
    <t>Rainbow Belts</t>
  </si>
  <si>
    <t>https://flowzz.com/product/thc-akut-tm-24-1-rb-rainbow-belts</t>
  </si>
  <si>
    <t>Greyscales FJ 26/1 Flapjacks</t>
  </si>
  <si>
    <t>https://flowzz.com/product/cantourage-26-1-greyscales-fj-flapjacks</t>
  </si>
  <si>
    <t>IMC THC20 GGA</t>
  </si>
  <si>
    <t>https://flowzz.com/product/imc-20-1-gga-purple-grape</t>
  </si>
  <si>
    <t>Bubba OG</t>
  </si>
  <si>
    <t>Bubbalooch</t>
  </si>
  <si>
    <t>https://flowzz.com/product/bubba-og</t>
  </si>
  <si>
    <t>bava med 23/1 LAV-FU</t>
  </si>
  <si>
    <t>Lava Fuel</t>
  </si>
  <si>
    <t>https://flowzz.com/product/bava-med-23-1-lav-fu-lava-fuel</t>
  </si>
  <si>
    <t>bava med 23/1 MIM-CO</t>
  </si>
  <si>
    <t>Mimosa Cookies</t>
  </si>
  <si>
    <t>https://flowzz.com/product/bava-med-23-1-mim-co-mimosa-cookies</t>
  </si>
  <si>
    <t>Weeco BR 22/1</t>
  </si>
  <si>
    <t>https://flowzz.com/product/weeco-BR-22-1-black-russian</t>
  </si>
  <si>
    <t>Weeco 23/1 KL Prince Louis</t>
  </si>
  <si>
    <t>https://flowzz.com/product/weeco-23-1-pl-prince-louis</t>
  </si>
  <si>
    <t xml:space="preserve">IUVO </t>
  </si>
  <si>
    <t>IUVO Therapeutics</t>
  </si>
  <si>
    <t>Temptation</t>
  </si>
  <si>
    <t>https://flowzz.com/product/20-1-iuvo-oc-temptation</t>
  </si>
  <si>
    <t>Greatsoul LL1 18/1</t>
  </si>
  <si>
    <t>https://flowzz.com/product/greatsoul-ll1-18-1-legendary-larry</t>
  </si>
  <si>
    <t>MGF CANN BKR 30/1</t>
  </si>
  <si>
    <t>Delicata Cookies</t>
  </si>
  <si>
    <t>https://flowzz.com/product/mgf-cann-bkr-30-delicata-cookies</t>
  </si>
  <si>
    <t>Jet Fuel Apricot</t>
  </si>
  <si>
    <t>https://flowzz.com/product/nimbus-easy-20-1-jet-fuel-apricot</t>
  </si>
  <si>
    <t>MGF CANN JGN 26/1 -</t>
  </si>
  <si>
    <t>https://flowzz.com/product/mgf-cann-jgn-26-1-motor-crasher</t>
  </si>
  <si>
    <t>Appalachian Trail</t>
  </si>
  <si>
    <t>https://flowzz.com/product/nimbus-easy-26-1-appalachian-trail</t>
  </si>
  <si>
    <t>MGF CANN SNL 27/1</t>
  </si>
  <si>
    <t>https://flowzz.com/product/mgf-cann-snl-27-1-honey-suckle</t>
  </si>
  <si>
    <t>MGF CANN SNL 30/1</t>
  </si>
  <si>
    <t>https://flowzz.com/product/mgf-cann-snl-30-1-honey-suckle</t>
  </si>
  <si>
    <t>IMC Cannabisblüten WK1 THC22 MIDS</t>
  </si>
  <si>
    <t>Wedding Candy</t>
  </si>
  <si>
    <t>4,38</t>
  </si>
  <si>
    <t>https://flowzz.com/product/imc-cannabisblueten-wk1-thc-22-mids-wedding-candy</t>
  </si>
  <si>
    <t>MGF CANN MRC 22/1</t>
  </si>
  <si>
    <t>Pineapple Poison</t>
  </si>
  <si>
    <t>https://flowzz.com/product/mgf-cann-mrc-22-1-pineapple-poison</t>
  </si>
  <si>
    <t>IMC Cannabisblüten GRZ THC22 MIDS</t>
  </si>
  <si>
    <t>Jungle Pop</t>
  </si>
  <si>
    <t>https://flowzz.com/product/imc-cannabisblueten-grz-thc-22-mids-jungle-pop</t>
  </si>
  <si>
    <t>Sibanax SHB 26/1 Shishkaberry</t>
  </si>
  <si>
    <t>https://flowzz.com/product/sibanax-shb-26-1-shishkaberry</t>
  </si>
  <si>
    <t>ZOIKS 26/1 BB</t>
  </si>
  <si>
    <t>Ben &amp; Berries</t>
  </si>
  <si>
    <t>https://flowzz.com/product/zoiks-26-1-bb-ben-berries</t>
  </si>
  <si>
    <t>J.R. Strain GT 30/1</t>
  </si>
  <si>
    <t>https://flowzz.com/product/jr-strain-gt-30-1-garlic-truffle</t>
  </si>
  <si>
    <t>Cannamedical Indica Forte AU LKC</t>
  </si>
  <si>
    <t>https://flowzz.com/product/cannamedical-indica-forte-au-lkc-la-kush-cake</t>
  </si>
  <si>
    <t>Remexian 22/1 BPD</t>
  </si>
  <si>
    <t>https://flowzz.com/product/remexian-22-1-bdp-big-purple-dragon</t>
  </si>
  <si>
    <t>GROW 29/1 GE Gelato Sherbet</t>
  </si>
  <si>
    <t>https://flowzz.com/product/grow-29-1-gelato-sherbet-ge</t>
  </si>
  <si>
    <t>ZOIKS 22/1</t>
  </si>
  <si>
    <t>https://flowzz.com/product/zoiks-22-1-ben-berries</t>
  </si>
  <si>
    <t>https://flowzz.com/product/zoiks-22-1-space-rider</t>
  </si>
  <si>
    <t>Wellford Peak CA PKM 33/1</t>
  </si>
  <si>
    <t>https://flowzz.com/product/Wellford-peak-ca-pkm-33-1-pink-kush-mints</t>
  </si>
  <si>
    <t>enua 22/1 TTA CA</t>
  </si>
  <si>
    <t>https://flowzz.com/product/enua-22-1-tta-ca-titanimal</t>
  </si>
  <si>
    <t>enua 30/1 BNM CA</t>
  </si>
  <si>
    <t>https://flowzz.com/product/enua-30-1-bnm-ca-banana-mints</t>
  </si>
  <si>
    <t>420 Compound 30/1 CA BBW</t>
  </si>
  <si>
    <t>https://flowzz.com/product/420-compound-30-1-ca-bbw-bling-blaow</t>
  </si>
  <si>
    <t>GROW RO 24</t>
  </si>
  <si>
    <t>IMC FAC THC26 Selected</t>
  </si>
  <si>
    <t>Tangie Pave</t>
  </si>
  <si>
    <t>https://flowzz.com/product/imc-fac-thc26-selected-tangie-pave</t>
  </si>
  <si>
    <t>TRUU LX 27:01</t>
  </si>
  <si>
    <t>GMO Cookies x Kush Mintz</t>
  </si>
  <si>
    <t>https://flowzz.com/product/truu-lx-27-1-gmo-cookies-x-kush-mintz</t>
  </si>
  <si>
    <t>Animal Tree</t>
  </si>
  <si>
    <t>https://flowzz.com/product/cannamedical-sativa-forte-animal-tree</t>
  </si>
  <si>
    <t>Cannabis 27/1 CGD KU.</t>
  </si>
  <si>
    <t>Blue Slushie</t>
  </si>
  <si>
    <t>https://flowzz.com/product/cannabis-27-1-cgd-ku-blue-slushie</t>
  </si>
  <si>
    <t>Cannabis 25/1 CGD KU.</t>
  </si>
  <si>
    <t>https://flowzz.com/product/cannabis-25-1-cgd-ku-ice-cream-cake</t>
  </si>
  <si>
    <t>Super Squishee</t>
  </si>
  <si>
    <t>https://flowzz.com/product/cannabis-27-1-cgd-ku-super-squishee</t>
  </si>
  <si>
    <t>LIT 29/1 MKU</t>
  </si>
  <si>
    <t>https://flowzz.com/product/lit-29-1-mku-master-kush</t>
  </si>
  <si>
    <t>CherryCo 23/01 GOG-K</t>
  </si>
  <si>
    <t>https://flowzz.com/product/cherryco-23-01-gog-k-gelato-og</t>
  </si>
  <si>
    <t>Remexian 28/1 BPD</t>
  </si>
  <si>
    <t>https://flowzz.com/product/remexian-28-1-bdp-big-purple-dragon</t>
  </si>
  <si>
    <t>Good Supply THC25 GGL</t>
  </si>
  <si>
    <t>Ghost Gelato</t>
  </si>
  <si>
    <t>https://flowzz.com/product/good-supply-thc25-ggl-ghost-gelato</t>
  </si>
  <si>
    <t>Good Supply THC22 POC</t>
  </si>
  <si>
    <t>https://flowzz.com/product/good-supply-thc-22-poc-purple-octane</t>
  </si>
  <si>
    <t>Demecan Craft Magister 27/1 BM</t>
  </si>
  <si>
    <t>10,21</t>
  </si>
  <si>
    <t>https://flowzz.com/product/demecan-craft-magister-27-1-bm-black-marker</t>
  </si>
  <si>
    <t>IMC GUM THC26 Selected</t>
  </si>
  <si>
    <t>Clownz</t>
  </si>
  <si>
    <t>https://flowzz.com/product/imc-gum-thc-26-selected-clownz</t>
  </si>
  <si>
    <t>Soma OG 34/1 PF Cap junky</t>
  </si>
  <si>
    <t>https://flowzz.com/product/soma-og-34-1-pf-cap-junky</t>
  </si>
  <si>
    <t>24/1 IUVO OC</t>
  </si>
  <si>
    <t>Neutronium</t>
  </si>
  <si>
    <t>https://flowzz.com/product/24-1-iuvo-oc-neutronium</t>
  </si>
  <si>
    <t>https://flowzz.com/product/24-1-iuvo-oc-orange-z</t>
  </si>
  <si>
    <t>28/1 IUVO OC</t>
  </si>
  <si>
    <t>Rainbow Chip</t>
  </si>
  <si>
    <t>https://flowzz.com/product/28-1-iuvo-oc-rainbow-chip</t>
  </si>
  <si>
    <t>Fiestaz</t>
  </si>
  <si>
    <t>https://flowzz.com/product/24-1-iuvo-oc-fiestaz</t>
  </si>
  <si>
    <t>TRUU GT 27:01</t>
  </si>
  <si>
    <t>Crumbled Lime</t>
  </si>
  <si>
    <t>https://flowzz.com/product/truu-gt-27-01-crumbled-lime</t>
  </si>
  <si>
    <t>Mother Wildlife 24/1 BG</t>
  </si>
  <si>
    <t>Blackberry Gelato</t>
  </si>
  <si>
    <t>https://flowzz.com/product/mother-wildlife-24-1-bg-blackberry-gelato</t>
  </si>
  <si>
    <t>https://flowzz.com/product/demecan-epic-drop-30-01-gush-mints</t>
  </si>
  <si>
    <t>Goofiez</t>
  </si>
  <si>
    <t>https://flowzz.com/product/cannamedical-sativa-forte-nm-goofiez</t>
  </si>
  <si>
    <t>Tilray Craft Cannabisblüten THC22 CCC</t>
  </si>
  <si>
    <t>Cherry Cheesecake</t>
  </si>
  <si>
    <t>https://flowzz.com/product/tilray-craft-thc22-ccc-cherry-cheesecake</t>
  </si>
  <si>
    <t>IMC Cannabisblüten GRZ THC25 MIDS</t>
  </si>
  <si>
    <t>https://flowzz.com/product/imc-cannabisblueten-grz-thc-25-mids-jungle-pop</t>
  </si>
  <si>
    <t>Luana Electric 24/1</t>
  </si>
  <si>
    <t>https://flowzz.com/product/luana-electric-24-1-bashengo</t>
  </si>
  <si>
    <t>IMC THC25 T02</t>
  </si>
  <si>
    <t>https://flowzz.com/product/imc-thc-25-t02-og-kush</t>
  </si>
  <si>
    <t>Weeco 22/1 KIKU</t>
  </si>
  <si>
    <t>Kings Kush</t>
  </si>
  <si>
    <t>https://flowzz.com/product/weeco-22-1-kiku-kings-kush</t>
  </si>
  <si>
    <t>IMC Cannabisblüten BK THC18</t>
  </si>
  <si>
    <t>https://flowzz.com/product/imc-bk-thc18-zkittlez</t>
  </si>
  <si>
    <t>Cannamedical Sativa Forte ES</t>
  </si>
  <si>
    <t>8,81</t>
  </si>
  <si>
    <t>https://flowzz.com/product/cannamedical-sativa-forte-es-banjo</t>
  </si>
  <si>
    <t>Herbasana La Santa 20:01</t>
  </si>
  <si>
    <t>https://flowzz.com/product/herbasana-la-santa-20-01-passion-soda</t>
  </si>
  <si>
    <t>THC AKUT MG 28 BCP</t>
  </si>
  <si>
    <t>https://flowzz.com/product/thc-akut-mg-28-1-bcp-black-cherry-punch</t>
  </si>
  <si>
    <t>Barongo 28/1 DR</t>
  </si>
  <si>
    <t>https://flowzz.com/product/barongo-28-1-dr-el-jefe</t>
  </si>
  <si>
    <t>Barongo 26/1 DR Gastro Pop</t>
  </si>
  <si>
    <t>Apple Friter x Cookies and Cream</t>
  </si>
  <si>
    <t>https://flowzz.com/product/barongo-26-1-dr-gastro-pop</t>
  </si>
  <si>
    <t>Barongo 26/1 LAX</t>
  </si>
  <si>
    <t>https://flowzz.com/product/barongo-26-1-lax-sunset-strudel</t>
  </si>
  <si>
    <t>Barongo 28/1 Cali Motion</t>
  </si>
  <si>
    <t>LA Animal</t>
  </si>
  <si>
    <t>7,02</t>
  </si>
  <si>
    <t>https://flowzz.com/product/barongo-28-1-cali-motion-la-animal</t>
  </si>
  <si>
    <t>Cannabis flos 20/1 ES Ku.</t>
  </si>
  <si>
    <t>Dos Y Dos</t>
  </si>
  <si>
    <t>https://flowzz.com/product/cannabis-flos-20-1-es-ku-dos-y-dos</t>
  </si>
  <si>
    <t>Moon Rocks</t>
  </si>
  <si>
    <t>https://flowzz.com/product/grow-ro-24-moon-rocks</t>
  </si>
  <si>
    <t>420 Evolution 20/1 CA PVB</t>
  </si>
  <si>
    <t>https://flowzz.com/product/420-evolution-20-1-ca-pvb-private-banana</t>
  </si>
  <si>
    <t>SOMAI's Inhalations-Extrakt T800</t>
  </si>
  <si>
    <t>99,99</t>
  </si>
  <si>
    <t>https://flowzz.com/extract/somais-inhalations-extrakt-t800</t>
  </si>
  <si>
    <t>Demecan Core Skywave 21:01</t>
  </si>
  <si>
    <t>https://flowzz.com/product/demecan-core-skywave-21-1-sunset-sherbet</t>
  </si>
  <si>
    <t>enua 25/1 USR CA</t>
  </si>
  <si>
    <t>https://flowzz.com/product/enua-25-1-usr-ca-ultra-sour-1</t>
  </si>
  <si>
    <t>NICE 26/1 BL</t>
  </si>
  <si>
    <t>https://flowzz.com/product/nice-26-1-bl-black-lime</t>
  </si>
  <si>
    <t>Barongo 24/1 LAX Ultra Dose Candy</t>
  </si>
  <si>
    <t>Ultra Dosed Candy</t>
  </si>
  <si>
    <t>https://flowzz.com/product/barongo-24-1-lax-ultra-dose-candy</t>
  </si>
  <si>
    <t>OZ Kush</t>
  </si>
  <si>
    <t>https://flowzz.com/product/canify-22-1-oz-kush</t>
  </si>
  <si>
    <t>Cannamedical Indica light ZAF</t>
  </si>
  <si>
    <t>https://flowzz.com/product/cannamedical-indica-light-zaf-black-cherry-punch</t>
  </si>
  <si>
    <t>Luana 24/1 Delight</t>
  </si>
  <si>
    <t>https://flowzz.com/product/luana-24-1-delight-carnez-citric</t>
  </si>
  <si>
    <t>Canify Cannabis Flos 27/1 CSF Ku.</t>
  </si>
  <si>
    <t>https://flowzz.com/product/canify-cannabis-flos-27-1-csf-ku-carnez-citric</t>
  </si>
  <si>
    <t>Remexian 33/1 CRN SDS</t>
  </si>
  <si>
    <t>Stardust Swirl</t>
  </si>
  <si>
    <t>https://flowzz.com/product/remexian-33-1-crm-sds-stardust-swirl</t>
  </si>
  <si>
    <t>Cannamedical CM 23/1 MC</t>
  </si>
  <si>
    <t>Mandarine Cookies</t>
  </si>
  <si>
    <t>https://flowzz.com/product/cannamedical-cm-23-1-mc-mandarine-cookies</t>
  </si>
  <si>
    <t>GROW MO 27</t>
  </si>
  <si>
    <t>G-Modo</t>
  </si>
  <si>
    <t>https://flowzz.com/product/grow-mo-27-g-modo</t>
  </si>
  <si>
    <t>Mediprocan African Ruby 28/1</t>
  </si>
  <si>
    <t>Tangy Diesel Cheese</t>
  </si>
  <si>
    <t>https://flowzz.com/product/mediprocan-african-ruby-28-1-tangy-diesel-cheese</t>
  </si>
  <si>
    <t>Remexian 27/1 MHI LET</t>
  </si>
  <si>
    <t>https://flowzz.com/product/remexian-27-1-mhi-let-lemon-thrill</t>
  </si>
  <si>
    <t>Remexian 33/1 CRN GRB</t>
  </si>
  <si>
    <t>https://flowzz.com/product/remexian-33-1-crm-grb-garlic-breath</t>
  </si>
  <si>
    <t>enua 30/1 MMN CA</t>
  </si>
  <si>
    <t>Marshmallow Man</t>
  </si>
  <si>
    <t>https://flowzz.com/product/enua-30-1-mmn-ca-marshmallow-man</t>
  </si>
  <si>
    <t>MediCann 21/1 MC Oro 21 Duende</t>
  </si>
  <si>
    <t>https://flowzz.com/product/medicann-21-1-mc-oro-21-duende</t>
  </si>
  <si>
    <t>Drapalin 29/1 Cape Canaveral</t>
  </si>
  <si>
    <t>Girl Scout Cookies x Mandarin Sunset</t>
  </si>
  <si>
    <t>https://flowzz.com/product/drapalin-29-1-cape-canaveral-cape-cookies</t>
  </si>
  <si>
    <t>Luana Electric 28/1</t>
  </si>
  <si>
    <t>https://flowzz.com/product/luana-electric-28-1-bashengo</t>
  </si>
  <si>
    <t>Canify Cannabis Flos 23/1 CSF Ku.</t>
  </si>
  <si>
    <t>https://flowzz.com/product/canify-cannabis-flos-23-1-csf-ku-carnez-citric</t>
  </si>
  <si>
    <t>NOC AS 18 Chill</t>
  </si>
  <si>
    <t>Amnesia Kush x Sherbet Sockher</t>
  </si>
  <si>
    <t>https://flowzz.com/product/noc-as-18-chill-amnesia-kush-sherbet-sockher</t>
  </si>
  <si>
    <t>CNBS  BLRZ 23/1</t>
  </si>
  <si>
    <t>Blue Ritz</t>
  </si>
  <si>
    <t>https://flowzz.com/product/cnbs-spz-23-1-blue-ritz</t>
  </si>
  <si>
    <t>Tweed 19/1</t>
  </si>
  <si>
    <t>https://flowzz.com/product/tweed-19-1-gelato-33</t>
  </si>
  <si>
    <t>Remexian 18/1 MHI LET</t>
  </si>
  <si>
    <t>Joyous Joyride</t>
  </si>
  <si>
    <t>https://flowzz.com/product/remexian-18-1-mhi-jjr-joyous-joyride</t>
  </si>
  <si>
    <t>aleph Matterhorn 21/1</t>
  </si>
  <si>
    <t>https://flowzz.com/product/aleph-matterhorn-21-1-banjo</t>
  </si>
  <si>
    <t>Rua Rau Hiwa 23/1</t>
  </si>
  <si>
    <t>Legacy 1</t>
  </si>
  <si>
    <t>https://flowzz.com/product/rua-rau-hiwa-23-1-legacy-1</t>
  </si>
  <si>
    <t>Rua Aotea 23/1</t>
  </si>
  <si>
    <t>Kakariki Koha</t>
  </si>
  <si>
    <t>https://flowzz.com/product/rua-aotea-23-1-kakariki-koha</t>
  </si>
  <si>
    <t>Novacana 65 T</t>
  </si>
  <si>
    <t>NOVACANA</t>
  </si>
  <si>
    <t>Novacana</t>
  </si>
  <si>
    <t>665</t>
  </si>
  <si>
    <t>CO2Extraktion</t>
  </si>
  <si>
    <t>74,90</t>
  </si>
  <si>
    <t>https://flowzz.com/extract/novacana-65-t-cali-haze</t>
  </si>
  <si>
    <t>aleph Fire 26/1 Amnesia Skittlez</t>
  </si>
  <si>
    <t>https://flowzz.com/product/aleph-fire-26-1-amnesia-skittlez</t>
  </si>
  <si>
    <t>NOC AS 23 Chill</t>
  </si>
  <si>
    <t>https://flowzz.com/product/noc-as-23-chill-amnesia-kush-sherbet-sockher</t>
  </si>
  <si>
    <t>NOC KS 23/1</t>
  </si>
  <si>
    <t>https://flowzz.com/product/noc-ks-23-1-ko-x-sherbet-shocker</t>
  </si>
  <si>
    <t>Demecan Craft Pulso 31:01</t>
  </si>
  <si>
    <t>Liquid Imagination</t>
  </si>
  <si>
    <t>https://flowzz.com/product/demecan-craft-pulso-31-01-liquid-imagination</t>
  </si>
  <si>
    <t>Remexian 27/1 JOI PPM</t>
  </si>
  <si>
    <t>https://flowzz.com/product/remexian-27-1-joi-ppm-purple-punch-mints</t>
  </si>
  <si>
    <t>Demecan Core Horizon 31:01</t>
  </si>
  <si>
    <t>https://flowzz.com/product/demecan-core-horizon-31-01-lava-cake</t>
  </si>
  <si>
    <t>Cookies 2.0 Hawaiian Rain 28/1 CAN</t>
  </si>
  <si>
    <t>https://flowzz.com/product/cookies-2-0-hawaiian-rain-28-1-can</t>
  </si>
  <si>
    <t>LOT 420 GLOC</t>
  </si>
  <si>
    <t>Gelato x Orange Cake</t>
  </si>
  <si>
    <t>https://flowzz.com/product/lot-420-gloc-gelato-x-orange-cake</t>
  </si>
  <si>
    <t>Cannamedical Indica Forte SM</t>
  </si>
  <si>
    <t>https://flowzz.com/product/cannamedical-indica-forte-sm-pineapple-express</t>
  </si>
  <si>
    <t>Remexian 36/1 BBR LAW</t>
  </si>
  <si>
    <t>https://flowzz.com/product/remexian-36-1-bbr-law-la-wedding-pop</t>
  </si>
  <si>
    <t>Remexian 33/1 JOI OKC</t>
  </si>
  <si>
    <t>https://flowzz.com/product/remexian-33-1-joi-okc-orange-kush-cake</t>
  </si>
  <si>
    <t>Remexian 27/1 BBR LAW</t>
  </si>
  <si>
    <t>https://flowzz.com/product/remexian-27-1-bbr-law-la-wedding-pop</t>
  </si>
  <si>
    <t>420 Evolution 16/1 CA LCG Lemon Cherry Gelato</t>
  </si>
  <si>
    <t>https://flowzz.com/product/420-evolution-16-1-ca-lcg-lemon-cherry-gelato</t>
  </si>
  <si>
    <t>Nice 20/1 GE</t>
  </si>
  <si>
    <t>Gelatti</t>
  </si>
  <si>
    <t>https://flowzz.com/product/nice-20-1-GE-gelatti</t>
  </si>
  <si>
    <t>LIT 31/1 SNW</t>
  </si>
  <si>
    <t>Snow Lotus</t>
  </si>
  <si>
    <t>https://flowzz.com/product/lit-31-1-snw-snow-lotus</t>
  </si>
  <si>
    <t>Demecan HS Lean Drop SF - Rainbow Dawg</t>
  </si>
  <si>
    <t>420 Evolution 33/1 CA MFG</t>
  </si>
  <si>
    <t>https://flowzz.com/product/420-evolution-33-1-ca-mfg-modified-grapes</t>
  </si>
  <si>
    <t>Demecan Craft Electron 28:01</t>
  </si>
  <si>
    <t>Gelato OG Kush</t>
  </si>
  <si>
    <t>https://flowzz.com/product/demecan-craft-electron-28-1-gelato-og-kush</t>
  </si>
  <si>
    <t>MGF Pop Up No.8 9/7 A&amp;B X Harley Tus</t>
  </si>
  <si>
    <t>A&amp;B x Harley Tus</t>
  </si>
  <si>
    <t>https://flowzz.com/product/mgf-pop-up-no-8-9-7-a-und-b-x-harley-tus</t>
  </si>
  <si>
    <t>Cannamedical Hybrid Classic BC</t>
  </si>
  <si>
    <t>https://flowzz.com/product/cannamedical-hybrid-classic-bc-mac-3</t>
  </si>
  <si>
    <t>Remexian 30/1 MTL APF</t>
  </si>
  <si>
    <t>Apple Fritter</t>
  </si>
  <si>
    <t>https://flowzz.com/product/remexian-30-1-mtl-apf-apple-fritter</t>
  </si>
  <si>
    <t>Demecan Core JM7 31/1</t>
  </si>
  <si>
    <t>https://flowzz.com/product/demecan-core-jm7-31-1-jelly-mints</t>
  </si>
  <si>
    <t>J.R. Strain GP 28/1</t>
  </si>
  <si>
    <t>https://flowzz.com/product/jr-strain-gp-28-1-gastro-pop</t>
  </si>
  <si>
    <t>Drapalin 27/1 Full Gas</t>
  </si>
  <si>
    <t>Mandarin Sunset x Ethos Cookies</t>
  </si>
  <si>
    <t>https://flowzz.com/product/drapalin-27-1-full-gas</t>
  </si>
  <si>
    <t>Grünhorn Balanced Nr. 1:</t>
  </si>
  <si>
    <t>Mango Cream Cheese</t>
  </si>
  <si>
    <t>https://flowzz.com/product/gruenhorn-balanced-nr-1-mango-cream-cheese</t>
  </si>
  <si>
    <t>https://flowzz.com/product/nimbus-easy-22-1-appalachian-trail</t>
  </si>
  <si>
    <t>Tilray CRAFT THC30 TRM</t>
  </si>
  <si>
    <t>https://flowzz.com/product/tilray-craft-thc30-triangle-mints</t>
  </si>
  <si>
    <t>Buuo 30/1 ABB</t>
  </si>
  <si>
    <t>Kandy Klouds Kush Popstars</t>
  </si>
  <si>
    <t>https://flowzz.com/product/buuo-30-1-abb-kandy-klouds-kush-popstarts</t>
  </si>
  <si>
    <t>Sibanax Moe Zilla 30/1</t>
  </si>
  <si>
    <t>GG4 x Critical Kush</t>
  </si>
  <si>
    <t>Kanalinseln</t>
  </si>
  <si>
    <t>https://flowzz.com/product/sibanax-moe-zilla-30-1</t>
  </si>
  <si>
    <t>THC AKUT FB 25 GP</t>
  </si>
  <si>
    <t>https://flowzz.com/product/thc-akut-fb-25-gp-gary-payton</t>
  </si>
  <si>
    <t>THC AKUT FB 25 KM</t>
  </si>
  <si>
    <t>https://flowzz.com/product/thc-akut-fb-25-km-kush-mintz</t>
  </si>
  <si>
    <t>Pedanios 25/1 FLH-CA</t>
  </si>
  <si>
    <t>Frozen Lemon Haze</t>
  </si>
  <si>
    <t>https://flowzz.com/product/pedanios-25-1-flh-ca-frozen-lemon-haze</t>
  </si>
  <si>
    <t xml:space="preserve">ZOIKS 26/1 TG </t>
  </si>
  <si>
    <t>5,19</t>
  </si>
  <si>
    <t>https://flowzz.com/product/zoiks-26-1-tg-tangrini</t>
  </si>
  <si>
    <t>Soma OG 34/1</t>
  </si>
  <si>
    <t>Soma OG 34/1 - Spritzer</t>
  </si>
  <si>
    <t>Remexian 33/1 MTL JUC</t>
  </si>
  <si>
    <t>https://flowzz.com/product/remexian-33-1-mtl-juc</t>
  </si>
  <si>
    <t>Amici 26/1 UL</t>
  </si>
  <si>
    <t>https://flowzz.com/product/amici-26-1-ul-ultra-limelight</t>
  </si>
  <si>
    <t>420 Natural 30/1 CA TGO</t>
  </si>
  <si>
    <t>Triangle Octane</t>
  </si>
  <si>
    <t>https://flowzz.com/product/420-natural-30-1-ca-tgo-triangle-octane</t>
  </si>
  <si>
    <t>Wellford Peak CA PKM 26/1</t>
  </si>
  <si>
    <t>https://flowzz.com/product/Wellford-peak-ca-pkm-26-1-pink-kush-mints</t>
  </si>
  <si>
    <t>enua 25/1 STP CA</t>
  </si>
  <si>
    <t>https://flowzz.com/product/enua-25-1-stp-ca-strawberry-pave</t>
  </si>
  <si>
    <t>Bathera 23/1 PMM</t>
  </si>
  <si>
    <t>Permanent Midnight</t>
  </si>
  <si>
    <t>6,74</t>
  </si>
  <si>
    <t>https://flowzz.com/product/Bathera-23-1-PMM</t>
  </si>
  <si>
    <t>NICE 22/1 WSU</t>
  </si>
  <si>
    <t>Wedding Sunset</t>
  </si>
  <si>
    <t>https://flowzz.com/product/nice-20-1-wsu-wedding-sunset</t>
  </si>
  <si>
    <t>aleph Ruby 24/1</t>
  </si>
  <si>
    <t>Kosher Tangie</t>
  </si>
  <si>
    <t>https://flowzz.com/product/aleph-ruby-24-1-kosher-tangie</t>
  </si>
  <si>
    <t>Cannabis flos 25/1 CL Ku.</t>
  </si>
  <si>
    <t>Dosi Bow</t>
  </si>
  <si>
    <t>https://flowzz.com/product/cannabis-flos-25-1-cl-ku-dosi-bow</t>
  </si>
  <si>
    <t>LOT 420 LEM</t>
  </si>
  <si>
    <t>https://flowzz.com/product/lot-420-lem-lemonatti</t>
  </si>
  <si>
    <t>420 Evolution 30/1 CA MSP</t>
  </si>
  <si>
    <t>https://flowzz.com/product/420-evolution-30-1-ca-msp-masterpiece</t>
  </si>
  <si>
    <t>All Nations MD</t>
  </si>
  <si>
    <t>https://flowzz.com/product/all-nations-md-mac-daddy</t>
  </si>
  <si>
    <t>HiSociety 30/1 NLL</t>
  </si>
  <si>
    <t>OKDK XX</t>
  </si>
  <si>
    <t>https://flowzz.com/product/hi-society-30-1-nll-okdk-xx</t>
  </si>
  <si>
    <t>Drapalin 24/1 Full Gas</t>
  </si>
  <si>
    <t>https://flowzz.com/product/drapalin-24-1-full-gas</t>
  </si>
  <si>
    <t>420 Sungrown 20/1 CA ZRP</t>
  </si>
  <si>
    <t>https://flowzz.com/product/420-sungrown-20-1-ca-zrp-zour-apple</t>
  </si>
  <si>
    <t>Khiron WED 20/1</t>
  </si>
  <si>
    <t>https://flowzz.com/product/khiron-wed-20-1-wedding-cake</t>
  </si>
  <si>
    <t>Buuo 26/1 RADIA</t>
  </si>
  <si>
    <t>Rainbow Lava Popstars</t>
  </si>
  <si>
    <t>https://flowzz.com/product/buuo-26-1-radia-rainbow-lava-popstars</t>
  </si>
  <si>
    <t>BUUO 24/1 BCG</t>
  </si>
  <si>
    <t>Candy Bandit Popstars</t>
  </si>
  <si>
    <t>https://flowzz.com/product/buuo-24-1-bcg-candy-bandit-popstars</t>
  </si>
  <si>
    <t>NICE surprise 16/1 OZK</t>
  </si>
  <si>
    <t>Ozark</t>
  </si>
  <si>
    <t>https://flowzz.com/product/nice-surprise-16-1-ozk-ozark</t>
  </si>
  <si>
    <t>HiSociety 27/1 NLL</t>
  </si>
  <si>
    <t>https://flowzz.com/product/hi-society-27-1-nll-okdk-xx</t>
  </si>
  <si>
    <t>Demecan BB Regular Drop 25/1 Moonbow x Planet Purple</t>
  </si>
  <si>
    <t>https://flowzz.com/product/demecan-cc-regular-drop-25-1-moonbow-x-planet-purple</t>
  </si>
  <si>
    <t>mediproCan Lunaris 25/1</t>
  </si>
  <si>
    <t>https://flowzz.com/product/mediprocan-lunaris-25-1-paradiso</t>
  </si>
  <si>
    <t>mediproCan Lunaris 19/1</t>
  </si>
  <si>
    <t>4,83</t>
  </si>
  <si>
    <t>https://flowzz.com/product/mediprocan-lunaris-19-1-ice-cream-cake</t>
  </si>
  <si>
    <t>avaay 24/1 MIM</t>
  </si>
  <si>
    <t>https://flowzz.com/product/avaay-24-1-mim-midnight-mimosa</t>
  </si>
  <si>
    <t>Canopy KMI 30/1 Kush Mints</t>
  </si>
  <si>
    <t>https://flowzz.com/product/canopy-kmi-30</t>
  </si>
  <si>
    <t>Cannamedical Hybrid Forte BC</t>
  </si>
  <si>
    <t>https://flowzz.com/product/cannameidcal-hybrid-forte-bc-lemon-cookies</t>
  </si>
  <si>
    <t>CM 25/1 SKC</t>
  </si>
  <si>
    <t>Sun County Kush</t>
  </si>
  <si>
    <t>https://flowzz.com/product/cm-25-1-skc-sun-county-kush</t>
  </si>
  <si>
    <t>Nedcann ORB 31/01</t>
  </si>
  <si>
    <t>https://flowzz.com/product/nedcann-orb-31-01-moonlight</t>
  </si>
  <si>
    <t>Medicus 27/1 YAR Sud</t>
  </si>
  <si>
    <t>Super Dossi</t>
  </si>
  <si>
    <t>https://flowzz.com/product/medicus-27-1-yar-sud-super-dossi</t>
  </si>
  <si>
    <t>Core Lume 26:1</t>
  </si>
  <si>
    <t>Lemon Z</t>
  </si>
  <si>
    <t>6,69</t>
  </si>
  <si>
    <t>https://flowzz.com/product/core-lume-26-1-lemon-z</t>
  </si>
  <si>
    <t>Wellford Peak 30/1 CA SPR Slurricane Pancake Runtz</t>
  </si>
  <si>
    <t>https://flowzz.com/product/wellford-peak-30-1-ca-spr-slurricane-pancake-runtz</t>
  </si>
  <si>
    <t>Wellford Luma 26/1 ZA SHR</t>
  </si>
  <si>
    <t>Sherbert Runtz</t>
  </si>
  <si>
    <t>https://flowzz.com/product/wellford-luma-26-1-za-shr-sherbert-runtz</t>
  </si>
  <si>
    <t>Remexian 33/1 GJY GDC</t>
  </si>
  <si>
    <t>Gran Daddy Cake</t>
  </si>
  <si>
    <t>https://flowzz.com/product/Remexian-33-1-GJY-GDC-Gran-Daddy-Cake</t>
  </si>
  <si>
    <t>Wellford Aquaponic 23/1 BOC</t>
  </si>
  <si>
    <t>https://flowzz.com/product/wellford-aquaponic-23-1-bozys-cure</t>
  </si>
  <si>
    <t>Wellford Luma 24/1 ZA SHR</t>
  </si>
  <si>
    <t>https://flowzz.com/product/wellford-luma-24-1-za-shr-sherbert-runtz</t>
  </si>
  <si>
    <t>Wellford Luma 24/1 ZA SOC</t>
  </si>
  <si>
    <t>https://flowzz.com/product/wellford-luma-24-1-za-soc-sour-og-cheese</t>
  </si>
  <si>
    <t>Tilray CRAFT THC22 SNS</t>
  </si>
  <si>
    <t>https://flowzz.com/product/tilray-craft-thc22-sns-sunset-sherbet</t>
  </si>
  <si>
    <t>Luana 24/1 APE</t>
  </si>
  <si>
    <t>Sour Ape</t>
  </si>
  <si>
    <t>https://flowzz.com/product/luana-24-1-ape-sour-ape</t>
  </si>
  <si>
    <t>Khiron WED 22/1</t>
  </si>
  <si>
    <t>https://flowzz.com/product/khiron-wed-22-1-wedding-cake</t>
  </si>
  <si>
    <t>J.R. STRAIN L MAC 21/1</t>
  </si>
  <si>
    <t>Lemon Mac</t>
  </si>
  <si>
    <t>https://flowzz.com/product/jr-strain-l-mac-21-1-lemon-mac</t>
  </si>
  <si>
    <t>Cannamedical Hybrid Forte 22/1 NM</t>
  </si>
  <si>
    <t>https://flowzz.com/product/cannamedical-hybrid-forte-nm-gorilla-zkittlez-gorilla-zkittlez-225</t>
  </si>
  <si>
    <t>Demecan RF Lean Drop 22/1</t>
  </si>
  <si>
    <t>https://flowzz.com/product/demecan-rf-lean-drop-22-1-gastro-pop</t>
  </si>
  <si>
    <t>Becanex PIEX 3 62 % CBD Rohextrakt</t>
  </si>
  <si>
    <t>89,99</t>
  </si>
  <si>
    <t>https://flowzz.com/extract/becanex-piex-3-63-cdb-rohextrakt</t>
  </si>
  <si>
    <t>Cannamedical Indica Classic DK</t>
  </si>
  <si>
    <t>https://flowzz.com/product/cannamedical-indica-classic-dk-sky-berry-kush</t>
  </si>
  <si>
    <t>Medicus 24/1 YAR RND</t>
  </si>
  <si>
    <t>Razzle n' Dazzle</t>
  </si>
  <si>
    <t>https://flowzz.com/product/medicus-24-1-yar-rnd-razzle-n-dazzle</t>
  </si>
  <si>
    <t>Medicus 21/1 YAR ADI</t>
  </si>
  <si>
    <t>Astral Drift</t>
  </si>
  <si>
    <t>https://flowzz.com/product/medicus-21-1-yar-astral-drift</t>
  </si>
  <si>
    <t>Demecan Core Veloz 27:01</t>
  </si>
  <si>
    <t>Power</t>
  </si>
  <si>
    <t>https://flowzz.com/product/demecan-core-veloz-27-1-power</t>
  </si>
  <si>
    <t>IMC Cannabisblüten GC THC5 CBD9</t>
  </si>
  <si>
    <t>Green Crack</t>
  </si>
  <si>
    <t>https://flowzz.com/product/imc-cannabisblueten-gc-thc5-cbd9-green-crack</t>
  </si>
  <si>
    <t>Origine Nature MED 25/1</t>
  </si>
  <si>
    <t>https://flowzz.com/product/origine-nature-med-25-1-medellin</t>
  </si>
  <si>
    <t>Soma OG 30/1 PF</t>
  </si>
  <si>
    <t>https://flowzz.com/product/soma-og-30-1-pf-spritzer</t>
  </si>
  <si>
    <t>Soma OG 30/1</t>
  </si>
  <si>
    <t>https://flowzz.com/product/soma-og-30-1-spritzer</t>
  </si>
  <si>
    <t>TRUU GT 22:01</t>
  </si>
  <si>
    <t>https://flowzz.com/product/truu-gt-22-01-crumbled-lime</t>
  </si>
  <si>
    <t>Huala 25/1 UK WTR</t>
  </si>
  <si>
    <t>https://flowzz.com/product/huala-25-1-uk-wtr-white-truffle</t>
  </si>
  <si>
    <t>Remexian 24/1 GJY CHK</t>
  </si>
  <si>
    <t>https://flowzz.com/product/remexian-24-1-gjy-chk-chemical-kush</t>
  </si>
  <si>
    <t>https://flowzz.com/product/cannamedical-hybrid-classic-dk-ghost-train-haze</t>
  </si>
  <si>
    <t>MGF J03 26 Jokerz #53</t>
  </si>
  <si>
    <t>https://flowzz.com/product/mgf-jo3-26-jokerz-53</t>
  </si>
  <si>
    <t>Buuo 20/1 FO</t>
  </si>
  <si>
    <t>https://flowzz.com/product/buuo-21-1-fo-fast-orange</t>
  </si>
  <si>
    <t>Buuo 17/1 CDLC</t>
  </si>
  <si>
    <t>https://flowzz.com/product/buuo-17-1-cdlc-chem-de-la-chem</t>
  </si>
  <si>
    <t>29/1 Amici HS</t>
  </si>
  <si>
    <t>High Society</t>
  </si>
  <si>
    <t>https://flowzz.com/product/29-1-amici-hs-high-society</t>
  </si>
  <si>
    <t>Good Supply Cannabisblüten THC22 IIM</t>
  </si>
  <si>
    <t>Inzane in the Membrane</t>
  </si>
  <si>
    <t>https://flowzz.com/product/good-supply-cannabisblueten-thc22-iim-inzane-in-the-membrane</t>
  </si>
  <si>
    <t>Demecan BH Epic Drop</t>
  </si>
  <si>
    <t>Wedding Cake x Triangle Kush</t>
  </si>
  <si>
    <t>https://flowzz.com/product/demecan-bh-epic-drop-wedding-cake-triangle-kush</t>
  </si>
  <si>
    <t>24/1/1 IUVO OC Triangle Queen</t>
  </si>
  <si>
    <t>Demecan Oktonia Typ 1 20:20 (Cannabisextrakt)</t>
  </si>
  <si>
    <t>Wellford Aquaponic 20/1 GTH</t>
  </si>
  <si>
    <t>https://flowzz.com/product/wellford-aquaponic-20-1-gth-ghost-train-haze</t>
  </si>
  <si>
    <t>Wellford Aquaponic 28/1 SDK</t>
  </si>
  <si>
    <t>https://flowzz.com/product/wellford-aquaponic-28-1-sdk-sensi-double-kush</t>
  </si>
  <si>
    <t>Wellford Aquaponic 21/1 SDK</t>
  </si>
  <si>
    <t>https://flowzz.com/product/wellford-aquaponic-21-1-sdk-sensi-double-kush</t>
  </si>
  <si>
    <t>Wellford Aquaponic 26/1 ATG Atlantic Glue</t>
  </si>
  <si>
    <t>https://flowzz.com/product/wellford-aquaponic-26-1-atg-atlantic-glue</t>
  </si>
  <si>
    <t>Wellford Aquaponic 22/1 ATG Atlantic Glue</t>
  </si>
  <si>
    <t>https://flowzz.com/product/wellford-aquaponic-22-1-atg-atlantic-glue</t>
  </si>
  <si>
    <t>Demecan Core Purple Twist 26:01 RS11</t>
  </si>
  <si>
    <t>https://flowzz.com/product/core-purple-twist-26-01-rs11</t>
  </si>
  <si>
    <t>NOC SE 21</t>
  </si>
  <si>
    <t>https://flowzz.com/product/noc-se-21-scoop-of-chem-early-orange</t>
  </si>
  <si>
    <t>TRUU GT 30:01</t>
  </si>
  <si>
    <t>https://flowzz.com/product/truu-gt-30-01-cookies-og</t>
  </si>
  <si>
    <t>MGF Pop Up No. 4 22/1 THC Rich</t>
  </si>
  <si>
    <t>Disco Biscuit</t>
  </si>
  <si>
    <t>https://flowzz.com/product/mfg-pop-up-no-4-22-1-thc-rich-disco-biscuit</t>
  </si>
  <si>
    <t>MGF Pop Up No. 5 20/1 THC Rich</t>
  </si>
  <si>
    <t>Magic Marker</t>
  </si>
  <si>
    <t>https://flowzz.com/product/mfg-pop-up-no-5-20-1-thc-rich-magic-marker</t>
  </si>
  <si>
    <t>MGF Pop Up No. 5 22/1 THC Rich</t>
  </si>
  <si>
    <t>Super Kush</t>
  </si>
  <si>
    <t>https://flowzz.com/product/mfg-pop-up-no-5-22-1-thc-rich-super-kush</t>
  </si>
  <si>
    <t>MGF Pop Up No. 7 22/1 THC Rich</t>
  </si>
  <si>
    <t>El Chivo x Rainbow Cheddar</t>
  </si>
  <si>
    <t>https://flowzz.com/product/mfg-pop-up-no-7-22-1-thc-rich-el-chivo-x-rainbow-cheddar</t>
  </si>
  <si>
    <t>MGF Pop Up No. 6 26/1 THC Rich</t>
  </si>
  <si>
    <t>https://flowzz.com/product/mfg-pop-up-no-6-26-1-thc-rich-gastro-pop</t>
  </si>
  <si>
    <t>BC Zugspitzexpress 30/1 ZEX</t>
  </si>
  <si>
    <t>https://flowzz.com/product/bc-zugspitzeexpress-30-1-zex-frosted-gumbo</t>
  </si>
  <si>
    <t>Demecan BB Strong Drop</t>
  </si>
  <si>
    <t>https://flowzz.com/product/demecan-bb-strong-drop-lemon-z</t>
  </si>
  <si>
    <t>Good Supply THC22 AOG</t>
  </si>
  <si>
    <t>Amnesia OG</t>
  </si>
  <si>
    <t>https://flowzz.com/product/good-supply-thc-22-aog-amnesia-og</t>
  </si>
  <si>
    <t>NICE surprise 14/1 OZK</t>
  </si>
  <si>
    <t>https://flowzz.com/product/nice-surprise-14-1-ozk-ozark</t>
  </si>
  <si>
    <t>NOC OF 20</t>
  </si>
  <si>
    <t>https://flowzz.com/product/noc-of-20-1-ko-x-sherbet-shocker</t>
  </si>
  <si>
    <t>Good Supply THC22 LHG</t>
  </si>
  <si>
    <t>Lemon Haze Gelato</t>
  </si>
  <si>
    <t>https://flowzz.com/product/good-supply-thc22-lhg-lemon-haze-gelato</t>
  </si>
  <si>
    <t>NICE 22/1 BL</t>
  </si>
  <si>
    <t>https://flowzz.com/product/nice-22-1-bl-black-lime</t>
  </si>
  <si>
    <t>Barongo 30/1 SBT</t>
  </si>
  <si>
    <t>San Andreas Juice</t>
  </si>
  <si>
    <t>https://flowzz.com/product/barongo-30-1-sbt-san-andreas-juice</t>
  </si>
  <si>
    <t>CR Epic Drop</t>
  </si>
  <si>
    <t>Chronic</t>
  </si>
  <si>
    <t>https://flowzz.com/product/cr-epic-drop-chronic</t>
  </si>
  <si>
    <t>CR Regular Drop GMO x</t>
  </si>
  <si>
    <t>https://flowzz.com/product/cr-regular-drop-gmo-gush-mints</t>
  </si>
  <si>
    <t>MC Regular Drop Secret Weapon X Cookies n Cream</t>
  </si>
  <si>
    <t>https://flowzz.com/product/mc-regular-drop-secret-weapon-cookies-n-cream</t>
  </si>
  <si>
    <t>Buuo 24/1 TM</t>
  </si>
  <si>
    <t>Tropic Boom Popstars</t>
  </si>
  <si>
    <t>https://flowzz.com/product/buuo-24-1-tm-tropic-boom-popstars</t>
  </si>
  <si>
    <t>420 Natural 36/1 CA TGO</t>
  </si>
  <si>
    <t>https://flowzz.com/product/420-natural-36-1-ca-tgo-triangle-octane</t>
  </si>
  <si>
    <t>420 Natural 33/1 CA TGO</t>
  </si>
  <si>
    <t>https://flowzz.com/product/420-natural-33-1-ca-tgo-triangle-octane</t>
  </si>
  <si>
    <t>420 Natural 27/1 CA TGO</t>
  </si>
  <si>
    <t>https://flowzz.com/product/420-natural-27-1-ca-tgo-triangle-octane</t>
  </si>
  <si>
    <t>420 Natural 25/1 CA TGO</t>
  </si>
  <si>
    <t>https://flowzz.com/product/420-natural-25-1-ca-tgo-triangle-octane</t>
  </si>
  <si>
    <t>aleph Matterhorn 30/1</t>
  </si>
  <si>
    <t>https://flowzz.com/product/aleph-matterhorn-30-1-banjo</t>
  </si>
  <si>
    <t>https://flowzz.com/product/bathera-28-1-bcp-black-cherry-punch</t>
  </si>
  <si>
    <t>IMC K18 CBD13</t>
  </si>
  <si>
    <t>Swiss CBD</t>
  </si>
  <si>
    <t>https://flowzz.com/product/imc-k18-cbd13-swiss-cbd</t>
  </si>
  <si>
    <t>IMC PBG THC25 Token</t>
  </si>
  <si>
    <t>Sour Beach</t>
  </si>
  <si>
    <t>https://flowzz.com/product/imc-pbg-thc-25-token-sour-beach</t>
  </si>
  <si>
    <t>IMC FMO THC27</t>
  </si>
  <si>
    <t>https://flowzz.com/product/imc-fmo-thc27-nyc-diesel</t>
  </si>
  <si>
    <t>IMC PBG THC27 Token</t>
  </si>
  <si>
    <t>https://flowzz.com/product/imc-pbg-thc-27-token-sour-beach</t>
  </si>
  <si>
    <t>IMC TKH THC27</t>
  </si>
  <si>
    <t>https://flowzz.com/product/imc-tkh-thc27-pia-ex-pineapple-express</t>
  </si>
  <si>
    <t>Barongo 30/1 Cali Motion</t>
  </si>
  <si>
    <t>https://flowzz.com/product/barongo-30-1-cali-motion-la-animal</t>
  </si>
  <si>
    <t>Buuo 26/1 Vitae</t>
  </si>
  <si>
    <t>Hot White Garlic</t>
  </si>
  <si>
    <t>https://flowzz.com/product/buuo-26-1-vitae-hot-white-garlic</t>
  </si>
  <si>
    <t>aleph rose 18/1</t>
  </si>
  <si>
    <t>https://flowzz.com/product/aleph-rose-18-1-tropicana-cookies</t>
  </si>
  <si>
    <t>Roxton Air STV 30/1</t>
  </si>
  <si>
    <t>https://flowzz.com/product/roxton-air-stv-30-1-jelly-rancher</t>
  </si>
  <si>
    <t>Good Supply Cannabisblüten THC25 SAC</t>
  </si>
  <si>
    <t>https://flowzz.com/product/good-supply-cannabisblueten-thc25-sac-space-age-cake</t>
  </si>
  <si>
    <t>Good Supply Cannabisblüten THC30 SAC</t>
  </si>
  <si>
    <t>https://flowzz.com/product/good-supply-cannabisblueten-thc30-sac-space-age-cake</t>
  </si>
  <si>
    <t>Good Supply Cannabisblüten THC15 SNL</t>
  </si>
  <si>
    <t>https://flowzz.com/product/good-supply-cannabisblueten-thc-15-snl-snow-leopard</t>
  </si>
  <si>
    <t>Good Supply Cannabisblüten THC18 SNL</t>
  </si>
  <si>
    <t>https://flowzz.com/product/good-supply-cannabisblueten-thc-18-snl-snow-leopard</t>
  </si>
  <si>
    <t>Good Supply Cannabisblüten THC25 SWK</t>
  </si>
  <si>
    <t>https://flowzz.com/product/good-supply-cannabisblueten-thc25-swk-skywalker-kush</t>
  </si>
  <si>
    <t>Good Supply Cannabisblüten THC22 SWK</t>
  </si>
  <si>
    <t>https://flowzz.com/product/good-supply-cannabisblueten-thc22-swk-skywalker-kush</t>
  </si>
  <si>
    <t>Good Supply Cannabisblüten THC28 MRG</t>
  </si>
  <si>
    <t>https://flowzz.com/product/good-supply-cannabisblueten-thc28-mrg-meringue-64</t>
  </si>
  <si>
    <t>Good Supply Cannabisblüten THC22 MRG</t>
  </si>
  <si>
    <t>https://flowzz.com/product/good-supply-cannabisblueten-thc22-mrg-meringue-64</t>
  </si>
  <si>
    <t>IMC GUM THC22 Selected</t>
  </si>
  <si>
    <t>https://flowzz.com/product/imc-gum-thc-22-selected-clownz</t>
  </si>
  <si>
    <t>Weeco PS 25/1</t>
  </si>
  <si>
    <t>Pulsar</t>
  </si>
  <si>
    <t>https://flowzz.com/product/weeco-ps-25-1-pulsar</t>
  </si>
  <si>
    <t>Weeco 18/1 KIKU</t>
  </si>
  <si>
    <t>https://flowzz.com/product/weeco-18-1-kiku-kings-kush</t>
  </si>
  <si>
    <t>Weeco 22/1 WECA</t>
  </si>
  <si>
    <t>https://flowzz.com/product/weeco-22-1-weca-wedding-cake</t>
  </si>
  <si>
    <t>Weeco 25/1 WECA</t>
  </si>
  <si>
    <t>https://flowzz.com/product/weeco-25-1-weca-wedding-cake</t>
  </si>
  <si>
    <t>Cannabis 1A 20/1</t>
  </si>
  <si>
    <t>https://flowzz.com/product/cannabis-1-a-20-1-white-widow</t>
  </si>
  <si>
    <t>madrecan 27/1 SKY Minis</t>
  </si>
  <si>
    <t>https://flowzz.com/product/madrecan-27-1-sky-minis-skywalker</t>
  </si>
  <si>
    <t>https://flowzz.com/product/zoiks-31-1-tg-tangrini</t>
  </si>
  <si>
    <t>Cannamedical Sativa Ultra ES</t>
  </si>
  <si>
    <t>https://flowzz.com/product/cannamedical-sativa-ultra-es-banjo</t>
  </si>
  <si>
    <t>Buuo 24/1 DC Smalls</t>
  </si>
  <si>
    <t>https://flowzz.com/product/buuo-24-1-dc-smalls-rainbow-lava</t>
  </si>
  <si>
    <t>Botanics Velvet Twister 22/1</t>
  </si>
  <si>
    <t>https://flowzz.com/product/botanics-velvet-twister-22-1-candy-cartel</t>
  </si>
  <si>
    <t>aleph Ruby 21/1</t>
  </si>
  <si>
    <t>https://flowzz.com/product/aleph-ruby-21-1-kosher-tangie</t>
  </si>
  <si>
    <t>Remexian 30/1 HMA LOG Minis</t>
  </si>
  <si>
    <t>https://flowzz.com/product/remexian-30-1-hma-log-minis-lemon-og</t>
  </si>
  <si>
    <t>Huala 20/1 UK CIN</t>
  </si>
  <si>
    <t>https://flowzz.com/product/huala-20-1-uk-cin-cinderella-kush</t>
  </si>
  <si>
    <t>IMC Cannabisblüten THC22 T18</t>
  </si>
  <si>
    <t>https://flowzz.com/product/imc-cannabisblueten-thc-22-t18-notorious-gush</t>
  </si>
  <si>
    <t>aleph rose 21/1</t>
  </si>
  <si>
    <t>https://flowzz.com/product/aleph-rose-21-1-tropicana-haze</t>
  </si>
  <si>
    <t>bava med 21/1 MAN CO</t>
  </si>
  <si>
    <t>https://flowzz.com/product/bava-med-21-1-man-co-mandarin-cookies</t>
  </si>
  <si>
    <t>TRUU GT 27/1</t>
  </si>
  <si>
    <t>https://flowzz.com/product/truu-gt-27-01-kush-cookies</t>
  </si>
  <si>
    <t>Wellford Aquaponic 29/1 LBO</t>
  </si>
  <si>
    <t>https://flowzz.com/product/wellford-aquaponic-29-1-gth-legendary-bozy</t>
  </si>
  <si>
    <t>Wellford Aquaponic 26/1 LBO</t>
  </si>
  <si>
    <t>https://flowzz.com/product/wellford-aquaponic-26-1-gth-legendary-bozy</t>
  </si>
  <si>
    <t>Wellford Aquaponic 23/1 LBO</t>
  </si>
  <si>
    <t>https://flowzz.com/product/wellford-aquaponic-23-1-gth-legendary-bozy</t>
  </si>
  <si>
    <t>Wellford Aquaponic 29/1 GTH</t>
  </si>
  <si>
    <t>https://flowzz.com/product/wellford-aquaponic-29-1-gth-ghost-train-haze</t>
  </si>
  <si>
    <t>Wellford Peak CA T95 33/1</t>
  </si>
  <si>
    <t>https://flowzz.com/product/wellford-peak-ca-t95-33-1-tres-dawg-x-i-95</t>
  </si>
  <si>
    <t>Wellford Peak CA T95 28/1</t>
  </si>
  <si>
    <t>https://flowzz.com/product/wellford-peak-ca-t95-28-1-tres-dawg-x-i-95</t>
  </si>
  <si>
    <t>Wellford Peak CA T95 26/1</t>
  </si>
  <si>
    <t>https://flowzz.com/product/wellford-peak-ca-t95-26-1-tres-dawg-x-i-95</t>
  </si>
  <si>
    <t>Wellford Peak CA PKM 30/1</t>
  </si>
  <si>
    <t>https://flowzz.com/product/Wellford-peak-ca-pkm-30-1-pink-kush-mints</t>
  </si>
  <si>
    <t>Wellford Aquaponic 29/1 CRO</t>
  </si>
  <si>
    <t>https://flowzz.com/product/wellford-aquaponic-29-1-cro-crescendo-cookies</t>
  </si>
  <si>
    <t>enua 30/1 JFG CA</t>
  </si>
  <si>
    <t>https://flowzz.com/product/enua-30-1-jfg-ca-jet-fuel-gelato</t>
  </si>
  <si>
    <t>Franco's Revenge</t>
  </si>
  <si>
    <t>https://flowzz.com/product/remexian-30-1-mtl-par-francos-revenge</t>
  </si>
  <si>
    <t>Remexian 24/1 GCC THZ</t>
  </si>
  <si>
    <t>https://flowzz.com/product/remexian-24-1-gcc-thz-the-zoap</t>
  </si>
  <si>
    <t>Remexian 30/1 CRX OOG</t>
  </si>
  <si>
    <t>https://flowzz.com/product/remexian-30-1-crx-oog-oasis-og</t>
  </si>
  <si>
    <t>Remexian 27/1 GCC GUB Guava Bars</t>
  </si>
  <si>
    <t>https://flowzz.com/product/remexian-27-1-gcc-gub-guava-bars</t>
  </si>
  <si>
    <t>29/1 NICE CB</t>
  </si>
  <si>
    <t>https://flowzz.com/product/29-1-nice-cb-cocoa-bomba</t>
  </si>
  <si>
    <t>https://flowzz.com/product/tyson-24-1-frozen-fist</t>
  </si>
  <si>
    <t>https://flowzz.com/product/tyson-30-1-alexander-the-great</t>
  </si>
  <si>
    <t>31/1 Amici HS</t>
  </si>
  <si>
    <t>https://flowzz.com/product/31-1-amici-hs-high-society</t>
  </si>
  <si>
    <t>31/1 Amici SUN</t>
  </si>
  <si>
    <t>Sweet Unicorn Nugz</t>
  </si>
  <si>
    <t>https://flowzz.com/product/31-1-amici-sun-sweet-unicorn-nugz</t>
  </si>
  <si>
    <t>Peace Naturals 31/1 SL</t>
  </si>
  <si>
    <t>Sonic Lemon Fuel</t>
  </si>
  <si>
    <t>https://flowzz.com/product/peace-naturals-31-1-sl-sonic-lemon-fuel</t>
  </si>
  <si>
    <t>NOC SE 25</t>
  </si>
  <si>
    <t>https://flowzz.com/product/noc-se-25-scoop-of-chem-early-orange</t>
  </si>
  <si>
    <t>Pharmaleaves Hybrid High Forte 23</t>
  </si>
  <si>
    <t>Baklava</t>
  </si>
  <si>
    <t>https://flowzz.com/product/pharmaleaves-hybrid-high-forte-23-baklava</t>
  </si>
  <si>
    <t>Herbasana Salsa Lover 24:01</t>
  </si>
  <si>
    <t>https://flowzz.com/product/herbasana-salsa-lover-24-01-cosmic-soda</t>
  </si>
  <si>
    <t>NOC OF 25</t>
  </si>
  <si>
    <t>https://flowzz.com/product/noc-of-25-1-ko-x-sherbet-shocker</t>
  </si>
  <si>
    <t>NEDCANN DSD 25/01</t>
  </si>
  <si>
    <t>Nedcann</t>
  </si>
  <si>
    <t>https://flowzz.com/product/nedcann-dsd-25-1-original-blitz</t>
  </si>
  <si>
    <t>Canify Cannabis Flos 25/1 PRT KU. Smalls</t>
  </si>
  <si>
    <t>https://flowzz.com/product/canify-25-1-prt-ku-smalls-paradiso</t>
  </si>
  <si>
    <t>Nedcann KIKU 25/01</t>
  </si>
  <si>
    <t>Nori Cake</t>
  </si>
  <si>
    <t>https://flowzz.com/product/nedcann-kiku-25-01-nori-cake</t>
  </si>
  <si>
    <t>Nedcann ML 23/01 Milky Dreams #10</t>
  </si>
  <si>
    <t>Milky Dreams</t>
  </si>
  <si>
    <t>https://flowzz.com/product/nedcann-ml-23-01-milky-dreams</t>
  </si>
  <si>
    <t>Nedcann SC 19/01 Green House Cheese #21</t>
  </si>
  <si>
    <t>Green House Cheese</t>
  </si>
  <si>
    <t>https://flowzz.com/product/nedcann-sc-19-01-green-house-cheese</t>
  </si>
  <si>
    <t>RUA AIO 25/1</t>
  </si>
  <si>
    <t>https://flowzz.com/product/rua-aio-25-1-8-ball-kush</t>
  </si>
  <si>
    <t>RUA AIO 27/1</t>
  </si>
  <si>
    <t>https://flowzz.com/product/rua-aio-27-1-8-ball-kush</t>
  </si>
  <si>
    <t>420 Sungrown 20/1 CA LLY</t>
  </si>
  <si>
    <t>https://flowzz.com/product/420-sungrown-20-1-ca-lly-legendary-larry</t>
  </si>
  <si>
    <t>https://flowzz.com/product/tyson-30-1-nyc-diesel</t>
  </si>
  <si>
    <t>https://flowzz.com/product/tyson-26-1-haymaker-haze</t>
  </si>
  <si>
    <t>Rua Hihiko 29/1</t>
  </si>
  <si>
    <t>https://flowzz.com/product/rua-hihiko-29-1-grape-haze</t>
  </si>
  <si>
    <t>Nedcann HS 22/01 White Runtz #55</t>
  </si>
  <si>
    <t>https://flowzz.com/product/nedcann-hs-22-01-white-runtz</t>
  </si>
  <si>
    <t>Nedcann HS 20/01 White Runtz #55</t>
  </si>
  <si>
    <t>https://flowzz.com/product/nedcann-hs-20-01-white-runtz</t>
  </si>
  <si>
    <t>Nedcann CB 18/01 Honolulu Haze #1</t>
  </si>
  <si>
    <t>Honolulu Haze</t>
  </si>
  <si>
    <t>https://flowzz.com/product/nedcann-cb-18-01-honolulu-haze</t>
  </si>
  <si>
    <t>Nedcann MD 22/01 Cloud Walker #D18</t>
  </si>
  <si>
    <t>Cloud Walker</t>
  </si>
  <si>
    <t>https://flowzz.com/product/nedcann-md-22-01-cloud-walker</t>
  </si>
  <si>
    <t>Nedcann AH 20/01 Mimosa #89</t>
  </si>
  <si>
    <t>https://flowzz.com/product/nedcann-ah-20-1-mimosa</t>
  </si>
  <si>
    <t>Barongo 20/1 SG</t>
  </si>
  <si>
    <t>https://flowzz.com/product/barongo-20-1-sg-strawberry-guava</t>
  </si>
  <si>
    <t>Barongo 17/1 SG</t>
  </si>
  <si>
    <t>https://flowzz.com/product/barongo-17-1-sg-strawberry-guava</t>
  </si>
  <si>
    <t>https://flowzz.com/product/barongo-24-1-ultra-dosed-candy</t>
  </si>
  <si>
    <t>Barongo 26/1 BT</t>
  </si>
  <si>
    <t>https://flowzz.com/product/barongo-26-1-bt-black-triangle</t>
  </si>
  <si>
    <t>Barongo 28/1 ZP</t>
  </si>
  <si>
    <t>Zesty Parm</t>
  </si>
  <si>
    <t>https://flowzz.com/product/barongo-28-1-zp-zesty-parm</t>
  </si>
  <si>
    <t>Barongo 26/1 LAK LA KUSH</t>
  </si>
  <si>
    <t>LA Kush</t>
  </si>
  <si>
    <t>https://flowzz.com/product/barongo-26-1-lak-la-kush</t>
  </si>
  <si>
    <t>Barongo 28/1 LPJ Legacy Pheno</t>
  </si>
  <si>
    <t>https://flowzz.com/product/barongo-28-1-lpj-legacy-pheno-jean-guy</t>
  </si>
  <si>
    <t>NICE 30/1 LC</t>
  </si>
  <si>
    <t>https://flowzz.com/product/nice-30-1-lc-lemon-cookies</t>
  </si>
  <si>
    <t>420 Compound 25/1 CA BBW</t>
  </si>
  <si>
    <t>https://flowzz.com/product/420-compound-25-1-ca-bbw-bling-blaow</t>
  </si>
  <si>
    <t>Sumo MDLX 30/1</t>
  </si>
  <si>
    <t>https://flowzz.com/product/sumo-mdlx-30-1-mac-deluxe</t>
  </si>
  <si>
    <t>Cookies 25/1 RAM</t>
  </si>
  <si>
    <t>https://flowzz.com/product/cookies-25-1-ram-rainbow-amnesia</t>
  </si>
  <si>
    <t>NOC SE 19 Essence</t>
  </si>
  <si>
    <t>https://flowzz.com/product/noc-se-19</t>
  </si>
  <si>
    <t>enua 27/1 J31 Jokers #31</t>
  </si>
  <si>
    <t>https://flowzz.com/product/enua-27-1-j31-jokerz-31</t>
  </si>
  <si>
    <t>Demecan Sunset 19:01</t>
  </si>
  <si>
    <t>https://flowzz.com/product/demecan-sunset-19-01-maui-wowie</t>
  </si>
  <si>
    <t>Demecan Lean Drop 22:1</t>
  </si>
  <si>
    <t>https://flowzz.com/product/demecan-lean-drop-22-1-black-marker</t>
  </si>
  <si>
    <t>All Nations AKM 21/1</t>
  </si>
  <si>
    <t>https://flowzz.com/product/all-nations-akm-21-1-alien-kush-mintz</t>
  </si>
  <si>
    <t>Big Dreams 21/1 PSF DOB</t>
  </si>
  <si>
    <t>https://flowzz.com/product/big-dreams-21-1-psf-dob-donny-burger</t>
  </si>
  <si>
    <t>https://flowzz.com/product/tilray-thc15-spotlight-porto-ocean-grown-cookies</t>
  </si>
  <si>
    <t>IMC Cannabisblüten AT THC25</t>
  </si>
  <si>
    <t>Apple Tartz</t>
  </si>
  <si>
    <t>https://flowzz.com/product/imc-cannabisblueten-at-thc25</t>
  </si>
  <si>
    <t>IMC Cannabisblüten BCP1 THC25</t>
  </si>
  <si>
    <t>Grape Dosi</t>
  </si>
  <si>
    <t>https://flowzz.com/product/imc-cannabisblueten-bcp1-thc25-grape-dosi</t>
  </si>
  <si>
    <t>MGF Cali X Gazzy 26/1</t>
  </si>
  <si>
    <t>Cali x Gazzy</t>
  </si>
  <si>
    <t>https://flowzz.com/product/mgf-cali-x-gazzy-26-1</t>
  </si>
  <si>
    <t>Wellford Peak 28-1 CA PPM</t>
  </si>
  <si>
    <t>Purple Moon</t>
  </si>
  <si>
    <t>https://flowzz.com/product/wellford-peak-28-1-ca-ppm-purple-moon</t>
  </si>
  <si>
    <t>Enua 30/1 EJZ CA</t>
  </si>
  <si>
    <t>El Jefe Zoap</t>
  </si>
  <si>
    <t>https://flowzz.com/product/enua-30-1-ejz-ca-el-jefe-zoap</t>
  </si>
  <si>
    <t>Luana Extrakt THC10:CBD10</t>
  </si>
  <si>
    <t>https://flowzz.com/extract/luana-extrakt-thc10-cbd10</t>
  </si>
  <si>
    <t>Luana Extrakt THC25:CBD1</t>
  </si>
  <si>
    <t>https://flowzz.com/extract/luana-extrakt-thc25-cbd1</t>
  </si>
  <si>
    <t>Luana Extrakt THC50:CBD50</t>
  </si>
  <si>
    <t>5,12</t>
  </si>
  <si>
    <t>https://flowzz.com/extract/luana-extrakt-thc50-cbd50</t>
  </si>
  <si>
    <t>Demecan 20:20 Oktonia (Cannabisextrakt) Typ 2</t>
  </si>
  <si>
    <t>https://flowzz.com/extract/demecan-20-20-typ-2-oktonia</t>
  </si>
  <si>
    <t>CNBS SPZ 31/1</t>
  </si>
  <si>
    <t>https://flowzz.com/product/cnbs-spz-31-1-spritzer</t>
  </si>
  <si>
    <t>Canify Cannabis flos 16/1 LS Ku</t>
  </si>
  <si>
    <t>Canify Cannabis flos 16/1 LS Ku. - Khanya Select</t>
  </si>
  <si>
    <t>https://flowzz.com/product/canify-cannabis-flos-16-1-ls-ku-khanya-select</t>
  </si>
  <si>
    <t>Medicus 27/1 YAR ADI - Astral Drift</t>
  </si>
  <si>
    <t>THC AKUT FB 28 KM</t>
  </si>
  <si>
    <t>9,22</t>
  </si>
  <si>
    <t>https://flowzz.com/product/thc-akut-fb-28-km-kush-mintz</t>
  </si>
  <si>
    <t>Cannamedical Indica Forte SM Sunset Serenity</t>
  </si>
  <si>
    <t>https://flowzz.com/product/cannamedical-indica-forte-sunset-serenity</t>
  </si>
  <si>
    <t>avaay 36/1 SPC</t>
  </si>
  <si>
    <t>https://flowzz.com/product/avaay-36-1-spc-space-cake</t>
  </si>
  <si>
    <t>20/1 IUVO OC Afghani Bullrider</t>
  </si>
  <si>
    <t>Afghani</t>
  </si>
  <si>
    <t>https://flowzz.com/product/20-1-iuvo-oc-afghani-bullrider</t>
  </si>
  <si>
    <t>IMC FTY THC25</t>
  </si>
  <si>
    <t>Fruity Pebbles</t>
  </si>
  <si>
    <t>https://flowzz.com/product/imc-fty-thc25-fruity-pebbles</t>
  </si>
  <si>
    <t>Remexian 30/1 TWE MAN</t>
  </si>
  <si>
    <t>Minty Animal</t>
  </si>
  <si>
    <t>https://flowzz.com/product/remexian-30-1-twe-man</t>
  </si>
  <si>
    <t>Remexian 33/1 MHI MYW</t>
  </si>
  <si>
    <t>https://flowzz.com/product/remexian-33-1-mhi-myw-mystic-wonder</t>
  </si>
  <si>
    <t>Remexian 30/1 PGR MSH</t>
  </si>
  <si>
    <t>Mint Smash</t>
  </si>
  <si>
    <t>https://flowzz.com/product/remexian-30-1-pgr-msh-mint-smash</t>
  </si>
  <si>
    <t>Remexian 27/1 PGR LHI</t>
  </si>
  <si>
    <t>Lemon Hill</t>
  </si>
  <si>
    <t>https://flowzz.com/product/remexian-27-1-pgr-lhi-lemon-hill</t>
  </si>
  <si>
    <t>Huala 25/1 CA GRF</t>
  </si>
  <si>
    <t>https://flowzz.com/product/huala-25-1-ca-grf-grape-face</t>
  </si>
  <si>
    <t>mediproCan Lunaris 23/1</t>
  </si>
  <si>
    <t>Legend OG</t>
  </si>
  <si>
    <t>https://flowzz.com/product/mediprocan-lunaris-23-1-legend-og</t>
  </si>
  <si>
    <t>29/1 Amici AS</t>
  </si>
  <si>
    <t>https://flowzz.com/product/29-1-amici-as-atomic-sour-grapefruit</t>
  </si>
  <si>
    <t>420 Evolution 30/1 CA FRG</t>
  </si>
  <si>
    <t>https://flowzz.com/product/420-evolution-30-1-ca-frg-frosted-gumbo</t>
  </si>
  <si>
    <t>Peace Naturals 33/1 SL</t>
  </si>
  <si>
    <t>https://flowzz.com/product/peace-naturals-33-1-sl-sonic-lemon-fuel</t>
  </si>
  <si>
    <t>ADREX 26 CKD CAN</t>
  </si>
  <si>
    <t>https://flowzz.com/product/adrex-26-ckd-cookie-dough</t>
  </si>
  <si>
    <t>Cannamedical Indica Classic DK 22/1</t>
  </si>
  <si>
    <t>https://flowzz.com/product/cannamedical-indica-classic-dk-22-1-gelat-skyfloater</t>
  </si>
  <si>
    <t>https://flowzz.com/product/cannamedical-indica-forte-dk-lemon-krash</t>
  </si>
  <si>
    <t>avaay Signature 26/1 LEM</t>
  </si>
  <si>
    <t>9,44</t>
  </si>
  <si>
    <t>https://flowzz.com/product/avaay-signature-26-1-lem-lemon-loaf</t>
  </si>
  <si>
    <t>30/1 Amici CM</t>
  </si>
  <si>
    <t>https://flowzz.com/product/30-1-amici-cm-cereal-milk</t>
  </si>
  <si>
    <t>Demecan BH Epic Drop 30:1</t>
  </si>
  <si>
    <t>6,96</t>
  </si>
  <si>
    <t>https://flowzz.com/product/demecan-bh-epic-drop-30-1-wedding-cake-triangle-kush</t>
  </si>
  <si>
    <t>Remexian 24/1 SSF</t>
  </si>
  <si>
    <t>Moonjo</t>
  </si>
  <si>
    <t>4,97</t>
  </si>
  <si>
    <t>https://flowzz.com/product/remexian-24-1-ssf-moonjo</t>
  </si>
  <si>
    <t>Organnicraft</t>
  </si>
  <si>
    <t>https://flowzz.com/product/28-1-iuvo-oc-orange-z</t>
  </si>
  <si>
    <t>420 Compound 30/1 CA BER</t>
  </si>
  <si>
    <t>https://flowzz.com/product/420-compound-30-1-ca-ber-berlin-berries</t>
  </si>
  <si>
    <t>aleph red 30/1</t>
  </si>
  <si>
    <t>https://flowzz.com/product/aleph-red-30-1-hokuzai</t>
  </si>
  <si>
    <t>Remexian 27/1 NXN SPZ</t>
  </si>
  <si>
    <t>https://flowzz.com/product/remexian-27-1-nxn-spz</t>
  </si>
  <si>
    <t>Remexian 27/1 KAN VAP</t>
  </si>
  <si>
    <t>Void Apex</t>
  </si>
  <si>
    <t>Kana Craft Grower</t>
  </si>
  <si>
    <t>https://flowzz.com/product/remexian-27-1-kan-vap-void-apex</t>
  </si>
  <si>
    <t>Remexian 30/1 BBR NTC</t>
  </si>
  <si>
    <t>Nitro Chem</t>
  </si>
  <si>
    <t>Banner Brands</t>
  </si>
  <si>
    <t>https://flowzz.com/product/remexian-30-1-bbr-ntc-nitro-chem</t>
  </si>
  <si>
    <t>TRUU GT 25:01</t>
  </si>
  <si>
    <t>https://flowzz.com/product/truu-gt-25-01-crumbled-lime</t>
  </si>
  <si>
    <t>Bedrolite Cannabis Flos 1/7.5</t>
  </si>
  <si>
    <t>https://flowzz.com/product/bedrolite-rensina-1-17-5</t>
  </si>
  <si>
    <t>NICE 28/1 LC</t>
  </si>
  <si>
    <t>https://flowzz.com/product/nice-28-1-lc-lemon-cookies</t>
  </si>
  <si>
    <t>Tilray CRAFT THC28 TRM</t>
  </si>
  <si>
    <t>5,62</t>
  </si>
  <si>
    <t>https://flowzz.com/product/tilray-craft-thc28-triangle-mints</t>
  </si>
  <si>
    <t>Remexian 24/1 NEB PLG</t>
  </si>
  <si>
    <t>6,60</t>
  </si>
  <si>
    <t>https://flowzz.com/product/remexian-24-1-neb-plg-platinum-gushers</t>
  </si>
  <si>
    <t>MediproCan LUNARIS 25/1</t>
  </si>
  <si>
    <t>Capri Haze</t>
  </si>
  <si>
    <t>https://flowzz.com/product/mediprocan-lunaris-25-1-capri-haze</t>
  </si>
  <si>
    <t>Luana 16/1 MAC Miracle Alien Cookies</t>
  </si>
  <si>
    <t>https://flowzz.com/product/luana-16-1-mac-miracle-alien-cookies</t>
  </si>
  <si>
    <t>Breezy Organics BB 28/1</t>
  </si>
  <si>
    <t>https://flowzz.com/product/breezy-organics-bb-28-1-bling-blaow</t>
  </si>
  <si>
    <t>madrecan 21/1 GB9</t>
  </si>
  <si>
    <t>4,65</t>
  </si>
  <si>
    <t>https://flowzz.com/product/madrecan-21-1-gb9-garlic-budder</t>
  </si>
  <si>
    <t>Beacon WP T24</t>
  </si>
  <si>
    <t>Blueberry Pancakes</t>
  </si>
  <si>
    <t>https://flowzz.com/product/beacon-wp-24-1-blueberry-pancakes</t>
  </si>
  <si>
    <t>Craft Emerald 27:01</t>
  </si>
  <si>
    <t>Governmint Oasis</t>
  </si>
  <si>
    <t>https://flowzz.com/product/craft-emerald-27-01-governmint-oasis</t>
  </si>
  <si>
    <t>Demecan CRAFT D-Jungle 28:01</t>
  </si>
  <si>
    <t>https://flowzz.com/product/demecan-craft-d-jungle-28-1-purple-punch-x-jungle-cake</t>
  </si>
  <si>
    <t>PG Strong Drop 27:01</t>
  </si>
  <si>
    <t>Gas Face</t>
  </si>
  <si>
    <t>https://flowzz.com/product/pg-strong-drop-27-01-gas-face</t>
  </si>
  <si>
    <t>Tiger Eyez</t>
  </si>
  <si>
    <t>6,30</t>
  </si>
  <si>
    <t>https://flowzz.com/product/demecan-epic-drop-30-01-tiger-eyez</t>
  </si>
  <si>
    <t>Cannovum Natura PMK 26/1</t>
  </si>
  <si>
    <t>https://flowzz.com/product/cannovum-natura-pkm-26-1-permanent-marker</t>
  </si>
  <si>
    <t>IMC DB THC20</t>
  </si>
  <si>
    <t>Junky Lemon</t>
  </si>
  <si>
    <t>https://flowzz.com/product/imc-bd-thc20-junky-lemon</t>
  </si>
  <si>
    <t>IMC E2 THC22</t>
  </si>
  <si>
    <t>Zkittlez Pie</t>
  </si>
  <si>
    <t>4,19</t>
  </si>
  <si>
    <t>https://flowzz.com/product/imc-e2-thc22-zkittlez-pie</t>
  </si>
  <si>
    <t>IMC RC6 THC20</t>
  </si>
  <si>
    <t>Tropic Smash</t>
  </si>
  <si>
    <t>https://flowzz.com/product/imc-rc6-thc20-tropic-smash</t>
  </si>
  <si>
    <t>Cannabis flos 27/1 CDA Ku. Flapjacks</t>
  </si>
  <si>
    <t>https://flowzz.com/product/cannabis-flos-27-1-cda-ku-flapjacks</t>
  </si>
  <si>
    <t>Demecan Core Purple Twist 23:01 RS11</t>
  </si>
  <si>
    <t>https://flowzz.com/product/core-purple-twist-23-01-rs11</t>
  </si>
  <si>
    <t>Cannabis flos 30/1 CNDA Ku.</t>
  </si>
  <si>
    <t>Purple Churro</t>
  </si>
  <si>
    <t>https://flowzz.com/product/cannabis-flos-30-1-cnda-ku-purple-churro</t>
  </si>
  <si>
    <t>Beacon LI T26</t>
  </si>
  <si>
    <t>https://flowzz.com/product/beacon-li-t-26-liquid-imagination</t>
  </si>
  <si>
    <t>enua 25/1 EJZ CA</t>
  </si>
  <si>
    <t>https://flowzz.com/product/enua-25-1-ejz-ca-el-jefe-zoap</t>
  </si>
  <si>
    <t>Roxton Air FC 21/1</t>
  </si>
  <si>
    <t>https://flowzz.com/product/roxton-air-fc-21-1-frosted-cookies</t>
  </si>
  <si>
    <t>Demecan Serenova 31/1 CJ</t>
  </si>
  <si>
    <t>https://flowzz.com/product/demecan-serenova-31-1-cj-cap-junky</t>
  </si>
  <si>
    <t>Origine Nature GG 25/1</t>
  </si>
  <si>
    <t>https://flowzz.com/product/origine-nature-gg-25-1-golden-gauth</t>
  </si>
  <si>
    <t>Organic Sweetgrass MCC 21/1 Mint Chocolate Chips</t>
  </si>
  <si>
    <t>https://flowzz.com/product/organic-sweetgrass-mcc-21-1-mint-chocolate-chips</t>
  </si>
  <si>
    <t>Slouu 30/1 GLZ CA</t>
  </si>
  <si>
    <t>Garlic Z</t>
  </si>
  <si>
    <t>https://flowzz.com/product/slouu-30-1-glz-ca-garlic-z</t>
  </si>
  <si>
    <t>Slouu 25/1 CRL CA</t>
  </si>
  <si>
    <t>https://flowzz.com/product/slouu-25-1-crl-ca-crumbled-lime</t>
  </si>
  <si>
    <t>Demecan Core Illume 18:01</t>
  </si>
  <si>
    <t>https://flowzz.com/product/demecan-core-illume-18-1-vanilla-ice</t>
  </si>
  <si>
    <t>Tropical Orange</t>
  </si>
  <si>
    <t>https://flowzz.com/product/24-1-iuvo-oc-tropical-orange</t>
  </si>
  <si>
    <t>Truth Holdings LH 29/1</t>
  </si>
  <si>
    <t>https://flowzz.com/product/truth-holdings-lh-29-1-liberty-haze</t>
  </si>
  <si>
    <t>HiSociety BZ 29/1</t>
  </si>
  <si>
    <t>https://flowzz.com/product/hi-society-bz-29-1-blue-zushi</t>
  </si>
  <si>
    <t>Demecan One Concentrate 850</t>
  </si>
  <si>
    <t>Lahoja ACSMC 25/1 Pink Sluuricane</t>
  </si>
  <si>
    <t>https://flowzz.com/product/lahoja-acsmc-25-1-pink-slurricane</t>
  </si>
  <si>
    <t>Avaay Signature 27/1 ARC</t>
  </si>
  <si>
    <t>Apple Rock Candy</t>
  </si>
  <si>
    <t>https://flowzz.com/product/avaay-signature-27-1-arc-apple-rock-candy</t>
  </si>
  <si>
    <t>IMC D2 THC24</t>
  </si>
  <si>
    <t>Pink Bubba</t>
  </si>
  <si>
    <t>https://flowzz.com/product/imc-d2-thc24-pink-bubba</t>
  </si>
  <si>
    <t>enua 33/1 MMN CA</t>
  </si>
  <si>
    <t>https://flowzz.com/product/enua-33-1-mmn-ca-marshmallow-man</t>
  </si>
  <si>
    <t>AMP ZEN RBX THC25 White Wedding Cake RBX</t>
  </si>
  <si>
    <t>https://flowzz.com/product/amp-zen-rbx-thc25-white-wedding-cake</t>
  </si>
  <si>
    <t>https://flowzz.com/product/nimbus-easy-22-1-jealousy</t>
  </si>
  <si>
    <t>Kann übernommen werden</t>
  </si>
  <si>
    <t>https://flowzz.com/product/Kann-ubernommen-werden</t>
  </si>
  <si>
    <t>Demecan Craft Rocket 28:01 Pave x Gastro Pop</t>
  </si>
  <si>
    <t>https://flowzz.com/product/demecan-craft-rocket-28-01-pave-gastro-pop</t>
  </si>
  <si>
    <t>Huala 22/1 CA</t>
  </si>
  <si>
    <t>WOT</t>
  </si>
  <si>
    <t>https://flowzz.com/product/huala-22-1-ca-wot</t>
  </si>
  <si>
    <t>Canopy JH 21/1</t>
  </si>
  <si>
    <t>https://flowzz.com/product/canopy-jh-21-1-jack-haze</t>
  </si>
  <si>
    <t>Demecan CR Lean Drop 22/1</t>
  </si>
  <si>
    <t>White Fondant</t>
  </si>
  <si>
    <t>https://flowzz.com/product/demecan-cr-lean-drop-27-1-white-fondant</t>
  </si>
  <si>
    <t>Packs Jet Lag / 22</t>
  </si>
  <si>
    <t>Jet Lag</t>
  </si>
  <si>
    <t>https://flowzz.com/product/packs-jet-lag-22</t>
  </si>
  <si>
    <t>Dirty Zprite / 24</t>
  </si>
  <si>
    <t>Dirty Zprite</t>
  </si>
  <si>
    <t>https://flowzz.com/product/dirty-zprite-24</t>
  </si>
  <si>
    <t>enua 36/1 JGF CA</t>
  </si>
  <si>
    <t>https://flowzz.com/product/enua-36-1-jgf-jungle-fumes</t>
  </si>
  <si>
    <t>Remexian 21/1 CHR CIB</t>
  </si>
  <si>
    <t>Citrus Bowl</t>
  </si>
  <si>
    <t>https://flowzz.com/product/remexian-21-1-chr-cib-citrus-bowl</t>
  </si>
  <si>
    <t>IMC C2 THC20 Mids</t>
  </si>
  <si>
    <t>Sour Pulse</t>
  </si>
  <si>
    <t>https://flowzz.com/product/imc-c2-thc20-mids-sour-pulse</t>
  </si>
  <si>
    <t>IMC A2 THC20 Mids</t>
  </si>
  <si>
    <t>Pillow Kush</t>
  </si>
  <si>
    <t>https://flowzz.com/product/imc-a2-thc20-mids-pillow-kush</t>
  </si>
  <si>
    <t>IMC MK THC27 Token</t>
  </si>
  <si>
    <t>Thai Kush</t>
  </si>
  <si>
    <t>https://flowzz.com/product/imc-mk-thc27-thai-kush</t>
  </si>
  <si>
    <t>enua 27/1 Mac F CA</t>
  </si>
  <si>
    <t>https://flowzz.com/product/enua-27-1-mac-f-ca-macflurry</t>
  </si>
  <si>
    <t>Cannamedical Hybrid Forte SA</t>
  </si>
  <si>
    <t>https://flowzz.com/product/cannamedical-hybrid-forte-sa-blunicorn</t>
  </si>
  <si>
    <t>IMC ZZ Token Afghani Diamond 22/1</t>
  </si>
  <si>
    <t>Skunk x Afghani Kush</t>
  </si>
  <si>
    <t>https://flowzz.com/product/imc-zz-token-afghani-diamond-22-1</t>
  </si>
  <si>
    <t>Soma OG 20/1 CC</t>
  </si>
  <si>
    <t>https://flowzz.com/product/soma-og-20-1-black-cherry-punch</t>
  </si>
  <si>
    <t>Cookies 2.0 Cereal Milk 26/1 CAN CM</t>
  </si>
  <si>
    <t>https://flowzz.com/product/cookies-2.0-cereal-milk-26-1-can-cm</t>
  </si>
  <si>
    <t>Weeco 26/1</t>
  </si>
  <si>
    <t>https://flowzz.com/product/weeco-26-1-big-purple-dragon</t>
  </si>
  <si>
    <t>enua 33/1 JGF</t>
  </si>
  <si>
    <t>https://flowzz.com/product/enua-33-1-jgf-jungle-fumes</t>
  </si>
  <si>
    <t>Slouu 20/1 CRL CA</t>
  </si>
  <si>
    <t>https://flowzz.com/product/slouu-20-1-crl-ca-crumbled-lime</t>
  </si>
  <si>
    <t>Huala 27/1 CA ALM</t>
  </si>
  <si>
    <t>https://flowzz.com/product/huala-27-1-ca-alm</t>
  </si>
  <si>
    <t>Tilray Craft Cannabisblüten THC28 PPV</t>
  </si>
  <si>
    <t>https://flowzz.com/product/tilray-craft-thc28-ppv-platinum-pave</t>
  </si>
  <si>
    <t>Cali X Zosa 28/1</t>
  </si>
  <si>
    <t>Zosa</t>
  </si>
  <si>
    <t>https://flowzz.com/product/mgf-cali-x-zosa-28-1</t>
  </si>
  <si>
    <t>Huala 20/1 CA WOT</t>
  </si>
  <si>
    <t>Whiteout</t>
  </si>
  <si>
    <t>https://flowzz.com/product/huala-20-1-ca-wot-whiteout</t>
  </si>
  <si>
    <t>Huala 22/1 UK WTR</t>
  </si>
  <si>
    <t>https://flowzz.com/product/huala-22-1-uk-wtr-white-truffle</t>
  </si>
  <si>
    <t>HiSociety 27/1</t>
  </si>
  <si>
    <t>Deep Breath</t>
  </si>
  <si>
    <t>https://flowzz.com/product/hisociety-27-1-deep-breath</t>
  </si>
  <si>
    <t>Vasco WR 18/1</t>
  </si>
  <si>
    <t>https://flowzz.com/product/vasco-wr-18-1-white-runtz</t>
  </si>
  <si>
    <t>Ceres No. 2 26/1</t>
  </si>
  <si>
    <t>https://flowzz.com/product/ceres-no-2-slurricane-mint-26-1</t>
  </si>
  <si>
    <t>29/01 Calimed craft No. 8</t>
  </si>
  <si>
    <t>Apples &amp; Bananas x Jealousy</t>
  </si>
  <si>
    <t>https://flowzz.com/product/pharma-leaves-29-01-calimed-craft-no.-8-apples-bananas-jealousy</t>
  </si>
  <si>
    <t>Drapalin 31/1 Da Fux</t>
  </si>
  <si>
    <t>Gary Payton x Gushers</t>
  </si>
  <si>
    <t>https://flowzz.com/product/drapalin-31-1-da-fux-gary-payton-x-gushers</t>
  </si>
  <si>
    <t>Medicus 21/1 BIZ GGE</t>
  </si>
  <si>
    <t>3,09</t>
  </si>
  <si>
    <t>https://flowzz.com/product/medicus-21-1-biz-gge-green-gelato</t>
  </si>
  <si>
    <t>Medicus 24/1 BIZ GGE</t>
  </si>
  <si>
    <t>3,33</t>
  </si>
  <si>
    <t>https://flowzz.com/product/medicus-24-1-biz-gge-green-gelato</t>
  </si>
  <si>
    <t>Beacon WP T22</t>
  </si>
  <si>
    <t>https://flowzz.com/product/beacon-wp-t-22-blueberry-pancakes</t>
  </si>
  <si>
    <t>420 Natural 14/1 CA TRP</t>
  </si>
  <si>
    <t>https://flowzz.com/product/420-natural-14-1-ca-trp-tropicana-cookies</t>
  </si>
  <si>
    <t>26/1 Amici GB</t>
  </si>
  <si>
    <t>https://flowzz.com/product/26-1-amici-gb-godberry</t>
  </si>
  <si>
    <t>https://flowzz.com/product/24-1-iuvo-oc-rainbow-chip</t>
  </si>
  <si>
    <t>Social Choice! 18/1 SEN GTH</t>
  </si>
  <si>
    <t>3,89</t>
  </si>
  <si>
    <t>https://flowzz.com/product/social-choice-18-1-sen-gth-ghost-train-haze</t>
  </si>
  <si>
    <t>Demecan Craft Emerald 27:01</t>
  </si>
  <si>
    <t>GMO X Gush Mints</t>
  </si>
  <si>
    <t>https://flowzz.com/product/demecan-craft-emerald-27-01-gmo-gush-mints</t>
  </si>
  <si>
    <t>Remexian 24/1 CHR BCO</t>
  </si>
  <si>
    <t>Chroni-CO</t>
  </si>
  <si>
    <t>https://flowzz.com/product/remexian-24-1-chr-bco-blunicorn</t>
  </si>
  <si>
    <t>Grünhorn BC 14/1 A&amp;B Apple &amp; Bananas</t>
  </si>
  <si>
    <t>https://flowzz.com/product/gruenhorn-bc-14-1-ab-apples-bananas</t>
  </si>
  <si>
    <t>https://flowzz.com/product/truu-gt-27-01-cookies-og</t>
  </si>
  <si>
    <t>Social Choice! 18/1 LUX AMA</t>
  </si>
  <si>
    <t>https://flowzz.com/product/remexian-18-1-lux-ama-amsterdam-amnesia</t>
  </si>
  <si>
    <t>Social Choice! 18/1 MCP</t>
  </si>
  <si>
    <t>3,79</t>
  </si>
  <si>
    <t>https://flowzz.com/product/social-choice-18-1-mcp-gmo-cookies</t>
  </si>
  <si>
    <t>Demecan Core Golden Horizon 31:01</t>
  </si>
  <si>
    <t>Golden Goat</t>
  </si>
  <si>
    <t>https://flowzz.com/product/demecan-core-golden-horizon-31-1-golden-goat</t>
  </si>
  <si>
    <t>Demecan RF EPIC DROP 30:01</t>
  </si>
  <si>
    <t>98 Aloha White Widow x Trainwreck</t>
  </si>
  <si>
    <t>https://flowzz.com/product/demecan-rf-epic-drop-30-01-98-aloha-white-widow-trainwreck</t>
  </si>
  <si>
    <t>Remexian 30/1 RAS GRT</t>
  </si>
  <si>
    <t>Green Thunder</t>
  </si>
  <si>
    <t>https://flowzz.com/product/remexian-30-1-ras-grt-green-thunder</t>
  </si>
  <si>
    <t>Remexian 27/1 PGF WRZ</t>
  </si>
  <si>
    <t>Purplefarm</t>
  </si>
  <si>
    <t>https://flowzz.com/product/remexian-27-1-pgf-wrz-white-runtz</t>
  </si>
  <si>
    <t>Luana Electric 20/1</t>
  </si>
  <si>
    <t>https://flowzz.com/product/luana-electric-20-1-bashengo</t>
  </si>
  <si>
    <t>IMC LM THC20 Mids</t>
  </si>
  <si>
    <t>Lemon Fizz</t>
  </si>
  <si>
    <t>https://flowzz.com/product/imc-lm-thc20-mids-lemon-fizz</t>
  </si>
  <si>
    <t>Triangle Queen</t>
  </si>
  <si>
    <t>https://flowzz.com/product/24-1-iuvo-oc-triangle-queen</t>
  </si>
  <si>
    <t>Barongo 30/1 ZP</t>
  </si>
  <si>
    <t>https://flowzz.com/product/barongo-30-1-zp-zesty-parm</t>
  </si>
  <si>
    <t>30/1 AMICI SP Scotti´s Purps</t>
  </si>
  <si>
    <t>Scotti‘s Purps</t>
  </si>
  <si>
    <t>https://flowzz.com/product/30-1-amici-sp-scottis-purps</t>
  </si>
  <si>
    <t>30/1 Amici CRL</t>
  </si>
  <si>
    <t>Crystal Locomotive</t>
  </si>
  <si>
    <t>https://flowzz.com/product/30-1-amici-crl-crystal-locomotive</t>
  </si>
  <si>
    <t>Remexian 30/1 LIV DGR</t>
  </si>
  <si>
    <t>Daily Grape</t>
  </si>
  <si>
    <t>https://flowzz.com/product/remexian-30-1-liv-dgr-daily-grape</t>
  </si>
  <si>
    <t>Remexian 15/1 LUX AMA</t>
  </si>
  <si>
    <t>https://flowzz.com/product/remexian-15-1-lux-ama-amsterdam-amnesia</t>
  </si>
  <si>
    <t>Barongo 30/1 ECC</t>
  </si>
  <si>
    <t>Cheddar Cheese</t>
  </si>
  <si>
    <t>https://flowzz.com/product/barongo-30-1-ecc-cheddar-cheese</t>
  </si>
  <si>
    <t>OG Watermelon</t>
  </si>
  <si>
    <t>4,28</t>
  </si>
  <si>
    <t>https://flowzz.com/product/luana-20-1-og-watermelon</t>
  </si>
  <si>
    <t>GROW 10/12 AM</t>
  </si>
  <si>
    <t>https://flowzz.com/product/grow-10-12-am-apricot-mints</t>
  </si>
  <si>
    <t>IMC C1 THC27</t>
  </si>
  <si>
    <t>Peach Pixels</t>
  </si>
  <si>
    <t>Gastroinestinalstörung</t>
  </si>
  <si>
    <t>https://flowzz.com/product/imc-c1-thc27-peach-pixels</t>
  </si>
  <si>
    <t>IMC GP5 THC28</t>
  </si>
  <si>
    <t>Icy Biscotti Pop</t>
  </si>
  <si>
    <t>https://flowzz.com/product/imc-gp5-thc28-icy-biscotti-pop</t>
  </si>
  <si>
    <t>IMC GC THC6 CBD11</t>
  </si>
  <si>
    <t>4,25</t>
  </si>
  <si>
    <t>https://flowzz.com/product/imc-cannabisblueten-gc-thc6-cbd11-green-crack</t>
  </si>
  <si>
    <t>Wellju DOSIDOS 25/1</t>
  </si>
  <si>
    <t>https://flowzz.com/product/cannabis-flos-20-1-wellju-dosidos</t>
  </si>
  <si>
    <t>Canify Cannabis flos 18/1 LS Ku.</t>
  </si>
  <si>
    <t>https://flowzz.com/product/canify-cannabis-flos-18-1-ls-ku-khanya-select</t>
  </si>
  <si>
    <t>IMC CF THC22</t>
  </si>
  <si>
    <t>Pine Peak</t>
  </si>
  <si>
    <t>https://flowzz.com/product/imc-cf-thc-22-pine-peak</t>
  </si>
  <si>
    <t>GROW LCC 27/1</t>
  </si>
  <si>
    <t>Lemon Cream Cake</t>
  </si>
  <si>
    <t>https://flowzz.com/product/grow-lcc-27-1-lemon-cream-cake</t>
  </si>
  <si>
    <t>Sumo Canada Craft No.3 18/1</t>
  </si>
  <si>
    <t>https://flowzz.com/product/sumo-canada-craft-no3-18-1-garlic-chem</t>
  </si>
  <si>
    <t>Cannamedical Indica Classic ZAF</t>
  </si>
  <si>
    <t>Strawberry Lemonade</t>
  </si>
  <si>
    <t>https://flowzz.com/product/cannamedical-indica-classic-zaf-strawberry-lemonade</t>
  </si>
  <si>
    <t>Herbasana Colombiana 18:01</t>
  </si>
  <si>
    <t>https://flowzz.com/product/herbasana-colombiana-18-01-apple-soda</t>
  </si>
  <si>
    <t>Pharma Leaves Indica Dominant Supreme 30/1</t>
  </si>
  <si>
    <t>https://flowzz.com/product/pharma-leaves-indica-dominant-supreme-30-1-do-si-dos</t>
  </si>
  <si>
    <t>A+ KINEO SPIRIT NO.1 25/1</t>
  </si>
  <si>
    <t>Kineo Medical</t>
  </si>
  <si>
    <t>Muel Fuel</t>
  </si>
  <si>
    <t>https://flowzz.com/product/a-kineo-spirit-no-1-25-1-muel-fuel</t>
  </si>
  <si>
    <t>Demecan Lean Drop 22/1 RS 11 Rainbow Sherbert</t>
  </si>
  <si>
    <t>https://flowzz.com/product/demecan-lean-drop-22-1-rs-11-rainbow-sherbert</t>
  </si>
  <si>
    <t>Barongo 26/1 LAK</t>
  </si>
  <si>
    <t>Laker Kush</t>
  </si>
  <si>
    <t>https://flowzz.com/product/barongo-26-1-lak-laker-kush</t>
  </si>
  <si>
    <t>Tilray Craft Cannabisblüten THC25 CCC</t>
  </si>
  <si>
    <t>https://flowzz.com/product/tilray-craft-thc25-ccc-cherry-cheesecake</t>
  </si>
  <si>
    <t>Cannabis Flos 27/1 CAD KU.</t>
  </si>
  <si>
    <t>https://flowzz.com/product/cannabis-flos-27-1-cad-ku-cookies</t>
  </si>
  <si>
    <t>Remexian 21/1 CHR BCO</t>
  </si>
  <si>
    <t>https://flowzz.com/product/remexian-21-1-chr-bco-blunicorn</t>
  </si>
  <si>
    <t>Vayamed Night 19/1 PYC</t>
  </si>
  <si>
    <t>https://flowzz.com/product/vayamend-night-19-1-pyc-peyote-critical</t>
  </si>
  <si>
    <t>Cannovum Natura KHZ 28/1</t>
  </si>
  <si>
    <t>https://flowzz.com/product/cannovum-natura-khz-28-1-karels-haze</t>
  </si>
  <si>
    <t>Vayamed Day 19/1 TNG</t>
  </si>
  <si>
    <t>https://flowzz.com/product/vayamed-day-19-1-tng-tangie</t>
  </si>
  <si>
    <t>Demecan Craft Electron 31:01</t>
  </si>
  <si>
    <t>https://flowzz.com/product/demecan-craft-electron-31-1-gelato-og-kush</t>
  </si>
  <si>
    <t>Beacon PK T22</t>
  </si>
  <si>
    <t>https://flowzz.com/product/beacon-pk-t22-pink-kush</t>
  </si>
  <si>
    <t>Huala 25/1 CA WOT</t>
  </si>
  <si>
    <t>https://flowzz.com/product/huala-25-1-ca-wot-whiteout</t>
  </si>
  <si>
    <t>IMC CR7 THC20</t>
  </si>
  <si>
    <t>3,29</t>
  </si>
  <si>
    <t>https://flowzz.com/product/imc-cr7-thc-20-animal-mints</t>
  </si>
  <si>
    <t>IMC CCS THC25 Token Crescendo</t>
  </si>
  <si>
    <t>https://flowzz.com/product/imc-ccs-thc25-crescendo</t>
  </si>
  <si>
    <t>CANNABIS FLOS Mac 1 - Mac 1</t>
  </si>
  <si>
    <t>madrecan 24/1 Minis</t>
  </si>
  <si>
    <t>https://flowzz.com/product/madrecan-24-1-hifi-minis-4g</t>
  </si>
  <si>
    <t>Demecan FE 800 No. 2</t>
  </si>
  <si>
    <t>125,00</t>
  </si>
  <si>
    <t>https://flowzz.com/extract/demecan-fe-800-No-2</t>
  </si>
  <si>
    <t>Demecan Core Sunshine Pure 27:01</t>
  </si>
  <si>
    <t>https://flowzz.com/product/demecan-core-sunshine-pure-27-01-tropicana-cookies</t>
  </si>
  <si>
    <t>NICE 19/1 RAM</t>
  </si>
  <si>
    <t>https://flowzz.com/product/nice-19-1-ram-rainbow-amnesia</t>
  </si>
  <si>
    <t>Demecan BCP Lean Drop 22:01 Lemon Cherry Gelato</t>
  </si>
  <si>
    <t>https://flowzz.com/product/demecan-bcp-lean-drop-22-01-lemon-cherry-gelato</t>
  </si>
  <si>
    <t>Africann GG 25/1</t>
  </si>
  <si>
    <t>https://flowzz.com/product/africann-gg-25-1-gorilla-glue</t>
  </si>
  <si>
    <t>avaay 25/1 CRE Creamy Kees No.5</t>
  </si>
  <si>
    <t>https://flowzz.com/product/avaay-25-1-cre-creamy-kees-no-5</t>
  </si>
  <si>
    <t>BC Green 30/1</t>
  </si>
  <si>
    <t>https://flowzz.com/product/bc-30-1-tiger-cake</t>
  </si>
  <si>
    <t>Curaleaf Natural 25/1 CA GCT</t>
  </si>
  <si>
    <t>https://flowzz.com/product/curaleaf-natural-25-1-ca-gct-garlic-truffle</t>
  </si>
  <si>
    <t>HiSociety BZ 30/1</t>
  </si>
  <si>
    <t>5,83</t>
  </si>
  <si>
    <t>https://flowzz.com/product/hi-society-bz-30-1-blue-zushi</t>
  </si>
  <si>
    <t>GrowMotion SBC24</t>
  </si>
  <si>
    <t>Super Buff Cherry</t>
  </si>
  <si>
    <t>https://flowzz.com/product/growmotion-tj-22-super-buff-cherry</t>
  </si>
  <si>
    <t>Pharma Leaves Indica dominant Strong 25/1</t>
  </si>
  <si>
    <t>https://flowzz.com/product/pharma-leaves-indica-dominant-strong-25-1-do-si-dos</t>
  </si>
  <si>
    <r>
      <t xml:space="preserve">Cannovum Natura KHZ </t>
    </r>
    <r>
      <rPr>
        <i/>
        <sz val="11"/>
        <color theme="1"/>
        <rFont val="Aptos Narrow"/>
        <family val="2"/>
        <scheme val="minor"/>
      </rPr>
      <t>31</t>
    </r>
    <r>
      <rPr>
        <sz val="11"/>
        <color theme="1"/>
        <rFont val="Aptos Narrow"/>
        <family val="2"/>
        <scheme val="minor"/>
      </rPr>
      <t>/1</t>
    </r>
  </si>
  <si>
    <t>https://flowzz.com/product/cannovum-natura-khz-28-1-karels-aze</t>
  </si>
  <si>
    <t>J.R. Strain GP SMALLS 25/1</t>
  </si>
  <si>
    <t>https://flowzz.com/product/jr-strain-gp-smalls-25-1-gastro-pop</t>
  </si>
  <si>
    <t>NICE 28/1 LK</t>
  </si>
  <si>
    <t>Lemon Kush</t>
  </si>
  <si>
    <t>https://flowzz.com/product/nice-28-1-lk-lemon-kush</t>
  </si>
  <si>
    <t>Luana 20/1 Rainbow</t>
  </si>
  <si>
    <t>5,23</t>
  </si>
  <si>
    <t>https://flowzz.com/product/luana-20-1-rainbow-papaya-bomb</t>
  </si>
  <si>
    <t>Luana 24/1 Rainbow</t>
  </si>
  <si>
    <t>https://flowzz.com/product/luana-24-1-rainbow-papaya-bomb</t>
  </si>
  <si>
    <t>Demecan Core Sunshine Pure 25:01</t>
  </si>
  <si>
    <t>https://flowzz.com/product/demecan-core-sunshine-pure-25-01-tropicana-cookies</t>
  </si>
  <si>
    <t>BC Green 20/1 PG</t>
  </si>
  <si>
    <t>Pink Grapes</t>
  </si>
  <si>
    <t>https://flowzz.com/product/bc-green-20-1-pg-pink-grapes</t>
  </si>
  <si>
    <t>Cannamedical Sativa forte ES</t>
  </si>
  <si>
    <t>https://flowzz.com/product/cannamedical-sativa-forte-es-nova</t>
  </si>
  <si>
    <t>BC Green 20/1 T7</t>
  </si>
  <si>
    <t>Tribute 7</t>
  </si>
  <si>
    <t>https://flowzz.com/product/bc-green-20-1-t7-tribute-7</t>
  </si>
  <si>
    <t>Curaleaf Natural 27/1 PT ZKS</t>
  </si>
  <si>
    <t>https://flowzz.com/product/curaleaf-natural-27-1-pt-zks-zookies</t>
  </si>
  <si>
    <t>BC Green 20/1</t>
  </si>
  <si>
    <t>Pink Runtz</t>
  </si>
  <si>
    <t>https://flowzz.com/product/bc-green-20-1-pink-runtz</t>
  </si>
  <si>
    <t>Wellford Aquaponic 26/1 COP</t>
  </si>
  <si>
    <t>https://flowzz.com/product/wellford-26-1-cop-critical-orange-punch</t>
  </si>
  <si>
    <t>IMC BAJ THC27 Token</t>
  </si>
  <si>
    <t>Clementine</t>
  </si>
  <si>
    <t>https://flowzz.com/product/imc-baj-thc27-token-clementine</t>
  </si>
  <si>
    <t>IMC KAU THC28 Token</t>
  </si>
  <si>
    <t>Cali Pink</t>
  </si>
  <si>
    <t>https://flowzz.com/product/imc-kau-thc28-token-cali-pink</t>
  </si>
  <si>
    <t>Cannamedical Balanced Ultra 12/13</t>
  </si>
  <si>
    <t>Libras</t>
  </si>
  <si>
    <t>https://flowzz.com/product/cannamedical-balanced-ultra-12-13-libras</t>
  </si>
  <si>
    <t>Remexian 30/1 CAL PTS</t>
  </si>
  <si>
    <t>Phantom Shape</t>
  </si>
  <si>
    <t>https://flowzz.com/product/remexian-30-1-cal-pts-phantom-shape</t>
  </si>
  <si>
    <t>Remexian 21/1 RAS ALB Astral Berry</t>
  </si>
  <si>
    <t>Astral Berry (Black Cherry Punch)</t>
  </si>
  <si>
    <t>3,69</t>
  </si>
  <si>
    <t>https://flowzz.com/product/remexian-21-1-ras-alb-astral-berry</t>
  </si>
  <si>
    <t>Remexian 30/1 CAL VVT</t>
  </si>
  <si>
    <t>Valvetron</t>
  </si>
  <si>
    <t>https://flowzz.com/product/remexian-30-1-cal-vvt-valvetron</t>
  </si>
  <si>
    <t>Remexian 27/1 CAL PTS</t>
  </si>
  <si>
    <t>https://flowzz.com/product/remexian-27-1-cal-pts-phantom-shape</t>
  </si>
  <si>
    <t>ZOIKS 22/1 LK</t>
  </si>
  <si>
    <t>https://flowzz.com/product/zoiks-22-1-lk-og-lime-kush</t>
  </si>
  <si>
    <t>Cannamedical Balanced Ultra 10/10</t>
  </si>
  <si>
    <t>https://flowzz.com/product/cannamedical-balanced-ultra-10-10-libras</t>
  </si>
  <si>
    <t>IMC THC28 T10</t>
  </si>
  <si>
    <t>Black Pineapple</t>
  </si>
  <si>
    <t>https://flowzz.com/product/imc-thc28-t10-black-pineapple</t>
  </si>
  <si>
    <t>Remexian 24/1 CAL VVT</t>
  </si>
  <si>
    <t>https://flowzz.com/product/remexian-24-1-cal-vvt-valvetron</t>
  </si>
  <si>
    <t>Demecan BPG Lean Drop 22:01</t>
  </si>
  <si>
    <t>Big Red Beard</t>
  </si>
  <si>
    <t>https://flowzz.com/product/demecan-bpg-lean-drop-22-1-big-red-beard</t>
  </si>
  <si>
    <t>Cannamedical Indica Classic AU</t>
  </si>
  <si>
    <t>https://flowzz.com/product/cannamedical-indica-classic-au--la-kush-cake</t>
  </si>
  <si>
    <t>Tannenbusch 26/1 TF</t>
  </si>
  <si>
    <t>https://flowzz.com/product/tannenbusch-26-1-tf-tubitti-frubitti</t>
  </si>
  <si>
    <t>Gestion Cannabec PC 21/1</t>
  </si>
  <si>
    <t>Petrol Cookies</t>
  </si>
  <si>
    <t>https://flowzz.com/product/gestion-cannabec-pc-21-1-petrol-cookies</t>
  </si>
  <si>
    <t>madrecan 21/1 DGV</t>
  </si>
  <si>
    <t>https://flowzz.com/product/madrecan-21-1-dgv-dougs-varin</t>
  </si>
  <si>
    <t>Endo Canna MSH 26/1</t>
  </si>
  <si>
    <t>Mimosa Shot</t>
  </si>
  <si>
    <t>https://flowzz.com/product/endo-canna-msh-26-1-mimosa-shot</t>
  </si>
  <si>
    <t>Gestion Cannabec OS 21/1</t>
  </si>
  <si>
    <t>Oreoz Supreme</t>
  </si>
  <si>
    <t>https://flowzz.com/product/gestion-cannabec-os-21-1-oreoz-supreme</t>
  </si>
  <si>
    <t>All Nations SF 18/1</t>
  </si>
  <si>
    <t>Farsenen</t>
  </si>
  <si>
    <t>https://flowzz.com/product/all-nations-sf-18-1-mandarin-cookies</t>
  </si>
  <si>
    <t>Demecan Core Echo 27:01</t>
  </si>
  <si>
    <t>https://flowzz.com/product/demecan-core-echo-27-1-cereal-milk</t>
  </si>
  <si>
    <t>Vasco PR 27/1</t>
  </si>
  <si>
    <t>https://flowzz.com/product/vasco-pr-27-1-pave-runtz</t>
  </si>
  <si>
    <t>THC AKUT TM 24</t>
  </si>
  <si>
    <t>Trinity</t>
  </si>
  <si>
    <t>https://flowzz.com/product/thc-akut-tm-24-trinity</t>
  </si>
  <si>
    <t>THC AKUT TM 24 SW</t>
  </si>
  <si>
    <t>https://flowzz.com/product/thc-akut-tm-24-1-sw-sweets</t>
  </si>
  <si>
    <t>VOP 23/1 Marios Selection</t>
  </si>
  <si>
    <t>YouCann GmbH</t>
  </si>
  <si>
    <t>https://flowzz.com/product/vop-23-1-marios-selection-lemonatti</t>
  </si>
  <si>
    <t>enua 27/1 AAB CA</t>
  </si>
  <si>
    <t>Blue Gelatti</t>
  </si>
  <si>
    <t>https://flowzz.com/product/enua-27-1-aab-ca-blue-gelatti</t>
  </si>
  <si>
    <t>enua 30/1 CRC CA</t>
  </si>
  <si>
    <t>Cream Cake</t>
  </si>
  <si>
    <t>https://flowzz.com/product/enua-30-1-crc-ca-cream-cake</t>
  </si>
  <si>
    <t>enua 30/1 CDC CA</t>
  </si>
  <si>
    <t>https://flowzz.com/product/enua-30-1-cdc-ca-chem-de-la-chem</t>
  </si>
  <si>
    <t>https://flowzz.com/product/canify-cannabis-flos-23-1-csf-ku-bashengo</t>
  </si>
  <si>
    <t>IMC BAJ THC25 Token</t>
  </si>
  <si>
    <t>https://flowzz.com/product/imc-baj-thc-25-token-clementine</t>
  </si>
  <si>
    <t>IMC GDI THC25</t>
  </si>
  <si>
    <t>Grave Digger</t>
  </si>
  <si>
    <t>https://flowzz.com/product/imc-gdi-thc-25-grave-digger</t>
  </si>
  <si>
    <t>Demecan PS Epic Drop 30/1</t>
  </si>
  <si>
    <t>Fruit Punch</t>
  </si>
  <si>
    <t>https://flowzz.com/product/demecan-ps-epic-drop-30-1-fruit-punch</t>
  </si>
  <si>
    <t>Khiron WED 17/1</t>
  </si>
  <si>
    <t>https://flowzz.com/product/khiron-wed-17-1-wedding-cake</t>
  </si>
  <si>
    <t>Banana Cream Cake</t>
  </si>
  <si>
    <t>https://flowzz.com/product/cannamedical-indica-light-bc-banana-cream-cake</t>
  </si>
  <si>
    <t>Demecan Typ 2 19/1</t>
  </si>
  <si>
    <t>https://flowzz.com/product/typ-2-demecan-orange-velvet-19</t>
  </si>
  <si>
    <t>Breezy Organics LH 22/1 Smalls</t>
  </si>
  <si>
    <t>https://flowzz.com/product/breezy-organics-lh-22-1-smalls-lime-haze</t>
  </si>
  <si>
    <t>YOUCANN</t>
  </si>
  <si>
    <t>Madrecan DGV 21/1 minis - Dougs Varin</t>
  </si>
  <si>
    <t>Barongo 28/1 Banjo</t>
  </si>
  <si>
    <t>https://flowzz.com/product/barongo-28-1-banjo</t>
  </si>
  <si>
    <t>https://flowzz.com/product/thc-akut-fb-27-am-animal-mintz</t>
  </si>
  <si>
    <t>IMC HW THC18 TOKEN</t>
  </si>
  <si>
    <t>https://flowzz.com/product/imc-hw-thc18-token-hollywood</t>
  </si>
  <si>
    <t>IMC KAU THC25 Token</t>
  </si>
  <si>
    <t>https://flowzz.com/product/imc-kau-thc25-token-cali-pink</t>
  </si>
  <si>
    <t>Remexian 27/1 RAS GRT</t>
  </si>
  <si>
    <t>https://flowzz.com/product/remexian-27-1-ras-grt-green-thunder</t>
  </si>
  <si>
    <t>Sibanax GMO Zkittlez 24/1</t>
  </si>
  <si>
    <t>https://flowzz.com/product/sibanax-gmo-zkittlez-24-1</t>
  </si>
  <si>
    <t>NICE 18/1 SEC</t>
  </si>
  <si>
    <t>Secret Cookies</t>
  </si>
  <si>
    <t>https://flowzz.com/product/nice-18-1-sec-secret-cookies</t>
  </si>
  <si>
    <t>NICE 13/1 SD</t>
  </si>
  <si>
    <t>https://flowzz.com/product/nice-13-1-sd-sour-diesel</t>
  </si>
  <si>
    <t>26/1 NICE Cannabisblüten MM - Mango Mints</t>
  </si>
  <si>
    <t>Mediprocan Lunaris 25/1</t>
  </si>
  <si>
    <t>https://flowzz.com/product/mediprocan-lunaris-25-1-lava-cake</t>
  </si>
  <si>
    <t>Wellford Aquaponic 26/1 PIK</t>
  </si>
  <si>
    <t>https://flowzz.com/product/wellford-26-1-pik-pink-kush</t>
  </si>
  <si>
    <t>ZOIKS 26/1 GCK</t>
  </si>
  <si>
    <t>https://flowzz.com/product/zoiks-26-1-gck-gg44-x-critical-kush</t>
  </si>
  <si>
    <t>HiSociety 24/1</t>
  </si>
  <si>
    <t>https://flowzz.com/product/hisociety-24-1-deep-breath</t>
  </si>
  <si>
    <t>NICE 30/1 LK</t>
  </si>
  <si>
    <t>https://flowzz.com/product/nice30-1-lk-lemon-kush</t>
  </si>
  <si>
    <t>Canify Cannabis Flos 25/1 ES Ku.</t>
  </si>
  <si>
    <t>https://flowzz.com/product/canify-cannabis-flos-25-1-es-ku-la-kush-cake</t>
  </si>
  <si>
    <t>Canopy 25/1 Red No. 4</t>
  </si>
  <si>
    <t>https://flowzz.com/product/rcanopy-red-no-4-afghan-kush</t>
  </si>
  <si>
    <t>Remexian 36/1 HMA LPP</t>
  </si>
  <si>
    <t>https://flowzz.com/product/remexian-36-1-hma-lpp-lemon-pepper-punch</t>
  </si>
  <si>
    <t>Remexian 30/1 PGF WRZ</t>
  </si>
  <si>
    <t>https://flowzz.com/product/remexian-30-1-pgf-wrz-white-runtz</t>
  </si>
  <si>
    <t>Remexian 30/1 GJY CHO</t>
  </si>
  <si>
    <t>Chocolate Kush</t>
  </si>
  <si>
    <t>https://flowzz.com/product/remexian-30-1-gjy-cho-chocolate-kush</t>
  </si>
  <si>
    <t>Chemdawg Cookies</t>
  </si>
  <si>
    <t>https://flowzz.com/product/enua-30-1-cdc-chemdawg-cookies</t>
  </si>
  <si>
    <t>1Up 25/1</t>
  </si>
  <si>
    <t>Czech Medical sro</t>
  </si>
  <si>
    <t>https://flowzz.com/product/1up-25-1-permanent-marker</t>
  </si>
  <si>
    <t>28/1 IUVO KC</t>
  </si>
  <si>
    <t>OJ Zainbow</t>
  </si>
  <si>
    <t>https://flowzz.com/product/28-1-iuvo-kc-oj-zainbow</t>
  </si>
  <si>
    <t>Canify 23/1 CSF Ku.</t>
  </si>
  <si>
    <t>https://flowzz.com/product/canify-23-1-csf-ku-solpina-magic</t>
  </si>
  <si>
    <t>Demecan PS Lean Drop 20/1</t>
  </si>
  <si>
    <t>Tropaya Punch</t>
  </si>
  <si>
    <t>https://flowzz.com/product/demecan-ps-lean-drop-20-1-tropaya-punch</t>
  </si>
  <si>
    <t>CZECH-MED</t>
  </si>
  <si>
    <t>MGF Jurassic Deep Breath 22/1</t>
  </si>
  <si>
    <t>NICE 30/1 TRG GMO</t>
  </si>
  <si>
    <t>Tropical Gelato</t>
  </si>
  <si>
    <t>https://flowzz.com/product/nice-30-1-trg-gmo-tropical-gelato</t>
  </si>
  <si>
    <t>IMC MOB THC19 TOKEN</t>
  </si>
  <si>
    <t>https://flowzz.com/product/imc-mob-thc19-token-motor-breath</t>
  </si>
  <si>
    <t>BG 15 YG COL</t>
  </si>
  <si>
    <t>Y Griega</t>
  </si>
  <si>
    <t>https://flowzz.com/product/bg-15-yg-col-y-griega</t>
  </si>
  <si>
    <t>BG 18 KRK DAY</t>
  </si>
  <si>
    <t>Kraken</t>
  </si>
  <si>
    <t>https://flowzz.com/product/bg-18-krk-day-kraken</t>
  </si>
  <si>
    <t>BG 22 GPG COL</t>
  </si>
  <si>
    <t>https://flowzz.com/product/bg-22-gpg-col-grape-gasoline</t>
  </si>
  <si>
    <t>bava med 26/1 SOU-DI</t>
  </si>
  <si>
    <t>Platinum Sour Diesel</t>
  </si>
  <si>
    <t>https://flowzz.com/product/bava-med-26-1-sou-di-platinum-sour-diesel</t>
  </si>
  <si>
    <t>BG 18 PBH COL</t>
  </si>
  <si>
    <t>Panama Haze</t>
  </si>
  <si>
    <t>https://flowzz.com/product/bg-18-pbh-col-panama-haze</t>
  </si>
  <si>
    <t>Demecan PS Lean Drop 22/1</t>
  </si>
  <si>
    <t>https://flowzz.com/product/demecan-ps-lean-drop-22-1-tropaya-punch</t>
  </si>
  <si>
    <t>THC AKUT FB 27 AM Animal Mintz</t>
  </si>
  <si>
    <t>MCCN No. 3</t>
  </si>
  <si>
    <t>Guava Haze</t>
  </si>
  <si>
    <t>https://flowzz.com/product/mccn-no-3-guava-haze</t>
  </si>
  <si>
    <t>https://flowzz.com/product/24-1-iuvo-oc-killer-cup</t>
  </si>
  <si>
    <t>Cannabis Flos 23/1 CSF Ku.</t>
  </si>
  <si>
    <t>Rose Ember</t>
  </si>
  <si>
    <t>https://flowzz.com/product/cannabis-flos-23-1-csf-ku-rose-ember</t>
  </si>
  <si>
    <t>MGF 26/1 Gastro Pop</t>
  </si>
  <si>
    <t>Materia AND 16/1</t>
  </si>
  <si>
    <t>Andes</t>
  </si>
  <si>
    <t>https://flowzz.com/product/materia-and-16-1-andes</t>
  </si>
  <si>
    <t>no. XXII 20/1</t>
  </si>
  <si>
    <t>Cherry Cocktail</t>
  </si>
  <si>
    <t>Nord Mazedonien</t>
  </si>
  <si>
    <t>3,25</t>
  </si>
  <si>
    <t>https://flowzz.com/product/no-xxii-20-1-cherry-cocktail</t>
  </si>
  <si>
    <t>Materia KMZ 22/1 Kushmintz-Z</t>
  </si>
  <si>
    <t>https://flowzz.com/product/materia-kmz-22-1-kushmintz-z</t>
  </si>
  <si>
    <t>Demecan CR Epic Drop 30/1</t>
  </si>
  <si>
    <t>Jet Fuel x Garlic Cookies</t>
  </si>
  <si>
    <t>https://flowzz.com/product/demecan-cr-epic-drop-30-1-jet-fuel-x-garlic-cookies</t>
  </si>
  <si>
    <t>Sumo PAB 25/1</t>
  </si>
  <si>
    <t>https://flowzz.com/product/sumo-pab-25-1-rainbow-papaya-bomb</t>
  </si>
  <si>
    <t>Cannabis flos 16/1 CL</t>
  </si>
  <si>
    <t>https://flowzz.com/product/canify-cannabis-flos-16-1-cl-dgv-dougs-varin</t>
  </si>
  <si>
    <t>IMC WK1 THC25 MIDS</t>
  </si>
  <si>
    <t>https://flowzz.com/product/imc-cannabisblueten-wk1-thc-25-mids-wedding-candy</t>
  </si>
  <si>
    <t>enua 33/1 QKZ CA</t>
  </si>
  <si>
    <t>Fight Club</t>
  </si>
  <si>
    <t>https://flowzz.com/product/enua-33-1-qkz-ca-fight-club</t>
  </si>
  <si>
    <t>420 Evolution 25/1 CA MSP</t>
  </si>
  <si>
    <t>https://flowzz.com/product/420-evolution-25-1-ca-msp-masterpiece</t>
  </si>
  <si>
    <t>Demecan PG Epic Drop 30/1</t>
  </si>
  <si>
    <t>https://flowzz.com/product/demecan-pg-epic-drop-30-1-gas-face</t>
  </si>
  <si>
    <t>28/1 Amici CM</t>
  </si>
  <si>
    <t>https://flowzz.com/product/28-1-amici-cm-cereal-milk</t>
  </si>
  <si>
    <t>enua 27/1 PSZ CA Zainbow</t>
  </si>
  <si>
    <t>https://flowzz.com/product/enua-27-1-psz-ca-zainbow</t>
  </si>
  <si>
    <t>Huala 30/1 CA SCO</t>
  </si>
  <si>
    <t>https://flowzz.com/product/huala-30-1-ca-sco-scoops</t>
  </si>
  <si>
    <t>28/1 Amici RV</t>
  </si>
  <si>
    <t>Red Velvet</t>
  </si>
  <si>
    <t>https://flowzz.com/product/28-1-amici-rv-red-velvet</t>
  </si>
  <si>
    <t>Barongo 30/1 ECC Cheddar Cheese smalls</t>
  </si>
  <si>
    <t>https://flowzz.com/product/barongo-30-1-ecc-cheddar-cheese-smalls</t>
  </si>
  <si>
    <t>Dronabinol ADREX 1G Substanz</t>
  </si>
  <si>
    <t>MGF CMP 22/1 THC Rich</t>
  </si>
  <si>
    <t>Cherry Moon Pie</t>
  </si>
  <si>
    <t>https://flowzz.com/product/mgf-cmp-22-1-thc-rich-cherry-moon-pie</t>
  </si>
  <si>
    <t>Supreme Kush</t>
  </si>
  <si>
    <t>https://flowzz.com/product/mediprocan-lunaris-19-1-supreme-kush</t>
  </si>
  <si>
    <t>Wellford Peak 33/1 CA SPR Slurricane Pancake Runtz</t>
  </si>
  <si>
    <t>https://flowzz.com/product/wellford-peak-33-1-ca-spr-slurricane-pancake-runtz</t>
  </si>
  <si>
    <t>187 Cannabisflower 24K THC25</t>
  </si>
  <si>
    <t>24K</t>
  </si>
  <si>
    <t>https://flowzz.com/product/187-cannabisflower-24k-thc25</t>
  </si>
  <si>
    <t>187 Cannabisflower FPB THC25</t>
  </si>
  <si>
    <t>Forbidden Punch</t>
  </si>
  <si>
    <t>https://flowzz.com/product/187-cannabisflower-fbp-thc-25-forbidden-punch</t>
  </si>
  <si>
    <t>187 Cannabisflower BSCT THC22</t>
  </si>
  <si>
    <t>https://flowzz.com/product/187-cannabisflower-bsct-thc22-biscotti</t>
  </si>
  <si>
    <t>187 Cannabisflower SUB THC20 Subba Zafari</t>
  </si>
  <si>
    <t>https://flowzz.com/product/187-cannabisflower-sub-thc20-subba-zafari</t>
  </si>
  <si>
    <t>187 Cannabisflower PPP THC22</t>
  </si>
  <si>
    <t>Phantasia Purp</t>
  </si>
  <si>
    <t>https://flowzz.com/product/187-cannabisflower-ppp-thc22-phantasia-purp</t>
  </si>
  <si>
    <t>NICE 31/1 KM</t>
  </si>
  <si>
    <t>https://flowzz.com/product/nice-31-1-km-kush-mints</t>
  </si>
  <si>
    <t>Roxton Air BD 25/1</t>
  </si>
  <si>
    <t>https://flowzz.com/product/roxton-air-bd-25-1-flap-jacks</t>
  </si>
  <si>
    <t>Sibanax GMO Zkittlez 18/1</t>
  </si>
  <si>
    <t>https://flowzz.com/product/sibanax-gmo-zkittlez-18-1</t>
  </si>
  <si>
    <t>Greyscales HF 27/1</t>
  </si>
  <si>
    <t>https://flowzz.com/product/greyscale-hf-27-1-hawaiian-faanta</t>
  </si>
  <si>
    <t>Cannamedical Hybrid classic BC</t>
  </si>
  <si>
    <t>https://flowzz.com/product/cannamedical-hybrid-classic-bc-garlic-truffle</t>
  </si>
  <si>
    <t>Somai CKS Cannabisextrakt A&amp;B 25:1 Apples &amp; Bananas</t>
  </si>
  <si>
    <t>https://flowzz.com/extract/somai-cks-cannabisextrakt-a-and-b-25-1-apples-and-bananas</t>
  </si>
  <si>
    <t>Somai CKS Cannabisextrakt HG 25:1 Huckleberry Gelato</t>
  </si>
  <si>
    <t>https://flowzz.com/extract/somai-cks-cannabisextrakt-hg-25-1-huckleberry-gelato</t>
  </si>
  <si>
    <t>Somai CKS Cannabisextrakt HG 50:1 Huckleberry Gelato</t>
  </si>
  <si>
    <t>https://flowzz.com/extract/somai-cks-cannabisextrakt-hg-50-1-huckleberry-gelato</t>
  </si>
  <si>
    <t>MGF Kiwi Kush 28/1</t>
  </si>
  <si>
    <t>Kiwi Kush</t>
  </si>
  <si>
    <t>3,61</t>
  </si>
  <si>
    <t>https://flowzz.com/product/mgf-kiwi-kush-28-1</t>
  </si>
  <si>
    <t>MGF Grape Kush 26/1</t>
  </si>
  <si>
    <t>Grape Kush</t>
  </si>
  <si>
    <t>https://flowzz.com/product/mgf-grape-kush-26-1</t>
  </si>
  <si>
    <t>Jurassic Deep Breath</t>
  </si>
  <si>
    <t>https://flowzz.com/product/mgf-jurassic-deep-breath-22-1</t>
  </si>
  <si>
    <t>MGF Black Ice 22/1</t>
  </si>
  <si>
    <t>Black Ice</t>
  </si>
  <si>
    <t>https://flowzz.com/product/mgf-black-ice-22-1</t>
  </si>
  <si>
    <t>MGF Pink Certz 26/1</t>
  </si>
  <si>
    <t>Pink Certz</t>
  </si>
  <si>
    <t>https://flowzz.com/product/mgf-pink-certz-26-1</t>
  </si>
  <si>
    <t>MGF Pop Up No. 17 25/1 THC Rich</t>
  </si>
  <si>
    <t>Apples and Bananas x White Runtz</t>
  </si>
  <si>
    <t>3,81</t>
  </si>
  <si>
    <t>My Green Fields</t>
  </si>
  <si>
    <t>https://flowzz.com/product/mgf-pop-up-no-17-25-1-thc-rich-apples-and-bananas-x-white-runtz</t>
  </si>
  <si>
    <t>MGF Pop Up No. 9 25/1 THC Rich</t>
  </si>
  <si>
    <t>https://flowzz.com/product/mgf-pop-up-no-9-25-1-thc-rich-tropicana-banana</t>
  </si>
  <si>
    <t>MGF Pop Up No. 10 25/1 THC Rich</t>
  </si>
  <si>
    <t>https://flowzz.com/product/mgf-pop-up-no-10-25-1-thc-rich-jokerz-53</t>
  </si>
  <si>
    <t>MGF B CK 26/1 THC Rich</t>
  </si>
  <si>
    <t>Banana Cake</t>
  </si>
  <si>
    <t>https://flowzz.com/product/mgf-b-ck-26-1-thc-rich-banana-cake</t>
  </si>
  <si>
    <t>MGF Pop Up No. 12 25/1 THC Rich</t>
  </si>
  <si>
    <t>https://flowzz.com/product/mgf-pop-up-no-12-25-1-thc-rich-tropicana-banana</t>
  </si>
  <si>
    <t>Demecan Core Florestrura 24:01</t>
  </si>
  <si>
    <t>Crazy Hazey</t>
  </si>
  <si>
    <t>https://flowzz.com/product/demecan-core-florestrura-24-crazy-hazey</t>
  </si>
  <si>
    <t>MGF Larry Kush 26/1</t>
  </si>
  <si>
    <t>Larry Kush</t>
  </si>
  <si>
    <t>https://flowzz.com/product/mgf-larry-kush-26-1</t>
  </si>
  <si>
    <t>MGF Pop Up No. 9 20/1 THC Rich</t>
  </si>
  <si>
    <t>Riff OG</t>
  </si>
  <si>
    <t>https://flowzz.com/product/mgf-pop-up-no-9-20-1-thc-rich-riff-og</t>
  </si>
  <si>
    <t>All Nations GM 21/1</t>
  </si>
  <si>
    <t>https://flowzz.com/product/all-nations-gm-21-1-mac-doughnut</t>
  </si>
  <si>
    <t>Medicus 18/1 BIZ GGE</t>
  </si>
  <si>
    <t>3,21</t>
  </si>
  <si>
    <t>https://flowzz.com/product/medicus-18-1-biz-gge-green-gelato</t>
  </si>
  <si>
    <t>MGF Pop Up No. 16 25/1 THC Rich</t>
  </si>
  <si>
    <t>Jet Fuel Gelato x Legend Orange Apricot</t>
  </si>
  <si>
    <t>https://flowzz.com/product/mgf-pop-up-no-16-25-1-thc-rich-jet-fuel-gelato-x-legend-orange-apricot</t>
  </si>
  <si>
    <t>MGF Pop Up No. 13 25/1 THC Rich IBC</t>
  </si>
  <si>
    <t>https://flowzz.com/product/mgf-pop-up-no-13-25-1-thc-rich-ibc</t>
  </si>
  <si>
    <t>Demecan BB Strong Drop Power 27/1</t>
  </si>
  <si>
    <t>https://flowzz.com/product/demecan-bb-strong-drop-power-27-1</t>
  </si>
  <si>
    <t>9,78</t>
  </si>
  <si>
    <t>https://flowzz.com/product/cookies-2-0-cereal-milk-26-1-can-cm</t>
  </si>
  <si>
    <t>Eufloria 27/1 ICC</t>
  </si>
  <si>
    <t>https://flowzz.com/product/eufloria-27-1-icc-ice-cream-cake</t>
  </si>
  <si>
    <t>Somai CKS Cannabisextrakt A&amp;B 50:1 Apples &amp; Bananas</t>
  </si>
  <si>
    <t>5,16</t>
  </si>
  <si>
    <t>https://flowzz.com/extract/somai-cks-cannabisextrakt-a-and-b-50-1-apples-and-bananas</t>
  </si>
  <si>
    <t>Demecan Core Florestrura 22:01</t>
  </si>
  <si>
    <t>https://flowzz.com/product/demecan-core-florestrura-22-crazy-hazey</t>
  </si>
  <si>
    <t>Huala 22/1 CA CBG</t>
  </si>
  <si>
    <t>Grape Burger</t>
  </si>
  <si>
    <t>https://flowzz.com/product/huala-22-1-ca-cbg-grape-burger</t>
  </si>
  <si>
    <t>Huala 25/1 CA POG</t>
  </si>
  <si>
    <t>Pineapple God</t>
  </si>
  <si>
    <t>https://flowzz.com/product/huala-25-1-ca-pog-pineapple-god</t>
  </si>
  <si>
    <t>Huala 25/1 CA CBG</t>
  </si>
  <si>
    <t>https://flowzz.com/product/huala-25-1-ca-cbg-grape-burger</t>
  </si>
  <si>
    <t>Huala 20/1 CA HOM</t>
  </si>
  <si>
    <t>Holy Mints</t>
  </si>
  <si>
    <t>https://flowzz.com/product/huala-20-1-ca-hom-holy-mints</t>
  </si>
  <si>
    <t>KHIRON ELG 30/1</t>
  </si>
  <si>
    <t>El Gordo</t>
  </si>
  <si>
    <t>KHIRON Europe</t>
  </si>
  <si>
    <t>https://flowzz.com/product/khiron-elg-30-1-el-gordo</t>
  </si>
  <si>
    <t>KHIRON GP 30/1 Gordito Perqueno</t>
  </si>
  <si>
    <t>https://flowzz.com/product/khiron-gp-30-1-gordito-pequeno</t>
  </si>
  <si>
    <t>NICE 31/1 GT</t>
  </si>
  <si>
    <t>https://flowzz.com/product/nice-31-1-gt-garlic-truffle</t>
  </si>
  <si>
    <t>BG 15 KRK Day COL</t>
  </si>
  <si>
    <t>https://flowzz.com/product/bg-15-krk-day-kraken</t>
  </si>
  <si>
    <t>Barongo 26/1 VPR</t>
  </si>
  <si>
    <t>Lemon Viper Mimosa</t>
  </si>
  <si>
    <t>https://flowzz.com/product/barongo-26-1-vpr-lemon-viper-mimosa</t>
  </si>
  <si>
    <t>Breezy Organics RB 22/1</t>
  </si>
  <si>
    <t>https://flowzz.com/product/breezy-organics-rb-22-1-rainbow-belts</t>
  </si>
  <si>
    <t>IMC B2 THC20 Token</t>
  </si>
  <si>
    <t>Sour Splash</t>
  </si>
  <si>
    <t>3,94</t>
  </si>
  <si>
    <t>https://flowzz.com/product/imc-b2-thc20-token-sour-splash</t>
  </si>
  <si>
    <t>IMC LR THC27</t>
  </si>
  <si>
    <t>Limonetti Rhino</t>
  </si>
  <si>
    <t>https://flowzz.com/product/imc-lr-thc27-limonetti-rhino</t>
  </si>
  <si>
    <t>Medical Saints 24/1 PTR</t>
  </si>
  <si>
    <t>Peach Tree</t>
  </si>
  <si>
    <t>4,15</t>
  </si>
  <si>
    <t>Medical Saints</t>
  </si>
  <si>
    <t>https://flowzz.com/product/medical-saints-24-1-ptr-peach-tree</t>
  </si>
  <si>
    <t>Medical Saints 24/1 HUB</t>
  </si>
  <si>
    <t>Huckleberry</t>
  </si>
  <si>
    <t>https://flowzz.com/product/medical-saints-24-1-hub-huckleberry</t>
  </si>
  <si>
    <t>Apollo 28/1 HLS</t>
  </si>
  <si>
    <t>https://flowzz.com/product/apollo-28-1-hls-honey-suckle</t>
  </si>
  <si>
    <t>Apollo 28/1 JGN</t>
  </si>
  <si>
    <t>https://flowzz.com/product/apollo-28-1-jgn-think-fast</t>
  </si>
  <si>
    <t>IMC DP THC 22 MIDS Deep Plum</t>
  </si>
  <si>
    <t>Plum x OG Kush</t>
  </si>
  <si>
    <t>https://flowzz.com/product/imc-dp-thc22-mids-deep-plum</t>
  </si>
  <si>
    <t>Medical Saints 21/1 LEM</t>
  </si>
  <si>
    <t>https://flowzz.com/product/medical-saints-21-1-lem-lemonatti</t>
  </si>
  <si>
    <t>Luana 20/1 Donny B</t>
  </si>
  <si>
    <t>https://flowzz.com/product/luana-20-1-donny-b-bunatic</t>
  </si>
  <si>
    <t>Organic Sweetgrass JJ 25/1</t>
  </si>
  <si>
    <t>Juicy J</t>
  </si>
  <si>
    <t>https://flowzz.com/product/organic-sweetgrass-jj-25-1-juicy-j</t>
  </si>
  <si>
    <t>Slouu 22/1 EG CA</t>
  </si>
  <si>
    <t>https://flowzz.com/product/slouu-22-1-eg-ca-electric-grapefruit</t>
  </si>
  <si>
    <t>MEDICAL SA</t>
  </si>
  <si>
    <t>CANNPRISMA</t>
  </si>
  <si>
    <t>TRUU 50:01 Gorilla Zkittlez</t>
  </si>
  <si>
    <t>https://flowzz.com/extract/truu-50-01-gorilla-zkittles</t>
  </si>
  <si>
    <t>TRUU 50:50 Gorilla Zkittlez</t>
  </si>
  <si>
    <t>https://flowzz.com/extract/truu-50-50-gorilla-zkittles</t>
  </si>
  <si>
    <t xml:space="preserve">ZOIKS 31/1 TG </t>
  </si>
  <si>
    <t>Sibanax GMO Zkittlez 26/1</t>
  </si>
  <si>
    <t>3,57</t>
  </si>
  <si>
    <t>https://flowzz.com/product/sibanax-gmo-zkittlez-26-1</t>
  </si>
  <si>
    <t>Demecan Core Golden Horizon 27:01</t>
  </si>
  <si>
    <t>https://flowzz.com/product/demecan-core-golden-horizon-27-1-golden-goat</t>
  </si>
  <si>
    <t>Huala 22/1 CA POG</t>
  </si>
  <si>
    <t>https://flowzz.com/product/huala-22-1-ca-pog-pineapple-god</t>
  </si>
  <si>
    <t>Eufloria 30/1 ITG</t>
  </si>
  <si>
    <t>Integrator</t>
  </si>
  <si>
    <t>https://flowzz.com/product/eufloria-30-1-itg-integrator</t>
  </si>
  <si>
    <t>Remexian 30/1 AEC ZKI</t>
  </si>
  <si>
    <t>https://flowzz.com/product/remexian-30-1-aec-zki-zkittlez</t>
  </si>
  <si>
    <t>Eufloria 33/1 PCH</t>
  </si>
  <si>
    <t>https://flowzz.com/product/eufloria-33-1-pch-purple-churro</t>
  </si>
  <si>
    <t>enua 20/1 USR CA</t>
  </si>
  <si>
    <t>4,05</t>
  </si>
  <si>
    <t>https://flowzz.com/product/enua-20-1-usr-ca-ultra-sour</t>
  </si>
  <si>
    <t>NICE 28/1 TRG GMO</t>
  </si>
  <si>
    <t>https://flowzz.com/product/nice-28-1-trg-gmo-tropical-gelato</t>
  </si>
  <si>
    <t>420 Compound 27/1 CA PPE Platinum Pavé</t>
  </si>
  <si>
    <t>https://flowzz.com/product/420-compound-27-1-ca-ppe-platinum-pave</t>
  </si>
  <si>
    <t>29/1 IUVO SQ - Apples &amp; Bananas</t>
  </si>
  <si>
    <t>MGF Crossflow 22/1 THC Rich</t>
  </si>
  <si>
    <t>https://flowzz.com/product/mgf-crossflow-22-1-thc-rich-crossbow-flower</t>
  </si>
  <si>
    <t>Sinceritas Hybrid Verum 24/1 BK</t>
  </si>
  <si>
    <t>Banana Kush</t>
  </si>
  <si>
    <t>https://flowzz.com/product/sinceritas-hybrid-verum-24-1-banana-kush</t>
  </si>
  <si>
    <t>Candoro ethics 25:1 Hybrid StrBa</t>
  </si>
  <si>
    <t>6,07</t>
  </si>
  <si>
    <t>Candoro Ethics</t>
  </si>
  <si>
    <t>https://flowzz.com/product/candoro-ethics-25-1-hybrid-strba-strawberry-banana</t>
  </si>
  <si>
    <t>Demecan BH Epic Drop 30/1</t>
  </si>
  <si>
    <t>Bananaconda</t>
  </si>
  <si>
    <t>https://flowzz.com/product/demecan-bh-epic-drop-30-1-bananaconda</t>
  </si>
  <si>
    <t>Demecan CR Light Drop 19:1 White Fondant smalls</t>
  </si>
  <si>
    <t>https://flowzz.com/product/demecan-cr-light-drop-19-1-white-fondant-smalls</t>
  </si>
  <si>
    <t>Medicus 21/1 EZA WEC</t>
  </si>
  <si>
    <t>4,77</t>
  </si>
  <si>
    <t>https://flowzz.com/product/medicus-21-1-eza-wec-wedding-cake</t>
  </si>
  <si>
    <t>Remexian 24/1 ALL GSC</t>
  </si>
  <si>
    <t>https://flowzz.com/product/remexian-24-1-all-gsc-girl-scout-cookies</t>
  </si>
  <si>
    <t>Remexian 21/1 EZA WW</t>
  </si>
  <si>
    <t>2,78</t>
  </si>
  <si>
    <t>https://flowzz.com/product/remexian-21-1-eza-ww-white-widow</t>
  </si>
  <si>
    <t>Remexian 18/1 ILF SBL</t>
  </si>
  <si>
    <t>3,19</t>
  </si>
  <si>
    <t>https://flowzz.com/product/remexian-18-1-ilf-sbl-strawberry-lemonade</t>
  </si>
  <si>
    <t>CzechOut 21/1 PUO</t>
  </si>
  <si>
    <t>https://flowzz.com/product/czechout-21-1-puo-purple-octane</t>
  </si>
  <si>
    <t>Remexian 24/1 ALL RMG</t>
  </si>
  <si>
    <t>Romulan Grapefruit</t>
  </si>
  <si>
    <t>https://flowzz.com/product/remexian-24-1-all-rmg-romulan-grapefruit</t>
  </si>
  <si>
    <t>NICE 18/1 MM</t>
  </si>
  <si>
    <t>Mango Mints</t>
  </si>
  <si>
    <t>3,44</t>
  </si>
  <si>
    <t>https://flowzz.com/product/nice-18-1-mm-mango-mints</t>
  </si>
  <si>
    <t>Remexian 21/1 TRF</t>
  </si>
  <si>
    <t>CMP</t>
  </si>
  <si>
    <t>https://flowzz.com/product/remexian-21-1-trf-cmp</t>
  </si>
  <si>
    <t>MC Regular Drop GMO X JET FUEL GELATO</t>
  </si>
  <si>
    <t>GMO x Jet Fuel Gelato</t>
  </si>
  <si>
    <t>https://flowzz.com/product/mc-regular-drop-gmo-x-jet-fuel-gelato</t>
  </si>
  <si>
    <t>Eufloria 27/1 KUM Kush Mints</t>
  </si>
  <si>
    <t>C3 Farms</t>
  </si>
  <si>
    <t>https://flowzz.com/product/eufloria-27-1-kum-kush-mints</t>
  </si>
  <si>
    <t>Cannamedical Hybrid Classic KA</t>
  </si>
  <si>
    <t>Ring of Sour</t>
  </si>
  <si>
    <t>https://flowzz.com/product/cannamedical-hybrid-classic-ka-ring-of-sour</t>
  </si>
  <si>
    <t>Luana 24/1</t>
  </si>
  <si>
    <t>Durban Poison</t>
  </si>
  <si>
    <t>https://flowzz.com/product/luana-24-1-durban-poison</t>
  </si>
  <si>
    <t>Luana 24/1 Durban</t>
  </si>
  <si>
    <t>Durban</t>
  </si>
  <si>
    <t>https://flowzz.com/product/luana-24-1-durban</t>
  </si>
  <si>
    <t>Luana 23/1 Donny B</t>
  </si>
  <si>
    <t>https://flowzz.com/product/luana-23-1-donny-b-bunatic</t>
  </si>
  <si>
    <t>C47</t>
  </si>
  <si>
    <t>https://flowzz.com/product/huala-22-1-ca-c47</t>
  </si>
  <si>
    <t>IMC GMO THC27 Token Purple Malawi</t>
  </si>
  <si>
    <t>Thailand x Wild 501stOG x Purple Malawi</t>
  </si>
  <si>
    <t>https://flowzz.com/product/imc-gmo-thc27-token-purple-malawi</t>
  </si>
  <si>
    <t>CzechOut 24/1 PUO</t>
  </si>
  <si>
    <t>https://flowzz.com/product/czechout-24-1-puo-purple-octane</t>
  </si>
  <si>
    <t>madrecan 21/1 PIP</t>
  </si>
  <si>
    <t>https://flowzz.com/product/madrecan-21-1-pip-pineapple-purps</t>
  </si>
  <si>
    <t>MGF Gastro Pop 26/1</t>
  </si>
  <si>
    <t>https://flowzz.com/product/mgf-gastro-pop-26-1</t>
  </si>
  <si>
    <t>MGF Pave Runtz 20/1</t>
  </si>
  <si>
    <t>https://flowzz.com/product/mgf-pave-runtz-20-1</t>
  </si>
  <si>
    <t>MGF Wizard 26/1 THC Richt</t>
  </si>
  <si>
    <t>Ice Cream Wizard</t>
  </si>
  <si>
    <t>https://flowzz.com/product/mgf-wizard-26-1-thc-rich-ice-cream-wizard</t>
  </si>
  <si>
    <t>GrowMotion TJ27</t>
  </si>
  <si>
    <t>Tricho Jordan</t>
  </si>
  <si>
    <t>https://flowzz.com/product/growmotion-tj-27-tricho-jordan</t>
  </si>
  <si>
    <t>Slouu EG CA 29/1</t>
  </si>
  <si>
    <t>https://flowzz.com/product/slouu-eg-ca-29-1-pineapple-god</t>
  </si>
  <si>
    <t>Tilray Craft Cannabisblüten THC22 PPV</t>
  </si>
  <si>
    <t>https://flowzz.com/product/tilray-craft-thc22-ppv-platinum-pave</t>
  </si>
  <si>
    <t>Phcann Exotics 30/1</t>
  </si>
  <si>
    <t>https://flowzz.com/product/phcann-exotics-30-1-black-amber</t>
  </si>
  <si>
    <t>Tilray Craft THC25 AMH</t>
  </si>
  <si>
    <t>https://flowzz.com/product/tilray-craft-thc25-amh-amnesia-haze</t>
  </si>
  <si>
    <t>Tilray Craft THC22 AMH</t>
  </si>
  <si>
    <t>https://flowzz.com/product/tilray-craft-thc22-amh-amnesia-haze</t>
  </si>
  <si>
    <t>Tilray Craft Cannabisblüten THC25 CTB</t>
  </si>
  <si>
    <t>https://flowzz.com/product/tilray-craft-thc25-ctb-cactus-breath</t>
  </si>
  <si>
    <t>Good Supply T25 MMK</t>
  </si>
  <si>
    <t>Master Mazar Kush</t>
  </si>
  <si>
    <t>https://flowzz.com/product/good-supply-t25-mmk-master-mazar-kush</t>
  </si>
  <si>
    <t>Redecan THC25 BRZ Biscuit RNTZ</t>
  </si>
  <si>
    <t>https://flowzz.com/product/redecan-thc-25-brz-biscuit-rntz</t>
  </si>
  <si>
    <t>Cresco RSE 36/1</t>
  </si>
  <si>
    <t>Jack Black</t>
  </si>
  <si>
    <t>https://flowzz.com/product/cresco-rse-36-1-jack-black</t>
  </si>
  <si>
    <t>CANDORO</t>
  </si>
  <si>
    <t xml:space="preserve">Phcann Exotics 26/1 Red Pop </t>
  </si>
  <si>
    <t>Phcann Exotics 30/1 Spitzer</t>
  </si>
  <si>
    <t>Wellju DOSIDOS 23/1</t>
  </si>
  <si>
    <t>3,93</t>
  </si>
  <si>
    <t>https://flowzz.com/product/cannabis-flos-23-1-wellju-dosidos</t>
  </si>
  <si>
    <t>Eufloria 30/1 LBA - LA Baker</t>
  </si>
  <si>
    <t>Eufloria 30/1 RCC - Runtz Coffin Candy</t>
  </si>
  <si>
    <t>Siggis LWZAHN 22/1 - Siggis Löwenzahn || Bloomwell exklusiv</t>
  </si>
  <si>
    <t>Siggis PMZN 28/1 - Siggis Pfefferminze || Bloomwell exklusiv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</si>
</sst>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rgb="FF00206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9" fontId="0" fillId="0" borderId="0" xfId="1" applyFont="1"/>
    <xf numFmtId="49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/>
    <xf numFmtId="0" fontId="0" fillId="3" borderId="0" xfId="0" applyFill="1"/>
    <xf numFmtId="0" fontId="0" fillId="0" borderId="0" xfId="3" applyNumberFormat="1" applyFont="1"/>
    <xf numFmtId="49" fontId="0" fillId="0" borderId="0" xfId="3" applyNumberFormat="1" applyFont="1"/>
    <xf numFmtId="49" fontId="0" fillId="0" borderId="0" xfId="1" applyNumberFormat="1" applyFont="1"/>
    <xf numFmtId="0" fontId="0" fillId="5" borderId="0" xfId="0" applyFill="1"/>
    <xf numFmtId="0" fontId="3" fillId="6" borderId="2" xfId="0" applyFont="1" applyFill="1" applyBorder="1"/>
    <xf numFmtId="49" fontId="3" fillId="6" borderId="2" xfId="0" applyNumberFormat="1" applyFont="1" applyFill="1" applyBorder="1"/>
    <xf numFmtId="0" fontId="1" fillId="0" borderId="0" xfId="0" applyFont="1"/>
    <xf numFmtId="0" fontId="1" fillId="4" borderId="0" xfId="0" applyFont="1" applyFill="1"/>
    <xf numFmtId="0" fontId="0" fillId="4" borderId="3" xfId="0" applyFill="1" applyBorder="1"/>
    <xf numFmtId="0" fontId="8" fillId="10" borderId="1" xfId="0" applyFont="1" applyFill="1" applyBorder="1" applyAlignment="1">
      <alignment horizontal="left"/>
    </xf>
    <xf numFmtId="0" fontId="8" fillId="10" borderId="2" xfId="0" applyFont="1" applyFill="1" applyBorder="1" applyAlignment="1">
      <alignment horizontal="left"/>
    </xf>
    <xf numFmtId="0" fontId="11" fillId="10" borderId="2" xfId="0" applyFont="1" applyFill="1" applyBorder="1" applyAlignment="1">
      <alignment horizontal="left"/>
    </xf>
    <xf numFmtId="49" fontId="8" fillId="10" borderId="2" xfId="0" applyNumberFormat="1" applyFont="1" applyFill="1" applyBorder="1" applyAlignment="1">
      <alignment horizontal="left"/>
    </xf>
    <xf numFmtId="0" fontId="8" fillId="10" borderId="1" xfId="0" applyFont="1" applyFill="1" applyBorder="1"/>
    <xf numFmtId="0" fontId="8" fillId="10" borderId="2" xfId="1" applyNumberFormat="1" applyFont="1" applyFill="1" applyBorder="1"/>
    <xf numFmtId="0" fontId="8" fillId="10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49" fontId="0" fillId="4" borderId="2" xfId="0" applyNumberFormat="1" applyFill="1" applyBorder="1"/>
    <xf numFmtId="49" fontId="0" fillId="4" borderId="2" xfId="1" applyNumberFormat="1" applyFont="1" applyFill="1" applyBorder="1"/>
    <xf numFmtId="49" fontId="0" fillId="4" borderId="2" xfId="3" applyNumberFormat="1" applyFont="1" applyFill="1" applyBorder="1"/>
    <xf numFmtId="0" fontId="0" fillId="4" borderId="2" xfId="3" applyNumberFormat="1" applyFont="1" applyFill="1" applyBorder="1"/>
    <xf numFmtId="0" fontId="0" fillId="0" borderId="1" xfId="0" applyBorder="1"/>
    <xf numFmtId="0" fontId="0" fillId="0" borderId="2" xfId="0" applyBorder="1"/>
    <xf numFmtId="49" fontId="0" fillId="0" borderId="2" xfId="0" applyNumberFormat="1" applyBorder="1"/>
    <xf numFmtId="49" fontId="0" fillId="0" borderId="2" xfId="1" applyNumberFormat="1" applyFont="1" applyBorder="1"/>
    <xf numFmtId="0" fontId="0" fillId="0" borderId="2" xfId="1" applyNumberFormat="1" applyFont="1" applyBorder="1"/>
    <xf numFmtId="49" fontId="0" fillId="0" borderId="2" xfId="3" applyNumberFormat="1" applyFont="1" applyBorder="1"/>
    <xf numFmtId="0" fontId="0" fillId="0" borderId="2" xfId="3" applyNumberFormat="1" applyFont="1" applyBorder="1"/>
    <xf numFmtId="0" fontId="2" fillId="0" borderId="2" xfId="2" applyBorder="1"/>
    <xf numFmtId="0" fontId="2" fillId="4" borderId="2" xfId="2" applyFill="1" applyBorder="1"/>
    <xf numFmtId="49" fontId="0" fillId="4" borderId="4" xfId="0" applyNumberFormat="1" applyFill="1" applyBorder="1"/>
    <xf numFmtId="0" fontId="0" fillId="4" borderId="2" xfId="0" applyFill="1" applyBorder="1" applyAlignment="1">
      <alignment horizontal="left"/>
    </xf>
    <xf numFmtId="9" fontId="0" fillId="0" borderId="2" xfId="1" applyFont="1" applyBorder="1"/>
    <xf numFmtId="9" fontId="0" fillId="4" borderId="2" xfId="1" applyFont="1" applyFill="1" applyBorder="1"/>
    <xf numFmtId="0" fontId="3" fillId="0" borderId="2" xfId="0" applyFont="1" applyBorder="1"/>
    <xf numFmtId="0" fontId="0" fillId="7" borderId="2" xfId="0" applyFill="1" applyBorder="1"/>
    <xf numFmtId="49" fontId="0" fillId="7" borderId="2" xfId="0" applyNumberFormat="1" applyFill="1" applyBorder="1"/>
    <xf numFmtId="9" fontId="0" fillId="7" borderId="2" xfId="1" applyFont="1" applyFill="1" applyBorder="1"/>
    <xf numFmtId="49" fontId="0" fillId="7" borderId="2" xfId="3" applyNumberFormat="1" applyFont="1" applyFill="1" applyBorder="1"/>
    <xf numFmtId="0" fontId="6" fillId="7" borderId="2" xfId="0" applyFont="1" applyFill="1" applyBorder="1"/>
    <xf numFmtId="49" fontId="0" fillId="9" borderId="2" xfId="0" applyNumberFormat="1" applyFill="1" applyBorder="1"/>
    <xf numFmtId="0" fontId="3" fillId="4" borderId="2" xfId="0" applyFont="1" applyFill="1" applyBorder="1"/>
    <xf numFmtId="49" fontId="0" fillId="6" borderId="2" xfId="0" applyNumberFormat="1" applyFill="1" applyBorder="1"/>
    <xf numFmtId="0" fontId="2" fillId="6" borderId="2" xfId="2" applyFill="1" applyBorder="1"/>
    <xf numFmtId="9" fontId="3" fillId="0" borderId="2" xfId="1" applyFont="1" applyBorder="1"/>
    <xf numFmtId="0" fontId="4" fillId="4" borderId="2" xfId="0" applyFont="1" applyFill="1" applyBorder="1"/>
    <xf numFmtId="9" fontId="4" fillId="4" borderId="2" xfId="1" applyFont="1" applyFill="1" applyBorder="1"/>
    <xf numFmtId="0" fontId="4" fillId="0" borderId="2" xfId="0" applyFont="1" applyBorder="1"/>
    <xf numFmtId="9" fontId="4" fillId="0" borderId="2" xfId="1" applyFont="1" applyBorder="1"/>
    <xf numFmtId="0" fontId="7" fillId="4" borderId="2" xfId="0" applyFont="1" applyFill="1" applyBorder="1"/>
    <xf numFmtId="0" fontId="7" fillId="0" borderId="2" xfId="0" applyFont="1" applyBorder="1"/>
    <xf numFmtId="0" fontId="0" fillId="2" borderId="2" xfId="0" applyFill="1" applyBorder="1"/>
    <xf numFmtId="0" fontId="0" fillId="6" borderId="2" xfId="0" applyFill="1" applyBorder="1"/>
    <xf numFmtId="9" fontId="0" fillId="0" borderId="1" xfId="1" applyFont="1" applyBorder="1"/>
    <xf numFmtId="0" fontId="10" fillId="0" borderId="2" xfId="0" applyFont="1" applyBorder="1"/>
    <xf numFmtId="0" fontId="10" fillId="4" borderId="2" xfId="0" applyFont="1" applyFill="1" applyBorder="1"/>
    <xf numFmtId="9" fontId="0" fillId="4" borderId="1" xfId="1" applyFont="1" applyFill="1" applyBorder="1"/>
    <xf numFmtId="0" fontId="0" fillId="5" borderId="2" xfId="0" applyFill="1" applyBorder="1"/>
    <xf numFmtId="9" fontId="0" fillId="5" borderId="2" xfId="1" applyFont="1" applyFill="1" applyBorder="1"/>
    <xf numFmtId="49" fontId="0" fillId="5" borderId="2" xfId="3" applyNumberFormat="1" applyFont="1" applyFill="1" applyBorder="1"/>
    <xf numFmtId="0" fontId="7" fillId="0" borderId="2" xfId="1" applyNumberFormat="1" applyFont="1" applyBorder="1"/>
    <xf numFmtId="0" fontId="0" fillId="7" borderId="2" xfId="3" applyNumberFormat="1" applyFont="1" applyFill="1" applyBorder="1"/>
    <xf numFmtId="0" fontId="3" fillId="7" borderId="2" xfId="0" applyFont="1" applyFill="1" applyBorder="1"/>
    <xf numFmtId="0" fontId="0" fillId="8" borderId="2" xfId="0" applyFill="1" applyBorder="1"/>
    <xf numFmtId="0" fontId="7" fillId="7" borderId="2" xfId="0" applyFont="1" applyFill="1" applyBorder="1"/>
    <xf numFmtId="49" fontId="0" fillId="4" borderId="3" xfId="1" applyNumberFormat="1" applyFont="1" applyFill="1" applyBorder="1"/>
    <xf numFmtId="9" fontId="0" fillId="4" borderId="3" xfId="1" applyFont="1" applyFill="1" applyBorder="1"/>
    <xf numFmtId="49" fontId="0" fillId="4" borderId="3" xfId="3" applyNumberFormat="1" applyFont="1" applyFill="1" applyBorder="1"/>
    <xf numFmtId="49" fontId="1" fillId="4" borderId="2" xfId="0" applyNumberFormat="1" applyFont="1" applyFill="1" applyBorder="1"/>
    <xf numFmtId="49" fontId="1" fillId="0" borderId="2" xfId="0" applyNumberFormat="1" applyFont="1" applyBorder="1"/>
    <xf numFmtId="49" fontId="0" fillId="4" borderId="0" xfId="1" applyNumberFormat="1" applyFont="1" applyFill="1" applyBorder="1"/>
    <xf numFmtId="49" fontId="0" fillId="0" borderId="0" xfId="1" applyNumberFormat="1" applyFont="1" applyBorder="1"/>
    <xf numFmtId="9" fontId="0" fillId="4" borderId="0" xfId="1" applyFont="1" applyFill="1" applyBorder="1"/>
    <xf numFmtId="9" fontId="0" fillId="0" borderId="0" xfId="1" applyFont="1" applyBorder="1"/>
    <xf numFmtId="49" fontId="0" fillId="4" borderId="0" xfId="3" applyNumberFormat="1" applyFont="1" applyFill="1" applyBorder="1"/>
    <xf numFmtId="49" fontId="0" fillId="0" borderId="0" xfId="3" applyNumberFormat="1" applyFont="1" applyBorder="1"/>
    <xf numFmtId="0" fontId="0" fillId="0" borderId="3" xfId="0" applyBorder="1"/>
    <xf numFmtId="0" fontId="0" fillId="9" borderId="2" xfId="0" applyFill="1" applyBorder="1"/>
    <xf numFmtId="0" fontId="0" fillId="6" borderId="0" xfId="0" applyFill="1"/>
    <xf numFmtId="0" fontId="0" fillId="9" borderId="3" xfId="0" applyFill="1" applyBorder="1"/>
    <xf numFmtId="0" fontId="3" fillId="6" borderId="3" xfId="0" applyFont="1" applyFill="1" applyBorder="1"/>
    <xf numFmtId="49" fontId="1" fillId="6" borderId="3" xfId="0" applyNumberFormat="1" applyFont="1" applyFill="1" applyBorder="1"/>
    <xf numFmtId="49" fontId="1" fillId="6" borderId="0" xfId="0" applyNumberFormat="1" applyFont="1" applyFill="1"/>
    <xf numFmtId="49" fontId="1" fillId="9" borderId="3" xfId="0" applyNumberFormat="1" applyFont="1" applyFill="1" applyBorder="1"/>
    <xf numFmtId="0" fontId="0" fillId="4" borderId="0" xfId="0" applyFill="1"/>
    <xf numFmtId="0" fontId="3" fillId="6" borderId="0" xfId="0" applyFont="1" applyFill="1"/>
    <xf numFmtId="49" fontId="1" fillId="9" borderId="0" xfId="0" applyNumberFormat="1" applyFont="1" applyFill="1"/>
    <xf numFmtId="0" fontId="0" fillId="0" borderId="0" xfId="3" applyNumberFormat="1" applyFont="1" applyBorder="1"/>
    <xf numFmtId="0" fontId="0" fillId="9" borderId="0" xfId="0" applyFill="1"/>
    <xf numFmtId="0" fontId="3" fillId="6" borderId="0" xfId="2" applyFont="1" applyFill="1" applyBorder="1" applyAlignment="1">
      <alignment vertical="center" wrapText="1"/>
    </xf>
    <xf numFmtId="0" fontId="3" fillId="0" borderId="2" xfId="1" applyNumberFormat="1" applyFont="1" applyBorder="1"/>
    <xf numFmtId="0" fontId="2" fillId="0" borderId="0" xfId="2" applyBorder="1"/>
    <xf numFmtId="0" fontId="2" fillId="4" borderId="0" xfId="2" applyFill="1" applyBorder="1"/>
    <xf numFmtId="0" fontId="2" fillId="0" borderId="0" xfId="2"/>
  </cellXfs>
  <cellStyles count="4">
    <cellStyle name="Comma" xfId="3" builtinId="3"/>
    <cellStyle name="Hyperlink" xfId="2" builtinId="8"/>
    <cellStyle name="Normal" xfId="0" builtinId="0"/>
    <cellStyle name="Per cent" xfId="1" builtinId="5"/>
  </cellStyles>
  <dxfs count="4">
    <dxf>
      <font>
        <color rgb="FFC0000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 Azmat Hashim" id="{76623A30-1961-46D3-9A5E-F4C79E09E47A}" userId="Ali Azmat Hashim" providerId="None"/>
  <person displayName="Arvid Jacob" id="{C96B600A-4D5E-4E08-8029-3655A1992726}" userId="S::arvid.jacob@demecan.de::241d3192-49e8-4a5b-8585-0a6ff08d15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05" dT="2025-09-23T08:06:10.72" personId="{76623A30-1961-46D3-9A5E-F4C79E09E47A}" id="{64569032-01B9-46C6-B88E-4BFE7F99B2C7}">
    <text xml:space="preserve">Chnaged the name from 26/1 to 25/1 because of name change in flowzz
</text>
  </threadedComment>
  <threadedComment ref="D1355" dT="2025-04-17T11:18:45.32" personId="{C96B600A-4D5E-4E08-8029-3655A1992726}" id="{D0BB7711-E2C2-474E-AB06-E0273E9322C5}">
    <text>Update Attr.ID. Already updated in BC master</text>
  </threadedComment>
  <threadedComment ref="AA1355" dT="2025-04-17T11:18:45.32" personId="{C96B600A-4D5E-4E08-8029-3655A1992726}" id="{507EA0FC-6A2F-4F0E-A09F-18D9E2747A05}">
    <text>Update Attr.ID. Already updated in BC master</text>
  </threadedComment>
  <threadedComment ref="X1602" dT="2025-04-08T15:36:21.03" personId="{C96B600A-4D5E-4E08-8029-3655A1992726}" id="{D3BE426B-4ECD-44AA-9982-9A794E981A1E}">
    <text>Already included in BC - only the Attr.Value ID missing</text>
  </threadedComment>
  <threadedComment ref="D2118" dT="2025-04-17T11:18:45.32" personId="{C96B600A-4D5E-4E08-8029-3655A1992726}" id="{25FB4904-6A21-4547-A97D-7672F897BAD3}">
    <text>Update Attr.ID. Already updated in BC master</text>
  </threadedComment>
  <threadedComment ref="B2574" dT="2025-10-22T06:21:21.44" personId="{76623A30-1961-46D3-9A5E-F4C79E09E47A}" id="{423B52C2-B326-441B-9759-7B0F2A6C4F4E}">
    <text xml:space="preserve">Named as remexian in  the stammdata 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lowzz.com/product/beacon-bt-t18-black-triangle" TargetMode="External"/><Relationship Id="rId21" Type="http://schemas.openxmlformats.org/officeDocument/2006/relationships/hyperlink" Target="https://flowzz.com/product/420-compound-22-1-gap-gastro-pop" TargetMode="External"/><Relationship Id="rId42" Type="http://schemas.openxmlformats.org/officeDocument/2006/relationships/hyperlink" Target="https://flowzz.com/product/madrecan-21-1-mac-driver-minis" TargetMode="External"/><Relationship Id="rId47" Type="http://schemas.openxmlformats.org/officeDocument/2006/relationships/hyperlink" Target="https://flowzz.com/product/cannabis-flos-23-1-pt-pink-kush-pink-kush" TargetMode="External"/><Relationship Id="rId63" Type="http://schemas.openxmlformats.org/officeDocument/2006/relationships/hyperlink" Target="https://flowzz.com/product/together-pharma-glueberry-og-glueberry-og" TargetMode="External"/><Relationship Id="rId68" Type="http://schemas.openxmlformats.org/officeDocument/2006/relationships/hyperlink" Target="https://flowzz.com/product/sumo-canada-craft-no3-23-1-garlic-chem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https://flowzz.com/product/420-natural-25-1-ca-gg-4-gorilla-glue-4" TargetMode="External"/><Relationship Id="rId11" Type="http://schemas.openxmlformats.org/officeDocument/2006/relationships/hyperlink" Target="https://flowzz.com/product/tyson-28-1-tiger-milk" TargetMode="External"/><Relationship Id="rId32" Type="http://schemas.openxmlformats.org/officeDocument/2006/relationships/hyperlink" Target="https://flowzz.com/product/cannamedical-indica-classic-ury-cheddar-skunk-smalls" TargetMode="External"/><Relationship Id="rId37" Type="http://schemas.openxmlformats.org/officeDocument/2006/relationships/hyperlink" Target="https://flowzz.com/product/barongo-24-1-banjo" TargetMode="External"/><Relationship Id="rId53" Type="http://schemas.openxmlformats.org/officeDocument/2006/relationships/hyperlink" Target="https://flowzz.com/product/cnbs-byc-30-1-booty-clapper" TargetMode="External"/><Relationship Id="rId58" Type="http://schemas.openxmlformats.org/officeDocument/2006/relationships/hyperlink" Target="https://flowzz.com/product/canify-cannabis-flos-27-1-prt-ku-strawberry-banana" TargetMode="External"/><Relationship Id="rId74" Type="http://schemas.openxmlformats.org/officeDocument/2006/relationships/hyperlink" Target="https://flowzz.com/product/aleph-matterhorn-26-1-banjo" TargetMode="External"/><Relationship Id="rId79" Type="http://schemas.openxmlformats.org/officeDocument/2006/relationships/hyperlink" Target="https://flowzz.com/product/cannamedical-indica-forte-sunset-serenity" TargetMode="External"/><Relationship Id="rId5" Type="http://schemas.openxmlformats.org/officeDocument/2006/relationships/hyperlink" Target="https://flowzz.com/extract/imc-extrakt-10-10-b100" TargetMode="External"/><Relationship Id="rId19" Type="http://schemas.openxmlformats.org/officeDocument/2006/relationships/hyperlink" Target="https://flowzz.com/product/22-1-amici-bh-blueberry-headband" TargetMode="External"/><Relationship Id="rId14" Type="http://schemas.openxmlformats.org/officeDocument/2006/relationships/hyperlink" Target="https://flowzz.com/extract/somai-cannabisextrakt-hybrid-2-5-25" TargetMode="External"/><Relationship Id="rId22" Type="http://schemas.openxmlformats.org/officeDocument/2006/relationships/hyperlink" Target="https://flowzz.com/product/420-compound-27-1-rpv-rose-gold-pave" TargetMode="External"/><Relationship Id="rId27" Type="http://schemas.openxmlformats.org/officeDocument/2006/relationships/hyperlink" Target="https://flowzz.com/product/canify-23-1-frosted-lemon-angel" TargetMode="External"/><Relationship Id="rId30" Type="http://schemas.openxmlformats.org/officeDocument/2006/relationships/hyperlink" Target="https://flowzz.com/product/cannamedical-hybrid-ultra-dk-28-1-ghost-train-haze" TargetMode="External"/><Relationship Id="rId35" Type="http://schemas.openxmlformats.org/officeDocument/2006/relationships/hyperlink" Target="https://flowzz.com/product/cannamedical-sativa-light-ghost-train-haze-ghost-train-haze" TargetMode="External"/><Relationship Id="rId43" Type="http://schemas.openxmlformats.org/officeDocument/2006/relationships/hyperlink" Target="https://flowzz.com/product/avaay-30-1-mim-midnight-mimosa" TargetMode="External"/><Relationship Id="rId48" Type="http://schemas.openxmlformats.org/officeDocument/2006/relationships/hyperlink" Target="https://flowzz.com/product/sumo-canada-craft-no3-27-1-garlic-chem" TargetMode="External"/><Relationship Id="rId56" Type="http://schemas.openxmlformats.org/officeDocument/2006/relationships/hyperlink" Target="https://flowzz.com/product/canify-cannabis-flos-23-1-prt-ku-strawberry-banana" TargetMode="External"/><Relationship Id="rId64" Type="http://schemas.openxmlformats.org/officeDocument/2006/relationships/hyperlink" Target="https://flowzz.com/product/canify-pure-24-1-ls-bafokeng-choice" TargetMode="External"/><Relationship Id="rId69" Type="http://schemas.openxmlformats.org/officeDocument/2006/relationships/hyperlink" Target="https://flowzz.com/extract/somais-inhalations-extrakt-t800" TargetMode="External"/><Relationship Id="rId77" Type="http://schemas.openxmlformats.org/officeDocument/2006/relationships/hyperlink" Target="https://flowzz.com/product/ceres-no-4-top-5" TargetMode="External"/><Relationship Id="rId8" Type="http://schemas.openxmlformats.org/officeDocument/2006/relationships/hyperlink" Target="https://flowzz.com/product/demecan-core-moonbow-23-1-moonbow-112-ix" TargetMode="External"/><Relationship Id="rId51" Type="http://schemas.openxmlformats.org/officeDocument/2006/relationships/hyperlink" Target="https://flowzz.com/product/big-dreams-20-1-hcc-dbu-donkey-butter" TargetMode="External"/><Relationship Id="rId72" Type="http://schemas.openxmlformats.org/officeDocument/2006/relationships/hyperlink" Target="https://flowzz.com/product/cannamedical-sativa-forte-animal-tree" TargetMode="External"/><Relationship Id="rId80" Type="http://schemas.openxmlformats.org/officeDocument/2006/relationships/hyperlink" Target="https://flowzz.com/product/Kann-ubernommen-werden" TargetMode="External"/><Relationship Id="rId85" Type="http://schemas.openxmlformats.org/officeDocument/2006/relationships/vmlDrawing" Target="../drawings/vmlDrawing1.vml"/><Relationship Id="rId3" Type="http://schemas.openxmlformats.org/officeDocument/2006/relationships/hyperlink" Target="https://flowzz.com/product/mv-rntz-detroit-runtz" TargetMode="External"/><Relationship Id="rId12" Type="http://schemas.openxmlformats.org/officeDocument/2006/relationships/hyperlink" Target="https://flowzz.com/product/khiron-gk-24-1-green-knight" TargetMode="External"/><Relationship Id="rId17" Type="http://schemas.openxmlformats.org/officeDocument/2006/relationships/hyperlink" Target="https://flowzz.com/product/101-c-bluten-sativa-lsage-22-1-la-sage" TargetMode="External"/><Relationship Id="rId25" Type="http://schemas.openxmlformats.org/officeDocument/2006/relationships/hyperlink" Target="https://flowzz.com/product/bavaria-weed-pt-dab-18-1-sirius" TargetMode="External"/><Relationship Id="rId33" Type="http://schemas.openxmlformats.org/officeDocument/2006/relationships/hyperlink" Target="https://flowzz.com/product/cannamedical-sativa-classic-amnesia-haze" TargetMode="External"/><Relationship Id="rId38" Type="http://schemas.openxmlformats.org/officeDocument/2006/relationships/hyperlink" Target="https://flowzz.com/product/avaay-23-1-cre-creamy-kee-s-no-5" TargetMode="External"/><Relationship Id="rId46" Type="http://schemas.openxmlformats.org/officeDocument/2006/relationships/hyperlink" Target="https://flowzz.com/product/canify-cannabis-flos-22-1-uy-ku-big-buddha" TargetMode="External"/><Relationship Id="rId59" Type="http://schemas.openxmlformats.org/officeDocument/2006/relationships/hyperlink" Target="https://flowzz.com/product/canopy-ogd-27-og-deluxe" TargetMode="External"/><Relationship Id="rId67" Type="http://schemas.openxmlformats.org/officeDocument/2006/relationships/hyperlink" Target="https://flowzz.com/product/enua-25-1-usr-ca-ultra-sour" TargetMode="External"/><Relationship Id="rId20" Type="http://schemas.openxmlformats.org/officeDocument/2006/relationships/hyperlink" Target="https://flowzz.com/product/25-1-amici-cp-cherry-pie" TargetMode="External"/><Relationship Id="rId41" Type="http://schemas.openxmlformats.org/officeDocument/2006/relationships/hyperlink" Target="https://flowzz.com/product/madrecan-21-1-mac-driver" TargetMode="External"/><Relationship Id="rId54" Type="http://schemas.openxmlformats.org/officeDocument/2006/relationships/hyperlink" Target="https://flowzz.com/product/beacon-30-1-gc-garlic-cookies" TargetMode="External"/><Relationship Id="rId62" Type="http://schemas.openxmlformats.org/officeDocument/2006/relationships/hyperlink" Target="https://flowzz.com/product/remexian-30-1-gmo-breath" TargetMode="External"/><Relationship Id="rId70" Type="http://schemas.openxmlformats.org/officeDocument/2006/relationships/hyperlink" Target="https://flowzz.com/product/cannamedical-hybrid-forte-nm-gorilla-zkittlez-gorilla-zkittlez-225" TargetMode="External"/><Relationship Id="rId75" Type="http://schemas.openxmlformats.org/officeDocument/2006/relationships/hyperlink" Target="https://flowzz.com/product/craft-serenova-31-01-cap-junky" TargetMode="External"/><Relationship Id="rId83" Type="http://schemas.openxmlformats.org/officeDocument/2006/relationships/hyperlink" Target="https://flowzz.com/product/luana-24-1-durban-poison" TargetMode="External"/><Relationship Id="rId1" Type="http://schemas.openxmlformats.org/officeDocument/2006/relationships/hyperlink" Target="https://flowzz.com/product/420-natural-22-1-ca-zrp-zour-apple" TargetMode="External"/><Relationship Id="rId6" Type="http://schemas.openxmlformats.org/officeDocument/2006/relationships/hyperlink" Target="https://flowzz.com/product/cannamedical-sativa-forte-ma-lemon-slushie" TargetMode="External"/><Relationship Id="rId15" Type="http://schemas.openxmlformats.org/officeDocument/2006/relationships/hyperlink" Target="https://flowzz.com/product/420-natural-27-1-ca-zrp-zour-apple" TargetMode="External"/><Relationship Id="rId23" Type="http://schemas.openxmlformats.org/officeDocument/2006/relationships/hyperlink" Target="https://flowzz.com/product/alephsana-aleph-citrin-23-1" TargetMode="External"/><Relationship Id="rId28" Type="http://schemas.openxmlformats.org/officeDocument/2006/relationships/hyperlink" Target="https://flowzz.com/product/cannamedical-hybrid-forte-lost-cause-lost-cause" TargetMode="External"/><Relationship Id="rId36" Type="http://schemas.openxmlformats.org/officeDocument/2006/relationships/hyperlink" Target="https://flowzz.com/product/costa-canna-dynamics-forte-grape-stomper" TargetMode="External"/><Relationship Id="rId49" Type="http://schemas.openxmlformats.org/officeDocument/2006/relationships/hyperlink" Target="https://flowzz.com/product/enua-25-1-gthz-ghost-train-haze-z" TargetMode="External"/><Relationship Id="rId57" Type="http://schemas.openxmlformats.org/officeDocument/2006/relationships/hyperlink" Target="https://flowzz.com/product/buuo-22-1-cdlc-chem-de-la-chem" TargetMode="External"/><Relationship Id="rId10" Type="http://schemas.openxmlformats.org/officeDocument/2006/relationships/hyperlink" Target="https://flowzz.com/product/mediprocan-simba-25-1-purple-panther" TargetMode="External"/><Relationship Id="rId31" Type="http://schemas.openxmlformats.org/officeDocument/2006/relationships/hyperlink" Target="https://flowzz.com/product/cannamedical-hybrid-vita-headband-headband" TargetMode="External"/><Relationship Id="rId44" Type="http://schemas.openxmlformats.org/officeDocument/2006/relationships/hyperlink" Target="https://flowzz.com/extract/xatepa" TargetMode="External"/><Relationship Id="rId52" Type="http://schemas.openxmlformats.org/officeDocument/2006/relationships/hyperlink" Target="https://flowzz.com/product/remexian-27-1-fco-frosted-cookies" TargetMode="External"/><Relationship Id="rId60" Type="http://schemas.openxmlformats.org/officeDocument/2006/relationships/hyperlink" Target="https://flowzz.com/product/madrecan-24-1-sky-minis-skywalker" TargetMode="External"/><Relationship Id="rId65" Type="http://schemas.openxmlformats.org/officeDocument/2006/relationships/hyperlink" Target="https://flowzz.com/extract/demecan-typ-2-5-20" TargetMode="External"/><Relationship Id="rId73" Type="http://schemas.openxmlformats.org/officeDocument/2006/relationships/hyperlink" Target="https://flowzz.com/product/remexian-30-1-mtl-par-pablos-revenge" TargetMode="External"/><Relationship Id="rId78" Type="http://schemas.openxmlformats.org/officeDocument/2006/relationships/hyperlink" Target="https://flowzz.com/product/demecan-bh-epic-drop-wedding-cake-triangle-kush" TargetMode="External"/><Relationship Id="rId81" Type="http://schemas.openxmlformats.org/officeDocument/2006/relationships/hyperlink" Target="https://flowzz.com/product/cannovum-natura-khz-28-1-karels-aze" TargetMode="External"/><Relationship Id="rId86" Type="http://schemas.openxmlformats.org/officeDocument/2006/relationships/comments" Target="../comments1.xml"/><Relationship Id="rId4" Type="http://schemas.openxmlformats.org/officeDocument/2006/relationships/hyperlink" Target="https://flowzz.com/extract/imc-extrakt-25-1-t100" TargetMode="External"/><Relationship Id="rId9" Type="http://schemas.openxmlformats.org/officeDocument/2006/relationships/hyperlink" Target="https://flowzz.com/product/remexian-30-1-nl-cga-creamy-gas" TargetMode="External"/><Relationship Id="rId13" Type="http://schemas.openxmlformats.org/officeDocument/2006/relationships/hyperlink" Target="https://flowzz.com/product/enua-25-1-sj-ca-splitter-gelato" TargetMode="External"/><Relationship Id="rId18" Type="http://schemas.openxmlformats.org/officeDocument/2006/relationships/hyperlink" Target="https://flowzz.com/extract/101-c-extrakt-50-0" TargetMode="External"/><Relationship Id="rId39" Type="http://schemas.openxmlformats.org/officeDocument/2006/relationships/hyperlink" Target="https://flowzz.com/product/madrecan-18-1-mac-driver" TargetMode="External"/><Relationship Id="rId34" Type="http://schemas.openxmlformats.org/officeDocument/2006/relationships/hyperlink" Target="https://flowzz.com/product/cannamedical-sativa-forte-nm-gelato-dream" TargetMode="External"/><Relationship Id="rId50" Type="http://schemas.openxmlformats.org/officeDocument/2006/relationships/hyperlink" Target="https://flowzz.com/product/demecan-mc-regular-drop-26-1-gaschata" TargetMode="External"/><Relationship Id="rId55" Type="http://schemas.openxmlformats.org/officeDocument/2006/relationships/hyperlink" Target="https://flowzz.com/product/cannamedical-hybrid-classic-blueberry-headband" TargetMode="External"/><Relationship Id="rId76" Type="http://schemas.openxmlformats.org/officeDocument/2006/relationships/hyperlink" Target="https://flowzz.com/product/adrex-22-ckd-cookie-dough" TargetMode="External"/><Relationship Id="rId7" Type="http://schemas.openxmlformats.org/officeDocument/2006/relationships/hyperlink" Target="https://flowzz.com/product/cannamedical-sativa-forte-strawberry-ice-strawberry-ice" TargetMode="External"/><Relationship Id="rId71" Type="http://schemas.openxmlformats.org/officeDocument/2006/relationships/hyperlink" Target="https://flowzz.com/product/roxton-air-bd-24-1-flap-jacks" TargetMode="External"/><Relationship Id="rId2" Type="http://schemas.openxmlformats.org/officeDocument/2006/relationships/hyperlink" Target="https://flowzz.com/product/adrex-24-1-ak-col-arequipe-kush" TargetMode="External"/><Relationship Id="rId29" Type="http://schemas.openxmlformats.org/officeDocument/2006/relationships/hyperlink" Target="https://flowzz.com/product/cannamedical-hybrid-forte-sms" TargetMode="External"/><Relationship Id="rId24" Type="http://schemas.openxmlformats.org/officeDocument/2006/relationships/hyperlink" Target="https://flowzz.com/product/bathera-25-1-fine-cookies" TargetMode="External"/><Relationship Id="rId40" Type="http://schemas.openxmlformats.org/officeDocument/2006/relationships/hyperlink" Target="https://flowzz.com/product/demecan-craft-t4n-g-banjo-25-1" TargetMode="External"/><Relationship Id="rId45" Type="http://schemas.openxmlformats.org/officeDocument/2006/relationships/hyperlink" Target="https://flowzz.com/product/big-dreams-21-1-mini-psf-pk-pink-kush" TargetMode="External"/><Relationship Id="rId66" Type="http://schemas.openxmlformats.org/officeDocument/2006/relationships/hyperlink" Target="https://flowzz.com/product/buuo-26-1-gp-gastro-pop" TargetMode="External"/><Relationship Id="rId87" Type="http://schemas.microsoft.com/office/2017/10/relationships/threadedComment" Target="../threadedComments/threadedComment1.xml"/><Relationship Id="rId61" Type="http://schemas.openxmlformats.org/officeDocument/2006/relationships/hyperlink" Target="https://flowzz.com/product/wellford-aquaponic-30-1-atg-atlantic-glue" TargetMode="External"/><Relationship Id="rId82" Type="http://schemas.openxmlformats.org/officeDocument/2006/relationships/hyperlink" Target="https://flowzz.com/product/demecan-ps-lean-drop-20-1-tropaya-pun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3654-04F3-46FF-A42E-918340510C0A}">
  <sheetPr codeName="Tabelle1"/>
  <dimension ref="A1:AC2843"/>
  <sheetViews>
    <sheetView tabSelected="1" zoomScale="85" zoomScaleNormal="85" workbookViewId="0">
      <pane xSplit="2" ySplit="1" topLeftCell="AB2" activePane="bottomRight" state="frozen"/>
      <selection pane="topRight" activeCell="I1" sqref="I1"/>
      <selection pane="bottomLeft" activeCell="A3" sqref="A3"/>
      <selection pane="bottomRight" sqref="A1:XFD1"/>
    </sheetView>
  </sheetViews>
  <sheetFormatPr defaultColWidth="26.4140625" defaultRowHeight="14" outlineLevelCol="1"/>
  <cols>
    <col min="1" max="1" width="33.75" customWidth="1"/>
    <col min="2" max="2" width="43.08203125" customWidth="1"/>
    <col min="3" max="3" width="14.4140625" bestFit="1" customWidth="1" outlineLevel="1"/>
    <col min="4" max="4" width="22.33203125" style="2" bestFit="1" customWidth="1" outlineLevel="1"/>
    <col min="5" max="5" width="35.25" style="9" bestFit="1" customWidth="1" outlineLevel="1"/>
    <col min="6" max="6" width="14" style="1" bestFit="1" customWidth="1" outlineLevel="1"/>
    <col min="7" max="7" width="17.08203125" style="8" bestFit="1" customWidth="1" outlineLevel="1"/>
    <col min="8" max="8" width="17.25" style="7" bestFit="1" customWidth="1" outlineLevel="1"/>
    <col min="9" max="9" width="15.83203125" bestFit="1" customWidth="1" outlineLevel="1"/>
    <col min="10" max="10" width="16.08203125" bestFit="1" customWidth="1" outlineLevel="1"/>
    <col min="11" max="11" width="15.75" bestFit="1" customWidth="1" outlineLevel="1"/>
    <col min="12" max="12" width="16.08203125" bestFit="1" customWidth="1" outlineLevel="1"/>
    <col min="13" max="15" width="19.5" bestFit="1" customWidth="1" outlineLevel="1"/>
    <col min="16" max="18" width="10.83203125" bestFit="1" customWidth="1" outlineLevel="1"/>
    <col min="19" max="21" width="18" bestFit="1" customWidth="1" outlineLevel="1"/>
    <col min="22" max="24" width="25.1640625" bestFit="1" customWidth="1" outlineLevel="1"/>
    <col min="25" max="25" width="8" bestFit="1" customWidth="1" outlineLevel="1"/>
    <col min="26" max="26" width="18.4140625" bestFit="1" customWidth="1" outlineLevel="1"/>
    <col min="27" max="27" width="24.08203125" bestFit="1" customWidth="1"/>
    <col min="28" max="28" width="34.6640625" bestFit="1" customWidth="1"/>
    <col min="29" max="29" width="87.83203125" bestFit="1" customWidth="1"/>
  </cols>
  <sheetData>
    <row r="1" spans="1:29" s="3" customFormat="1">
      <c r="A1" s="17" t="s">
        <v>1</v>
      </c>
      <c r="B1" s="18" t="s">
        <v>2</v>
      </c>
      <c r="C1" s="16" t="s">
        <v>3</v>
      </c>
      <c r="D1" s="19" t="s">
        <v>4</v>
      </c>
      <c r="E1" s="20" t="s">
        <v>5</v>
      </c>
      <c r="F1" s="20" t="s">
        <v>7</v>
      </c>
      <c r="G1" s="21" t="s">
        <v>9</v>
      </c>
      <c r="H1" s="22" t="s">
        <v>11</v>
      </c>
      <c r="I1" s="22" t="s">
        <v>13</v>
      </c>
      <c r="J1" s="20" t="s">
        <v>15</v>
      </c>
      <c r="K1" s="20" t="s">
        <v>17</v>
      </c>
      <c r="L1" s="20" t="s">
        <v>19</v>
      </c>
      <c r="M1" s="20" t="s">
        <v>21</v>
      </c>
      <c r="N1" s="20" t="s">
        <v>23</v>
      </c>
      <c r="O1" s="20" t="s">
        <v>24</v>
      </c>
      <c r="P1" s="20" t="s">
        <v>25</v>
      </c>
      <c r="Q1" s="20" t="s">
        <v>27</v>
      </c>
      <c r="R1" s="20" t="s">
        <v>28</v>
      </c>
      <c r="S1" s="20" t="s">
        <v>29</v>
      </c>
      <c r="T1" s="20" t="s">
        <v>30</v>
      </c>
      <c r="U1" s="20" t="s">
        <v>31</v>
      </c>
      <c r="V1" s="20" t="s">
        <v>32</v>
      </c>
      <c r="W1" s="20" t="s">
        <v>34</v>
      </c>
      <c r="X1" s="20" t="s">
        <v>35</v>
      </c>
      <c r="Y1" s="22" t="s">
        <v>36</v>
      </c>
      <c r="Z1" s="22" t="s">
        <v>37</v>
      </c>
      <c r="AA1" s="20" t="s">
        <v>39</v>
      </c>
      <c r="AB1" s="20" t="s">
        <v>41</v>
      </c>
      <c r="AC1" s="22" t="s">
        <v>43</v>
      </c>
    </row>
    <row r="2" spans="1:29">
      <c r="A2" s="24" t="s">
        <v>47</v>
      </c>
      <c r="B2" s="24" t="str">
        <f>IF(ISNUMBER(SEARCH(E2,A2)),A2,IF(OR(E2="",E2=""),A2,A2&amp;" - "&amp;E2))</f>
        <v>Cannamedical Indica forte MA - Crazy Rntz</v>
      </c>
      <c r="C2" s="24" t="s">
        <v>48</v>
      </c>
      <c r="D2" s="24" t="s">
        <v>49</v>
      </c>
      <c r="E2" s="24" t="s">
        <v>50</v>
      </c>
      <c r="F2" s="24" t="s">
        <v>51</v>
      </c>
      <c r="G2" s="27">
        <v>24</v>
      </c>
      <c r="H2" s="28">
        <v>1</v>
      </c>
      <c r="I2" s="24"/>
      <c r="J2" s="24"/>
      <c r="K2" s="24" t="s">
        <v>52</v>
      </c>
      <c r="L2" s="24" t="s">
        <v>53</v>
      </c>
      <c r="M2" s="24" t="s">
        <v>54</v>
      </c>
      <c r="N2" s="24" t="s">
        <v>55</v>
      </c>
      <c r="O2" s="24" t="s">
        <v>56</v>
      </c>
      <c r="P2" s="24" t="s">
        <v>57</v>
      </c>
      <c r="Q2" s="24" t="s">
        <v>58</v>
      </c>
      <c r="R2" s="24" t="s">
        <v>59</v>
      </c>
      <c r="S2" s="24" t="s">
        <v>60</v>
      </c>
      <c r="T2" s="24" t="s">
        <v>61</v>
      </c>
      <c r="U2" s="24" t="s">
        <v>62</v>
      </c>
      <c r="V2" s="24" t="s">
        <v>56</v>
      </c>
      <c r="W2" s="24"/>
      <c r="X2" s="24" t="s">
        <v>56</v>
      </c>
      <c r="Y2" s="24" t="s">
        <v>63</v>
      </c>
      <c r="Z2" s="24" t="s">
        <v>64</v>
      </c>
      <c r="AA2" s="24" t="s">
        <v>49</v>
      </c>
      <c r="AB2" s="24" t="s">
        <v>56</v>
      </c>
      <c r="AC2" s="24" t="s">
        <v>66</v>
      </c>
    </row>
    <row r="3" spans="1:29">
      <c r="A3" s="30" t="s">
        <v>67</v>
      </c>
      <c r="B3" s="30" t="str">
        <f>IF(ISNUMBER(SEARCH(E3,A3)),A3,IF(OR(E3="",E3=""),A3,A3&amp;" - "&amp;E3))</f>
        <v>Cannamedical Sativa forte - Tangie Chem</v>
      </c>
      <c r="C3" s="30" t="s">
        <v>48</v>
      </c>
      <c r="D3" s="30" t="s">
        <v>49</v>
      </c>
      <c r="E3" s="30" t="s">
        <v>68</v>
      </c>
      <c r="F3" s="30" t="s">
        <v>69</v>
      </c>
      <c r="G3" s="34">
        <v>24</v>
      </c>
      <c r="H3" s="35">
        <v>1</v>
      </c>
      <c r="I3" s="30"/>
      <c r="J3" s="30"/>
      <c r="K3" s="30" t="s">
        <v>52</v>
      </c>
      <c r="L3" s="30" t="s">
        <v>70</v>
      </c>
      <c r="M3" s="30" t="s">
        <v>71</v>
      </c>
      <c r="N3" s="30" t="s">
        <v>55</v>
      </c>
      <c r="O3" s="30" t="s">
        <v>72</v>
      </c>
      <c r="P3" s="30" t="s">
        <v>73</v>
      </c>
      <c r="Q3" s="30" t="s">
        <v>74</v>
      </c>
      <c r="R3" s="30" t="s">
        <v>75</v>
      </c>
      <c r="S3" s="30" t="s">
        <v>61</v>
      </c>
      <c r="T3" s="30" t="s">
        <v>76</v>
      </c>
      <c r="U3" s="30" t="s">
        <v>62</v>
      </c>
      <c r="V3" s="30" t="s">
        <v>77</v>
      </c>
      <c r="W3" s="30" t="s">
        <v>78</v>
      </c>
      <c r="X3" s="30" t="s">
        <v>79</v>
      </c>
      <c r="Y3" s="30" t="s">
        <v>80</v>
      </c>
      <c r="Z3" s="30" t="s">
        <v>64</v>
      </c>
      <c r="AA3" s="30" t="s">
        <v>49</v>
      </c>
      <c r="AB3" s="30" t="s">
        <v>56</v>
      </c>
      <c r="AC3" s="30" t="s">
        <v>81</v>
      </c>
    </row>
    <row r="4" spans="1:29">
      <c r="A4" s="24" t="s">
        <v>82</v>
      </c>
      <c r="B4" s="24" t="str">
        <f>IF(ISNUMBER(SEARCH(E4,A4)),A4,IF(OR(E4="",E4=""),A4,A4&amp;" - "&amp;E4))</f>
        <v>Remexian 25/1 - Frosted Lemon Cake</v>
      </c>
      <c r="C4" s="24" t="s">
        <v>83</v>
      </c>
      <c r="D4" s="24" t="s">
        <v>84</v>
      </c>
      <c r="E4" s="24" t="s">
        <v>85</v>
      </c>
      <c r="F4" s="24" t="s">
        <v>86</v>
      </c>
      <c r="G4" s="27">
        <v>25</v>
      </c>
      <c r="H4" s="28">
        <v>1</v>
      </c>
      <c r="I4" s="24"/>
      <c r="J4" s="24"/>
      <c r="K4" s="24" t="s">
        <v>17</v>
      </c>
      <c r="L4" s="24" t="s">
        <v>87</v>
      </c>
      <c r="M4" s="24" t="s">
        <v>88</v>
      </c>
      <c r="N4" s="24" t="s">
        <v>72</v>
      </c>
      <c r="O4" s="24" t="s">
        <v>56</v>
      </c>
      <c r="P4" s="24" t="s">
        <v>75</v>
      </c>
      <c r="Q4" s="24" t="s">
        <v>89</v>
      </c>
      <c r="R4" s="24" t="s">
        <v>56</v>
      </c>
      <c r="S4" s="24" t="s">
        <v>90</v>
      </c>
      <c r="T4" s="24" t="s">
        <v>91</v>
      </c>
      <c r="U4" s="24" t="s">
        <v>61</v>
      </c>
      <c r="V4" s="24" t="s">
        <v>92</v>
      </c>
      <c r="W4" s="24" t="s">
        <v>77</v>
      </c>
      <c r="X4" s="24" t="s">
        <v>93</v>
      </c>
      <c r="Y4" s="24" t="s">
        <v>94</v>
      </c>
      <c r="Z4" s="24" t="s">
        <v>64</v>
      </c>
      <c r="AA4" s="24" t="s">
        <v>95</v>
      </c>
      <c r="AB4" s="24" t="s">
        <v>96</v>
      </c>
      <c r="AC4" s="24" t="s">
        <v>97</v>
      </c>
    </row>
    <row r="5" spans="1:29">
      <c r="A5" s="30" t="s">
        <v>98</v>
      </c>
      <c r="B5" s="30" t="str">
        <f>IF(ISNUMBER(SEARCH(E5,A5)),A5,IF(OR(E5="",E5=""),A5,A5&amp;" - "&amp;E5))</f>
        <v>Canify Cannabis flos 22/1 PT Ku. - Pink Kush</v>
      </c>
      <c r="C5" s="30" t="s">
        <v>99</v>
      </c>
      <c r="D5" s="30" t="s">
        <v>100</v>
      </c>
      <c r="E5" s="30" t="s">
        <v>101</v>
      </c>
      <c r="F5" s="30" t="s">
        <v>86</v>
      </c>
      <c r="G5" s="34">
        <v>22</v>
      </c>
      <c r="H5" s="35">
        <v>1</v>
      </c>
      <c r="I5" s="30"/>
      <c r="J5" s="30"/>
      <c r="K5" s="30" t="s">
        <v>17</v>
      </c>
      <c r="L5" s="30" t="s">
        <v>102</v>
      </c>
      <c r="M5" s="30" t="s">
        <v>88</v>
      </c>
      <c r="N5" s="30" t="s">
        <v>71</v>
      </c>
      <c r="O5" s="30" t="s">
        <v>103</v>
      </c>
      <c r="P5" s="30" t="s">
        <v>57</v>
      </c>
      <c r="Q5" s="30" t="s">
        <v>104</v>
      </c>
      <c r="R5" s="30" t="s">
        <v>74</v>
      </c>
      <c r="S5" s="30" t="s">
        <v>105</v>
      </c>
      <c r="T5" s="30" t="s">
        <v>106</v>
      </c>
      <c r="U5" s="30" t="s">
        <v>62</v>
      </c>
      <c r="V5" s="30" t="s">
        <v>77</v>
      </c>
      <c r="W5" s="30" t="s">
        <v>79</v>
      </c>
      <c r="X5" s="30" t="s">
        <v>107</v>
      </c>
      <c r="Y5" s="30" t="s">
        <v>56</v>
      </c>
      <c r="Z5" s="30" t="s">
        <v>64</v>
      </c>
      <c r="AA5" s="30" t="s">
        <v>100</v>
      </c>
      <c r="AB5" s="30" t="s">
        <v>56</v>
      </c>
      <c r="AC5" s="30" t="s">
        <v>108</v>
      </c>
    </row>
    <row r="6" spans="1:29">
      <c r="A6" s="24" t="s">
        <v>109</v>
      </c>
      <c r="B6" s="24" t="str">
        <f>IF(ISNUMBER(SEARCH(E6,A6)),A6,IF(OR(E6="",E6=""),A6,A6&amp;" - "&amp;E6))</f>
        <v>Cannamedical Sativa classic - Strawberry Ice</v>
      </c>
      <c r="C6" s="24" t="s">
        <v>48</v>
      </c>
      <c r="D6" s="24" t="s">
        <v>49</v>
      </c>
      <c r="E6" s="24" t="s">
        <v>110</v>
      </c>
      <c r="F6" s="24" t="s">
        <v>69</v>
      </c>
      <c r="G6" s="27">
        <v>20</v>
      </c>
      <c r="H6" s="28">
        <v>1</v>
      </c>
      <c r="I6" s="24"/>
      <c r="J6" s="24"/>
      <c r="K6" s="24" t="s">
        <v>17</v>
      </c>
      <c r="L6" s="24" t="s">
        <v>53</v>
      </c>
      <c r="M6" s="24" t="s">
        <v>54</v>
      </c>
      <c r="N6" s="24" t="s">
        <v>111</v>
      </c>
      <c r="O6" s="24" t="s">
        <v>88</v>
      </c>
      <c r="P6" s="24" t="s">
        <v>112</v>
      </c>
      <c r="Q6" s="24" t="s">
        <v>113</v>
      </c>
      <c r="R6" s="24" t="s">
        <v>89</v>
      </c>
      <c r="S6" s="24" t="s">
        <v>90</v>
      </c>
      <c r="T6" s="24" t="s">
        <v>114</v>
      </c>
      <c r="U6" s="24" t="s">
        <v>115</v>
      </c>
      <c r="V6" s="24" t="s">
        <v>77</v>
      </c>
      <c r="W6" s="24" t="s">
        <v>116</v>
      </c>
      <c r="X6" s="24" t="s">
        <v>79</v>
      </c>
      <c r="Y6" s="24" t="s">
        <v>117</v>
      </c>
      <c r="Z6" s="24" t="s">
        <v>64</v>
      </c>
      <c r="AA6" s="24" t="s">
        <v>49</v>
      </c>
      <c r="AB6" s="24" t="s">
        <v>56</v>
      </c>
      <c r="AC6" s="24" t="s">
        <v>118</v>
      </c>
    </row>
    <row r="7" spans="1:29">
      <c r="A7" s="30" t="s">
        <v>47</v>
      </c>
      <c r="B7" s="30" t="str">
        <f>IF(ISNUMBER(SEARCH(E7,A7)),A7,IF(OR(E7="",E7=""),A7,A7&amp;" - "&amp;E7))</f>
        <v>Cannamedical Indica forte MA - Tire Fire</v>
      </c>
      <c r="C7" s="30" t="s">
        <v>48</v>
      </c>
      <c r="D7" s="30" t="s">
        <v>49</v>
      </c>
      <c r="E7" s="30" t="s">
        <v>119</v>
      </c>
      <c r="F7" s="30" t="s">
        <v>120</v>
      </c>
      <c r="G7" s="34">
        <v>24</v>
      </c>
      <c r="H7" s="35">
        <v>1</v>
      </c>
      <c r="I7" s="30"/>
      <c r="J7" s="30"/>
      <c r="K7" s="30" t="s">
        <v>17</v>
      </c>
      <c r="L7" s="30" t="s">
        <v>53</v>
      </c>
      <c r="M7" s="30" t="s">
        <v>103</v>
      </c>
      <c r="N7" s="30" t="s">
        <v>121</v>
      </c>
      <c r="O7" s="30" t="s">
        <v>72</v>
      </c>
      <c r="P7" s="30" t="s">
        <v>122</v>
      </c>
      <c r="Q7" s="30" t="s">
        <v>112</v>
      </c>
      <c r="R7" s="30" t="s">
        <v>74</v>
      </c>
      <c r="S7" s="30" t="s">
        <v>123</v>
      </c>
      <c r="T7" s="30" t="s">
        <v>106</v>
      </c>
      <c r="U7" s="30" t="s">
        <v>62</v>
      </c>
      <c r="V7" s="30" t="s">
        <v>116</v>
      </c>
      <c r="W7" s="30" t="s">
        <v>79</v>
      </c>
      <c r="X7" s="30" t="s">
        <v>107</v>
      </c>
      <c r="Y7" s="30" t="s">
        <v>124</v>
      </c>
      <c r="Z7" s="30" t="s">
        <v>64</v>
      </c>
      <c r="AA7" s="30" t="s">
        <v>49</v>
      </c>
      <c r="AB7" s="30" t="s">
        <v>56</v>
      </c>
      <c r="AC7" s="30" t="s">
        <v>125</v>
      </c>
    </row>
    <row r="8" spans="1:29">
      <c r="A8" s="24" t="s">
        <v>126</v>
      </c>
      <c r="B8" s="24" t="str">
        <f>IF(ISNUMBER(SEARCH(E8,A8)),A8,IF(OR(E8="",E8=""),A8,A8&amp;" - "&amp;E8))</f>
        <v>Cannamedical CM 20/1 - Karl OG</v>
      </c>
      <c r="C8" s="24" t="s">
        <v>48</v>
      </c>
      <c r="D8" s="24" t="s">
        <v>49</v>
      </c>
      <c r="E8" s="24" t="s">
        <v>127</v>
      </c>
      <c r="F8" s="24" t="s">
        <v>86</v>
      </c>
      <c r="G8" s="27">
        <v>21</v>
      </c>
      <c r="H8" s="28">
        <v>1</v>
      </c>
      <c r="I8" s="24"/>
      <c r="J8" s="24"/>
      <c r="K8" s="24" t="s">
        <v>17</v>
      </c>
      <c r="L8" s="24"/>
      <c r="M8" s="24" t="s">
        <v>54</v>
      </c>
      <c r="N8" s="24" t="s">
        <v>88</v>
      </c>
      <c r="O8" s="24" t="s">
        <v>71</v>
      </c>
      <c r="P8" s="24" t="s">
        <v>74</v>
      </c>
      <c r="Q8" s="24" t="s">
        <v>89</v>
      </c>
      <c r="R8" s="24" t="s">
        <v>58</v>
      </c>
      <c r="S8" s="24" t="s">
        <v>123</v>
      </c>
      <c r="T8" s="24" t="s">
        <v>61</v>
      </c>
      <c r="U8" s="24" t="s">
        <v>128</v>
      </c>
      <c r="V8" s="24" t="s">
        <v>77</v>
      </c>
      <c r="W8" s="24" t="s">
        <v>129</v>
      </c>
      <c r="X8" s="24" t="s">
        <v>79</v>
      </c>
      <c r="Y8" s="24" t="s">
        <v>130</v>
      </c>
      <c r="Z8" s="24" t="s">
        <v>64</v>
      </c>
      <c r="AA8" s="24" t="s">
        <v>49</v>
      </c>
      <c r="AB8" s="24" t="s">
        <v>56</v>
      </c>
      <c r="AC8" s="24" t="s">
        <v>131</v>
      </c>
    </row>
    <row r="9" spans="1:29">
      <c r="A9" s="30" t="s">
        <v>132</v>
      </c>
      <c r="B9" s="30" t="str">
        <f>IF(ISNUMBER(SEARCH(E9,A9)),A9,IF(OR(E9="",E9=""),A9,A9&amp;" - "&amp;E9))</f>
        <v>Tilray THC 22 Spotlight Porto - Island Sweet Skunk</v>
      </c>
      <c r="C9" s="30" t="s">
        <v>133</v>
      </c>
      <c r="D9" s="30" t="s">
        <v>134</v>
      </c>
      <c r="E9" s="30" t="s">
        <v>135</v>
      </c>
      <c r="F9" s="30" t="s">
        <v>69</v>
      </c>
      <c r="G9" s="34">
        <v>22</v>
      </c>
      <c r="H9" s="35">
        <v>1</v>
      </c>
      <c r="I9" s="30"/>
      <c r="J9" s="30"/>
      <c r="K9" s="30" t="s">
        <v>17</v>
      </c>
      <c r="L9" s="30" t="s">
        <v>102</v>
      </c>
      <c r="M9" s="30" t="s">
        <v>54</v>
      </c>
      <c r="N9" s="30" t="s">
        <v>111</v>
      </c>
      <c r="O9" s="30" t="s">
        <v>88</v>
      </c>
      <c r="P9" s="30" t="s">
        <v>136</v>
      </c>
      <c r="Q9" s="30" t="s">
        <v>89</v>
      </c>
      <c r="R9" s="30" t="s">
        <v>58</v>
      </c>
      <c r="S9" s="30" t="s">
        <v>90</v>
      </c>
      <c r="T9" s="30" t="s">
        <v>60</v>
      </c>
      <c r="U9" s="30" t="s">
        <v>62</v>
      </c>
      <c r="V9" s="30" t="s">
        <v>77</v>
      </c>
      <c r="W9" s="30" t="s">
        <v>137</v>
      </c>
      <c r="X9" s="30" t="s">
        <v>138</v>
      </c>
      <c r="Y9" s="30" t="s">
        <v>130</v>
      </c>
      <c r="Z9" s="30" t="s">
        <v>64</v>
      </c>
      <c r="AA9" s="30" t="s">
        <v>134</v>
      </c>
      <c r="AB9" s="30" t="s">
        <v>56</v>
      </c>
      <c r="AC9" s="30" t="s">
        <v>139</v>
      </c>
    </row>
    <row r="10" spans="1:29">
      <c r="A10" s="24" t="s">
        <v>140</v>
      </c>
      <c r="B10" s="24" t="str">
        <f>IF(ISNUMBER(SEARCH(E10,A10)),A10,IF(OR(E10="",E10=""),A10,A10&amp;" - "&amp;E10))</f>
        <v>TYSON 2.0 30/1 - Haymaker Haze</v>
      </c>
      <c r="C10" s="24" t="s">
        <v>141</v>
      </c>
      <c r="D10" s="24" t="s">
        <v>142</v>
      </c>
      <c r="E10" s="24" t="s">
        <v>143</v>
      </c>
      <c r="F10" s="24" t="s">
        <v>144</v>
      </c>
      <c r="G10" s="27">
        <v>30</v>
      </c>
      <c r="H10" s="28">
        <v>1</v>
      </c>
      <c r="I10" s="24"/>
      <c r="J10" s="24"/>
      <c r="K10" s="24" t="s">
        <v>52</v>
      </c>
      <c r="L10" s="24" t="s">
        <v>145</v>
      </c>
      <c r="M10" s="24" t="s">
        <v>111</v>
      </c>
      <c r="N10" s="24" t="s">
        <v>88</v>
      </c>
      <c r="O10" s="24" t="s">
        <v>72</v>
      </c>
      <c r="P10" s="24" t="s">
        <v>146</v>
      </c>
      <c r="Q10" s="24" t="s">
        <v>74</v>
      </c>
      <c r="R10" s="24" t="s">
        <v>89</v>
      </c>
      <c r="S10" s="24" t="s">
        <v>90</v>
      </c>
      <c r="T10" s="24" t="s">
        <v>105</v>
      </c>
      <c r="U10" s="24" t="s">
        <v>147</v>
      </c>
      <c r="V10" s="24" t="s">
        <v>77</v>
      </c>
      <c r="W10" s="24" t="s">
        <v>129</v>
      </c>
      <c r="X10" s="24" t="s">
        <v>107</v>
      </c>
      <c r="Y10" s="24" t="s">
        <v>148</v>
      </c>
      <c r="Z10" s="24" t="s">
        <v>64</v>
      </c>
      <c r="AA10" s="24" t="s">
        <v>149</v>
      </c>
      <c r="AB10" s="24" t="s">
        <v>150</v>
      </c>
      <c r="AC10" s="24" t="s">
        <v>151</v>
      </c>
    </row>
    <row r="11" spans="1:29">
      <c r="A11" s="30" t="s">
        <v>152</v>
      </c>
      <c r="B11" s="30" t="str">
        <f>IF(ISNUMBER(SEARCH(E11,A11)),A11,IF(OR(E11="",E11=""),A11,A11&amp;" - "&amp;E11))</f>
        <v>Bathera 25/1 - Velvet Glove</v>
      </c>
      <c r="C11" s="30" t="s">
        <v>153</v>
      </c>
      <c r="D11" s="30" t="s">
        <v>154</v>
      </c>
      <c r="E11" s="30" t="s">
        <v>155</v>
      </c>
      <c r="F11" s="30" t="s">
        <v>144</v>
      </c>
      <c r="G11" s="34">
        <v>25</v>
      </c>
      <c r="H11" s="35">
        <v>1</v>
      </c>
      <c r="I11" s="30"/>
      <c r="J11" s="30"/>
      <c r="K11" s="30" t="s">
        <v>52</v>
      </c>
      <c r="L11" s="30" t="s">
        <v>102</v>
      </c>
      <c r="M11" s="30" t="s">
        <v>156</v>
      </c>
      <c r="N11" s="30" t="s">
        <v>88</v>
      </c>
      <c r="O11" s="30" t="s">
        <v>72</v>
      </c>
      <c r="P11" s="30" t="s">
        <v>73</v>
      </c>
      <c r="Q11" s="30" t="s">
        <v>157</v>
      </c>
      <c r="R11" s="30" t="s">
        <v>75</v>
      </c>
      <c r="S11" s="30" t="s">
        <v>158</v>
      </c>
      <c r="T11" s="30" t="s">
        <v>61</v>
      </c>
      <c r="U11" s="30" t="s">
        <v>62</v>
      </c>
      <c r="V11" s="30" t="s">
        <v>77</v>
      </c>
      <c r="W11" s="30" t="s">
        <v>116</v>
      </c>
      <c r="X11" s="30" t="s">
        <v>107</v>
      </c>
      <c r="Y11" s="30" t="s">
        <v>159</v>
      </c>
      <c r="Z11" s="30" t="s">
        <v>64</v>
      </c>
      <c r="AA11" s="30" t="s">
        <v>154</v>
      </c>
      <c r="AB11" s="30" t="s">
        <v>160</v>
      </c>
      <c r="AC11" s="30" t="s">
        <v>161</v>
      </c>
    </row>
    <row r="12" spans="1:29">
      <c r="A12" s="24" t="s">
        <v>162</v>
      </c>
      <c r="B12" s="24" t="str">
        <f>IF(ISNUMBER(SEARCH(E12,A12)),A12,IF(OR(E12="",E12=""),A12,A12&amp;" - "&amp;E12))</f>
        <v>madrecan 21/1 - Granddaddy OG</v>
      </c>
      <c r="C12" s="24" t="s">
        <v>83</v>
      </c>
      <c r="D12" s="24" t="s">
        <v>84</v>
      </c>
      <c r="E12" s="24" t="s">
        <v>163</v>
      </c>
      <c r="F12" s="24" t="s">
        <v>120</v>
      </c>
      <c r="G12" s="27">
        <v>21</v>
      </c>
      <c r="H12" s="28">
        <v>1</v>
      </c>
      <c r="I12" s="24"/>
      <c r="J12" s="24"/>
      <c r="K12" s="24" t="s">
        <v>17</v>
      </c>
      <c r="L12" s="24" t="s">
        <v>102</v>
      </c>
      <c r="M12" s="24" t="s">
        <v>88</v>
      </c>
      <c r="N12" s="24" t="s">
        <v>103</v>
      </c>
      <c r="O12" s="24" t="s">
        <v>72</v>
      </c>
      <c r="P12" s="24" t="s">
        <v>157</v>
      </c>
      <c r="Q12" s="24" t="s">
        <v>146</v>
      </c>
      <c r="R12" s="24" t="s">
        <v>74</v>
      </c>
      <c r="S12" s="24" t="s">
        <v>61</v>
      </c>
      <c r="T12" s="24" t="s">
        <v>62</v>
      </c>
      <c r="U12" s="24" t="s">
        <v>164</v>
      </c>
      <c r="V12" s="24" t="s">
        <v>92</v>
      </c>
      <c r="W12" s="24" t="s">
        <v>77</v>
      </c>
      <c r="X12" s="24" t="s">
        <v>165</v>
      </c>
      <c r="Y12" s="24" t="s">
        <v>166</v>
      </c>
      <c r="Z12" s="24" t="s">
        <v>64</v>
      </c>
      <c r="AA12" s="24" t="s">
        <v>95</v>
      </c>
      <c r="AB12" s="24" t="s">
        <v>56</v>
      </c>
      <c r="AC12" s="24" t="s">
        <v>167</v>
      </c>
    </row>
    <row r="13" spans="1:29">
      <c r="A13" s="30" t="s">
        <v>168</v>
      </c>
      <c r="B13" s="30" t="str">
        <f>IF(ISNUMBER(SEARCH(E13,A13)),A13,IF(OR(E13="",E13=""),A13,A13&amp;" - "&amp;E13))</f>
        <v>TYSON 2.0 28/1 - Haymaker Haze</v>
      </c>
      <c r="C13" s="30" t="s">
        <v>141</v>
      </c>
      <c r="D13" s="30" t="s">
        <v>142</v>
      </c>
      <c r="E13" s="30" t="s">
        <v>143</v>
      </c>
      <c r="F13" s="30" t="s">
        <v>144</v>
      </c>
      <c r="G13" s="34">
        <v>28</v>
      </c>
      <c r="H13" s="35">
        <v>1</v>
      </c>
      <c r="I13" s="30"/>
      <c r="J13" s="30"/>
      <c r="K13" s="30" t="s">
        <v>52</v>
      </c>
      <c r="L13" s="30" t="s">
        <v>145</v>
      </c>
      <c r="M13" s="30" t="s">
        <v>111</v>
      </c>
      <c r="N13" s="30" t="s">
        <v>88</v>
      </c>
      <c r="O13" s="30" t="s">
        <v>72</v>
      </c>
      <c r="P13" s="30" t="s">
        <v>146</v>
      </c>
      <c r="Q13" s="30" t="s">
        <v>74</v>
      </c>
      <c r="R13" s="30" t="s">
        <v>89</v>
      </c>
      <c r="S13" s="30" t="s">
        <v>90</v>
      </c>
      <c r="T13" s="30" t="s">
        <v>105</v>
      </c>
      <c r="U13" s="30" t="s">
        <v>147</v>
      </c>
      <c r="V13" s="30" t="s">
        <v>77</v>
      </c>
      <c r="W13" s="30" t="s">
        <v>129</v>
      </c>
      <c r="X13" s="30" t="s">
        <v>107</v>
      </c>
      <c r="Y13" s="30" t="s">
        <v>169</v>
      </c>
      <c r="Z13" s="30" t="s">
        <v>64</v>
      </c>
      <c r="AA13" s="30" t="s">
        <v>149</v>
      </c>
      <c r="AB13" s="30" t="s">
        <v>150</v>
      </c>
      <c r="AC13" s="30" t="s">
        <v>170</v>
      </c>
    </row>
    <row r="14" spans="1:29">
      <c r="A14" s="24" t="s">
        <v>171</v>
      </c>
      <c r="B14" s="24" t="str">
        <f>IF(ISNUMBER(SEARCH(E14,A14)),A14,IF(OR(E14="",E14=""),A14,A14&amp;" - "&amp;E14))</f>
        <v>Remexian 30/1 HCC - Grape Gasoline</v>
      </c>
      <c r="C14" s="24" t="s">
        <v>83</v>
      </c>
      <c r="D14" s="24" t="s">
        <v>84</v>
      </c>
      <c r="E14" s="24" t="s">
        <v>172</v>
      </c>
      <c r="F14" s="24" t="s">
        <v>86</v>
      </c>
      <c r="G14" s="27">
        <v>30</v>
      </c>
      <c r="H14" s="28">
        <v>1</v>
      </c>
      <c r="I14" s="24"/>
      <c r="J14" s="24"/>
      <c r="K14" s="24" t="s">
        <v>52</v>
      </c>
      <c r="L14" s="24"/>
      <c r="M14" s="24" t="s">
        <v>88</v>
      </c>
      <c r="N14" s="24" t="s">
        <v>71</v>
      </c>
      <c r="O14" s="24" t="s">
        <v>55</v>
      </c>
      <c r="P14" s="24" t="s">
        <v>73</v>
      </c>
      <c r="Q14" s="24" t="s">
        <v>89</v>
      </c>
      <c r="R14" s="24" t="s">
        <v>58</v>
      </c>
      <c r="S14" s="24" t="s">
        <v>147</v>
      </c>
      <c r="T14" s="24" t="s">
        <v>106</v>
      </c>
      <c r="U14" s="24" t="s">
        <v>62</v>
      </c>
      <c r="V14" s="24" t="s">
        <v>77</v>
      </c>
      <c r="W14" s="24" t="s">
        <v>79</v>
      </c>
      <c r="X14" s="24" t="s">
        <v>173</v>
      </c>
      <c r="Y14" s="24" t="s">
        <v>174</v>
      </c>
      <c r="Z14" s="24" t="s">
        <v>64</v>
      </c>
      <c r="AA14" s="24" t="s">
        <v>95</v>
      </c>
      <c r="AB14" s="24" t="s">
        <v>56</v>
      </c>
      <c r="AC14" s="24" t="s">
        <v>175</v>
      </c>
    </row>
    <row r="15" spans="1:29">
      <c r="A15" s="30" t="s">
        <v>168</v>
      </c>
      <c r="B15" s="30" t="str">
        <f>IF(ISNUMBER(SEARCH(E15,A15)),A15,IF(OR(E15="",E15=""),A15,A15&amp;" - "&amp;E15))</f>
        <v>TYSON 2.0 28/1 - Tiger Milk</v>
      </c>
      <c r="C15" s="30" t="s">
        <v>141</v>
      </c>
      <c r="D15" s="30" t="s">
        <v>142</v>
      </c>
      <c r="E15" s="30" t="s">
        <v>176</v>
      </c>
      <c r="F15" s="30" t="s">
        <v>177</v>
      </c>
      <c r="G15" s="34">
        <v>28</v>
      </c>
      <c r="H15" s="35">
        <v>1</v>
      </c>
      <c r="I15" s="30"/>
      <c r="J15" s="30"/>
      <c r="K15" s="30" t="s">
        <v>52</v>
      </c>
      <c r="L15" s="30" t="s">
        <v>145</v>
      </c>
      <c r="M15" s="30" t="s">
        <v>88</v>
      </c>
      <c r="N15" s="30" t="s">
        <v>71</v>
      </c>
      <c r="O15" s="30" t="s">
        <v>178</v>
      </c>
      <c r="P15" s="30" t="s">
        <v>74</v>
      </c>
      <c r="Q15" s="30" t="s">
        <v>75</v>
      </c>
      <c r="R15" s="30" t="s">
        <v>59</v>
      </c>
      <c r="S15" s="30" t="s">
        <v>123</v>
      </c>
      <c r="T15" s="30" t="s">
        <v>62</v>
      </c>
      <c r="U15" s="30" t="s">
        <v>179</v>
      </c>
      <c r="V15" s="30" t="s">
        <v>180</v>
      </c>
      <c r="W15" s="30" t="s">
        <v>107</v>
      </c>
      <c r="X15" s="30" t="s">
        <v>56</v>
      </c>
      <c r="Y15" s="30" t="s">
        <v>181</v>
      </c>
      <c r="Z15" s="30" t="s">
        <v>64</v>
      </c>
      <c r="AA15" s="30" t="s">
        <v>149</v>
      </c>
      <c r="AB15" s="30" t="s">
        <v>150</v>
      </c>
      <c r="AC15" s="36" t="s">
        <v>182</v>
      </c>
    </row>
    <row r="16" spans="1:29">
      <c r="A16" s="24" t="s">
        <v>183</v>
      </c>
      <c r="B16" s="24" t="str">
        <f>IF(ISNUMBER(SEARCH(E16,A16)),A16,IF(OR(E16="",E16=""),A16,A16&amp;" - "&amp;E16))</f>
        <v>Canify Cannabis flos 20/1 UY Ku. - Big Buddha</v>
      </c>
      <c r="C16" s="24" t="s">
        <v>99</v>
      </c>
      <c r="D16" s="24" t="s">
        <v>100</v>
      </c>
      <c r="E16" s="24" t="s">
        <v>184</v>
      </c>
      <c r="F16" s="24" t="s">
        <v>177</v>
      </c>
      <c r="G16" s="27">
        <v>20</v>
      </c>
      <c r="H16" s="28">
        <v>1</v>
      </c>
      <c r="I16" s="24"/>
      <c r="J16" s="24"/>
      <c r="K16" s="24" t="s">
        <v>52</v>
      </c>
      <c r="L16" s="24" t="s">
        <v>185</v>
      </c>
      <c r="M16" s="24" t="s">
        <v>71</v>
      </c>
      <c r="N16" s="24" t="s">
        <v>103</v>
      </c>
      <c r="O16" s="24" t="s">
        <v>121</v>
      </c>
      <c r="P16" s="24" t="s">
        <v>186</v>
      </c>
      <c r="Q16" s="24" t="s">
        <v>74</v>
      </c>
      <c r="R16" s="24" t="s">
        <v>56</v>
      </c>
      <c r="S16" s="24" t="s">
        <v>187</v>
      </c>
      <c r="T16" s="24" t="s">
        <v>90</v>
      </c>
      <c r="U16" s="24" t="s">
        <v>106</v>
      </c>
      <c r="V16" s="24" t="s">
        <v>116</v>
      </c>
      <c r="W16" s="24" t="s">
        <v>79</v>
      </c>
      <c r="X16" s="24" t="s">
        <v>107</v>
      </c>
      <c r="Y16" s="24" t="s">
        <v>188</v>
      </c>
      <c r="Z16" s="24" t="s">
        <v>64</v>
      </c>
      <c r="AA16" s="24" t="s">
        <v>100</v>
      </c>
      <c r="AB16" s="24" t="s">
        <v>56</v>
      </c>
      <c r="AC16" s="24" t="s">
        <v>189</v>
      </c>
    </row>
    <row r="17" spans="1:29">
      <c r="A17" s="30" t="s">
        <v>190</v>
      </c>
      <c r="B17" s="30" t="str">
        <f>IF(ISNUMBER(SEARCH(E17,A17)),A17,IF(OR(E17="",E17=""),A17,A17&amp;" - "&amp;E17))</f>
        <v>Canify Cannabis flos 23/1 PRT Ku. - Black Cherry Pie</v>
      </c>
      <c r="C17" s="30" t="s">
        <v>99</v>
      </c>
      <c r="D17" s="30" t="s">
        <v>100</v>
      </c>
      <c r="E17" s="30" t="s">
        <v>191</v>
      </c>
      <c r="F17" s="30" t="s">
        <v>120</v>
      </c>
      <c r="G17" s="34">
        <v>22</v>
      </c>
      <c r="H17" s="35">
        <v>1</v>
      </c>
      <c r="I17" s="30"/>
      <c r="J17" s="30"/>
      <c r="K17" s="30" t="s">
        <v>52</v>
      </c>
      <c r="L17" s="30" t="s">
        <v>102</v>
      </c>
      <c r="M17" s="30" t="s">
        <v>111</v>
      </c>
      <c r="N17" s="30" t="s">
        <v>71</v>
      </c>
      <c r="O17" s="30" t="s">
        <v>103</v>
      </c>
      <c r="P17" s="30" t="s">
        <v>113</v>
      </c>
      <c r="Q17" s="30" t="s">
        <v>58</v>
      </c>
      <c r="R17" s="30" t="s">
        <v>56</v>
      </c>
      <c r="S17" s="30" t="s">
        <v>187</v>
      </c>
      <c r="T17" s="30" t="s">
        <v>192</v>
      </c>
      <c r="U17" s="30" t="s">
        <v>105</v>
      </c>
      <c r="V17" s="30" t="s">
        <v>92</v>
      </c>
      <c r="W17" s="30" t="s">
        <v>116</v>
      </c>
      <c r="X17" s="30" t="s">
        <v>107</v>
      </c>
      <c r="Y17" s="30" t="s">
        <v>193</v>
      </c>
      <c r="Z17" s="30" t="s">
        <v>64</v>
      </c>
      <c r="AA17" s="30" t="s">
        <v>100</v>
      </c>
      <c r="AB17" s="30" t="s">
        <v>194</v>
      </c>
      <c r="AC17" s="30" t="s">
        <v>195</v>
      </c>
    </row>
    <row r="18" spans="1:29">
      <c r="A18" s="24" t="s">
        <v>190</v>
      </c>
      <c r="B18" s="24" t="str">
        <f>IF(ISNUMBER(SEARCH(E18,A18)),A18,IF(OR(E18="",E18=""),A18,A18&amp;" - "&amp;E18))</f>
        <v>Canify Cannabis flos 23/1 PRT Ku. - Strawberry Banana</v>
      </c>
      <c r="C18" s="24" t="s">
        <v>99</v>
      </c>
      <c r="D18" s="24" t="s">
        <v>100</v>
      </c>
      <c r="E18" s="24" t="s">
        <v>196</v>
      </c>
      <c r="F18" s="24" t="s">
        <v>86</v>
      </c>
      <c r="G18" s="27">
        <v>23</v>
      </c>
      <c r="H18" s="28">
        <v>1</v>
      </c>
      <c r="I18" s="24"/>
      <c r="J18" s="24"/>
      <c r="K18" s="24" t="s">
        <v>52</v>
      </c>
      <c r="L18" s="24" t="s">
        <v>102</v>
      </c>
      <c r="M18" s="24" t="s">
        <v>71</v>
      </c>
      <c r="N18" s="24" t="s">
        <v>103</v>
      </c>
      <c r="O18" s="24" t="s">
        <v>72</v>
      </c>
      <c r="P18" s="24" t="s">
        <v>89</v>
      </c>
      <c r="Q18" s="24" t="s">
        <v>58</v>
      </c>
      <c r="R18" s="24" t="s">
        <v>56</v>
      </c>
      <c r="S18" s="24" t="s">
        <v>61</v>
      </c>
      <c r="T18" s="24" t="s">
        <v>62</v>
      </c>
      <c r="U18" s="24" t="s">
        <v>128</v>
      </c>
      <c r="V18" s="24" t="s">
        <v>77</v>
      </c>
      <c r="W18" s="24" t="s">
        <v>116</v>
      </c>
      <c r="X18" s="24" t="s">
        <v>197</v>
      </c>
      <c r="Y18" s="24" t="s">
        <v>198</v>
      </c>
      <c r="Z18" s="24" t="s">
        <v>64</v>
      </c>
      <c r="AA18" s="24" t="s">
        <v>100</v>
      </c>
      <c r="AB18" s="24" t="s">
        <v>194</v>
      </c>
      <c r="AC18" s="37" t="s">
        <v>199</v>
      </c>
    </row>
    <row r="19" spans="1:29">
      <c r="A19" s="30" t="s">
        <v>200</v>
      </c>
      <c r="B19" s="30" t="str">
        <f>IF(ISNUMBER(SEARCH(E19,A19)),A19,IF(OR(E19="",E19=""),A19,A19&amp;" - "&amp;E19))</f>
        <v>Cannamedical CM 24/1 - Gelati Punch</v>
      </c>
      <c r="C19" s="30" t="s">
        <v>48</v>
      </c>
      <c r="D19" s="30" t="s">
        <v>49</v>
      </c>
      <c r="E19" s="30" t="s">
        <v>201</v>
      </c>
      <c r="F19" s="30" t="s">
        <v>177</v>
      </c>
      <c r="G19" s="34">
        <v>24</v>
      </c>
      <c r="H19" s="35">
        <v>1</v>
      </c>
      <c r="I19" s="30"/>
      <c r="J19" s="30"/>
      <c r="K19" s="30" t="s">
        <v>52</v>
      </c>
      <c r="L19" s="30" t="s">
        <v>202</v>
      </c>
      <c r="M19" s="30" t="s">
        <v>88</v>
      </c>
      <c r="N19" s="30" t="s">
        <v>71</v>
      </c>
      <c r="O19" s="30" t="s">
        <v>72</v>
      </c>
      <c r="P19" s="30" t="s">
        <v>112</v>
      </c>
      <c r="Q19" s="30" t="s">
        <v>104</v>
      </c>
      <c r="R19" s="30" t="s">
        <v>58</v>
      </c>
      <c r="S19" s="30" t="s">
        <v>90</v>
      </c>
      <c r="T19" s="30" t="s">
        <v>106</v>
      </c>
      <c r="U19" s="30" t="s">
        <v>203</v>
      </c>
      <c r="V19" s="30" t="s">
        <v>77</v>
      </c>
      <c r="W19" s="30" t="s">
        <v>138</v>
      </c>
      <c r="X19" s="30" t="s">
        <v>107</v>
      </c>
      <c r="Y19" s="30" t="s">
        <v>204</v>
      </c>
      <c r="Z19" s="30" t="s">
        <v>64</v>
      </c>
      <c r="AA19" s="30" t="s">
        <v>49</v>
      </c>
      <c r="AB19" s="30" t="s">
        <v>56</v>
      </c>
      <c r="AC19" s="30" t="s">
        <v>205</v>
      </c>
    </row>
    <row r="20" spans="1:29">
      <c r="A20" s="24" t="s">
        <v>206</v>
      </c>
      <c r="B20" s="24" t="str">
        <f>IF(ISNUMBER(SEARCH(E20,A20)),A20,IF(OR(E20="",E20=""),A20,A20&amp;" - "&amp;E20))</f>
        <v>Cannamedical Sativa Classic NM - Candyland</v>
      </c>
      <c r="C20" s="24" t="s">
        <v>48</v>
      </c>
      <c r="D20" s="24" t="s">
        <v>49</v>
      </c>
      <c r="E20" s="24" t="s">
        <v>207</v>
      </c>
      <c r="F20" s="24" t="s">
        <v>144</v>
      </c>
      <c r="G20" s="27">
        <v>20</v>
      </c>
      <c r="H20" s="28">
        <v>1</v>
      </c>
      <c r="I20" s="24"/>
      <c r="J20" s="24"/>
      <c r="K20" s="24" t="s">
        <v>52</v>
      </c>
      <c r="L20" s="24"/>
      <c r="M20" s="24" t="s">
        <v>54</v>
      </c>
      <c r="N20" s="24" t="s">
        <v>71</v>
      </c>
      <c r="O20" s="24" t="s">
        <v>55</v>
      </c>
      <c r="P20" s="24" t="s">
        <v>74</v>
      </c>
      <c r="Q20" s="24" t="s">
        <v>89</v>
      </c>
      <c r="R20" s="24" t="s">
        <v>59</v>
      </c>
      <c r="S20" s="24" t="s">
        <v>123</v>
      </c>
      <c r="T20" s="24" t="s">
        <v>62</v>
      </c>
      <c r="U20" s="24" t="s">
        <v>179</v>
      </c>
      <c r="V20" s="24" t="s">
        <v>208</v>
      </c>
      <c r="W20" s="24" t="s">
        <v>180</v>
      </c>
      <c r="X20" s="24" t="s">
        <v>107</v>
      </c>
      <c r="Y20" s="24" t="s">
        <v>80</v>
      </c>
      <c r="Z20" s="24" t="s">
        <v>64</v>
      </c>
      <c r="AA20" s="24" t="s">
        <v>49</v>
      </c>
      <c r="AB20" s="24" t="s">
        <v>56</v>
      </c>
      <c r="AC20" s="24" t="s">
        <v>209</v>
      </c>
    </row>
    <row r="21" spans="1:29">
      <c r="A21" s="30" t="s">
        <v>210</v>
      </c>
      <c r="B21" s="30" t="str">
        <f>IF(ISNUMBER(SEARCH(E21,A21)),A21,IF(OR(E21="",E21=""),A21,A21&amp;" - "&amp;E21))</f>
        <v>Nimbus easy 22/1 - Strawberry Glue</v>
      </c>
      <c r="C21" s="30" t="s">
        <v>141</v>
      </c>
      <c r="D21" s="30" t="s">
        <v>142</v>
      </c>
      <c r="E21" s="30" t="s">
        <v>211</v>
      </c>
      <c r="F21" s="30" t="s">
        <v>86</v>
      </c>
      <c r="G21" s="34">
        <v>22</v>
      </c>
      <c r="H21" s="35">
        <v>1</v>
      </c>
      <c r="I21" s="30"/>
      <c r="J21" s="30"/>
      <c r="K21" s="30" t="s">
        <v>52</v>
      </c>
      <c r="L21" s="30" t="s">
        <v>145</v>
      </c>
      <c r="M21" s="30" t="s">
        <v>156</v>
      </c>
      <c r="N21" s="30" t="s">
        <v>212</v>
      </c>
      <c r="O21" s="30" t="s">
        <v>88</v>
      </c>
      <c r="P21" s="30" t="s">
        <v>73</v>
      </c>
      <c r="Q21" s="30" t="s">
        <v>157</v>
      </c>
      <c r="R21" s="30" t="s">
        <v>74</v>
      </c>
      <c r="S21" s="30" t="s">
        <v>90</v>
      </c>
      <c r="T21" s="30" t="s">
        <v>106</v>
      </c>
      <c r="U21" s="30" t="s">
        <v>158</v>
      </c>
      <c r="V21" s="30" t="s">
        <v>77</v>
      </c>
      <c r="W21" s="30" t="s">
        <v>116</v>
      </c>
      <c r="X21" s="30" t="s">
        <v>79</v>
      </c>
      <c r="Y21" s="30" t="s">
        <v>213</v>
      </c>
      <c r="Z21" s="30" t="s">
        <v>64</v>
      </c>
      <c r="AA21" s="30" t="s">
        <v>149</v>
      </c>
      <c r="AB21" s="30" t="s">
        <v>56</v>
      </c>
      <c r="AC21" s="30" t="s">
        <v>214</v>
      </c>
    </row>
    <row r="22" spans="1:29">
      <c r="A22" s="24" t="s">
        <v>215</v>
      </c>
      <c r="B22" s="24" t="str">
        <f>IF(ISNUMBER(SEARCH(E22,A22)),A22,IF(OR(E22="",E22=""),A22,A22&amp;" - "&amp;E22))</f>
        <v>Nimbus easy 24/1 - French Cookies</v>
      </c>
      <c r="C22" s="24" t="s">
        <v>141</v>
      </c>
      <c r="D22" s="24" t="s">
        <v>142</v>
      </c>
      <c r="E22" s="24" t="s">
        <v>216</v>
      </c>
      <c r="F22" s="24" t="s">
        <v>120</v>
      </c>
      <c r="G22" s="27">
        <v>24</v>
      </c>
      <c r="H22" s="28">
        <v>1</v>
      </c>
      <c r="I22" s="24"/>
      <c r="J22" s="24"/>
      <c r="K22" s="24" t="s">
        <v>52</v>
      </c>
      <c r="L22" s="24" t="s">
        <v>145</v>
      </c>
      <c r="M22" s="24" t="s">
        <v>54</v>
      </c>
      <c r="N22" s="24" t="s">
        <v>111</v>
      </c>
      <c r="O22" s="24" t="s">
        <v>88</v>
      </c>
      <c r="P22" s="24" t="s">
        <v>104</v>
      </c>
      <c r="Q22" s="24" t="s">
        <v>74</v>
      </c>
      <c r="R22" s="24" t="s">
        <v>58</v>
      </c>
      <c r="S22" s="24" t="s">
        <v>60</v>
      </c>
      <c r="T22" s="24" t="s">
        <v>203</v>
      </c>
      <c r="U22" s="24" t="s">
        <v>62</v>
      </c>
      <c r="V22" s="24" t="s">
        <v>77</v>
      </c>
      <c r="W22" s="24" t="s">
        <v>116</v>
      </c>
      <c r="X22" s="24" t="s">
        <v>165</v>
      </c>
      <c r="Y22" s="24" t="s">
        <v>217</v>
      </c>
      <c r="Z22" s="24" t="s">
        <v>64</v>
      </c>
      <c r="AA22" s="24" t="s">
        <v>149</v>
      </c>
      <c r="AB22" s="24" t="s">
        <v>56</v>
      </c>
      <c r="AC22" s="24" t="s">
        <v>218</v>
      </c>
    </row>
    <row r="23" spans="1:29">
      <c r="A23" s="30" t="s">
        <v>215</v>
      </c>
      <c r="B23" s="30" t="str">
        <f>IF(ISNUMBER(SEARCH(E23,A23)),A23,IF(OR(E23="",E23=""),A23,A23&amp;" - "&amp;E23))</f>
        <v>Nimbus easy 24/1 - La Sage</v>
      </c>
      <c r="C23" s="30" t="s">
        <v>141</v>
      </c>
      <c r="D23" s="30" t="s">
        <v>142</v>
      </c>
      <c r="E23" s="30" t="s">
        <v>219</v>
      </c>
      <c r="F23" s="30" t="s">
        <v>86</v>
      </c>
      <c r="G23" s="34">
        <v>23</v>
      </c>
      <c r="H23" s="35">
        <v>1</v>
      </c>
      <c r="I23" s="30"/>
      <c r="J23" s="30"/>
      <c r="K23" s="30" t="s">
        <v>52</v>
      </c>
      <c r="L23" s="30" t="s">
        <v>145</v>
      </c>
      <c r="M23" s="30" t="s">
        <v>88</v>
      </c>
      <c r="N23" s="30" t="s">
        <v>71</v>
      </c>
      <c r="O23" s="30" t="s">
        <v>55</v>
      </c>
      <c r="P23" s="30" t="s">
        <v>146</v>
      </c>
      <c r="Q23" s="30" t="s">
        <v>75</v>
      </c>
      <c r="R23" s="30" t="s">
        <v>56</v>
      </c>
      <c r="S23" s="30" t="s">
        <v>90</v>
      </c>
      <c r="T23" s="30" t="s">
        <v>60</v>
      </c>
      <c r="U23" s="30" t="s">
        <v>106</v>
      </c>
      <c r="V23" s="30" t="s">
        <v>77</v>
      </c>
      <c r="W23" s="30" t="s">
        <v>116</v>
      </c>
      <c r="X23" s="30" t="s">
        <v>107</v>
      </c>
      <c r="Y23" s="30" t="s">
        <v>220</v>
      </c>
      <c r="Z23" s="30" t="s">
        <v>64</v>
      </c>
      <c r="AA23" s="30" t="s">
        <v>149</v>
      </c>
      <c r="AB23" s="30" t="s">
        <v>56</v>
      </c>
      <c r="AC23" s="30" t="s">
        <v>221</v>
      </c>
    </row>
    <row r="24" spans="1:29">
      <c r="A24" s="24" t="s">
        <v>222</v>
      </c>
      <c r="B24" s="24" t="str">
        <f>IF(ISNUMBER(SEARCH(E24,A24)),A24,IF(OR(E24="",E24=""),A24,A24&amp;" - "&amp;E24))</f>
        <v>Tilray THC 15 Spotlight Porto - Blueberry</v>
      </c>
      <c r="C24" s="24" t="s">
        <v>133</v>
      </c>
      <c r="D24" s="24" t="s">
        <v>134</v>
      </c>
      <c r="E24" s="24" t="s">
        <v>223</v>
      </c>
      <c r="F24" s="24" t="s">
        <v>120</v>
      </c>
      <c r="G24" s="27">
        <v>15</v>
      </c>
      <c r="H24" s="28">
        <v>1</v>
      </c>
      <c r="I24" s="24"/>
      <c r="J24" s="24"/>
      <c r="K24" s="24" t="s">
        <v>17</v>
      </c>
      <c r="L24" s="24" t="s">
        <v>102</v>
      </c>
      <c r="M24" s="24" t="s">
        <v>88</v>
      </c>
      <c r="N24" s="24" t="s">
        <v>71</v>
      </c>
      <c r="O24" s="24" t="s">
        <v>103</v>
      </c>
      <c r="P24" s="24" t="s">
        <v>89</v>
      </c>
      <c r="Q24" s="24" t="s">
        <v>58</v>
      </c>
      <c r="R24" s="24" t="s">
        <v>56</v>
      </c>
      <c r="S24" s="24" t="s">
        <v>192</v>
      </c>
      <c r="T24" s="24" t="s">
        <v>147</v>
      </c>
      <c r="U24" s="24" t="s">
        <v>224</v>
      </c>
      <c r="V24" s="24" t="s">
        <v>77</v>
      </c>
      <c r="W24" s="24" t="s">
        <v>225</v>
      </c>
      <c r="X24" s="24" t="s">
        <v>197</v>
      </c>
      <c r="Y24" s="24" t="s">
        <v>226</v>
      </c>
      <c r="Z24" s="24" t="s">
        <v>64</v>
      </c>
      <c r="AA24" s="24" t="s">
        <v>134</v>
      </c>
      <c r="AB24" s="24" t="s">
        <v>56</v>
      </c>
      <c r="AC24" s="24" t="s">
        <v>227</v>
      </c>
    </row>
    <row r="25" spans="1:29">
      <c r="A25" s="30" t="s">
        <v>228</v>
      </c>
      <c r="B25" s="30" t="str">
        <f>IF(ISNUMBER(SEARCH(E25,A25)),A25,IF(OR(E25="",E25=""),A25,A25&amp;" - "&amp;E25))</f>
        <v>Tilray THC15 Spotlight Porto - Girl Scout Cookies</v>
      </c>
      <c r="C25" s="30" t="s">
        <v>133</v>
      </c>
      <c r="D25" s="30" t="s">
        <v>134</v>
      </c>
      <c r="E25" s="30" t="s">
        <v>229</v>
      </c>
      <c r="F25" s="30" t="s">
        <v>86</v>
      </c>
      <c r="G25" s="34">
        <v>15</v>
      </c>
      <c r="H25" s="35">
        <v>1</v>
      </c>
      <c r="I25" s="30"/>
      <c r="J25" s="30"/>
      <c r="K25" s="30" t="s">
        <v>17</v>
      </c>
      <c r="L25" s="30" t="s">
        <v>102</v>
      </c>
      <c r="M25" s="30" t="s">
        <v>88</v>
      </c>
      <c r="N25" s="30" t="s">
        <v>71</v>
      </c>
      <c r="O25" s="30" t="s">
        <v>103</v>
      </c>
      <c r="P25" s="30" t="s">
        <v>157</v>
      </c>
      <c r="Q25" s="30" t="s">
        <v>75</v>
      </c>
      <c r="R25" s="30" t="s">
        <v>89</v>
      </c>
      <c r="S25" s="30" t="s">
        <v>147</v>
      </c>
      <c r="T25" s="30" t="s">
        <v>106</v>
      </c>
      <c r="U25" s="30" t="s">
        <v>62</v>
      </c>
      <c r="V25" s="30" t="s">
        <v>92</v>
      </c>
      <c r="W25" s="30" t="s">
        <v>77</v>
      </c>
      <c r="X25" s="30" t="s">
        <v>79</v>
      </c>
      <c r="Y25" s="30" t="s">
        <v>230</v>
      </c>
      <c r="Z25" s="30" t="s">
        <v>64</v>
      </c>
      <c r="AA25" s="30" t="s">
        <v>134</v>
      </c>
      <c r="AB25" s="30" t="s">
        <v>56</v>
      </c>
      <c r="AC25" s="30" t="s">
        <v>231</v>
      </c>
    </row>
    <row r="26" spans="1:29">
      <c r="A26" s="24" t="s">
        <v>232</v>
      </c>
      <c r="B26" s="24" t="str">
        <f>IF(ISNUMBER(SEARCH(E26,A26)),A26,IF(OR(E26="",E26=""),A26,A26&amp;" - "&amp;E26))</f>
        <v>Tilray THC 18 Spotlight Porto - Headband</v>
      </c>
      <c r="C26" s="24" t="s">
        <v>133</v>
      </c>
      <c r="D26" s="24" t="s">
        <v>134</v>
      </c>
      <c r="E26" s="24" t="s">
        <v>233</v>
      </c>
      <c r="F26" s="24" t="s">
        <v>69</v>
      </c>
      <c r="G26" s="27">
        <v>18</v>
      </c>
      <c r="H26" s="28">
        <v>1</v>
      </c>
      <c r="I26" s="24"/>
      <c r="J26" s="24"/>
      <c r="K26" s="24" t="s">
        <v>17</v>
      </c>
      <c r="L26" s="24" t="s">
        <v>102</v>
      </c>
      <c r="M26" s="24" t="s">
        <v>54</v>
      </c>
      <c r="N26" s="24" t="s">
        <v>88</v>
      </c>
      <c r="O26" s="24" t="s">
        <v>178</v>
      </c>
      <c r="P26" s="24" t="s">
        <v>73</v>
      </c>
      <c r="Q26" s="24" t="s">
        <v>57</v>
      </c>
      <c r="R26" s="24" t="s">
        <v>75</v>
      </c>
      <c r="S26" s="24" t="s">
        <v>106</v>
      </c>
      <c r="T26" s="24" t="s">
        <v>164</v>
      </c>
      <c r="U26" s="24" t="s">
        <v>234</v>
      </c>
      <c r="V26" s="24" t="s">
        <v>77</v>
      </c>
      <c r="W26" s="24" t="s">
        <v>129</v>
      </c>
      <c r="X26" s="24" t="s">
        <v>79</v>
      </c>
      <c r="Y26" s="24" t="s">
        <v>235</v>
      </c>
      <c r="Z26" s="24" t="s">
        <v>64</v>
      </c>
      <c r="AA26" s="24" t="s">
        <v>134</v>
      </c>
      <c r="AB26" s="24" t="s">
        <v>56</v>
      </c>
      <c r="AC26" s="24" t="s">
        <v>236</v>
      </c>
    </row>
    <row r="27" spans="1:29">
      <c r="A27" s="30" t="s">
        <v>232</v>
      </c>
      <c r="B27" s="30" t="str">
        <f>IF(ISNUMBER(SEARCH(E27,A27)),A27,IF(OR(E27="",E27=""),A27,A27&amp;" - "&amp;E27))</f>
        <v>Tilray THC 18 Spotlight Porto - Master Kush</v>
      </c>
      <c r="C27" s="30" t="s">
        <v>133</v>
      </c>
      <c r="D27" s="30" t="s">
        <v>134</v>
      </c>
      <c r="E27" s="30" t="s">
        <v>237</v>
      </c>
      <c r="F27" s="30" t="s">
        <v>120</v>
      </c>
      <c r="G27" s="34">
        <v>18</v>
      </c>
      <c r="H27" s="35">
        <v>1</v>
      </c>
      <c r="I27" s="30"/>
      <c r="J27" s="30"/>
      <c r="K27" s="30" t="s">
        <v>17</v>
      </c>
      <c r="L27" s="30" t="s">
        <v>102</v>
      </c>
      <c r="M27" s="30" t="s">
        <v>103</v>
      </c>
      <c r="N27" s="30" t="s">
        <v>121</v>
      </c>
      <c r="O27" s="30" t="s">
        <v>72</v>
      </c>
      <c r="P27" s="30" t="s">
        <v>74</v>
      </c>
      <c r="Q27" s="30" t="s">
        <v>59</v>
      </c>
      <c r="R27" s="30" t="s">
        <v>56</v>
      </c>
      <c r="S27" s="30" t="s">
        <v>203</v>
      </c>
      <c r="T27" s="30" t="s">
        <v>62</v>
      </c>
      <c r="U27" s="30" t="s">
        <v>164</v>
      </c>
      <c r="V27" s="30" t="s">
        <v>77</v>
      </c>
      <c r="W27" s="30" t="s">
        <v>78</v>
      </c>
      <c r="X27" s="30" t="s">
        <v>107</v>
      </c>
      <c r="Y27" s="30" t="s">
        <v>238</v>
      </c>
      <c r="Z27" s="30" t="s">
        <v>64</v>
      </c>
      <c r="AA27" s="30" t="s">
        <v>134</v>
      </c>
      <c r="AB27" s="30" t="s">
        <v>56</v>
      </c>
      <c r="AC27" s="30" t="s">
        <v>239</v>
      </c>
    </row>
    <row r="28" spans="1:29">
      <c r="A28" s="24" t="s">
        <v>132</v>
      </c>
      <c r="B28" s="24" t="str">
        <f>IF(ISNUMBER(SEARCH(E28,A28)),A28,IF(OR(E28="",E28=""),A28,A28&amp;" - "&amp;E28))</f>
        <v>Tilray THC 22 Spotlight Porto - Pink Kush</v>
      </c>
      <c r="C28" s="24" t="s">
        <v>133</v>
      </c>
      <c r="D28" s="24" t="s">
        <v>134</v>
      </c>
      <c r="E28" s="24" t="s">
        <v>101</v>
      </c>
      <c r="F28" s="24" t="s">
        <v>86</v>
      </c>
      <c r="G28" s="27">
        <v>22</v>
      </c>
      <c r="H28" s="28">
        <v>1</v>
      </c>
      <c r="I28" s="24"/>
      <c r="J28" s="24"/>
      <c r="K28" s="24" t="s">
        <v>17</v>
      </c>
      <c r="L28" s="24" t="s">
        <v>102</v>
      </c>
      <c r="M28" s="24" t="s">
        <v>88</v>
      </c>
      <c r="N28" s="24" t="s">
        <v>71</v>
      </c>
      <c r="O28" s="24" t="s">
        <v>103</v>
      </c>
      <c r="P28" s="24" t="s">
        <v>57</v>
      </c>
      <c r="Q28" s="24" t="s">
        <v>104</v>
      </c>
      <c r="R28" s="24" t="s">
        <v>74</v>
      </c>
      <c r="S28" s="24" t="s">
        <v>60</v>
      </c>
      <c r="T28" s="24" t="s">
        <v>123</v>
      </c>
      <c r="U28" s="24" t="s">
        <v>106</v>
      </c>
      <c r="V28" s="24" t="s">
        <v>77</v>
      </c>
      <c r="W28" s="24" t="s">
        <v>79</v>
      </c>
      <c r="X28" s="24" t="s">
        <v>107</v>
      </c>
      <c r="Y28" s="24" t="s">
        <v>240</v>
      </c>
      <c r="Z28" s="24" t="s">
        <v>64</v>
      </c>
      <c r="AA28" s="24" t="s">
        <v>134</v>
      </c>
      <c r="AB28" s="24" t="s">
        <v>56</v>
      </c>
      <c r="AC28" s="24" t="s">
        <v>241</v>
      </c>
    </row>
    <row r="29" spans="1:29">
      <c r="A29" s="30" t="s">
        <v>132</v>
      </c>
      <c r="B29" s="30" t="str">
        <f>IF(ISNUMBER(SEARCH(E29,A29)),A29,IF(OR(E29="",E29=""),A29,A29&amp;" - "&amp;E29))</f>
        <v>Tilray THC 22 Spotlight Porto - Galaxy Walker OG</v>
      </c>
      <c r="C29" s="30" t="s">
        <v>133</v>
      </c>
      <c r="D29" s="30" t="s">
        <v>134</v>
      </c>
      <c r="E29" s="30" t="s">
        <v>242</v>
      </c>
      <c r="F29" s="30" t="s">
        <v>86</v>
      </c>
      <c r="G29" s="34">
        <v>22</v>
      </c>
      <c r="H29" s="35">
        <v>1</v>
      </c>
      <c r="I29" s="30"/>
      <c r="J29" s="30"/>
      <c r="K29" s="30" t="s">
        <v>17</v>
      </c>
      <c r="L29" s="30" t="s">
        <v>102</v>
      </c>
      <c r="M29" s="30" t="s">
        <v>72</v>
      </c>
      <c r="N29" s="30"/>
      <c r="O29" s="30" t="s">
        <v>56</v>
      </c>
      <c r="P29" s="30" t="s">
        <v>74</v>
      </c>
      <c r="Q29" s="30" t="s">
        <v>75</v>
      </c>
      <c r="R29" s="30" t="s">
        <v>59</v>
      </c>
      <c r="S29" s="30" t="s">
        <v>106</v>
      </c>
      <c r="T29" s="30" t="s">
        <v>62</v>
      </c>
      <c r="U29" s="30" t="s">
        <v>164</v>
      </c>
      <c r="V29" s="30" t="s">
        <v>77</v>
      </c>
      <c r="W29" s="30" t="s">
        <v>56</v>
      </c>
      <c r="X29" s="30" t="s">
        <v>56</v>
      </c>
      <c r="Y29" s="30" t="s">
        <v>243</v>
      </c>
      <c r="Z29" s="30" t="s">
        <v>64</v>
      </c>
      <c r="AA29" s="30" t="s">
        <v>134</v>
      </c>
      <c r="AB29" s="30" t="s">
        <v>56</v>
      </c>
      <c r="AC29" s="30" t="s">
        <v>244</v>
      </c>
    </row>
    <row r="30" spans="1:29">
      <c r="A30" s="24" t="s">
        <v>232</v>
      </c>
      <c r="B30" s="24" t="str">
        <f>IF(ISNUMBER(SEARCH(E30,A30)),A30,IF(OR(E30="",E30=""),A30,A30&amp;" - "&amp;E30))</f>
        <v>Tilray THC 18 Spotlight Porto - Galaxy Walker OG</v>
      </c>
      <c r="C30" s="24" t="s">
        <v>133</v>
      </c>
      <c r="D30" s="24" t="s">
        <v>134</v>
      </c>
      <c r="E30" s="24" t="s">
        <v>242</v>
      </c>
      <c r="F30" s="24" t="s">
        <v>86</v>
      </c>
      <c r="G30" s="27">
        <v>18</v>
      </c>
      <c r="H30" s="28">
        <v>1</v>
      </c>
      <c r="I30" s="24"/>
      <c r="J30" s="24"/>
      <c r="K30" s="24" t="s">
        <v>17</v>
      </c>
      <c r="L30" s="24" t="s">
        <v>102</v>
      </c>
      <c r="M30" s="24" t="s">
        <v>72</v>
      </c>
      <c r="N30" s="24"/>
      <c r="O30" s="24" t="s">
        <v>56</v>
      </c>
      <c r="P30" s="24" t="s">
        <v>74</v>
      </c>
      <c r="Q30" s="24" t="s">
        <v>75</v>
      </c>
      <c r="R30" s="24" t="s">
        <v>59</v>
      </c>
      <c r="S30" s="24" t="s">
        <v>106</v>
      </c>
      <c r="T30" s="24" t="s">
        <v>62</v>
      </c>
      <c r="U30" s="24" t="s">
        <v>164</v>
      </c>
      <c r="V30" s="24" t="s">
        <v>77</v>
      </c>
      <c r="W30" s="24" t="s">
        <v>56</v>
      </c>
      <c r="X30" s="24" t="s">
        <v>56</v>
      </c>
      <c r="Y30" s="24" t="s">
        <v>245</v>
      </c>
      <c r="Z30" s="24" t="s">
        <v>64</v>
      </c>
      <c r="AA30" s="24" t="s">
        <v>134</v>
      </c>
      <c r="AB30" s="24" t="s">
        <v>56</v>
      </c>
      <c r="AC30" s="24" t="s">
        <v>246</v>
      </c>
    </row>
    <row r="31" spans="1:29">
      <c r="A31" s="30" t="s">
        <v>247</v>
      </c>
      <c r="B31" s="30" t="str">
        <f>IF(ISNUMBER(SEARCH(E31,A31)),A31,IF(OR(E31="",E31=""),A31,A31&amp;" - "&amp;E31))</f>
        <v>Nimbus easy 26/1 - French Cookies</v>
      </c>
      <c r="C31" s="30" t="s">
        <v>141</v>
      </c>
      <c r="D31" s="30" t="s">
        <v>142</v>
      </c>
      <c r="E31" s="30" t="s">
        <v>216</v>
      </c>
      <c r="F31" s="30" t="s">
        <v>120</v>
      </c>
      <c r="G31" s="34">
        <v>26</v>
      </c>
      <c r="H31" s="35">
        <v>1</v>
      </c>
      <c r="I31" s="30"/>
      <c r="J31" s="30"/>
      <c r="K31" s="30" t="s">
        <v>52</v>
      </c>
      <c r="L31" s="30" t="s">
        <v>145</v>
      </c>
      <c r="M31" s="30" t="s">
        <v>54</v>
      </c>
      <c r="N31" s="30" t="s">
        <v>111</v>
      </c>
      <c r="O31" s="30" t="s">
        <v>88</v>
      </c>
      <c r="P31" s="30" t="s">
        <v>104</v>
      </c>
      <c r="Q31" s="30" t="s">
        <v>74</v>
      </c>
      <c r="R31" s="30" t="s">
        <v>58</v>
      </c>
      <c r="S31" s="30" t="s">
        <v>60</v>
      </c>
      <c r="T31" s="30" t="s">
        <v>203</v>
      </c>
      <c r="U31" s="30" t="s">
        <v>62</v>
      </c>
      <c r="V31" s="30" t="s">
        <v>77</v>
      </c>
      <c r="W31" s="30" t="s">
        <v>116</v>
      </c>
      <c r="X31" s="30" t="s">
        <v>165</v>
      </c>
      <c r="Y31" s="30" t="s">
        <v>248</v>
      </c>
      <c r="Z31" s="30" t="s">
        <v>64</v>
      </c>
      <c r="AA31" s="30" t="s">
        <v>149</v>
      </c>
      <c r="AB31" s="30" t="s">
        <v>56</v>
      </c>
      <c r="AC31" s="30" t="s">
        <v>249</v>
      </c>
    </row>
    <row r="32" spans="1:29">
      <c r="A32" s="24" t="s">
        <v>250</v>
      </c>
      <c r="B32" s="24" t="str">
        <f>IF(ISNUMBER(SEARCH(E32,A32)),A32,IF(OR(E32="",E32=""),A32,A32&amp;" - "&amp;E32))</f>
        <v>Remexian 16/1 - White Widow</v>
      </c>
      <c r="C32" s="24" t="s">
        <v>83</v>
      </c>
      <c r="D32" s="24" t="s">
        <v>84</v>
      </c>
      <c r="E32" s="24" t="s">
        <v>251</v>
      </c>
      <c r="F32" s="24" t="s">
        <v>69</v>
      </c>
      <c r="G32" s="27">
        <v>16</v>
      </c>
      <c r="H32" s="28">
        <v>1</v>
      </c>
      <c r="I32" s="24"/>
      <c r="J32" s="24"/>
      <c r="K32" s="24" t="s">
        <v>17</v>
      </c>
      <c r="L32" s="24" t="s">
        <v>87</v>
      </c>
      <c r="M32" s="24" t="s">
        <v>54</v>
      </c>
      <c r="N32" s="24" t="s">
        <v>111</v>
      </c>
      <c r="O32" s="24" t="s">
        <v>88</v>
      </c>
      <c r="P32" s="24" t="s">
        <v>146</v>
      </c>
      <c r="Q32" s="24" t="s">
        <v>74</v>
      </c>
      <c r="R32" s="24" t="s">
        <v>113</v>
      </c>
      <c r="S32" s="24" t="s">
        <v>128</v>
      </c>
      <c r="T32" s="24" t="s">
        <v>62</v>
      </c>
      <c r="U32" s="24" t="s">
        <v>179</v>
      </c>
      <c r="V32" s="24" t="s">
        <v>252</v>
      </c>
      <c r="W32" s="24" t="s">
        <v>77</v>
      </c>
      <c r="X32" s="24" t="s">
        <v>253</v>
      </c>
      <c r="Y32" s="24" t="s">
        <v>254</v>
      </c>
      <c r="Z32" s="24" t="s">
        <v>64</v>
      </c>
      <c r="AA32" s="24" t="s">
        <v>95</v>
      </c>
      <c r="AB32" s="24" t="s">
        <v>56</v>
      </c>
      <c r="AC32" s="24" t="s">
        <v>255</v>
      </c>
    </row>
    <row r="33" spans="1:29">
      <c r="A33" s="30" t="s">
        <v>232</v>
      </c>
      <c r="B33" s="30" t="str">
        <f>IF(ISNUMBER(SEARCH(E33,A33)),A33,IF(OR(E33="",E33=""),A33,A33&amp;" - "&amp;E33))</f>
        <v>Tilray THC 18 Spotlight Porto - Sour Diesel</v>
      </c>
      <c r="C33" s="30" t="s">
        <v>133</v>
      </c>
      <c r="D33" s="30" t="s">
        <v>134</v>
      </c>
      <c r="E33" s="30" t="s">
        <v>256</v>
      </c>
      <c r="F33" s="30" t="s">
        <v>69</v>
      </c>
      <c r="G33" s="34">
        <v>18</v>
      </c>
      <c r="H33" s="35">
        <v>1</v>
      </c>
      <c r="I33" s="30"/>
      <c r="J33" s="30"/>
      <c r="K33" s="30" t="s">
        <v>17</v>
      </c>
      <c r="L33" s="30" t="s">
        <v>102</v>
      </c>
      <c r="M33" s="30" t="s">
        <v>156</v>
      </c>
      <c r="N33" s="30" t="s">
        <v>111</v>
      </c>
      <c r="O33" s="30" t="s">
        <v>88</v>
      </c>
      <c r="P33" s="30" t="s">
        <v>73</v>
      </c>
      <c r="Q33" s="30" t="s">
        <v>74</v>
      </c>
      <c r="R33" s="30" t="s">
        <v>75</v>
      </c>
      <c r="S33" s="30" t="s">
        <v>60</v>
      </c>
      <c r="T33" s="30" t="s">
        <v>123</v>
      </c>
      <c r="U33" s="30" t="s">
        <v>106</v>
      </c>
      <c r="V33" s="30" t="s">
        <v>257</v>
      </c>
      <c r="W33" s="30" t="s">
        <v>77</v>
      </c>
      <c r="X33" s="30" t="s">
        <v>225</v>
      </c>
      <c r="Y33" s="30" t="s">
        <v>235</v>
      </c>
      <c r="Z33" s="30" t="s">
        <v>64</v>
      </c>
      <c r="AA33" s="30" t="s">
        <v>134</v>
      </c>
      <c r="AB33" s="30" t="s">
        <v>56</v>
      </c>
      <c r="AC33" s="30" t="s">
        <v>258</v>
      </c>
    </row>
    <row r="34" spans="1:29">
      <c r="A34" s="24" t="s">
        <v>232</v>
      </c>
      <c r="B34" s="24" t="str">
        <f>IF(ISNUMBER(SEARCH(E34,A34)),A34,IF(OR(E34="",E34=""),A34,A34&amp;" - "&amp;E34))</f>
        <v>Tilray THC 18 Spotlight Porto - Mango</v>
      </c>
      <c r="C34" s="24" t="s">
        <v>133</v>
      </c>
      <c r="D34" s="24" t="s">
        <v>134</v>
      </c>
      <c r="E34" s="24" t="s">
        <v>259</v>
      </c>
      <c r="F34" s="24" t="s">
        <v>120</v>
      </c>
      <c r="G34" s="27">
        <v>18</v>
      </c>
      <c r="H34" s="28">
        <v>1</v>
      </c>
      <c r="I34" s="24"/>
      <c r="J34" s="24"/>
      <c r="K34" s="24" t="s">
        <v>17</v>
      </c>
      <c r="L34" s="24" t="s">
        <v>102</v>
      </c>
      <c r="M34" s="24" t="s">
        <v>54</v>
      </c>
      <c r="N34" s="24" t="s">
        <v>212</v>
      </c>
      <c r="O34" s="24" t="s">
        <v>88</v>
      </c>
      <c r="P34" s="24" t="s">
        <v>136</v>
      </c>
      <c r="Q34" s="24" t="s">
        <v>89</v>
      </c>
      <c r="R34" s="24" t="s">
        <v>58</v>
      </c>
      <c r="S34" s="24" t="s">
        <v>60</v>
      </c>
      <c r="T34" s="24" t="s">
        <v>106</v>
      </c>
      <c r="U34" s="24" t="s">
        <v>91</v>
      </c>
      <c r="V34" s="24" t="s">
        <v>77</v>
      </c>
      <c r="W34" s="24" t="s">
        <v>129</v>
      </c>
      <c r="X34" s="24" t="s">
        <v>79</v>
      </c>
      <c r="Y34" s="24" t="s">
        <v>235</v>
      </c>
      <c r="Z34" s="24" t="s">
        <v>64</v>
      </c>
      <c r="AA34" s="24" t="s">
        <v>134</v>
      </c>
      <c r="AB34" s="24" t="s">
        <v>56</v>
      </c>
      <c r="AC34" s="24" t="s">
        <v>260</v>
      </c>
    </row>
    <row r="35" spans="1:29">
      <c r="A35" s="30" t="s">
        <v>232</v>
      </c>
      <c r="B35" s="30" t="str">
        <f>IF(ISNUMBER(SEARCH(E35,A35)),A35,IF(OR(E35="",E35=""),A35,A35&amp;" - "&amp;E35))</f>
        <v>Tilray THC 18 Spotlight Porto - Blueberry</v>
      </c>
      <c r="C35" s="30" t="s">
        <v>133</v>
      </c>
      <c r="D35" s="30" t="s">
        <v>134</v>
      </c>
      <c r="E35" s="30" t="s">
        <v>223</v>
      </c>
      <c r="F35" s="30" t="s">
        <v>120</v>
      </c>
      <c r="G35" s="34">
        <v>18</v>
      </c>
      <c r="H35" s="35">
        <v>1</v>
      </c>
      <c r="I35" s="30"/>
      <c r="J35" s="30"/>
      <c r="K35" s="30" t="s">
        <v>17</v>
      </c>
      <c r="L35" s="30" t="s">
        <v>102</v>
      </c>
      <c r="M35" s="30" t="s">
        <v>88</v>
      </c>
      <c r="N35" s="30" t="s">
        <v>71</v>
      </c>
      <c r="O35" s="30" t="s">
        <v>103</v>
      </c>
      <c r="P35" s="30" t="s">
        <v>89</v>
      </c>
      <c r="Q35" s="30" t="s">
        <v>58</v>
      </c>
      <c r="R35" s="30" t="s">
        <v>56</v>
      </c>
      <c r="S35" s="30" t="s">
        <v>192</v>
      </c>
      <c r="T35" s="30" t="s">
        <v>147</v>
      </c>
      <c r="U35" s="30" t="s">
        <v>224</v>
      </c>
      <c r="V35" s="30" t="s">
        <v>77</v>
      </c>
      <c r="W35" s="30" t="s">
        <v>225</v>
      </c>
      <c r="X35" s="30" t="s">
        <v>197</v>
      </c>
      <c r="Y35" s="30" t="s">
        <v>235</v>
      </c>
      <c r="Z35" s="30" t="s">
        <v>64</v>
      </c>
      <c r="AA35" s="30" t="s">
        <v>134</v>
      </c>
      <c r="AB35" s="30" t="s">
        <v>56</v>
      </c>
      <c r="AC35" s="30" t="s">
        <v>261</v>
      </c>
    </row>
    <row r="36" spans="1:29">
      <c r="A36" s="24" t="s">
        <v>247</v>
      </c>
      <c r="B36" s="24" t="str">
        <f>IF(ISNUMBER(SEARCH(E36,A36)),A36,IF(OR(E36="",E36=""),A36,A36&amp;" - "&amp;E36))</f>
        <v>Nimbus easy 26/1 - La Sage</v>
      </c>
      <c r="C36" s="24" t="s">
        <v>141</v>
      </c>
      <c r="D36" s="24" t="s">
        <v>142</v>
      </c>
      <c r="E36" s="24" t="s">
        <v>219</v>
      </c>
      <c r="F36" s="24" t="s">
        <v>86</v>
      </c>
      <c r="G36" s="27">
        <v>26</v>
      </c>
      <c r="H36" s="28">
        <v>1</v>
      </c>
      <c r="I36" s="24"/>
      <c r="J36" s="24"/>
      <c r="K36" s="24" t="s">
        <v>52</v>
      </c>
      <c r="L36" s="24" t="s">
        <v>145</v>
      </c>
      <c r="M36" s="24" t="s">
        <v>88</v>
      </c>
      <c r="N36" s="24" t="s">
        <v>71</v>
      </c>
      <c r="O36" s="24" t="s">
        <v>55</v>
      </c>
      <c r="P36" s="24" t="s">
        <v>146</v>
      </c>
      <c r="Q36" s="24" t="s">
        <v>75</v>
      </c>
      <c r="R36" s="24" t="s">
        <v>56</v>
      </c>
      <c r="S36" s="24" t="s">
        <v>90</v>
      </c>
      <c r="T36" s="24" t="s">
        <v>60</v>
      </c>
      <c r="U36" s="24" t="s">
        <v>106</v>
      </c>
      <c r="V36" s="24" t="s">
        <v>77</v>
      </c>
      <c r="W36" s="24" t="s">
        <v>116</v>
      </c>
      <c r="X36" s="24" t="s">
        <v>107</v>
      </c>
      <c r="Y36" s="24" t="s">
        <v>262</v>
      </c>
      <c r="Z36" s="24" t="s">
        <v>64</v>
      </c>
      <c r="AA36" s="24" t="s">
        <v>149</v>
      </c>
      <c r="AB36" s="24" t="s">
        <v>56</v>
      </c>
      <c r="AC36" s="24" t="s">
        <v>263</v>
      </c>
    </row>
    <row r="37" spans="1:29">
      <c r="A37" s="30" t="s">
        <v>210</v>
      </c>
      <c r="B37" s="30" t="str">
        <f>IF(ISNUMBER(SEARCH(E37,A37)),A37,IF(OR(E37="",E37=""),A37,A37&amp;" - "&amp;E37))</f>
        <v>Nimbus easy 22/1 - La Sage</v>
      </c>
      <c r="C37" s="30" t="s">
        <v>141</v>
      </c>
      <c r="D37" s="30" t="s">
        <v>142</v>
      </c>
      <c r="E37" s="30" t="s">
        <v>219</v>
      </c>
      <c r="F37" s="30" t="s">
        <v>51</v>
      </c>
      <c r="G37" s="34">
        <v>22</v>
      </c>
      <c r="H37" s="35">
        <v>1</v>
      </c>
      <c r="I37" s="30"/>
      <c r="J37" s="30"/>
      <c r="K37" s="30" t="s">
        <v>52</v>
      </c>
      <c r="L37" s="30" t="s">
        <v>145</v>
      </c>
      <c r="M37" s="30" t="s">
        <v>88</v>
      </c>
      <c r="N37" s="30" t="s">
        <v>71</v>
      </c>
      <c r="O37" s="30" t="s">
        <v>55</v>
      </c>
      <c r="P37" s="30" t="s">
        <v>146</v>
      </c>
      <c r="Q37" s="30" t="s">
        <v>75</v>
      </c>
      <c r="R37" s="30" t="s">
        <v>56</v>
      </c>
      <c r="S37" s="30" t="s">
        <v>90</v>
      </c>
      <c r="T37" s="30" t="s">
        <v>60</v>
      </c>
      <c r="U37" s="30" t="s">
        <v>106</v>
      </c>
      <c r="V37" s="30" t="s">
        <v>77</v>
      </c>
      <c r="W37" s="30" t="s">
        <v>116</v>
      </c>
      <c r="X37" s="30" t="s">
        <v>107</v>
      </c>
      <c r="Y37" s="30" t="s">
        <v>264</v>
      </c>
      <c r="Z37" s="30" t="s">
        <v>64</v>
      </c>
      <c r="AA37" s="30" t="s">
        <v>149</v>
      </c>
      <c r="AB37" s="30" t="s">
        <v>56</v>
      </c>
      <c r="AC37" s="30" t="s">
        <v>265</v>
      </c>
    </row>
    <row r="38" spans="1:29">
      <c r="A38" s="24" t="s">
        <v>266</v>
      </c>
      <c r="B38" s="24" t="str">
        <f>IF(ISNUMBER(SEARCH(E38,A38)),A38,IF(OR(E38="",E38=""),A38,A38&amp;" - "&amp;E38))</f>
        <v>Tilray THC18 Spotlight Porto - Black Tuna</v>
      </c>
      <c r="C38" s="24" t="s">
        <v>133</v>
      </c>
      <c r="D38" s="24" t="s">
        <v>134</v>
      </c>
      <c r="E38" s="24" t="s">
        <v>267</v>
      </c>
      <c r="F38" s="24" t="s">
        <v>144</v>
      </c>
      <c r="G38" s="27">
        <v>18</v>
      </c>
      <c r="H38" s="28">
        <v>1</v>
      </c>
      <c r="I38" s="24"/>
      <c r="J38" s="24"/>
      <c r="K38" s="24" t="s">
        <v>52</v>
      </c>
      <c r="L38" s="24" t="s">
        <v>102</v>
      </c>
      <c r="M38" s="24" t="s">
        <v>88</v>
      </c>
      <c r="N38" s="24" t="s">
        <v>121</v>
      </c>
      <c r="O38" s="24" t="s">
        <v>72</v>
      </c>
      <c r="P38" s="24" t="s">
        <v>74</v>
      </c>
      <c r="Q38" s="24" t="s">
        <v>113</v>
      </c>
      <c r="R38" s="24" t="s">
        <v>89</v>
      </c>
      <c r="S38" s="24" t="s">
        <v>105</v>
      </c>
      <c r="T38" s="24" t="s">
        <v>60</v>
      </c>
      <c r="U38" s="24" t="s">
        <v>123</v>
      </c>
      <c r="V38" s="24" t="s">
        <v>77</v>
      </c>
      <c r="W38" s="24" t="s">
        <v>107</v>
      </c>
      <c r="X38" s="24" t="s">
        <v>173</v>
      </c>
      <c r="Y38" s="24" t="s">
        <v>268</v>
      </c>
      <c r="Z38" s="24" t="s">
        <v>64</v>
      </c>
      <c r="AA38" s="24" t="s">
        <v>134</v>
      </c>
      <c r="AB38" s="24" t="s">
        <v>56</v>
      </c>
      <c r="AC38" s="24" t="s">
        <v>269</v>
      </c>
    </row>
    <row r="39" spans="1:29">
      <c r="A39" s="30" t="s">
        <v>140</v>
      </c>
      <c r="B39" s="30" t="str">
        <f>IF(ISNUMBER(SEARCH(E39,A39)),A39,IF(OR(E39="",E39=""),A39,A39&amp;" - "&amp;E39))</f>
        <v>TYSON 2.0 30/1 - Tiger Milk</v>
      </c>
      <c r="C39" s="30" t="s">
        <v>141</v>
      </c>
      <c r="D39" s="30" t="s">
        <v>142</v>
      </c>
      <c r="E39" s="30" t="s">
        <v>176</v>
      </c>
      <c r="F39" s="30" t="s">
        <v>177</v>
      </c>
      <c r="G39" s="34">
        <v>30</v>
      </c>
      <c r="H39" s="35">
        <v>1</v>
      </c>
      <c r="I39" s="30"/>
      <c r="J39" s="30"/>
      <c r="K39" s="30" t="s">
        <v>52</v>
      </c>
      <c r="L39" s="30" t="s">
        <v>145</v>
      </c>
      <c r="M39" s="30" t="s">
        <v>88</v>
      </c>
      <c r="N39" s="30" t="s">
        <v>71</v>
      </c>
      <c r="O39" s="30" t="s">
        <v>178</v>
      </c>
      <c r="P39" s="30" t="s">
        <v>74</v>
      </c>
      <c r="Q39" s="30" t="s">
        <v>75</v>
      </c>
      <c r="R39" s="30" t="s">
        <v>59</v>
      </c>
      <c r="S39" s="30" t="s">
        <v>123</v>
      </c>
      <c r="T39" s="30" t="s">
        <v>62</v>
      </c>
      <c r="U39" s="30" t="s">
        <v>179</v>
      </c>
      <c r="V39" s="30" t="s">
        <v>180</v>
      </c>
      <c r="W39" s="30" t="s">
        <v>107</v>
      </c>
      <c r="X39" s="30" t="s">
        <v>56</v>
      </c>
      <c r="Y39" s="30" t="s">
        <v>148</v>
      </c>
      <c r="Z39" s="30" t="s">
        <v>64</v>
      </c>
      <c r="AA39" s="30" t="s">
        <v>149</v>
      </c>
      <c r="AB39" s="30" t="s">
        <v>150</v>
      </c>
      <c r="AC39" s="30" t="s">
        <v>270</v>
      </c>
    </row>
    <row r="40" spans="1:29">
      <c r="A40" s="24" t="s">
        <v>266</v>
      </c>
      <c r="B40" s="24" t="str">
        <f>IF(ISNUMBER(SEARCH(E40,A40)),A40,IF(OR(E40="",E40=""),A40,A40&amp;" - "&amp;E40))</f>
        <v>Tilray THC18 Spotlight Porto - White Widow</v>
      </c>
      <c r="C40" s="24" t="s">
        <v>133</v>
      </c>
      <c r="D40" s="24" t="s">
        <v>134</v>
      </c>
      <c r="E40" s="24" t="s">
        <v>251</v>
      </c>
      <c r="F40" s="24" t="s">
        <v>86</v>
      </c>
      <c r="G40" s="27">
        <v>18</v>
      </c>
      <c r="H40" s="28">
        <v>1</v>
      </c>
      <c r="I40" s="24"/>
      <c r="J40" s="24"/>
      <c r="K40" s="24" t="s">
        <v>17</v>
      </c>
      <c r="L40" s="24" t="s">
        <v>102</v>
      </c>
      <c r="M40" s="24" t="s">
        <v>54</v>
      </c>
      <c r="N40" s="24" t="s">
        <v>111</v>
      </c>
      <c r="O40" s="24" t="s">
        <v>88</v>
      </c>
      <c r="P40" s="24" t="s">
        <v>146</v>
      </c>
      <c r="Q40" s="24" t="s">
        <v>74</v>
      </c>
      <c r="R40" s="24" t="s">
        <v>113</v>
      </c>
      <c r="S40" s="24" t="s">
        <v>106</v>
      </c>
      <c r="T40" s="24" t="s">
        <v>76</v>
      </c>
      <c r="U40" s="24" t="s">
        <v>128</v>
      </c>
      <c r="V40" s="24" t="s">
        <v>252</v>
      </c>
      <c r="W40" s="24" t="s">
        <v>77</v>
      </c>
      <c r="X40" s="24" t="s">
        <v>253</v>
      </c>
      <c r="Y40" s="24" t="s">
        <v>235</v>
      </c>
      <c r="Z40" s="24" t="s">
        <v>64</v>
      </c>
      <c r="AA40" s="24" t="s">
        <v>134</v>
      </c>
      <c r="AB40" s="24" t="s">
        <v>56</v>
      </c>
      <c r="AC40" s="24" t="s">
        <v>271</v>
      </c>
    </row>
    <row r="41" spans="1:29">
      <c r="A41" s="30" t="s">
        <v>272</v>
      </c>
      <c r="B41" s="30" t="str">
        <f>IF(ISNUMBER(SEARCH(E41,A41)),A41,IF(OR(E41="",E41=""),A41,A41&amp;" - "&amp;E41))</f>
        <v>Nimbus easy 20/1 - Gelato</v>
      </c>
      <c r="C41" s="30" t="s">
        <v>141</v>
      </c>
      <c r="D41" s="30" t="s">
        <v>142</v>
      </c>
      <c r="E41" s="30" t="s">
        <v>273</v>
      </c>
      <c r="F41" s="30" t="s">
        <v>177</v>
      </c>
      <c r="G41" s="34">
        <v>20</v>
      </c>
      <c r="H41" s="35">
        <v>1</v>
      </c>
      <c r="I41" s="30"/>
      <c r="J41" s="30"/>
      <c r="K41" s="30" t="s">
        <v>52</v>
      </c>
      <c r="L41" s="30" t="s">
        <v>145</v>
      </c>
      <c r="M41" s="30" t="s">
        <v>156</v>
      </c>
      <c r="N41" s="30" t="s">
        <v>54</v>
      </c>
      <c r="O41" s="30" t="s">
        <v>111</v>
      </c>
      <c r="P41" s="30" t="s">
        <v>112</v>
      </c>
      <c r="Q41" s="30" t="s">
        <v>57</v>
      </c>
      <c r="R41" s="30" t="s">
        <v>89</v>
      </c>
      <c r="S41" s="30" t="s">
        <v>123</v>
      </c>
      <c r="T41" s="30" t="s">
        <v>106</v>
      </c>
      <c r="U41" s="30" t="s">
        <v>76</v>
      </c>
      <c r="V41" s="30" t="s">
        <v>257</v>
      </c>
      <c r="W41" s="30" t="s">
        <v>252</v>
      </c>
      <c r="X41" s="30" t="s">
        <v>77</v>
      </c>
      <c r="Y41" s="30" t="s">
        <v>274</v>
      </c>
      <c r="Z41" s="30" t="s">
        <v>64</v>
      </c>
      <c r="AA41" s="30" t="s">
        <v>149</v>
      </c>
      <c r="AB41" s="30" t="s">
        <v>56</v>
      </c>
      <c r="AC41" s="30" t="s">
        <v>275</v>
      </c>
    </row>
    <row r="42" spans="1:29">
      <c r="A42" s="24" t="s">
        <v>276</v>
      </c>
      <c r="B42" s="24" t="str">
        <f>IF(ISNUMBER(SEARCH(E42,A42)),A42,IF(OR(E42="",E42=""),A42,A42&amp;" - "&amp;E42))</f>
        <v>Cannamedical CM 30/1 - Koko Cookies</v>
      </c>
      <c r="C42" s="24" t="s">
        <v>48</v>
      </c>
      <c r="D42" s="24" t="s">
        <v>49</v>
      </c>
      <c r="E42" s="24" t="s">
        <v>277</v>
      </c>
      <c r="F42" s="24" t="s">
        <v>177</v>
      </c>
      <c r="G42" s="27">
        <v>27</v>
      </c>
      <c r="H42" s="28">
        <v>1</v>
      </c>
      <c r="I42" s="24"/>
      <c r="J42" s="24"/>
      <c r="K42" s="24" t="s">
        <v>52</v>
      </c>
      <c r="L42" s="24" t="s">
        <v>53</v>
      </c>
      <c r="M42" s="24" t="s">
        <v>71</v>
      </c>
      <c r="N42" s="24" t="s">
        <v>72</v>
      </c>
      <c r="O42" s="24" t="s">
        <v>56</v>
      </c>
      <c r="P42" s="24" t="s">
        <v>74</v>
      </c>
      <c r="Q42" s="24" t="s">
        <v>89</v>
      </c>
      <c r="R42" s="24" t="s">
        <v>59</v>
      </c>
      <c r="S42" s="24" t="s">
        <v>123</v>
      </c>
      <c r="T42" s="24" t="s">
        <v>61</v>
      </c>
      <c r="U42" s="24" t="s">
        <v>62</v>
      </c>
      <c r="V42" s="24" t="s">
        <v>77</v>
      </c>
      <c r="W42" s="24" t="s">
        <v>116</v>
      </c>
      <c r="X42" s="24" t="s">
        <v>180</v>
      </c>
      <c r="Y42" s="24" t="s">
        <v>278</v>
      </c>
      <c r="Z42" s="24" t="s">
        <v>64</v>
      </c>
      <c r="AA42" s="24" t="s">
        <v>49</v>
      </c>
      <c r="AB42" s="24" t="s">
        <v>56</v>
      </c>
      <c r="AC42" s="24" t="s">
        <v>279</v>
      </c>
    </row>
    <row r="43" spans="1:29">
      <c r="A43" s="30" t="s">
        <v>232</v>
      </c>
      <c r="B43" s="30" t="str">
        <f>IF(ISNUMBER(SEARCH(E43,A43)),A43,IF(OR(E43="",E43=""),A43,A43&amp;" - "&amp;E43))</f>
        <v>Tilray THC 18 Spotlight Porto - Island Sweet Skunk</v>
      </c>
      <c r="C43" s="30" t="s">
        <v>133</v>
      </c>
      <c r="D43" s="30" t="s">
        <v>134</v>
      </c>
      <c r="E43" s="30" t="s">
        <v>135</v>
      </c>
      <c r="F43" s="30" t="s">
        <v>69</v>
      </c>
      <c r="G43" s="34">
        <v>18</v>
      </c>
      <c r="H43" s="35">
        <v>1</v>
      </c>
      <c r="I43" s="30"/>
      <c r="J43" s="30"/>
      <c r="K43" s="30" t="s">
        <v>17</v>
      </c>
      <c r="L43" s="30" t="s">
        <v>102</v>
      </c>
      <c r="M43" s="30" t="s">
        <v>54</v>
      </c>
      <c r="N43" s="30" t="s">
        <v>111</v>
      </c>
      <c r="O43" s="30" t="s">
        <v>88</v>
      </c>
      <c r="P43" s="30" t="s">
        <v>136</v>
      </c>
      <c r="Q43" s="30" t="s">
        <v>89</v>
      </c>
      <c r="R43" s="30" t="s">
        <v>58</v>
      </c>
      <c r="S43" s="30" t="s">
        <v>90</v>
      </c>
      <c r="T43" s="30" t="s">
        <v>60</v>
      </c>
      <c r="U43" s="30" t="s">
        <v>62</v>
      </c>
      <c r="V43" s="30" t="s">
        <v>77</v>
      </c>
      <c r="W43" s="30" t="s">
        <v>137</v>
      </c>
      <c r="X43" s="30" t="s">
        <v>138</v>
      </c>
      <c r="Y43" s="30" t="s">
        <v>280</v>
      </c>
      <c r="Z43" s="30" t="s">
        <v>64</v>
      </c>
      <c r="AA43" s="30" t="s">
        <v>134</v>
      </c>
      <c r="AB43" s="30" t="s">
        <v>56</v>
      </c>
      <c r="AC43" s="30" t="s">
        <v>281</v>
      </c>
    </row>
    <row r="44" spans="1:29">
      <c r="A44" s="24" t="s">
        <v>67</v>
      </c>
      <c r="B44" s="24" t="str">
        <f>IF(ISNUMBER(SEARCH(E44,A44)),A44,IF(OR(E44="",E44=""),A44,A44&amp;" - "&amp;E44))</f>
        <v>Cannamedical Sativa forte - Duke</v>
      </c>
      <c r="C44" s="24" t="s">
        <v>48</v>
      </c>
      <c r="D44" s="24" t="s">
        <v>49</v>
      </c>
      <c r="E44" s="24" t="s">
        <v>282</v>
      </c>
      <c r="F44" s="24" t="s">
        <v>69</v>
      </c>
      <c r="G44" s="27">
        <v>24</v>
      </c>
      <c r="H44" s="28">
        <v>1</v>
      </c>
      <c r="I44" s="24"/>
      <c r="J44" s="24"/>
      <c r="K44" s="24" t="s">
        <v>52</v>
      </c>
      <c r="L44" s="24" t="s">
        <v>70</v>
      </c>
      <c r="M44" s="24" t="s">
        <v>54</v>
      </c>
      <c r="N44" s="24" t="s">
        <v>72</v>
      </c>
      <c r="O44" s="24" t="s">
        <v>56</v>
      </c>
      <c r="P44" s="24" t="s">
        <v>74</v>
      </c>
      <c r="Q44" s="24" t="s">
        <v>89</v>
      </c>
      <c r="R44" s="24" t="s">
        <v>59</v>
      </c>
      <c r="S44" s="24" t="s">
        <v>106</v>
      </c>
      <c r="T44" s="24" t="s">
        <v>76</v>
      </c>
      <c r="U44" s="24" t="s">
        <v>62</v>
      </c>
      <c r="V44" s="24" t="s">
        <v>77</v>
      </c>
      <c r="W44" s="24" t="s">
        <v>173</v>
      </c>
      <c r="X44" s="24" t="s">
        <v>56</v>
      </c>
      <c r="Y44" s="24" t="s">
        <v>283</v>
      </c>
      <c r="Z44" s="24" t="s">
        <v>64</v>
      </c>
      <c r="AA44" s="24" t="s">
        <v>49</v>
      </c>
      <c r="AB44" s="24" t="s">
        <v>56</v>
      </c>
      <c r="AC44" s="24" t="s">
        <v>284</v>
      </c>
    </row>
    <row r="45" spans="1:29">
      <c r="A45" s="30" t="s">
        <v>47</v>
      </c>
      <c r="B45" s="30" t="str">
        <f>IF(ISNUMBER(SEARCH(E45,A45)),A45,IF(OR(E45="",E45=""),A45,A45&amp;" - "&amp;E45))</f>
        <v>Cannamedical Indica forte MA - Carmelita</v>
      </c>
      <c r="C45" s="30" t="s">
        <v>48</v>
      </c>
      <c r="D45" s="30" t="s">
        <v>49</v>
      </c>
      <c r="E45" s="30" t="s">
        <v>285</v>
      </c>
      <c r="F45" s="30" t="s">
        <v>120</v>
      </c>
      <c r="G45" s="34">
        <v>25</v>
      </c>
      <c r="H45" s="35">
        <v>1</v>
      </c>
      <c r="I45" s="30"/>
      <c r="J45" s="30"/>
      <c r="K45" s="30" t="s">
        <v>17</v>
      </c>
      <c r="L45" s="30" t="s">
        <v>53</v>
      </c>
      <c r="M45" s="30" t="s">
        <v>88</v>
      </c>
      <c r="N45" s="30" t="s">
        <v>121</v>
      </c>
      <c r="O45" s="30" t="s">
        <v>72</v>
      </c>
      <c r="P45" s="30" t="s">
        <v>73</v>
      </c>
      <c r="Q45" s="30" t="s">
        <v>74</v>
      </c>
      <c r="R45" s="30" t="s">
        <v>89</v>
      </c>
      <c r="S45" s="30" t="s">
        <v>192</v>
      </c>
      <c r="T45" s="30" t="s">
        <v>147</v>
      </c>
      <c r="U45" s="30" t="s">
        <v>62</v>
      </c>
      <c r="V45" s="30" t="s">
        <v>77</v>
      </c>
      <c r="W45" s="30" t="s">
        <v>116</v>
      </c>
      <c r="X45" s="30" t="s">
        <v>56</v>
      </c>
      <c r="Y45" s="30" t="s">
        <v>286</v>
      </c>
      <c r="Z45" s="30" t="s">
        <v>64</v>
      </c>
      <c r="AA45" s="30" t="s">
        <v>49</v>
      </c>
      <c r="AB45" s="30" t="s">
        <v>56</v>
      </c>
      <c r="AC45" s="30" t="s">
        <v>287</v>
      </c>
    </row>
    <row r="46" spans="1:29">
      <c r="A46" s="24" t="s">
        <v>206</v>
      </c>
      <c r="B46" s="24" t="str">
        <f>IF(ISNUMBER(SEARCH(E46,A46)),A46,IF(OR(E46="",E46=""),A46,A46&amp;" - "&amp;E46))</f>
        <v>Cannamedical Sativa Classic NM - Wedding Tree</v>
      </c>
      <c r="C46" s="24" t="s">
        <v>48</v>
      </c>
      <c r="D46" s="24" t="s">
        <v>49</v>
      </c>
      <c r="E46" s="24" t="s">
        <v>288</v>
      </c>
      <c r="F46" s="24" t="s">
        <v>86</v>
      </c>
      <c r="G46" s="27">
        <v>20</v>
      </c>
      <c r="H46" s="28">
        <v>1</v>
      </c>
      <c r="I46" s="24"/>
      <c r="J46" s="24"/>
      <c r="K46" s="24" t="s">
        <v>52</v>
      </c>
      <c r="L46" s="24" t="s">
        <v>145</v>
      </c>
      <c r="M46" s="24" t="s">
        <v>54</v>
      </c>
      <c r="N46" s="24" t="s">
        <v>88</v>
      </c>
      <c r="O46" s="24" t="s">
        <v>71</v>
      </c>
      <c r="P46" s="24" t="s">
        <v>73</v>
      </c>
      <c r="Q46" s="24" t="s">
        <v>75</v>
      </c>
      <c r="R46" s="24" t="s">
        <v>89</v>
      </c>
      <c r="S46" s="24" t="s">
        <v>128</v>
      </c>
      <c r="T46" s="24" t="s">
        <v>62</v>
      </c>
      <c r="U46" s="24" t="s">
        <v>179</v>
      </c>
      <c r="V46" s="24" t="s">
        <v>79</v>
      </c>
      <c r="W46" s="24" t="s">
        <v>107</v>
      </c>
      <c r="X46" s="24" t="s">
        <v>173</v>
      </c>
      <c r="Y46" s="24" t="s">
        <v>289</v>
      </c>
      <c r="Z46" s="24" t="s">
        <v>64</v>
      </c>
      <c r="AA46" s="24" t="s">
        <v>49</v>
      </c>
      <c r="AB46" s="24" t="s">
        <v>56</v>
      </c>
      <c r="AC46" s="24" t="s">
        <v>290</v>
      </c>
    </row>
    <row r="47" spans="1:29">
      <c r="A47" s="30" t="s">
        <v>109</v>
      </c>
      <c r="B47" s="30" t="str">
        <f>IF(ISNUMBER(SEARCH(E47,A47)),A47,IF(OR(E47="",E47=""),A47,A47&amp;" - "&amp;E47))</f>
        <v>Cannamedical Sativa classic - VenomZ Eve</v>
      </c>
      <c r="C47" s="30" t="s">
        <v>48</v>
      </c>
      <c r="D47" s="30" t="s">
        <v>49</v>
      </c>
      <c r="E47" s="30" t="s">
        <v>291</v>
      </c>
      <c r="F47" s="30" t="s">
        <v>144</v>
      </c>
      <c r="G47" s="34">
        <v>22</v>
      </c>
      <c r="H47" s="35">
        <v>1</v>
      </c>
      <c r="I47" s="30"/>
      <c r="J47" s="30"/>
      <c r="K47" s="30" t="s">
        <v>17</v>
      </c>
      <c r="L47" s="30" t="s">
        <v>70</v>
      </c>
      <c r="M47" s="30" t="s">
        <v>111</v>
      </c>
      <c r="N47" s="30" t="s">
        <v>55</v>
      </c>
      <c r="O47" s="30" t="s">
        <v>72</v>
      </c>
      <c r="P47" s="30" t="s">
        <v>75</v>
      </c>
      <c r="Q47" s="30" t="s">
        <v>58</v>
      </c>
      <c r="R47" s="30" t="s">
        <v>56</v>
      </c>
      <c r="S47" s="30" t="s">
        <v>123</v>
      </c>
      <c r="T47" s="30" t="s">
        <v>106</v>
      </c>
      <c r="U47" s="30" t="s">
        <v>62</v>
      </c>
      <c r="V47" s="30" t="s">
        <v>77</v>
      </c>
      <c r="W47" s="30" t="s">
        <v>180</v>
      </c>
      <c r="X47" s="30" t="s">
        <v>292</v>
      </c>
      <c r="Y47" s="30" t="s">
        <v>293</v>
      </c>
      <c r="Z47" s="30" t="s">
        <v>64</v>
      </c>
      <c r="AA47" s="30" t="s">
        <v>49</v>
      </c>
      <c r="AB47" s="30" t="s">
        <v>56</v>
      </c>
      <c r="AC47" s="30" t="s">
        <v>294</v>
      </c>
    </row>
    <row r="48" spans="1:29">
      <c r="A48" s="24" t="s">
        <v>295</v>
      </c>
      <c r="B48" s="24" t="str">
        <f>IF(ISNUMBER(SEARCH(E48,A48)),A48,IF(OR(E48="",E48=""),A48,A48&amp;" - "&amp;E48))</f>
        <v>Cannamedical Sativa classic NM - Gelato Dream</v>
      </c>
      <c r="C48" s="24" t="s">
        <v>48</v>
      </c>
      <c r="D48" s="24" t="s">
        <v>49</v>
      </c>
      <c r="E48" s="24" t="s">
        <v>296</v>
      </c>
      <c r="F48" s="24" t="s">
        <v>86</v>
      </c>
      <c r="G48" s="27">
        <v>22</v>
      </c>
      <c r="H48" s="28">
        <v>1</v>
      </c>
      <c r="I48" s="24"/>
      <c r="J48" s="24"/>
      <c r="K48" s="24" t="s">
        <v>17</v>
      </c>
      <c r="L48" s="24" t="s">
        <v>145</v>
      </c>
      <c r="M48" s="24" t="s">
        <v>156</v>
      </c>
      <c r="N48" s="24" t="s">
        <v>72</v>
      </c>
      <c r="O48" s="24" t="s">
        <v>56</v>
      </c>
      <c r="P48" s="24" t="s">
        <v>56</v>
      </c>
      <c r="Q48" s="24" t="s">
        <v>56</v>
      </c>
      <c r="R48" s="24" t="s">
        <v>56</v>
      </c>
      <c r="S48" s="24" t="s">
        <v>123</v>
      </c>
      <c r="T48" s="24" t="s">
        <v>106</v>
      </c>
      <c r="U48" s="24" t="s">
        <v>76</v>
      </c>
      <c r="V48" s="24" t="s">
        <v>129</v>
      </c>
      <c r="W48" s="24" t="s">
        <v>138</v>
      </c>
      <c r="X48" s="24" t="s">
        <v>56</v>
      </c>
      <c r="Y48" s="24" t="s">
        <v>297</v>
      </c>
      <c r="Z48" s="24" t="s">
        <v>64</v>
      </c>
      <c r="AA48" s="24" t="s">
        <v>49</v>
      </c>
      <c r="AB48" s="24" t="s">
        <v>298</v>
      </c>
      <c r="AC48" s="24" t="s">
        <v>299</v>
      </c>
    </row>
    <row r="49" spans="1:29">
      <c r="A49" s="30" t="s">
        <v>295</v>
      </c>
      <c r="B49" s="30" t="str">
        <f>IF(ISNUMBER(SEARCH(E49,A49)),A49,IF(OR(E49="",E49=""),A49,A49&amp;" - "&amp;E49))</f>
        <v>Cannamedical Sativa classic NM - Snowflake</v>
      </c>
      <c r="C49" s="30" t="s">
        <v>48</v>
      </c>
      <c r="D49" s="30" t="s">
        <v>49</v>
      </c>
      <c r="E49" s="30" t="s">
        <v>300</v>
      </c>
      <c r="F49" s="30" t="s">
        <v>69</v>
      </c>
      <c r="G49" s="34">
        <v>18</v>
      </c>
      <c r="H49" s="35">
        <v>1</v>
      </c>
      <c r="I49" s="30"/>
      <c r="J49" s="30"/>
      <c r="K49" s="30" t="s">
        <v>52</v>
      </c>
      <c r="L49" s="30" t="s">
        <v>145</v>
      </c>
      <c r="M49" s="30" t="s">
        <v>111</v>
      </c>
      <c r="N49" s="30" t="s">
        <v>71</v>
      </c>
      <c r="O49" s="30" t="s">
        <v>55</v>
      </c>
      <c r="P49" s="30" t="s">
        <v>74</v>
      </c>
      <c r="Q49" s="30" t="s">
        <v>113</v>
      </c>
      <c r="R49" s="30" t="s">
        <v>75</v>
      </c>
      <c r="S49" s="30" t="s">
        <v>123</v>
      </c>
      <c r="T49" s="30" t="s">
        <v>106</v>
      </c>
      <c r="U49" s="30" t="s">
        <v>76</v>
      </c>
      <c r="V49" s="30" t="s">
        <v>77</v>
      </c>
      <c r="W49" s="30" t="s">
        <v>79</v>
      </c>
      <c r="X49" s="30" t="s">
        <v>56</v>
      </c>
      <c r="Y49" s="30" t="s">
        <v>130</v>
      </c>
      <c r="Z49" s="30" t="s">
        <v>64</v>
      </c>
      <c r="AA49" s="30" t="s">
        <v>49</v>
      </c>
      <c r="AB49" s="30" t="s">
        <v>298</v>
      </c>
      <c r="AC49" s="30" t="s">
        <v>301</v>
      </c>
    </row>
    <row r="50" spans="1:29">
      <c r="A50" s="24" t="s">
        <v>302</v>
      </c>
      <c r="B50" s="24" t="str">
        <f>IF(ISNUMBER(SEARCH(E50,A50)),A50,IF(OR(E50="",E50=""),A50,A50&amp;" - "&amp;E50))</f>
        <v>Cannamedical Sativa Classic - Lemon Slushie</v>
      </c>
      <c r="C50" s="24" t="s">
        <v>48</v>
      </c>
      <c r="D50" s="24" t="s">
        <v>49</v>
      </c>
      <c r="E50" s="24" t="s">
        <v>303</v>
      </c>
      <c r="F50" s="24" t="s">
        <v>69</v>
      </c>
      <c r="G50" s="27">
        <v>20</v>
      </c>
      <c r="H50" s="28">
        <v>1</v>
      </c>
      <c r="I50" s="24"/>
      <c r="J50" s="24"/>
      <c r="K50" s="24" t="s">
        <v>52</v>
      </c>
      <c r="L50" s="24" t="s">
        <v>304</v>
      </c>
      <c r="M50" s="24" t="s">
        <v>54</v>
      </c>
      <c r="N50" s="24" t="s">
        <v>111</v>
      </c>
      <c r="O50" s="24" t="s">
        <v>88</v>
      </c>
      <c r="P50" s="24" t="s">
        <v>73</v>
      </c>
      <c r="Q50" s="24" t="s">
        <v>74</v>
      </c>
      <c r="R50" s="24" t="s">
        <v>75</v>
      </c>
      <c r="S50" s="24" t="s">
        <v>123</v>
      </c>
      <c r="T50" s="24" t="s">
        <v>106</v>
      </c>
      <c r="U50" s="24" t="s">
        <v>62</v>
      </c>
      <c r="V50" s="24" t="s">
        <v>77</v>
      </c>
      <c r="W50" s="24" t="s">
        <v>107</v>
      </c>
      <c r="X50" s="24" t="s">
        <v>56</v>
      </c>
      <c r="Y50" s="39" t="s">
        <v>56</v>
      </c>
      <c r="Z50" s="24" t="s">
        <v>64</v>
      </c>
      <c r="AA50" s="24" t="s">
        <v>49</v>
      </c>
      <c r="AB50" s="24" t="s">
        <v>56</v>
      </c>
      <c r="AC50" s="24" t="s">
        <v>305</v>
      </c>
    </row>
    <row r="51" spans="1:29">
      <c r="A51" s="30" t="s">
        <v>272</v>
      </c>
      <c r="B51" s="30" t="str">
        <f>IF(ISNUMBER(SEARCH(E51,A51)),A51,IF(OR(E51="",E51=""),A51,A51&amp;" - "&amp;E51))</f>
        <v>Nimbus easy 20/1 - Hellfire</v>
      </c>
      <c r="C51" s="30" t="s">
        <v>141</v>
      </c>
      <c r="D51" s="30" t="s">
        <v>142</v>
      </c>
      <c r="E51" s="40" t="s">
        <v>306</v>
      </c>
      <c r="F51" s="30" t="s">
        <v>86</v>
      </c>
      <c r="G51" s="34">
        <v>18</v>
      </c>
      <c r="H51" s="35">
        <v>1</v>
      </c>
      <c r="I51" s="30"/>
      <c r="J51" s="30"/>
      <c r="K51" s="30" t="s">
        <v>52</v>
      </c>
      <c r="L51" s="30" t="s">
        <v>145</v>
      </c>
      <c r="M51" s="30" t="s">
        <v>88</v>
      </c>
      <c r="N51" s="30" t="s">
        <v>55</v>
      </c>
      <c r="O51" s="30"/>
      <c r="P51" s="30" t="s">
        <v>74</v>
      </c>
      <c r="Q51" s="30" t="s">
        <v>75</v>
      </c>
      <c r="R51" s="30"/>
      <c r="S51" s="30" t="s">
        <v>61</v>
      </c>
      <c r="T51" s="30" t="s">
        <v>76</v>
      </c>
      <c r="U51" s="30" t="s">
        <v>62</v>
      </c>
      <c r="V51" s="30" t="s">
        <v>77</v>
      </c>
      <c r="W51" s="30" t="s">
        <v>79</v>
      </c>
      <c r="X51" s="30" t="s">
        <v>173</v>
      </c>
      <c r="Y51" s="30" t="s">
        <v>307</v>
      </c>
      <c r="Z51" s="30" t="s">
        <v>64</v>
      </c>
      <c r="AA51" s="30" t="s">
        <v>149</v>
      </c>
      <c r="AB51" s="30"/>
      <c r="AC51" s="30" t="s">
        <v>308</v>
      </c>
    </row>
    <row r="52" spans="1:29">
      <c r="A52" s="24" t="s">
        <v>309</v>
      </c>
      <c r="B52" s="24" t="str">
        <f>IF(ISNUMBER(SEARCH(E52,A52)),A52,IF(OR(E52="",E52=""),A52,A52&amp;" - "&amp;E52))</f>
        <v>Cannamedical Indica Forte DK - Sky Berry Kush</v>
      </c>
      <c r="C52" s="24" t="s">
        <v>48</v>
      </c>
      <c r="D52" s="24" t="s">
        <v>49</v>
      </c>
      <c r="E52" s="41" t="s">
        <v>310</v>
      </c>
      <c r="F52" s="24" t="s">
        <v>177</v>
      </c>
      <c r="G52" s="27">
        <v>24</v>
      </c>
      <c r="H52" s="28">
        <v>1</v>
      </c>
      <c r="I52" s="24"/>
      <c r="J52" s="24"/>
      <c r="K52" s="24" t="s">
        <v>17</v>
      </c>
      <c r="L52" s="24" t="s">
        <v>87</v>
      </c>
      <c r="M52" s="24" t="s">
        <v>88</v>
      </c>
      <c r="N52" s="24" t="s">
        <v>72</v>
      </c>
      <c r="O52" s="24"/>
      <c r="P52" s="24" t="s">
        <v>157</v>
      </c>
      <c r="Q52" s="24" t="s">
        <v>74</v>
      </c>
      <c r="R52" s="24" t="s">
        <v>58</v>
      </c>
      <c r="S52" s="24" t="s">
        <v>60</v>
      </c>
      <c r="T52" s="24" t="s">
        <v>106</v>
      </c>
      <c r="U52" s="24" t="s">
        <v>62</v>
      </c>
      <c r="V52" s="24" t="s">
        <v>77</v>
      </c>
      <c r="W52" s="24" t="s">
        <v>79</v>
      </c>
      <c r="X52" s="24" t="s">
        <v>173</v>
      </c>
      <c r="Y52" s="24" t="s">
        <v>311</v>
      </c>
      <c r="Z52" s="24" t="s">
        <v>64</v>
      </c>
      <c r="AA52" s="24" t="s">
        <v>49</v>
      </c>
      <c r="AB52" s="24"/>
      <c r="AC52" s="24" t="s">
        <v>312</v>
      </c>
    </row>
    <row r="53" spans="1:29">
      <c r="A53" s="30" t="s">
        <v>162</v>
      </c>
      <c r="B53" s="30" t="str">
        <f>IF(ISNUMBER(SEARCH(E53,A53)),A53,IF(OR(E53="",E53=""),A53,A53&amp;" - "&amp;E53))</f>
        <v>madrecan 21/1 - HiFi 4G</v>
      </c>
      <c r="C53" s="30" t="s">
        <v>83</v>
      </c>
      <c r="D53" s="30" t="s">
        <v>84</v>
      </c>
      <c r="E53" s="30" t="s">
        <v>313</v>
      </c>
      <c r="F53" s="30" t="s">
        <v>86</v>
      </c>
      <c r="G53" s="34">
        <v>21</v>
      </c>
      <c r="H53" s="35">
        <v>1</v>
      </c>
      <c r="I53" s="30"/>
      <c r="J53" s="30"/>
      <c r="K53" s="30" t="s">
        <v>17</v>
      </c>
      <c r="L53" s="30" t="s">
        <v>102</v>
      </c>
      <c r="M53" s="30" t="s">
        <v>54</v>
      </c>
      <c r="N53" s="30" t="s">
        <v>71</v>
      </c>
      <c r="O53" s="30" t="s">
        <v>72</v>
      </c>
      <c r="P53" s="30" t="s">
        <v>74</v>
      </c>
      <c r="Q53" s="30" t="s">
        <v>75</v>
      </c>
      <c r="R53" s="30" t="s">
        <v>59</v>
      </c>
      <c r="S53" s="30" t="s">
        <v>147</v>
      </c>
      <c r="T53" s="30" t="s">
        <v>106</v>
      </c>
      <c r="U53" s="30" t="s">
        <v>76</v>
      </c>
      <c r="V53" s="30" t="s">
        <v>77</v>
      </c>
      <c r="W53" s="30" t="s">
        <v>79</v>
      </c>
      <c r="X53" s="30" t="s">
        <v>107</v>
      </c>
      <c r="Y53" s="30" t="s">
        <v>314</v>
      </c>
      <c r="Z53" s="30" t="s">
        <v>64</v>
      </c>
      <c r="AA53" s="30" t="s">
        <v>95</v>
      </c>
      <c r="AB53" s="30" t="s">
        <v>56</v>
      </c>
      <c r="AC53" s="30" t="s">
        <v>315</v>
      </c>
    </row>
    <row r="54" spans="1:29">
      <c r="A54" s="24" t="s">
        <v>316</v>
      </c>
      <c r="B54" s="24" t="str">
        <f>IF(ISNUMBER(SEARCH(E54,A54)),A54,IF(OR(E54="",E54=""),A54,A54&amp;" - "&amp;E54))</f>
        <v>Mediprocan Lunaris 23/1 - Lava Cake</v>
      </c>
      <c r="C54" s="24" t="s">
        <v>317</v>
      </c>
      <c r="D54" s="24" t="s">
        <v>318</v>
      </c>
      <c r="E54" s="24" t="s">
        <v>319</v>
      </c>
      <c r="F54" s="24" t="s">
        <v>177</v>
      </c>
      <c r="G54" s="27">
        <v>23</v>
      </c>
      <c r="H54" s="28">
        <v>1</v>
      </c>
      <c r="I54" s="24"/>
      <c r="J54" s="24"/>
      <c r="K54" s="24" t="s">
        <v>52</v>
      </c>
      <c r="L54" s="24" t="s">
        <v>102</v>
      </c>
      <c r="M54" s="24" t="s">
        <v>72</v>
      </c>
      <c r="N54" s="24"/>
      <c r="O54" s="24" t="s">
        <v>56</v>
      </c>
      <c r="P54" s="24" t="s">
        <v>57</v>
      </c>
      <c r="Q54" s="24" t="s">
        <v>112</v>
      </c>
      <c r="R54" s="24" t="s">
        <v>89</v>
      </c>
      <c r="S54" s="24" t="s">
        <v>62</v>
      </c>
      <c r="T54" s="24"/>
      <c r="U54" s="24"/>
      <c r="V54" s="24" t="s">
        <v>77</v>
      </c>
      <c r="W54" s="24" t="s">
        <v>107</v>
      </c>
      <c r="X54" s="24" t="s">
        <v>173</v>
      </c>
      <c r="Y54" s="39">
        <v>6.8</v>
      </c>
      <c r="Z54" s="24" t="s">
        <v>64</v>
      </c>
      <c r="AA54" s="24" t="s">
        <v>320</v>
      </c>
      <c r="AB54" s="24" t="s">
        <v>56</v>
      </c>
      <c r="AC54" s="24" t="s">
        <v>321</v>
      </c>
    </row>
    <row r="55" spans="1:29">
      <c r="A55" s="30" t="s">
        <v>232</v>
      </c>
      <c r="B55" s="30" t="str">
        <f>IF(ISNUMBER(SEARCH(E55,A55)),A55,IF(OR(E55="",E55=""),A55,A55&amp;" - "&amp;E55))</f>
        <v>Tilray THC 18 Spotlight Porto - Pink Kush</v>
      </c>
      <c r="C55" s="30" t="s">
        <v>133</v>
      </c>
      <c r="D55" s="30" t="s">
        <v>134</v>
      </c>
      <c r="E55" s="30" t="s">
        <v>101</v>
      </c>
      <c r="F55" s="30" t="s">
        <v>86</v>
      </c>
      <c r="G55" s="34">
        <v>18</v>
      </c>
      <c r="H55" s="35">
        <v>1</v>
      </c>
      <c r="I55" s="30"/>
      <c r="J55" s="30"/>
      <c r="K55" s="30" t="s">
        <v>17</v>
      </c>
      <c r="L55" s="30" t="s">
        <v>102</v>
      </c>
      <c r="M55" s="30" t="s">
        <v>88</v>
      </c>
      <c r="N55" s="30" t="s">
        <v>71</v>
      </c>
      <c r="O55" s="30" t="s">
        <v>103</v>
      </c>
      <c r="P55" s="30" t="s">
        <v>57</v>
      </c>
      <c r="Q55" s="30" t="s">
        <v>104</v>
      </c>
      <c r="R55" s="30" t="s">
        <v>74</v>
      </c>
      <c r="S55" s="30" t="s">
        <v>60</v>
      </c>
      <c r="T55" s="30" t="s">
        <v>123</v>
      </c>
      <c r="U55" s="30" t="s">
        <v>106</v>
      </c>
      <c r="V55" s="30" t="s">
        <v>77</v>
      </c>
      <c r="W55" s="30" t="s">
        <v>79</v>
      </c>
      <c r="X55" s="30" t="s">
        <v>107</v>
      </c>
      <c r="Y55" s="30" t="s">
        <v>322</v>
      </c>
      <c r="Z55" s="30" t="s">
        <v>64</v>
      </c>
      <c r="AA55" s="30" t="s">
        <v>134</v>
      </c>
      <c r="AB55" s="30" t="s">
        <v>56</v>
      </c>
      <c r="AC55" s="30" t="s">
        <v>323</v>
      </c>
    </row>
    <row r="56" spans="1:29">
      <c r="A56" s="24" t="s">
        <v>222</v>
      </c>
      <c r="B56" s="24" t="str">
        <f>IF(ISNUMBER(SEARCH(E56,A56)),A56,IF(OR(E56="",E56=""),A56,A56&amp;" - "&amp;E56))</f>
        <v>Tilray THC 15 Spotlight Porto - Master Kush</v>
      </c>
      <c r="C56" s="24" t="s">
        <v>133</v>
      </c>
      <c r="D56" s="24" t="s">
        <v>134</v>
      </c>
      <c r="E56" s="24" t="s">
        <v>237</v>
      </c>
      <c r="F56" s="24" t="s">
        <v>120</v>
      </c>
      <c r="G56" s="27">
        <v>15</v>
      </c>
      <c r="H56" s="28">
        <v>1</v>
      </c>
      <c r="I56" s="24"/>
      <c r="J56" s="24"/>
      <c r="K56" s="24" t="s">
        <v>17</v>
      </c>
      <c r="L56" s="24" t="s">
        <v>102</v>
      </c>
      <c r="M56" s="24" t="s">
        <v>103</v>
      </c>
      <c r="N56" s="24" t="s">
        <v>121</v>
      </c>
      <c r="O56" s="24" t="s">
        <v>72</v>
      </c>
      <c r="P56" s="24" t="s">
        <v>74</v>
      </c>
      <c r="Q56" s="24" t="s">
        <v>59</v>
      </c>
      <c r="R56" s="24" t="s">
        <v>56</v>
      </c>
      <c r="S56" s="24" t="s">
        <v>203</v>
      </c>
      <c r="T56" s="24" t="s">
        <v>62</v>
      </c>
      <c r="U56" s="24" t="s">
        <v>164</v>
      </c>
      <c r="V56" s="24" t="s">
        <v>77</v>
      </c>
      <c r="W56" s="24" t="s">
        <v>78</v>
      </c>
      <c r="X56" s="24" t="s">
        <v>107</v>
      </c>
      <c r="Y56" s="24" t="s">
        <v>324</v>
      </c>
      <c r="Z56" s="24" t="s">
        <v>64</v>
      </c>
      <c r="AA56" s="24" t="s">
        <v>134</v>
      </c>
      <c r="AB56" s="24" t="s">
        <v>56</v>
      </c>
      <c r="AC56" s="24" t="s">
        <v>325</v>
      </c>
    </row>
    <row r="57" spans="1:29">
      <c r="A57" s="30" t="s">
        <v>228</v>
      </c>
      <c r="B57" s="30" t="str">
        <f>IF(ISNUMBER(SEARCH(E57,A57)),A57,IF(OR(E57="",E57=""),A57,A57&amp;" - "&amp;E57))</f>
        <v>Tilray THC15 Spotlight Porto - Black Tuna</v>
      </c>
      <c r="C57" s="30" t="s">
        <v>133</v>
      </c>
      <c r="D57" s="30" t="s">
        <v>134</v>
      </c>
      <c r="E57" s="30" t="s">
        <v>267</v>
      </c>
      <c r="F57" s="30" t="s">
        <v>51</v>
      </c>
      <c r="G57" s="34">
        <v>15</v>
      </c>
      <c r="H57" s="35">
        <v>1</v>
      </c>
      <c r="I57" s="30"/>
      <c r="J57" s="30"/>
      <c r="K57" s="30" t="s">
        <v>52</v>
      </c>
      <c r="L57" s="30" t="s">
        <v>102</v>
      </c>
      <c r="M57" s="30" t="s">
        <v>88</v>
      </c>
      <c r="N57" s="30" t="s">
        <v>121</v>
      </c>
      <c r="O57" s="30" t="s">
        <v>72</v>
      </c>
      <c r="P57" s="30" t="s">
        <v>74</v>
      </c>
      <c r="Q57" s="30" t="s">
        <v>113</v>
      </c>
      <c r="R57" s="30" t="s">
        <v>89</v>
      </c>
      <c r="S57" s="30" t="s">
        <v>105</v>
      </c>
      <c r="T57" s="30" t="s">
        <v>60</v>
      </c>
      <c r="U57" s="30" t="s">
        <v>123</v>
      </c>
      <c r="V57" s="30" t="s">
        <v>77</v>
      </c>
      <c r="W57" s="30" t="s">
        <v>107</v>
      </c>
      <c r="X57" s="30" t="s">
        <v>173</v>
      </c>
      <c r="Y57" s="30" t="s">
        <v>230</v>
      </c>
      <c r="Z57" s="30" t="s">
        <v>64</v>
      </c>
      <c r="AA57" s="30" t="s">
        <v>134</v>
      </c>
      <c r="AB57" s="30" t="s">
        <v>56</v>
      </c>
      <c r="AC57" s="30" t="s">
        <v>326</v>
      </c>
    </row>
    <row r="58" spans="1:29">
      <c r="A58" s="24" t="s">
        <v>152</v>
      </c>
      <c r="B58" s="24" t="str">
        <f>IF(ISNUMBER(SEARCH(E58,A58)),A58,IF(OR(E58="",E58=""),A58,A58&amp;" - "&amp;E58))</f>
        <v>Bathera 25/1 - Permanent Marker</v>
      </c>
      <c r="C58" s="24" t="s">
        <v>153</v>
      </c>
      <c r="D58" s="24" t="s">
        <v>154</v>
      </c>
      <c r="E58" s="24" t="s">
        <v>327</v>
      </c>
      <c r="F58" s="24" t="s">
        <v>144</v>
      </c>
      <c r="G58" s="27">
        <v>25</v>
      </c>
      <c r="H58" s="28">
        <v>1</v>
      </c>
      <c r="I58" s="24"/>
      <c r="J58" s="24"/>
      <c r="K58" s="24" t="s">
        <v>52</v>
      </c>
      <c r="L58" s="24" t="s">
        <v>102</v>
      </c>
      <c r="M58" s="24" t="s">
        <v>54</v>
      </c>
      <c r="N58" s="24" t="s">
        <v>111</v>
      </c>
      <c r="O58" s="24" t="s">
        <v>71</v>
      </c>
      <c r="P58" s="24" t="s">
        <v>104</v>
      </c>
      <c r="Q58" s="24" t="s">
        <v>89</v>
      </c>
      <c r="R58" s="24" t="s">
        <v>56</v>
      </c>
      <c r="S58" s="24" t="s">
        <v>123</v>
      </c>
      <c r="T58" s="24" t="s">
        <v>61</v>
      </c>
      <c r="U58" s="24" t="s">
        <v>62</v>
      </c>
      <c r="V58" s="24" t="s">
        <v>116</v>
      </c>
      <c r="W58" s="24" t="s">
        <v>107</v>
      </c>
      <c r="X58" s="24" t="s">
        <v>173</v>
      </c>
      <c r="Y58" s="24" t="s">
        <v>328</v>
      </c>
      <c r="Z58" s="24" t="s">
        <v>64</v>
      </c>
      <c r="AA58" s="24" t="s">
        <v>154</v>
      </c>
      <c r="AB58" s="24" t="s">
        <v>160</v>
      </c>
      <c r="AC58" s="24" t="s">
        <v>329</v>
      </c>
    </row>
    <row r="59" spans="1:29">
      <c r="A59" s="30" t="s">
        <v>183</v>
      </c>
      <c r="B59" s="30" t="str">
        <f>IF(ISNUMBER(SEARCH(E59,A59)),A59,IF(OR(E59="",E59=""),A59,A59&amp;" - "&amp;E59))</f>
        <v>Canify Cannabis flos 20/1 UY Ku. - Purple Dog Bud</v>
      </c>
      <c r="C59" s="30" t="s">
        <v>99</v>
      </c>
      <c r="D59" s="30" t="s">
        <v>100</v>
      </c>
      <c r="E59" s="30" t="s">
        <v>330</v>
      </c>
      <c r="F59" s="30" t="s">
        <v>86</v>
      </c>
      <c r="G59" s="34">
        <v>20</v>
      </c>
      <c r="H59" s="35">
        <v>1</v>
      </c>
      <c r="I59" s="30"/>
      <c r="J59" s="30"/>
      <c r="K59" s="30" t="s">
        <v>52</v>
      </c>
      <c r="L59" s="30" t="s">
        <v>185</v>
      </c>
      <c r="M59" s="30" t="s">
        <v>212</v>
      </c>
      <c r="N59" s="30" t="s">
        <v>88</v>
      </c>
      <c r="O59" s="30" t="s">
        <v>71</v>
      </c>
      <c r="P59" s="30" t="s">
        <v>104</v>
      </c>
      <c r="Q59" s="30" t="s">
        <v>58</v>
      </c>
      <c r="R59" s="30" t="s">
        <v>56</v>
      </c>
      <c r="S59" s="30" t="s">
        <v>147</v>
      </c>
      <c r="T59" s="30" t="s">
        <v>123</v>
      </c>
      <c r="U59" s="30" t="s">
        <v>76</v>
      </c>
      <c r="V59" s="30" t="s">
        <v>77</v>
      </c>
      <c r="W59" s="30" t="s">
        <v>93</v>
      </c>
      <c r="X59" s="30" t="s">
        <v>56</v>
      </c>
      <c r="Y59" s="30" t="s">
        <v>331</v>
      </c>
      <c r="Z59" s="30" t="s">
        <v>64</v>
      </c>
      <c r="AA59" s="30" t="s">
        <v>100</v>
      </c>
      <c r="AB59" s="30" t="s">
        <v>332</v>
      </c>
      <c r="AC59" s="30" t="s">
        <v>333</v>
      </c>
    </row>
    <row r="60" spans="1:29">
      <c r="A60" s="24" t="s">
        <v>98</v>
      </c>
      <c r="B60" s="24" t="str">
        <f>IF(ISNUMBER(SEARCH(E60,A60)),A60,IF(OR(E60="",E60=""),A60,A60&amp;" - "&amp;E60))</f>
        <v>Canify Cannabis flos 22/1 PT Ku. - Sirius</v>
      </c>
      <c r="C60" s="24" t="s">
        <v>99</v>
      </c>
      <c r="D60" s="24" t="s">
        <v>100</v>
      </c>
      <c r="E60" s="24" t="s">
        <v>334</v>
      </c>
      <c r="F60" s="24" t="s">
        <v>120</v>
      </c>
      <c r="G60" s="27">
        <v>22</v>
      </c>
      <c r="H60" s="28">
        <v>1</v>
      </c>
      <c r="I60" s="24"/>
      <c r="J60" s="24"/>
      <c r="K60" s="24" t="s">
        <v>17</v>
      </c>
      <c r="L60" s="24" t="s">
        <v>102</v>
      </c>
      <c r="M60" s="24" t="s">
        <v>111</v>
      </c>
      <c r="N60" s="24" t="s">
        <v>71</v>
      </c>
      <c r="O60" s="24" t="s">
        <v>178</v>
      </c>
      <c r="P60" s="24" t="s">
        <v>74</v>
      </c>
      <c r="Q60" s="24" t="s">
        <v>58</v>
      </c>
      <c r="R60" s="24" t="s">
        <v>56</v>
      </c>
      <c r="S60" s="24" t="s">
        <v>106</v>
      </c>
      <c r="T60" s="24" t="s">
        <v>128</v>
      </c>
      <c r="U60" s="24" t="s">
        <v>62</v>
      </c>
      <c r="V60" s="24" t="s">
        <v>77</v>
      </c>
      <c r="W60" s="24" t="s">
        <v>79</v>
      </c>
      <c r="X60" s="24" t="s">
        <v>107</v>
      </c>
      <c r="Y60" s="24" t="s">
        <v>335</v>
      </c>
      <c r="Z60" s="24" t="s">
        <v>64</v>
      </c>
      <c r="AA60" s="24" t="s">
        <v>100</v>
      </c>
      <c r="AB60" s="24" t="s">
        <v>56</v>
      </c>
      <c r="AC60" s="24" t="s">
        <v>336</v>
      </c>
    </row>
    <row r="61" spans="1:29">
      <c r="A61" s="30" t="s">
        <v>200</v>
      </c>
      <c r="B61" s="30" t="str">
        <f>IF(ISNUMBER(SEARCH(E61,A61)),A61,IF(OR(E61="",E61=""),A61,A61&amp;" - "&amp;E61))</f>
        <v>Cannamedical CM 24/1 - OG Kush</v>
      </c>
      <c r="C61" s="30" t="s">
        <v>48</v>
      </c>
      <c r="D61" s="30" t="s">
        <v>49</v>
      </c>
      <c r="E61" s="30" t="s">
        <v>337</v>
      </c>
      <c r="F61" s="30" t="s">
        <v>51</v>
      </c>
      <c r="G61" s="34">
        <v>23</v>
      </c>
      <c r="H61" s="35">
        <v>1</v>
      </c>
      <c r="I61" s="30"/>
      <c r="J61" s="30"/>
      <c r="K61" s="30" t="s">
        <v>52</v>
      </c>
      <c r="L61" s="30"/>
      <c r="M61" s="30" t="s">
        <v>88</v>
      </c>
      <c r="N61" s="30" t="s">
        <v>103</v>
      </c>
      <c r="O61" s="30" t="s">
        <v>178</v>
      </c>
      <c r="P61" s="30" t="s">
        <v>146</v>
      </c>
      <c r="Q61" s="30" t="s">
        <v>74</v>
      </c>
      <c r="R61" s="30" t="s">
        <v>75</v>
      </c>
      <c r="S61" s="30" t="s">
        <v>56</v>
      </c>
      <c r="T61" s="30" t="s">
        <v>56</v>
      </c>
      <c r="U61" s="30" t="s">
        <v>56</v>
      </c>
      <c r="V61" s="30" t="s">
        <v>257</v>
      </c>
      <c r="W61" s="30" t="s">
        <v>77</v>
      </c>
      <c r="X61" s="30" t="s">
        <v>225</v>
      </c>
      <c r="Y61" s="30" t="s">
        <v>338</v>
      </c>
      <c r="Z61" s="30" t="s">
        <v>64</v>
      </c>
      <c r="AA61" s="30" t="s">
        <v>49</v>
      </c>
      <c r="AB61" s="30" t="s">
        <v>56</v>
      </c>
      <c r="AC61" s="30" t="s">
        <v>339</v>
      </c>
    </row>
    <row r="62" spans="1:29">
      <c r="A62" s="24" t="s">
        <v>340</v>
      </c>
      <c r="B62" s="24" t="str">
        <f>IF(ISNUMBER(SEARCH(E62,A62)),A62,IF(OR(E62="",E62=""),A62,A62&amp;" - "&amp;E62))</f>
        <v>Cannamedical Indica Light URY - Dawg Bud Fusion</v>
      </c>
      <c r="C62" s="24" t="s">
        <v>48</v>
      </c>
      <c r="D62" s="24" t="s">
        <v>49</v>
      </c>
      <c r="E62" s="24" t="s">
        <v>341</v>
      </c>
      <c r="F62" s="24" t="s">
        <v>177</v>
      </c>
      <c r="G62" s="27">
        <v>16</v>
      </c>
      <c r="H62" s="28">
        <v>1</v>
      </c>
      <c r="I62" s="24"/>
      <c r="J62" s="24"/>
      <c r="K62" s="24" t="s">
        <v>52</v>
      </c>
      <c r="L62" s="24" t="s">
        <v>185</v>
      </c>
      <c r="M62" s="24" t="s">
        <v>121</v>
      </c>
      <c r="N62" s="24" t="s">
        <v>72</v>
      </c>
      <c r="O62" s="24" t="s">
        <v>56</v>
      </c>
      <c r="P62" s="24" t="s">
        <v>74</v>
      </c>
      <c r="Q62" s="24" t="s">
        <v>113</v>
      </c>
      <c r="R62" s="24" t="s">
        <v>89</v>
      </c>
      <c r="S62" s="24" t="s">
        <v>123</v>
      </c>
      <c r="T62" s="24" t="s">
        <v>106</v>
      </c>
      <c r="U62" s="24" t="s">
        <v>76</v>
      </c>
      <c r="V62" s="24" t="s">
        <v>116</v>
      </c>
      <c r="W62" s="24" t="s">
        <v>107</v>
      </c>
      <c r="X62" s="24" t="s">
        <v>173</v>
      </c>
      <c r="Y62" s="24" t="s">
        <v>314</v>
      </c>
      <c r="Z62" s="24" t="s">
        <v>64</v>
      </c>
      <c r="AA62" s="24" t="s">
        <v>49</v>
      </c>
      <c r="AB62" s="24" t="s">
        <v>56</v>
      </c>
      <c r="AC62" s="24" t="s">
        <v>342</v>
      </c>
    </row>
    <row r="63" spans="1:29">
      <c r="A63" s="30" t="s">
        <v>67</v>
      </c>
      <c r="B63" s="30" t="str">
        <f>IF(ISNUMBER(SEARCH(E63,A63)),A63,IF(OR(E63="",E63=""),A63,A63&amp;" - "&amp;E63))</f>
        <v>Cannamedical Sativa forte - Ghost Train Haze</v>
      </c>
      <c r="C63" s="30" t="s">
        <v>48</v>
      </c>
      <c r="D63" s="30" t="s">
        <v>49</v>
      </c>
      <c r="E63" s="30" t="s">
        <v>343</v>
      </c>
      <c r="F63" s="30" t="s">
        <v>69</v>
      </c>
      <c r="G63" s="34">
        <v>24</v>
      </c>
      <c r="H63" s="35">
        <v>1</v>
      </c>
      <c r="I63" s="30"/>
      <c r="J63" s="30"/>
      <c r="K63" s="30" t="s">
        <v>17</v>
      </c>
      <c r="L63" s="30" t="s">
        <v>53</v>
      </c>
      <c r="M63" s="30" t="s">
        <v>111</v>
      </c>
      <c r="N63" s="30" t="s">
        <v>88</v>
      </c>
      <c r="O63" s="30" t="s">
        <v>55</v>
      </c>
      <c r="P63" s="30" t="s">
        <v>146</v>
      </c>
      <c r="Q63" s="30" t="s">
        <v>75</v>
      </c>
      <c r="R63" s="30" t="s">
        <v>89</v>
      </c>
      <c r="S63" s="30" t="s">
        <v>90</v>
      </c>
      <c r="T63" s="30" t="s">
        <v>61</v>
      </c>
      <c r="U63" s="30" t="s">
        <v>62</v>
      </c>
      <c r="V63" s="30" t="s">
        <v>77</v>
      </c>
      <c r="W63" s="30" t="s">
        <v>225</v>
      </c>
      <c r="X63" s="30" t="s">
        <v>197</v>
      </c>
      <c r="Y63" s="30" t="s">
        <v>344</v>
      </c>
      <c r="Z63" s="30" t="s">
        <v>64</v>
      </c>
      <c r="AA63" s="30" t="s">
        <v>49</v>
      </c>
      <c r="AB63" s="30" t="s">
        <v>56</v>
      </c>
      <c r="AC63" s="30" t="s">
        <v>345</v>
      </c>
    </row>
    <row r="64" spans="1:29">
      <c r="A64" s="24" t="s">
        <v>346</v>
      </c>
      <c r="B64" s="24" t="str">
        <f>IF(ISNUMBER(SEARCH(E64,A64)),A64,IF(OR(E64="",E64=""),A64,A64&amp;" - "&amp;E64))</f>
        <v>Navcora THC 15 Spotlight Porto - Sour Diesel</v>
      </c>
      <c r="C64" s="24" t="s">
        <v>133</v>
      </c>
      <c r="D64" s="24" t="s">
        <v>134</v>
      </c>
      <c r="E64" s="24" t="s">
        <v>256</v>
      </c>
      <c r="F64" s="24" t="s">
        <v>69</v>
      </c>
      <c r="G64" s="27">
        <v>15</v>
      </c>
      <c r="H64" s="28">
        <v>1</v>
      </c>
      <c r="I64" s="24"/>
      <c r="J64" s="24"/>
      <c r="K64" s="24" t="s">
        <v>17</v>
      </c>
      <c r="L64" s="24" t="s">
        <v>102</v>
      </c>
      <c r="M64" s="24" t="s">
        <v>156</v>
      </c>
      <c r="N64" s="24" t="s">
        <v>111</v>
      </c>
      <c r="O64" s="24" t="s">
        <v>88</v>
      </c>
      <c r="P64" s="24" t="s">
        <v>73</v>
      </c>
      <c r="Q64" s="24" t="s">
        <v>74</v>
      </c>
      <c r="R64" s="24" t="s">
        <v>75</v>
      </c>
      <c r="S64" s="24" t="s">
        <v>60</v>
      </c>
      <c r="T64" s="24" t="s">
        <v>123</v>
      </c>
      <c r="U64" s="24" t="s">
        <v>106</v>
      </c>
      <c r="V64" s="24" t="s">
        <v>257</v>
      </c>
      <c r="W64" s="24" t="s">
        <v>77</v>
      </c>
      <c r="X64" s="24" t="s">
        <v>225</v>
      </c>
      <c r="Y64" s="24" t="s">
        <v>56</v>
      </c>
      <c r="Z64" s="24" t="s">
        <v>64</v>
      </c>
      <c r="AA64" s="24" t="s">
        <v>134</v>
      </c>
      <c r="AB64" s="24" t="s">
        <v>56</v>
      </c>
      <c r="AC64" s="24" t="s">
        <v>347</v>
      </c>
    </row>
    <row r="65" spans="1:29">
      <c r="A65" s="30" t="s">
        <v>346</v>
      </c>
      <c r="B65" s="30" t="str">
        <f>IF(ISNUMBER(SEARCH(E65,A65)),A65,IF(OR(E65="",E65=""),A65,A65&amp;" - "&amp;E65))</f>
        <v>Navcora THC 15 Spotlight Porto - Pink Kush</v>
      </c>
      <c r="C65" s="30" t="s">
        <v>133</v>
      </c>
      <c r="D65" s="30" t="s">
        <v>134</v>
      </c>
      <c r="E65" s="30" t="s">
        <v>101</v>
      </c>
      <c r="F65" s="30" t="s">
        <v>86</v>
      </c>
      <c r="G65" s="34">
        <v>15</v>
      </c>
      <c r="H65" s="35">
        <v>1</v>
      </c>
      <c r="I65" s="30"/>
      <c r="J65" s="30"/>
      <c r="K65" s="30" t="s">
        <v>17</v>
      </c>
      <c r="L65" s="30" t="s">
        <v>102</v>
      </c>
      <c r="M65" s="30" t="s">
        <v>88</v>
      </c>
      <c r="N65" s="30" t="s">
        <v>71</v>
      </c>
      <c r="O65" s="30" t="s">
        <v>103</v>
      </c>
      <c r="P65" s="30" t="s">
        <v>57</v>
      </c>
      <c r="Q65" s="30" t="s">
        <v>104</v>
      </c>
      <c r="R65" s="30" t="s">
        <v>74</v>
      </c>
      <c r="S65" s="30" t="s">
        <v>60</v>
      </c>
      <c r="T65" s="30" t="s">
        <v>123</v>
      </c>
      <c r="U65" s="30" t="s">
        <v>106</v>
      </c>
      <c r="V65" s="30" t="s">
        <v>77</v>
      </c>
      <c r="W65" s="30" t="s">
        <v>79</v>
      </c>
      <c r="X65" s="30" t="s">
        <v>107</v>
      </c>
      <c r="Y65" s="30" t="s">
        <v>348</v>
      </c>
      <c r="Z65" s="30" t="s">
        <v>64</v>
      </c>
      <c r="AA65" s="30" t="s">
        <v>134</v>
      </c>
      <c r="AB65" s="30" t="s">
        <v>56</v>
      </c>
      <c r="AC65" s="30" t="s">
        <v>349</v>
      </c>
    </row>
    <row r="66" spans="1:29">
      <c r="A66" s="24" t="s">
        <v>346</v>
      </c>
      <c r="B66" s="24" t="str">
        <f>IF(ISNUMBER(SEARCH(E66,A66)),A66,IF(OR(E66="",E66=""),A66,A66&amp;" - "&amp;E66))</f>
        <v>Navcora THC 15 Spotlight Porto - Sirius</v>
      </c>
      <c r="C66" s="24" t="s">
        <v>133</v>
      </c>
      <c r="D66" s="24" t="s">
        <v>134</v>
      </c>
      <c r="E66" s="24" t="s">
        <v>334</v>
      </c>
      <c r="F66" s="24" t="s">
        <v>120</v>
      </c>
      <c r="G66" s="27">
        <v>15</v>
      </c>
      <c r="H66" s="28">
        <v>1</v>
      </c>
      <c r="I66" s="24"/>
      <c r="J66" s="24"/>
      <c r="K66" s="24" t="s">
        <v>17</v>
      </c>
      <c r="L66" s="24" t="s">
        <v>102</v>
      </c>
      <c r="M66" s="24" t="s">
        <v>111</v>
      </c>
      <c r="N66" s="24" t="s">
        <v>71</v>
      </c>
      <c r="O66" s="24" t="s">
        <v>178</v>
      </c>
      <c r="P66" s="24" t="s">
        <v>74</v>
      </c>
      <c r="Q66" s="24" t="s">
        <v>58</v>
      </c>
      <c r="R66" s="24" t="s">
        <v>56</v>
      </c>
      <c r="S66" s="24" t="s">
        <v>106</v>
      </c>
      <c r="T66" s="24" t="s">
        <v>164</v>
      </c>
      <c r="U66" s="24" t="s">
        <v>234</v>
      </c>
      <c r="V66" s="24" t="s">
        <v>77</v>
      </c>
      <c r="W66" s="24" t="s">
        <v>79</v>
      </c>
      <c r="X66" s="24" t="s">
        <v>107</v>
      </c>
      <c r="Y66" s="24" t="s">
        <v>350</v>
      </c>
      <c r="Z66" s="24" t="s">
        <v>64</v>
      </c>
      <c r="AA66" s="24" t="s">
        <v>134</v>
      </c>
      <c r="AB66" s="24" t="s">
        <v>56</v>
      </c>
      <c r="AC66" s="24" t="s">
        <v>351</v>
      </c>
    </row>
    <row r="67" spans="1:29">
      <c r="A67" s="30" t="s">
        <v>346</v>
      </c>
      <c r="B67" s="30" t="str">
        <f>IF(ISNUMBER(SEARCH(E67,A67)),A67,IF(OR(E67="",E67=""),A67,A67&amp;" - "&amp;E67))</f>
        <v>Navcora THC 15 Spotlight Porto - Master Kush</v>
      </c>
      <c r="C67" s="30" t="s">
        <v>133</v>
      </c>
      <c r="D67" s="30" t="s">
        <v>134</v>
      </c>
      <c r="E67" s="30" t="s">
        <v>237</v>
      </c>
      <c r="F67" s="30" t="s">
        <v>120</v>
      </c>
      <c r="G67" s="34">
        <v>15</v>
      </c>
      <c r="H67" s="35">
        <v>1</v>
      </c>
      <c r="I67" s="30"/>
      <c r="J67" s="30"/>
      <c r="K67" s="30" t="s">
        <v>17</v>
      </c>
      <c r="L67" s="30" t="s">
        <v>102</v>
      </c>
      <c r="M67" s="30" t="s">
        <v>103</v>
      </c>
      <c r="N67" s="30" t="s">
        <v>121</v>
      </c>
      <c r="O67" s="30" t="s">
        <v>72</v>
      </c>
      <c r="P67" s="30" t="s">
        <v>74</v>
      </c>
      <c r="Q67" s="30" t="s">
        <v>59</v>
      </c>
      <c r="R67" s="30" t="s">
        <v>56</v>
      </c>
      <c r="S67" s="30" t="s">
        <v>203</v>
      </c>
      <c r="T67" s="30" t="s">
        <v>62</v>
      </c>
      <c r="U67" s="30" t="s">
        <v>164</v>
      </c>
      <c r="V67" s="30" t="s">
        <v>77</v>
      </c>
      <c r="W67" s="30" t="s">
        <v>78</v>
      </c>
      <c r="X67" s="30" t="s">
        <v>107</v>
      </c>
      <c r="Y67" s="30" t="s">
        <v>348</v>
      </c>
      <c r="Z67" s="30" t="s">
        <v>64</v>
      </c>
      <c r="AA67" s="30" t="s">
        <v>134</v>
      </c>
      <c r="AB67" s="30" t="s">
        <v>56</v>
      </c>
      <c r="AC67" s="30" t="s">
        <v>352</v>
      </c>
    </row>
    <row r="68" spans="1:29">
      <c r="A68" s="24" t="s">
        <v>353</v>
      </c>
      <c r="B68" s="24" t="str">
        <f>IF(ISNUMBER(SEARCH(E68,A68)),A68,IF(OR(E68="",E68=""),A68,A68&amp;" - "&amp;E68))</f>
        <v>Navcora THC 18 Spotlight Porto - Sour Diesel</v>
      </c>
      <c r="C68" s="24" t="s">
        <v>133</v>
      </c>
      <c r="D68" s="24" t="s">
        <v>134</v>
      </c>
      <c r="E68" s="24" t="s">
        <v>256</v>
      </c>
      <c r="F68" s="24" t="s">
        <v>69</v>
      </c>
      <c r="G68" s="27">
        <v>18</v>
      </c>
      <c r="H68" s="28">
        <v>1</v>
      </c>
      <c r="I68" s="24"/>
      <c r="J68" s="24"/>
      <c r="K68" s="24" t="s">
        <v>17</v>
      </c>
      <c r="L68" s="24" t="s">
        <v>102</v>
      </c>
      <c r="M68" s="24" t="s">
        <v>156</v>
      </c>
      <c r="N68" s="24" t="s">
        <v>111</v>
      </c>
      <c r="O68" s="24" t="s">
        <v>88</v>
      </c>
      <c r="P68" s="24" t="s">
        <v>73</v>
      </c>
      <c r="Q68" s="24" t="s">
        <v>74</v>
      </c>
      <c r="R68" s="24" t="s">
        <v>75</v>
      </c>
      <c r="S68" s="24" t="s">
        <v>60</v>
      </c>
      <c r="T68" s="24" t="s">
        <v>123</v>
      </c>
      <c r="U68" s="24" t="s">
        <v>106</v>
      </c>
      <c r="V68" s="24" t="s">
        <v>257</v>
      </c>
      <c r="W68" s="24" t="s">
        <v>77</v>
      </c>
      <c r="X68" s="24" t="s">
        <v>225</v>
      </c>
      <c r="Y68" s="24" t="s">
        <v>166</v>
      </c>
      <c r="Z68" s="24" t="s">
        <v>64</v>
      </c>
      <c r="AA68" s="24" t="s">
        <v>134</v>
      </c>
      <c r="AB68" s="24" t="s">
        <v>56</v>
      </c>
      <c r="AC68" s="24" t="s">
        <v>354</v>
      </c>
    </row>
    <row r="69" spans="1:29">
      <c r="A69" s="30" t="s">
        <v>353</v>
      </c>
      <c r="B69" s="30" t="str">
        <f>IF(ISNUMBER(SEARCH(E69,A69)),A69,IF(OR(E69="",E69=""),A69,A69&amp;" - "&amp;E69))</f>
        <v>Navcora THC 18 Spotlight Porto - Sirius</v>
      </c>
      <c r="C69" s="30" t="s">
        <v>133</v>
      </c>
      <c r="D69" s="30" t="s">
        <v>134</v>
      </c>
      <c r="E69" s="30" t="s">
        <v>334</v>
      </c>
      <c r="F69" s="30" t="s">
        <v>120</v>
      </c>
      <c r="G69" s="34">
        <v>18</v>
      </c>
      <c r="H69" s="35">
        <v>1</v>
      </c>
      <c r="I69" s="30"/>
      <c r="J69" s="30"/>
      <c r="K69" s="30" t="s">
        <v>17</v>
      </c>
      <c r="L69" s="30" t="s">
        <v>102</v>
      </c>
      <c r="M69" s="30" t="s">
        <v>111</v>
      </c>
      <c r="N69" s="30" t="s">
        <v>71</v>
      </c>
      <c r="O69" s="30" t="s">
        <v>178</v>
      </c>
      <c r="P69" s="30" t="s">
        <v>74</v>
      </c>
      <c r="Q69" s="30" t="s">
        <v>58</v>
      </c>
      <c r="R69" s="30" t="s">
        <v>56</v>
      </c>
      <c r="S69" s="30" t="s">
        <v>106</v>
      </c>
      <c r="T69" s="30" t="s">
        <v>164</v>
      </c>
      <c r="U69" s="30" t="s">
        <v>234</v>
      </c>
      <c r="V69" s="30" t="s">
        <v>77</v>
      </c>
      <c r="W69" s="30" t="s">
        <v>79</v>
      </c>
      <c r="X69" s="30" t="s">
        <v>107</v>
      </c>
      <c r="Y69" s="30" t="s">
        <v>355</v>
      </c>
      <c r="Z69" s="30" t="s">
        <v>64</v>
      </c>
      <c r="AA69" s="30" t="s">
        <v>134</v>
      </c>
      <c r="AB69" s="30" t="s">
        <v>56</v>
      </c>
      <c r="AC69" s="30" t="s">
        <v>356</v>
      </c>
    </row>
    <row r="70" spans="1:29">
      <c r="A70" s="24" t="s">
        <v>353</v>
      </c>
      <c r="B70" s="24" t="str">
        <f>IF(ISNUMBER(SEARCH(E70,A70)),A70,IF(OR(E70="",E70=""),A70,A70&amp;" - "&amp;E70))</f>
        <v>Navcora THC 18 Spotlight Porto - Galaxy Walker OG</v>
      </c>
      <c r="C70" s="24" t="s">
        <v>133</v>
      </c>
      <c r="D70" s="24" t="s">
        <v>134</v>
      </c>
      <c r="E70" s="24" t="s">
        <v>242</v>
      </c>
      <c r="F70" s="24" t="s">
        <v>86</v>
      </c>
      <c r="G70" s="27">
        <v>18</v>
      </c>
      <c r="H70" s="28">
        <v>1</v>
      </c>
      <c r="I70" s="24"/>
      <c r="J70" s="24"/>
      <c r="K70" s="24" t="s">
        <v>52</v>
      </c>
      <c r="L70" s="24" t="s">
        <v>102</v>
      </c>
      <c r="M70" s="24" t="s">
        <v>72</v>
      </c>
      <c r="N70" s="24"/>
      <c r="O70" s="24" t="s">
        <v>56</v>
      </c>
      <c r="P70" s="24" t="s">
        <v>74</v>
      </c>
      <c r="Q70" s="24" t="s">
        <v>75</v>
      </c>
      <c r="R70" s="24" t="s">
        <v>59</v>
      </c>
      <c r="S70" s="24" t="s">
        <v>60</v>
      </c>
      <c r="T70" s="24" t="s">
        <v>106</v>
      </c>
      <c r="U70" s="24" t="s">
        <v>91</v>
      </c>
      <c r="V70" s="24" t="s">
        <v>77</v>
      </c>
      <c r="W70" s="24" t="s">
        <v>56</v>
      </c>
      <c r="X70" s="24" t="s">
        <v>56</v>
      </c>
      <c r="Y70" s="24" t="s">
        <v>245</v>
      </c>
      <c r="Z70" s="24" t="s">
        <v>64</v>
      </c>
      <c r="AA70" s="24" t="s">
        <v>134</v>
      </c>
      <c r="AB70" s="24" t="s">
        <v>56</v>
      </c>
      <c r="AC70" s="24" t="s">
        <v>357</v>
      </c>
    </row>
    <row r="71" spans="1:29">
      <c r="A71" s="30" t="s">
        <v>353</v>
      </c>
      <c r="B71" s="30" t="str">
        <f>IF(ISNUMBER(SEARCH(E71,A71)),A71,IF(OR(E71="",E71=""),A71,A71&amp;" - "&amp;E71))</f>
        <v>Navcora THC 18 Spotlight Porto - Mango</v>
      </c>
      <c r="C71" s="30" t="s">
        <v>133</v>
      </c>
      <c r="D71" s="30" t="s">
        <v>134</v>
      </c>
      <c r="E71" s="30" t="s">
        <v>259</v>
      </c>
      <c r="F71" s="30" t="s">
        <v>120</v>
      </c>
      <c r="G71" s="34">
        <v>18</v>
      </c>
      <c r="H71" s="35">
        <v>1</v>
      </c>
      <c r="I71" s="30"/>
      <c r="J71" s="30"/>
      <c r="K71" s="30" t="s">
        <v>17</v>
      </c>
      <c r="L71" s="30" t="s">
        <v>102</v>
      </c>
      <c r="M71" s="30" t="s">
        <v>54</v>
      </c>
      <c r="N71" s="30" t="s">
        <v>212</v>
      </c>
      <c r="O71" s="30" t="s">
        <v>88</v>
      </c>
      <c r="P71" s="30" t="s">
        <v>136</v>
      </c>
      <c r="Q71" s="30" t="s">
        <v>89</v>
      </c>
      <c r="R71" s="30" t="s">
        <v>58</v>
      </c>
      <c r="S71" s="30" t="s">
        <v>147</v>
      </c>
      <c r="T71" s="30" t="s">
        <v>106</v>
      </c>
      <c r="U71" s="30" t="s">
        <v>234</v>
      </c>
      <c r="V71" s="30" t="s">
        <v>77</v>
      </c>
      <c r="W71" s="30" t="s">
        <v>129</v>
      </c>
      <c r="X71" s="30" t="s">
        <v>79</v>
      </c>
      <c r="Y71" s="30" t="s">
        <v>358</v>
      </c>
      <c r="Z71" s="30" t="s">
        <v>64</v>
      </c>
      <c r="AA71" s="30" t="s">
        <v>134</v>
      </c>
      <c r="AB71" s="30" t="s">
        <v>56</v>
      </c>
      <c r="AC71" s="30" t="s">
        <v>359</v>
      </c>
    </row>
    <row r="72" spans="1:29">
      <c r="A72" s="24" t="s">
        <v>353</v>
      </c>
      <c r="B72" s="24" t="str">
        <f>IF(ISNUMBER(SEARCH(E72,A72)),A72,IF(OR(E72="",E72=""),A72,A72&amp;" - "&amp;E72))</f>
        <v>Navcora THC 18 Spotlight Porto - Purps</v>
      </c>
      <c r="C72" s="24" t="s">
        <v>133</v>
      </c>
      <c r="D72" s="24" t="s">
        <v>134</v>
      </c>
      <c r="E72" s="24" t="s">
        <v>360</v>
      </c>
      <c r="F72" s="24" t="s">
        <v>177</v>
      </c>
      <c r="G72" s="27">
        <v>18</v>
      </c>
      <c r="H72" s="28">
        <v>1</v>
      </c>
      <c r="I72" s="24"/>
      <c r="J72" s="24"/>
      <c r="K72" s="24" t="s">
        <v>17</v>
      </c>
      <c r="L72" s="24" t="s">
        <v>102</v>
      </c>
      <c r="M72" s="24" t="s">
        <v>88</v>
      </c>
      <c r="N72" s="24" t="s">
        <v>55</v>
      </c>
      <c r="O72" s="24" t="s">
        <v>72</v>
      </c>
      <c r="P72" s="24" t="s">
        <v>136</v>
      </c>
      <c r="Q72" s="24" t="s">
        <v>58</v>
      </c>
      <c r="R72" s="24" t="s">
        <v>56</v>
      </c>
      <c r="S72" s="24" t="s">
        <v>192</v>
      </c>
      <c r="T72" s="24" t="s">
        <v>147</v>
      </c>
      <c r="U72" s="24" t="s">
        <v>123</v>
      </c>
      <c r="V72" s="24" t="s">
        <v>77</v>
      </c>
      <c r="W72" s="24" t="s">
        <v>116</v>
      </c>
      <c r="X72" s="24" t="s">
        <v>165</v>
      </c>
      <c r="Y72" s="24" t="s">
        <v>361</v>
      </c>
      <c r="Z72" s="24" t="s">
        <v>64</v>
      </c>
      <c r="AA72" s="24" t="s">
        <v>134</v>
      </c>
      <c r="AB72" s="24" t="s">
        <v>56</v>
      </c>
      <c r="AC72" s="24" t="s">
        <v>362</v>
      </c>
    </row>
    <row r="73" spans="1:29">
      <c r="A73" s="30" t="s">
        <v>353</v>
      </c>
      <c r="B73" s="30" t="str">
        <f>IF(ISNUMBER(SEARCH(E73,A73)),A73,IF(OR(E73="",E73=""),A73,A73&amp;" - "&amp;E73))</f>
        <v>Navcora THC 18 Spotlight Porto - Gorilla Glue</v>
      </c>
      <c r="C73" s="30" t="s">
        <v>133</v>
      </c>
      <c r="D73" s="30" t="s">
        <v>134</v>
      </c>
      <c r="E73" s="30" t="s">
        <v>363</v>
      </c>
      <c r="F73" s="30" t="s">
        <v>86</v>
      </c>
      <c r="G73" s="34">
        <v>18</v>
      </c>
      <c r="H73" s="35">
        <v>1</v>
      </c>
      <c r="I73" s="30"/>
      <c r="J73" s="30"/>
      <c r="K73" s="30" t="s">
        <v>17</v>
      </c>
      <c r="L73" s="30" t="s">
        <v>185</v>
      </c>
      <c r="M73" s="30" t="s">
        <v>103</v>
      </c>
      <c r="N73" s="30" t="s">
        <v>121</v>
      </c>
      <c r="O73" s="30" t="s">
        <v>72</v>
      </c>
      <c r="P73" s="30" t="s">
        <v>146</v>
      </c>
      <c r="Q73" s="30" t="s">
        <v>74</v>
      </c>
      <c r="R73" s="30" t="s">
        <v>59</v>
      </c>
      <c r="S73" s="30" t="s">
        <v>60</v>
      </c>
      <c r="T73" s="30" t="s">
        <v>91</v>
      </c>
      <c r="U73" s="30" t="s">
        <v>62</v>
      </c>
      <c r="V73" s="30" t="s">
        <v>257</v>
      </c>
      <c r="W73" s="30" t="s">
        <v>252</v>
      </c>
      <c r="X73" s="30" t="s">
        <v>77</v>
      </c>
      <c r="Y73" s="30" t="s">
        <v>314</v>
      </c>
      <c r="Z73" s="30" t="s">
        <v>64</v>
      </c>
      <c r="AA73" s="30" t="s">
        <v>134</v>
      </c>
      <c r="AB73" s="30" t="s">
        <v>56</v>
      </c>
      <c r="AC73" s="30" t="s">
        <v>364</v>
      </c>
    </row>
    <row r="74" spans="1:29">
      <c r="A74" s="24" t="s">
        <v>353</v>
      </c>
      <c r="B74" s="24" t="str">
        <f>IF(ISNUMBER(SEARCH(E74,A74)),A74,IF(OR(E74="",E74=""),A74,A74&amp;" - "&amp;E74))</f>
        <v>Navcora THC 18 Spotlight Porto - Headband</v>
      </c>
      <c r="C74" s="24" t="s">
        <v>133</v>
      </c>
      <c r="D74" s="24" t="s">
        <v>134</v>
      </c>
      <c r="E74" s="24" t="s">
        <v>233</v>
      </c>
      <c r="F74" s="24" t="s">
        <v>69</v>
      </c>
      <c r="G74" s="27">
        <v>18</v>
      </c>
      <c r="H74" s="28">
        <v>1</v>
      </c>
      <c r="I74" s="24"/>
      <c r="J74" s="24"/>
      <c r="K74" s="24" t="s">
        <v>17</v>
      </c>
      <c r="L74" s="24" t="s">
        <v>102</v>
      </c>
      <c r="M74" s="24" t="s">
        <v>54</v>
      </c>
      <c r="N74" s="24" t="s">
        <v>88</v>
      </c>
      <c r="O74" s="24" t="s">
        <v>178</v>
      </c>
      <c r="P74" s="24" t="s">
        <v>73</v>
      </c>
      <c r="Q74" s="24" t="s">
        <v>57</v>
      </c>
      <c r="R74" s="24" t="s">
        <v>75</v>
      </c>
      <c r="S74" s="24" t="s">
        <v>106</v>
      </c>
      <c r="T74" s="24" t="s">
        <v>62</v>
      </c>
      <c r="U74" s="24" t="s">
        <v>164</v>
      </c>
      <c r="V74" s="24" t="s">
        <v>77</v>
      </c>
      <c r="W74" s="24" t="s">
        <v>129</v>
      </c>
      <c r="X74" s="24" t="s">
        <v>79</v>
      </c>
      <c r="Y74" s="24" t="s">
        <v>365</v>
      </c>
      <c r="Z74" s="24" t="s">
        <v>64</v>
      </c>
      <c r="AA74" s="24" t="s">
        <v>134</v>
      </c>
      <c r="AB74" s="24" t="s">
        <v>56</v>
      </c>
      <c r="AC74" s="24" t="s">
        <v>366</v>
      </c>
    </row>
    <row r="75" spans="1:29">
      <c r="A75" s="30" t="s">
        <v>353</v>
      </c>
      <c r="B75" s="30" t="str">
        <f>IF(ISNUMBER(SEARCH(E75,A75)),A75,IF(OR(E75="",E75=""),A75,A75&amp;" - "&amp;E75))</f>
        <v>Navcora THC 18 Spotlight Porto - Master Kush</v>
      </c>
      <c r="C75" s="30" t="s">
        <v>133</v>
      </c>
      <c r="D75" s="30" t="s">
        <v>134</v>
      </c>
      <c r="E75" s="30" t="s">
        <v>237</v>
      </c>
      <c r="F75" s="30" t="s">
        <v>120</v>
      </c>
      <c r="G75" s="34">
        <v>18</v>
      </c>
      <c r="H75" s="35">
        <v>1</v>
      </c>
      <c r="I75" s="30"/>
      <c r="J75" s="30"/>
      <c r="K75" s="30" t="s">
        <v>17</v>
      </c>
      <c r="L75" s="30" t="s">
        <v>102</v>
      </c>
      <c r="M75" s="30" t="s">
        <v>103</v>
      </c>
      <c r="N75" s="30" t="s">
        <v>121</v>
      </c>
      <c r="O75" s="30" t="s">
        <v>72</v>
      </c>
      <c r="P75" s="30" t="s">
        <v>74</v>
      </c>
      <c r="Q75" s="30" t="s">
        <v>59</v>
      </c>
      <c r="R75" s="30" t="s">
        <v>56</v>
      </c>
      <c r="S75" s="30" t="s">
        <v>203</v>
      </c>
      <c r="T75" s="30" t="s">
        <v>62</v>
      </c>
      <c r="U75" s="30" t="s">
        <v>164</v>
      </c>
      <c r="V75" s="30" t="s">
        <v>77</v>
      </c>
      <c r="W75" s="30" t="s">
        <v>78</v>
      </c>
      <c r="X75" s="30" t="s">
        <v>107</v>
      </c>
      <c r="Y75" s="30" t="s">
        <v>367</v>
      </c>
      <c r="Z75" s="30" t="s">
        <v>64</v>
      </c>
      <c r="AA75" s="30" t="s">
        <v>134</v>
      </c>
      <c r="AB75" s="30" t="s">
        <v>56</v>
      </c>
      <c r="AC75" s="30" t="s">
        <v>368</v>
      </c>
    </row>
    <row r="76" spans="1:29">
      <c r="A76" s="24" t="s">
        <v>369</v>
      </c>
      <c r="B76" s="24" t="str">
        <f>IF(ISNUMBER(SEARCH(E76,A76)),A76,IF(OR(E76="",E76=""),A76,A76&amp;" - "&amp;E76))</f>
        <v>Navcora THC 22 Spotlight Porto - Island Sweet Skunk</v>
      </c>
      <c r="C76" s="24" t="s">
        <v>133</v>
      </c>
      <c r="D76" s="24" t="s">
        <v>134</v>
      </c>
      <c r="E76" s="24" t="s">
        <v>135</v>
      </c>
      <c r="F76" s="24" t="s">
        <v>69</v>
      </c>
      <c r="G76" s="27">
        <v>22</v>
      </c>
      <c r="H76" s="28">
        <v>1</v>
      </c>
      <c r="I76" s="24"/>
      <c r="J76" s="24"/>
      <c r="K76" s="24" t="s">
        <v>17</v>
      </c>
      <c r="L76" s="24" t="s">
        <v>102</v>
      </c>
      <c r="M76" s="24" t="s">
        <v>54</v>
      </c>
      <c r="N76" s="24" t="s">
        <v>111</v>
      </c>
      <c r="O76" s="24" t="s">
        <v>88</v>
      </c>
      <c r="P76" s="24" t="s">
        <v>136</v>
      </c>
      <c r="Q76" s="24" t="s">
        <v>89</v>
      </c>
      <c r="R76" s="24" t="s">
        <v>58</v>
      </c>
      <c r="S76" s="24" t="s">
        <v>90</v>
      </c>
      <c r="T76" s="24" t="s">
        <v>60</v>
      </c>
      <c r="U76" s="24" t="s">
        <v>62</v>
      </c>
      <c r="V76" s="24" t="s">
        <v>77</v>
      </c>
      <c r="W76" s="24" t="s">
        <v>137</v>
      </c>
      <c r="X76" s="24" t="s">
        <v>138</v>
      </c>
      <c r="Y76" s="24" t="s">
        <v>56</v>
      </c>
      <c r="Z76" s="24" t="s">
        <v>64</v>
      </c>
      <c r="AA76" s="24" t="s">
        <v>134</v>
      </c>
      <c r="AB76" s="24" t="s">
        <v>56</v>
      </c>
      <c r="AC76" s="24" t="s">
        <v>370</v>
      </c>
    </row>
    <row r="77" spans="1:29">
      <c r="A77" s="30" t="s">
        <v>369</v>
      </c>
      <c r="B77" s="30" t="str">
        <f>IF(ISNUMBER(SEARCH(E77,A77)),A77,IF(OR(E77="",E77=""),A77,A77&amp;" - "&amp;E77))</f>
        <v>Navcora THC 22 Spotlight Porto - Mango</v>
      </c>
      <c r="C77" s="30" t="s">
        <v>133</v>
      </c>
      <c r="D77" s="30" t="s">
        <v>134</v>
      </c>
      <c r="E77" s="30" t="s">
        <v>259</v>
      </c>
      <c r="F77" s="30" t="s">
        <v>120</v>
      </c>
      <c r="G77" s="34">
        <v>22</v>
      </c>
      <c r="H77" s="35">
        <v>1</v>
      </c>
      <c r="I77" s="30"/>
      <c r="J77" s="30"/>
      <c r="K77" s="30" t="s">
        <v>17</v>
      </c>
      <c r="L77" s="30" t="s">
        <v>102</v>
      </c>
      <c r="M77" s="30" t="s">
        <v>54</v>
      </c>
      <c r="N77" s="30" t="s">
        <v>212</v>
      </c>
      <c r="O77" s="30" t="s">
        <v>88</v>
      </c>
      <c r="P77" s="30" t="s">
        <v>136</v>
      </c>
      <c r="Q77" s="30" t="s">
        <v>89</v>
      </c>
      <c r="R77" s="30" t="s">
        <v>58</v>
      </c>
      <c r="S77" s="30" t="s">
        <v>147</v>
      </c>
      <c r="T77" s="30" t="s">
        <v>106</v>
      </c>
      <c r="U77" s="30" t="s">
        <v>234</v>
      </c>
      <c r="V77" s="30" t="s">
        <v>77</v>
      </c>
      <c r="W77" s="30" t="s">
        <v>129</v>
      </c>
      <c r="X77" s="30" t="s">
        <v>79</v>
      </c>
      <c r="Y77" s="30" t="s">
        <v>371</v>
      </c>
      <c r="Z77" s="30" t="s">
        <v>64</v>
      </c>
      <c r="AA77" s="30" t="s">
        <v>134</v>
      </c>
      <c r="AB77" s="30" t="s">
        <v>56</v>
      </c>
      <c r="AC77" s="30" t="s">
        <v>372</v>
      </c>
    </row>
    <row r="78" spans="1:29">
      <c r="A78" s="24" t="s">
        <v>210</v>
      </c>
      <c r="B78" s="24" t="str">
        <f>IF(ISNUMBER(SEARCH(E78,A78)),A78,IF(OR(E78="",E78=""),A78,A78&amp;" - "&amp;E78))</f>
        <v>Nimbus easy 22/1 - French Cookies</v>
      </c>
      <c r="C78" s="24" t="s">
        <v>141</v>
      </c>
      <c r="D78" s="24" t="s">
        <v>142</v>
      </c>
      <c r="E78" s="24" t="s">
        <v>216</v>
      </c>
      <c r="F78" s="24" t="s">
        <v>120</v>
      </c>
      <c r="G78" s="27">
        <v>22</v>
      </c>
      <c r="H78" s="28">
        <v>1</v>
      </c>
      <c r="I78" s="24"/>
      <c r="J78" s="24"/>
      <c r="K78" s="24" t="s">
        <v>52</v>
      </c>
      <c r="L78" s="24" t="s">
        <v>145</v>
      </c>
      <c r="M78" s="24" t="s">
        <v>54</v>
      </c>
      <c r="N78" s="24" t="s">
        <v>111</v>
      </c>
      <c r="O78" s="24" t="s">
        <v>88</v>
      </c>
      <c r="P78" s="24" t="s">
        <v>104</v>
      </c>
      <c r="Q78" s="24" t="s">
        <v>74</v>
      </c>
      <c r="R78" s="24" t="s">
        <v>58</v>
      </c>
      <c r="S78" s="24" t="s">
        <v>60</v>
      </c>
      <c r="T78" s="24" t="s">
        <v>203</v>
      </c>
      <c r="U78" s="24" t="s">
        <v>62</v>
      </c>
      <c r="V78" s="24" t="s">
        <v>77</v>
      </c>
      <c r="W78" s="24" t="s">
        <v>116</v>
      </c>
      <c r="X78" s="24" t="s">
        <v>165</v>
      </c>
      <c r="Y78" s="24" t="s">
        <v>213</v>
      </c>
      <c r="Z78" s="24" t="s">
        <v>64</v>
      </c>
      <c r="AA78" s="24" t="s">
        <v>149</v>
      </c>
      <c r="AB78" s="24" t="s">
        <v>56</v>
      </c>
      <c r="AC78" s="24" t="s">
        <v>373</v>
      </c>
    </row>
    <row r="79" spans="1:29">
      <c r="A79" s="30" t="s">
        <v>374</v>
      </c>
      <c r="B79" s="30" t="str">
        <f>IF(ISNUMBER(SEARCH(E79,A79)),A79,IF(OR(E79="",E79=""),A79,A79&amp;" - "&amp;E79))</f>
        <v>Remexian 20/1 - White Widow</v>
      </c>
      <c r="C79" s="30" t="s">
        <v>83</v>
      </c>
      <c r="D79" s="30" t="s">
        <v>84</v>
      </c>
      <c r="E79" s="30" t="s">
        <v>251</v>
      </c>
      <c r="F79" s="30" t="s">
        <v>69</v>
      </c>
      <c r="G79" s="34">
        <v>20</v>
      </c>
      <c r="H79" s="35">
        <v>1</v>
      </c>
      <c r="I79" s="30"/>
      <c r="J79" s="30"/>
      <c r="K79" s="30" t="s">
        <v>17</v>
      </c>
      <c r="L79" s="30" t="s">
        <v>87</v>
      </c>
      <c r="M79" s="30" t="s">
        <v>54</v>
      </c>
      <c r="N79" s="30" t="s">
        <v>111</v>
      </c>
      <c r="O79" s="30" t="s">
        <v>88</v>
      </c>
      <c r="P79" s="30" t="s">
        <v>146</v>
      </c>
      <c r="Q79" s="30" t="s">
        <v>74</v>
      </c>
      <c r="R79" s="30" t="s">
        <v>113</v>
      </c>
      <c r="S79" s="30" t="s">
        <v>128</v>
      </c>
      <c r="T79" s="30" t="s">
        <v>62</v>
      </c>
      <c r="U79" s="30" t="s">
        <v>179</v>
      </c>
      <c r="V79" s="30" t="s">
        <v>252</v>
      </c>
      <c r="W79" s="30" t="s">
        <v>77</v>
      </c>
      <c r="X79" s="30" t="s">
        <v>253</v>
      </c>
      <c r="Y79" s="30" t="s">
        <v>358</v>
      </c>
      <c r="Z79" s="30" t="s">
        <v>64</v>
      </c>
      <c r="AA79" s="30" t="s">
        <v>95</v>
      </c>
      <c r="AB79" s="30" t="s">
        <v>56</v>
      </c>
      <c r="AC79" s="30" t="s">
        <v>375</v>
      </c>
    </row>
    <row r="80" spans="1:29">
      <c r="A80" s="24" t="s">
        <v>222</v>
      </c>
      <c r="B80" s="24" t="str">
        <f>IF(ISNUMBER(SEARCH(E80,A80)),A80,IF(OR(E80="",E80=""),A80,A80&amp;" - "&amp;E80))</f>
        <v>Tilray THC 15 Spotlight Porto - Mango</v>
      </c>
      <c r="C80" s="24" t="s">
        <v>133</v>
      </c>
      <c r="D80" s="24" t="s">
        <v>134</v>
      </c>
      <c r="E80" s="24" t="s">
        <v>259</v>
      </c>
      <c r="F80" s="24" t="s">
        <v>120</v>
      </c>
      <c r="G80" s="27">
        <v>15</v>
      </c>
      <c r="H80" s="28">
        <v>1</v>
      </c>
      <c r="I80" s="24"/>
      <c r="J80" s="24"/>
      <c r="K80" s="24" t="s">
        <v>17</v>
      </c>
      <c r="L80" s="24" t="s">
        <v>102</v>
      </c>
      <c r="M80" s="24" t="s">
        <v>54</v>
      </c>
      <c r="N80" s="24" t="s">
        <v>212</v>
      </c>
      <c r="O80" s="24" t="s">
        <v>88</v>
      </c>
      <c r="P80" s="24" t="s">
        <v>136</v>
      </c>
      <c r="Q80" s="24" t="s">
        <v>89</v>
      </c>
      <c r="R80" s="24" t="s">
        <v>58</v>
      </c>
      <c r="S80" s="24" t="s">
        <v>60</v>
      </c>
      <c r="T80" s="24" t="s">
        <v>106</v>
      </c>
      <c r="U80" s="24" t="s">
        <v>91</v>
      </c>
      <c r="V80" s="24" t="s">
        <v>77</v>
      </c>
      <c r="W80" s="24" t="s">
        <v>129</v>
      </c>
      <c r="X80" s="24" t="s">
        <v>79</v>
      </c>
      <c r="Y80" s="24" t="s">
        <v>80</v>
      </c>
      <c r="Z80" s="24" t="s">
        <v>64</v>
      </c>
      <c r="AA80" s="24" t="s">
        <v>134</v>
      </c>
      <c r="AB80" s="24" t="s">
        <v>56</v>
      </c>
      <c r="AC80" s="24" t="s">
        <v>376</v>
      </c>
    </row>
    <row r="81" spans="1:29">
      <c r="A81" s="30" t="s">
        <v>222</v>
      </c>
      <c r="B81" s="30" t="str">
        <f>IF(ISNUMBER(SEARCH(E81,A81)),A81,IF(OR(E81="",E81=""),A81,A81&amp;" - "&amp;E81))</f>
        <v>Tilray THC 15 Spotlight Porto - Sour Diesel</v>
      </c>
      <c r="C81" s="30" t="s">
        <v>133</v>
      </c>
      <c r="D81" s="30" t="s">
        <v>134</v>
      </c>
      <c r="E81" s="30" t="s">
        <v>256</v>
      </c>
      <c r="F81" s="30" t="s">
        <v>69</v>
      </c>
      <c r="G81" s="34">
        <v>15</v>
      </c>
      <c r="H81" s="35">
        <v>1</v>
      </c>
      <c r="I81" s="30"/>
      <c r="J81" s="30"/>
      <c r="K81" s="30" t="s">
        <v>17</v>
      </c>
      <c r="L81" s="30" t="s">
        <v>102</v>
      </c>
      <c r="M81" s="30" t="s">
        <v>156</v>
      </c>
      <c r="N81" s="30" t="s">
        <v>111</v>
      </c>
      <c r="O81" s="30" t="s">
        <v>88</v>
      </c>
      <c r="P81" s="30" t="s">
        <v>73</v>
      </c>
      <c r="Q81" s="30" t="s">
        <v>74</v>
      </c>
      <c r="R81" s="30" t="s">
        <v>75</v>
      </c>
      <c r="S81" s="30" t="s">
        <v>60</v>
      </c>
      <c r="T81" s="30" t="s">
        <v>123</v>
      </c>
      <c r="U81" s="30" t="s">
        <v>106</v>
      </c>
      <c r="V81" s="30" t="s">
        <v>257</v>
      </c>
      <c r="W81" s="30" t="s">
        <v>77</v>
      </c>
      <c r="X81" s="30" t="s">
        <v>225</v>
      </c>
      <c r="Y81" s="30" t="s">
        <v>377</v>
      </c>
      <c r="Z81" s="30" t="s">
        <v>64</v>
      </c>
      <c r="AA81" s="30" t="s">
        <v>134</v>
      </c>
      <c r="AB81" s="30" t="s">
        <v>56</v>
      </c>
      <c r="AC81" s="30" t="s">
        <v>378</v>
      </c>
    </row>
    <row r="82" spans="1:29">
      <c r="A82" s="24" t="s">
        <v>222</v>
      </c>
      <c r="B82" s="24" t="str">
        <f>IF(ISNUMBER(SEARCH(E82,A82)),A82,IF(OR(E82="",E82=""),A82,A82&amp;" - "&amp;E82))</f>
        <v>Tilray THC 15 Spotlight Porto - Pink Kush</v>
      </c>
      <c r="C82" s="24" t="s">
        <v>133</v>
      </c>
      <c r="D82" s="24" t="s">
        <v>134</v>
      </c>
      <c r="E82" s="24" t="s">
        <v>101</v>
      </c>
      <c r="F82" s="24" t="s">
        <v>86</v>
      </c>
      <c r="G82" s="27">
        <v>15</v>
      </c>
      <c r="H82" s="28">
        <v>1</v>
      </c>
      <c r="I82" s="24"/>
      <c r="J82" s="24"/>
      <c r="K82" s="24" t="s">
        <v>17</v>
      </c>
      <c r="L82" s="24" t="s">
        <v>102</v>
      </c>
      <c r="M82" s="24" t="s">
        <v>88</v>
      </c>
      <c r="N82" s="24" t="s">
        <v>71</v>
      </c>
      <c r="O82" s="24" t="s">
        <v>103</v>
      </c>
      <c r="P82" s="24" t="s">
        <v>57</v>
      </c>
      <c r="Q82" s="24" t="s">
        <v>104</v>
      </c>
      <c r="R82" s="24" t="s">
        <v>74</v>
      </c>
      <c r="S82" s="24" t="s">
        <v>60</v>
      </c>
      <c r="T82" s="24" t="s">
        <v>123</v>
      </c>
      <c r="U82" s="24" t="s">
        <v>106</v>
      </c>
      <c r="V82" s="24" t="s">
        <v>77</v>
      </c>
      <c r="W82" s="24" t="s">
        <v>79</v>
      </c>
      <c r="X82" s="24" t="s">
        <v>107</v>
      </c>
      <c r="Y82" s="24" t="s">
        <v>322</v>
      </c>
      <c r="Z82" s="24" t="s">
        <v>64</v>
      </c>
      <c r="AA82" s="24" t="s">
        <v>134</v>
      </c>
      <c r="AB82" s="24" t="s">
        <v>56</v>
      </c>
      <c r="AC82" s="24" t="s">
        <v>379</v>
      </c>
    </row>
    <row r="83" spans="1:29">
      <c r="A83" s="30" t="s">
        <v>222</v>
      </c>
      <c r="B83" s="30" t="str">
        <f>IF(ISNUMBER(SEARCH(E83,A83)),A83,IF(OR(E83="",E83=""),A83,A83&amp;" - "&amp;E83))</f>
        <v>Tilray THC 15 Spotlight Porto - Sirius</v>
      </c>
      <c r="C83" s="30" t="s">
        <v>133</v>
      </c>
      <c r="D83" s="30" t="s">
        <v>134</v>
      </c>
      <c r="E83" s="30" t="s">
        <v>334</v>
      </c>
      <c r="F83" s="30" t="s">
        <v>120</v>
      </c>
      <c r="G83" s="34">
        <v>15</v>
      </c>
      <c r="H83" s="35">
        <v>1</v>
      </c>
      <c r="I83" s="30"/>
      <c r="J83" s="30"/>
      <c r="K83" s="30" t="s">
        <v>52</v>
      </c>
      <c r="L83" s="30" t="s">
        <v>102</v>
      </c>
      <c r="M83" s="30" t="s">
        <v>111</v>
      </c>
      <c r="N83" s="30" t="s">
        <v>71</v>
      </c>
      <c r="O83" s="30" t="s">
        <v>178</v>
      </c>
      <c r="P83" s="30" t="s">
        <v>74</v>
      </c>
      <c r="Q83" s="30" t="s">
        <v>58</v>
      </c>
      <c r="R83" s="30" t="s">
        <v>56</v>
      </c>
      <c r="S83" s="30" t="s">
        <v>106</v>
      </c>
      <c r="T83" s="30" t="s">
        <v>62</v>
      </c>
      <c r="U83" s="30" t="s">
        <v>164</v>
      </c>
      <c r="V83" s="30" t="s">
        <v>77</v>
      </c>
      <c r="W83" s="30" t="s">
        <v>79</v>
      </c>
      <c r="X83" s="30" t="s">
        <v>107</v>
      </c>
      <c r="Y83" s="30" t="s">
        <v>307</v>
      </c>
      <c r="Z83" s="30" t="s">
        <v>64</v>
      </c>
      <c r="AA83" s="30" t="s">
        <v>134</v>
      </c>
      <c r="AB83" s="30" t="s">
        <v>56</v>
      </c>
      <c r="AC83" s="30" t="s">
        <v>380</v>
      </c>
    </row>
    <row r="84" spans="1:29">
      <c r="A84" s="24" t="s">
        <v>232</v>
      </c>
      <c r="B84" s="24" t="str">
        <f>IF(ISNUMBER(SEARCH(E84,A84)),A84,IF(OR(E84="",E84=""),A84,A84&amp;" - "&amp;E84))</f>
        <v>Tilray THC 18 Spotlight Porto - Sirius</v>
      </c>
      <c r="C84" s="24" t="s">
        <v>133</v>
      </c>
      <c r="D84" s="24" t="s">
        <v>134</v>
      </c>
      <c r="E84" s="24" t="s">
        <v>334</v>
      </c>
      <c r="F84" s="24" t="s">
        <v>120</v>
      </c>
      <c r="G84" s="27">
        <v>18</v>
      </c>
      <c r="H84" s="28">
        <v>1</v>
      </c>
      <c r="I84" s="24"/>
      <c r="J84" s="24"/>
      <c r="K84" s="24" t="s">
        <v>52</v>
      </c>
      <c r="L84" s="24" t="s">
        <v>102</v>
      </c>
      <c r="M84" s="24" t="s">
        <v>111</v>
      </c>
      <c r="N84" s="24" t="s">
        <v>71</v>
      </c>
      <c r="O84" s="24" t="s">
        <v>178</v>
      </c>
      <c r="P84" s="24" t="s">
        <v>74</v>
      </c>
      <c r="Q84" s="24" t="s">
        <v>58</v>
      </c>
      <c r="R84" s="24" t="s">
        <v>56</v>
      </c>
      <c r="S84" s="24" t="s">
        <v>106</v>
      </c>
      <c r="T84" s="24" t="s">
        <v>62</v>
      </c>
      <c r="U84" s="24" t="s">
        <v>164</v>
      </c>
      <c r="V84" s="24" t="s">
        <v>77</v>
      </c>
      <c r="W84" s="24" t="s">
        <v>79</v>
      </c>
      <c r="X84" s="24" t="s">
        <v>107</v>
      </c>
      <c r="Y84" s="24" t="s">
        <v>264</v>
      </c>
      <c r="Z84" s="24" t="s">
        <v>64</v>
      </c>
      <c r="AA84" s="24" t="s">
        <v>134</v>
      </c>
      <c r="AB84" s="24" t="s">
        <v>56</v>
      </c>
      <c r="AC84" s="24" t="s">
        <v>381</v>
      </c>
    </row>
    <row r="85" spans="1:29">
      <c r="A85" s="30" t="s">
        <v>232</v>
      </c>
      <c r="B85" s="30" t="str">
        <f>IF(ISNUMBER(SEARCH(E85,A85)),A85,IF(OR(E85="",E85=""),A85,A85&amp;" - "&amp;E85))</f>
        <v>Tilray THC 18 Spotlight Porto - Jack Herer</v>
      </c>
      <c r="C85" s="30" t="s">
        <v>133</v>
      </c>
      <c r="D85" s="30" t="s">
        <v>134</v>
      </c>
      <c r="E85" s="30" t="s">
        <v>382</v>
      </c>
      <c r="F85" s="30" t="s">
        <v>51</v>
      </c>
      <c r="G85" s="34">
        <v>18</v>
      </c>
      <c r="H85" s="35">
        <v>1</v>
      </c>
      <c r="I85" s="30"/>
      <c r="J85" s="30"/>
      <c r="K85" s="30" t="s">
        <v>17</v>
      </c>
      <c r="L85" s="30" t="s">
        <v>102</v>
      </c>
      <c r="M85" s="30" t="s">
        <v>54</v>
      </c>
      <c r="N85" s="30" t="s">
        <v>111</v>
      </c>
      <c r="O85" s="30" t="s">
        <v>71</v>
      </c>
      <c r="P85" s="30" t="s">
        <v>146</v>
      </c>
      <c r="Q85" s="30" t="s">
        <v>74</v>
      </c>
      <c r="R85" s="30" t="s">
        <v>113</v>
      </c>
      <c r="S85" s="30" t="s">
        <v>56</v>
      </c>
      <c r="T85" s="30" t="s">
        <v>56</v>
      </c>
      <c r="U85" s="30" t="s">
        <v>56</v>
      </c>
      <c r="V85" s="30" t="s">
        <v>77</v>
      </c>
      <c r="W85" s="30" t="s">
        <v>253</v>
      </c>
      <c r="X85" s="30" t="s">
        <v>383</v>
      </c>
      <c r="Y85" s="30" t="s">
        <v>322</v>
      </c>
      <c r="Z85" s="30" t="s">
        <v>64</v>
      </c>
      <c r="AA85" s="30" t="s">
        <v>134</v>
      </c>
      <c r="AB85" s="30" t="s">
        <v>56</v>
      </c>
      <c r="AC85" s="30" t="s">
        <v>384</v>
      </c>
    </row>
    <row r="86" spans="1:29">
      <c r="A86" s="24" t="s">
        <v>232</v>
      </c>
      <c r="B86" s="24" t="str">
        <f>IF(ISNUMBER(SEARCH(E86,A86)),A86,IF(OR(E86="",E86=""),A86,A86&amp;" - "&amp;E86))</f>
        <v>Tilray THC 18 Spotlight Porto - Rockstar</v>
      </c>
      <c r="C86" s="24" t="s">
        <v>133</v>
      </c>
      <c r="D86" s="24" t="s">
        <v>134</v>
      </c>
      <c r="E86" s="24" t="s">
        <v>385</v>
      </c>
      <c r="F86" s="24" t="s">
        <v>120</v>
      </c>
      <c r="G86" s="27">
        <v>18</v>
      </c>
      <c r="H86" s="28">
        <v>1</v>
      </c>
      <c r="I86" s="24"/>
      <c r="J86" s="24"/>
      <c r="K86" s="24" t="s">
        <v>17</v>
      </c>
      <c r="L86" s="24" t="s">
        <v>102</v>
      </c>
      <c r="M86" s="24" t="s">
        <v>111</v>
      </c>
      <c r="N86" s="24" t="s">
        <v>103</v>
      </c>
      <c r="O86" s="24" t="s">
        <v>121</v>
      </c>
      <c r="P86" s="24" t="s">
        <v>157</v>
      </c>
      <c r="Q86" s="24" t="s">
        <v>89</v>
      </c>
      <c r="R86" s="24" t="s">
        <v>59</v>
      </c>
      <c r="S86" s="24" t="s">
        <v>56</v>
      </c>
      <c r="T86" s="24" t="s">
        <v>56</v>
      </c>
      <c r="U86" s="24" t="s">
        <v>56</v>
      </c>
      <c r="V86" s="24" t="s">
        <v>77</v>
      </c>
      <c r="W86" s="24" t="s">
        <v>116</v>
      </c>
      <c r="X86" s="24" t="s">
        <v>107</v>
      </c>
      <c r="Y86" s="24" t="s">
        <v>371</v>
      </c>
      <c r="Z86" s="24" t="s">
        <v>64</v>
      </c>
      <c r="AA86" s="24" t="s">
        <v>134</v>
      </c>
      <c r="AB86" s="24" t="s">
        <v>56</v>
      </c>
      <c r="AC86" s="24" t="s">
        <v>386</v>
      </c>
    </row>
    <row r="87" spans="1:29">
      <c r="A87" s="30" t="s">
        <v>232</v>
      </c>
      <c r="B87" s="30" t="str">
        <f>IF(ISNUMBER(SEARCH(E87,A87)),A87,IF(OR(E87="",E87=""),A87,A87&amp;" - "&amp;E87))</f>
        <v>Tilray THC 18 Spotlight Porto - Lemon Sour Diesel</v>
      </c>
      <c r="C87" s="30" t="s">
        <v>133</v>
      </c>
      <c r="D87" s="30" t="s">
        <v>134</v>
      </c>
      <c r="E87" s="30" t="s">
        <v>387</v>
      </c>
      <c r="F87" s="30" t="s">
        <v>86</v>
      </c>
      <c r="G87" s="34">
        <v>18</v>
      </c>
      <c r="H87" s="35">
        <v>1</v>
      </c>
      <c r="I87" s="30"/>
      <c r="J87" s="30"/>
      <c r="K87" s="30" t="s">
        <v>17</v>
      </c>
      <c r="L87" s="30" t="s">
        <v>102</v>
      </c>
      <c r="M87" s="30" t="s">
        <v>111</v>
      </c>
      <c r="N87" s="30" t="s">
        <v>88</v>
      </c>
      <c r="O87" s="30" t="s">
        <v>71</v>
      </c>
      <c r="P87" s="30" t="s">
        <v>75</v>
      </c>
      <c r="Q87" s="30" t="s">
        <v>56</v>
      </c>
      <c r="R87" s="30" t="s">
        <v>0</v>
      </c>
      <c r="S87" s="30" t="s">
        <v>60</v>
      </c>
      <c r="T87" s="30" t="s">
        <v>106</v>
      </c>
      <c r="U87" s="30" t="s">
        <v>91</v>
      </c>
      <c r="V87" s="30" t="s">
        <v>77</v>
      </c>
      <c r="W87" s="30" t="s">
        <v>79</v>
      </c>
      <c r="X87" s="30" t="s">
        <v>173</v>
      </c>
      <c r="Y87" s="30" t="s">
        <v>388</v>
      </c>
      <c r="Z87" s="30" t="s">
        <v>64</v>
      </c>
      <c r="AA87" s="30" t="s">
        <v>134</v>
      </c>
      <c r="AB87" s="30" t="s">
        <v>56</v>
      </c>
      <c r="AC87" s="30" t="s">
        <v>389</v>
      </c>
    </row>
    <row r="88" spans="1:29">
      <c r="A88" s="24" t="s">
        <v>132</v>
      </c>
      <c r="B88" s="24" t="str">
        <f>IF(ISNUMBER(SEARCH(E88,A88)),A88,IF(OR(E88="",E88=""),A88,A88&amp;" - "&amp;E88))</f>
        <v>Tilray THC 22 Spotlight Porto - Gorilla Glue</v>
      </c>
      <c r="C88" s="24" t="s">
        <v>133</v>
      </c>
      <c r="D88" s="24" t="s">
        <v>134</v>
      </c>
      <c r="E88" s="24" t="s">
        <v>363</v>
      </c>
      <c r="F88" s="24" t="s">
        <v>86</v>
      </c>
      <c r="G88" s="27">
        <v>22</v>
      </c>
      <c r="H88" s="28">
        <v>1</v>
      </c>
      <c r="I88" s="24"/>
      <c r="J88" s="24"/>
      <c r="K88" s="24" t="s">
        <v>17</v>
      </c>
      <c r="L88" s="24" t="s">
        <v>102</v>
      </c>
      <c r="M88" s="24" t="s">
        <v>103</v>
      </c>
      <c r="N88" s="24" t="s">
        <v>121</v>
      </c>
      <c r="O88" s="24" t="s">
        <v>72</v>
      </c>
      <c r="P88" s="24" t="s">
        <v>146</v>
      </c>
      <c r="Q88" s="24" t="s">
        <v>74</v>
      </c>
      <c r="R88" s="24" t="s">
        <v>59</v>
      </c>
      <c r="S88" s="24" t="s">
        <v>60</v>
      </c>
      <c r="T88" s="24" t="s">
        <v>91</v>
      </c>
      <c r="U88" s="24" t="s">
        <v>62</v>
      </c>
      <c r="V88" s="24" t="s">
        <v>257</v>
      </c>
      <c r="W88" s="24" t="s">
        <v>252</v>
      </c>
      <c r="X88" s="24" t="s">
        <v>77</v>
      </c>
      <c r="Y88" s="24" t="s">
        <v>248</v>
      </c>
      <c r="Z88" s="24" t="s">
        <v>64</v>
      </c>
      <c r="AA88" s="24" t="s">
        <v>134</v>
      </c>
      <c r="AB88" s="24" t="s">
        <v>56</v>
      </c>
      <c r="AC88" s="24" t="s">
        <v>390</v>
      </c>
    </row>
    <row r="89" spans="1:29">
      <c r="A89" s="30" t="s">
        <v>132</v>
      </c>
      <c r="B89" s="30" t="str">
        <f>IF(ISNUMBER(SEARCH(E89,A89)),A89,IF(OR(E89="",E89=""),A89,A89&amp;" - "&amp;E89))</f>
        <v>Tilray THC 22 Spotlight Porto - Sour Diesel</v>
      </c>
      <c r="C89" s="30" t="s">
        <v>133</v>
      </c>
      <c r="D89" s="30" t="s">
        <v>134</v>
      </c>
      <c r="E89" s="30" t="s">
        <v>256</v>
      </c>
      <c r="F89" s="30" t="s">
        <v>69</v>
      </c>
      <c r="G89" s="34">
        <v>22</v>
      </c>
      <c r="H89" s="35">
        <v>1</v>
      </c>
      <c r="I89" s="30"/>
      <c r="J89" s="30"/>
      <c r="K89" s="30" t="s">
        <v>17</v>
      </c>
      <c r="L89" s="30" t="s">
        <v>102</v>
      </c>
      <c r="M89" s="30" t="s">
        <v>156</v>
      </c>
      <c r="N89" s="30" t="s">
        <v>111</v>
      </c>
      <c r="O89" s="30" t="s">
        <v>88</v>
      </c>
      <c r="P89" s="30" t="s">
        <v>73</v>
      </c>
      <c r="Q89" s="30" t="s">
        <v>74</v>
      </c>
      <c r="R89" s="30" t="s">
        <v>75</v>
      </c>
      <c r="S89" s="30" t="s">
        <v>60</v>
      </c>
      <c r="T89" s="30" t="s">
        <v>123</v>
      </c>
      <c r="U89" s="30" t="s">
        <v>106</v>
      </c>
      <c r="V89" s="30" t="s">
        <v>257</v>
      </c>
      <c r="W89" s="30" t="s">
        <v>77</v>
      </c>
      <c r="X89" s="30" t="s">
        <v>225</v>
      </c>
      <c r="Y89" s="30" t="s">
        <v>391</v>
      </c>
      <c r="Z89" s="30" t="s">
        <v>64</v>
      </c>
      <c r="AA89" s="30" t="s">
        <v>134</v>
      </c>
      <c r="AB89" s="30" t="s">
        <v>56</v>
      </c>
      <c r="AC89" s="30" t="s">
        <v>392</v>
      </c>
    </row>
    <row r="90" spans="1:29">
      <c r="A90" s="24" t="s">
        <v>132</v>
      </c>
      <c r="B90" s="24" t="str">
        <f>IF(ISNUMBER(SEARCH(E90,A90)),A90,IF(OR(E90="",E90=""),A90,A90&amp;" - "&amp;E90))</f>
        <v>Tilray THC 22 Spotlight Porto - Rockstar</v>
      </c>
      <c r="C90" s="24" t="s">
        <v>133</v>
      </c>
      <c r="D90" s="24" t="s">
        <v>134</v>
      </c>
      <c r="E90" s="24" t="s">
        <v>385</v>
      </c>
      <c r="F90" s="24" t="s">
        <v>120</v>
      </c>
      <c r="G90" s="27">
        <v>22</v>
      </c>
      <c r="H90" s="28">
        <v>1</v>
      </c>
      <c r="I90" s="24"/>
      <c r="J90" s="24"/>
      <c r="K90" s="24" t="s">
        <v>17</v>
      </c>
      <c r="L90" s="24" t="s">
        <v>102</v>
      </c>
      <c r="M90" s="24" t="s">
        <v>111</v>
      </c>
      <c r="N90" s="24" t="s">
        <v>103</v>
      </c>
      <c r="O90" s="24" t="s">
        <v>121</v>
      </c>
      <c r="P90" s="24" t="s">
        <v>157</v>
      </c>
      <c r="Q90" s="24" t="s">
        <v>89</v>
      </c>
      <c r="R90" s="24" t="s">
        <v>59</v>
      </c>
      <c r="S90" s="24" t="s">
        <v>203</v>
      </c>
      <c r="T90" s="24" t="s">
        <v>62</v>
      </c>
      <c r="U90" s="24" t="s">
        <v>164</v>
      </c>
      <c r="V90" s="24" t="s">
        <v>77</v>
      </c>
      <c r="W90" s="24" t="s">
        <v>116</v>
      </c>
      <c r="X90" s="24" t="s">
        <v>107</v>
      </c>
      <c r="Y90" s="24" t="s">
        <v>248</v>
      </c>
      <c r="Z90" s="24" t="s">
        <v>64</v>
      </c>
      <c r="AA90" s="24" t="s">
        <v>134</v>
      </c>
      <c r="AB90" s="24" t="s">
        <v>56</v>
      </c>
      <c r="AC90" s="24" t="s">
        <v>393</v>
      </c>
    </row>
    <row r="91" spans="1:29">
      <c r="A91" s="30" t="s">
        <v>266</v>
      </c>
      <c r="B91" s="30" t="str">
        <f>IF(ISNUMBER(SEARCH(E91,A91)),A91,IF(OR(E91="",E91=""),A91,A91&amp;" - "&amp;E91))</f>
        <v>Tilray THC18 Spotlight Porto - Jean Guy</v>
      </c>
      <c r="C91" s="30" t="s">
        <v>133</v>
      </c>
      <c r="D91" s="30" t="s">
        <v>134</v>
      </c>
      <c r="E91" s="30" t="s">
        <v>394</v>
      </c>
      <c r="F91" s="30" t="s">
        <v>69</v>
      </c>
      <c r="G91" s="34">
        <v>18</v>
      </c>
      <c r="H91" s="35">
        <v>1</v>
      </c>
      <c r="I91" s="30"/>
      <c r="J91" s="30"/>
      <c r="K91" s="30" t="s">
        <v>17</v>
      </c>
      <c r="L91" s="30" t="s">
        <v>102</v>
      </c>
      <c r="M91" s="30" t="s">
        <v>54</v>
      </c>
      <c r="N91" s="30" t="s">
        <v>111</v>
      </c>
      <c r="O91" s="30" t="s">
        <v>88</v>
      </c>
      <c r="P91" s="30" t="s">
        <v>74</v>
      </c>
      <c r="Q91" s="30" t="s">
        <v>75</v>
      </c>
      <c r="R91" s="30" t="s">
        <v>56</v>
      </c>
      <c r="S91" s="30" t="s">
        <v>123</v>
      </c>
      <c r="T91" s="30" t="s">
        <v>106</v>
      </c>
      <c r="U91" s="30" t="s">
        <v>114</v>
      </c>
      <c r="V91" s="30" t="s">
        <v>77</v>
      </c>
      <c r="W91" s="30" t="s">
        <v>78</v>
      </c>
      <c r="X91" s="30" t="s">
        <v>395</v>
      </c>
      <c r="Y91" s="30" t="s">
        <v>396</v>
      </c>
      <c r="Z91" s="30" t="s">
        <v>64</v>
      </c>
      <c r="AA91" s="30" t="s">
        <v>134</v>
      </c>
      <c r="AB91" s="30" t="s">
        <v>56</v>
      </c>
      <c r="AC91" s="30" t="s">
        <v>397</v>
      </c>
    </row>
    <row r="92" spans="1:29">
      <c r="A92" s="24" t="s">
        <v>398</v>
      </c>
      <c r="B92" s="24" t="str">
        <f>IF(ISNUMBER(SEARCH(E92,A92)),A92,IF(OR(E92="",E92=""),A92,A92&amp;" - "&amp;E92))</f>
        <v>TYSON 2.0 26/1 - NYC Diesel</v>
      </c>
      <c r="C92" s="24" t="s">
        <v>141</v>
      </c>
      <c r="D92" s="24" t="s">
        <v>142</v>
      </c>
      <c r="E92" s="41" t="s">
        <v>399</v>
      </c>
      <c r="F92" s="24" t="s">
        <v>144</v>
      </c>
      <c r="G92" s="27">
        <v>26</v>
      </c>
      <c r="H92" s="28">
        <v>1</v>
      </c>
      <c r="I92" s="24"/>
      <c r="J92" s="24"/>
      <c r="K92" s="24" t="s">
        <v>52</v>
      </c>
      <c r="L92" s="24" t="s">
        <v>145</v>
      </c>
      <c r="M92" s="24" t="s">
        <v>111</v>
      </c>
      <c r="N92" s="24" t="s">
        <v>55</v>
      </c>
      <c r="O92" s="24" t="s">
        <v>178</v>
      </c>
      <c r="P92" s="24" t="s">
        <v>75</v>
      </c>
      <c r="Q92" s="24" t="s">
        <v>58</v>
      </c>
      <c r="R92" s="24"/>
      <c r="S92" s="24" t="s">
        <v>192</v>
      </c>
      <c r="T92" s="24" t="s">
        <v>147</v>
      </c>
      <c r="U92" s="24" t="s">
        <v>62</v>
      </c>
      <c r="V92" s="24" t="s">
        <v>77</v>
      </c>
      <c r="W92" s="24" t="s">
        <v>292</v>
      </c>
      <c r="X92" s="24" t="s">
        <v>79</v>
      </c>
      <c r="Y92" s="24" t="s">
        <v>400</v>
      </c>
      <c r="Z92" s="24" t="s">
        <v>64</v>
      </c>
      <c r="AA92" s="24" t="s">
        <v>149</v>
      </c>
      <c r="AB92" s="24" t="s">
        <v>150</v>
      </c>
      <c r="AC92" s="24" t="s">
        <v>401</v>
      </c>
    </row>
    <row r="93" spans="1:29">
      <c r="A93" s="30" t="s">
        <v>168</v>
      </c>
      <c r="B93" s="30" t="str">
        <f>IF(ISNUMBER(SEARCH(E93,A93)),A93,IF(OR(E93="",E93=""),A93,A93&amp;" - "&amp;E93))</f>
        <v>TYSON 2.0 28/1 - NYC Diesel</v>
      </c>
      <c r="C93" s="30" t="s">
        <v>141</v>
      </c>
      <c r="D93" s="30" t="s">
        <v>142</v>
      </c>
      <c r="E93" s="30" t="s">
        <v>399</v>
      </c>
      <c r="F93" s="30" t="s">
        <v>144</v>
      </c>
      <c r="G93" s="34">
        <v>28</v>
      </c>
      <c r="H93" s="35">
        <v>1</v>
      </c>
      <c r="I93" s="30"/>
      <c r="J93" s="30"/>
      <c r="K93" s="30" t="s">
        <v>52</v>
      </c>
      <c r="L93" s="30" t="s">
        <v>145</v>
      </c>
      <c r="M93" s="30" t="s">
        <v>111</v>
      </c>
      <c r="N93" s="30" t="s">
        <v>55</v>
      </c>
      <c r="O93" s="30" t="s">
        <v>178</v>
      </c>
      <c r="P93" s="30" t="s">
        <v>75</v>
      </c>
      <c r="Q93" s="30" t="s">
        <v>58</v>
      </c>
      <c r="R93" s="30" t="s">
        <v>56</v>
      </c>
      <c r="S93" s="30" t="s">
        <v>192</v>
      </c>
      <c r="T93" s="30" t="s">
        <v>147</v>
      </c>
      <c r="U93" s="30" t="s">
        <v>62</v>
      </c>
      <c r="V93" s="30" t="s">
        <v>77</v>
      </c>
      <c r="W93" s="30" t="s">
        <v>292</v>
      </c>
      <c r="X93" s="30" t="s">
        <v>79</v>
      </c>
      <c r="Y93" s="30" t="s">
        <v>56</v>
      </c>
      <c r="Z93" s="30" t="s">
        <v>64</v>
      </c>
      <c r="AA93" s="30" t="s">
        <v>149</v>
      </c>
      <c r="AB93" s="30" t="s">
        <v>150</v>
      </c>
      <c r="AC93" s="30" t="s">
        <v>402</v>
      </c>
    </row>
    <row r="94" spans="1:29">
      <c r="A94" s="24" t="s">
        <v>398</v>
      </c>
      <c r="B94" s="24" t="str">
        <f>IF(ISNUMBER(SEARCH(E94,A94)),A94,IF(OR(E94="",E94=""),A94,A94&amp;" - "&amp;E94))</f>
        <v>TYSON 2.0 26/1 - Tiger Milk</v>
      </c>
      <c r="C94" s="24" t="s">
        <v>141</v>
      </c>
      <c r="D94" s="24" t="s">
        <v>142</v>
      </c>
      <c r="E94" s="41" t="s">
        <v>176</v>
      </c>
      <c r="F94" s="24" t="s">
        <v>177</v>
      </c>
      <c r="G94" s="27">
        <v>25</v>
      </c>
      <c r="H94" s="28">
        <v>1</v>
      </c>
      <c r="I94" s="24"/>
      <c r="J94" s="24"/>
      <c r="K94" s="24" t="s">
        <v>52</v>
      </c>
      <c r="L94" s="24" t="s">
        <v>145</v>
      </c>
      <c r="M94" s="24" t="s">
        <v>88</v>
      </c>
      <c r="N94" s="24" t="s">
        <v>71</v>
      </c>
      <c r="O94" s="24" t="s">
        <v>178</v>
      </c>
      <c r="P94" s="24" t="s">
        <v>74</v>
      </c>
      <c r="Q94" s="24" t="s">
        <v>75</v>
      </c>
      <c r="R94" s="24" t="s">
        <v>59</v>
      </c>
      <c r="S94" s="24" t="s">
        <v>123</v>
      </c>
      <c r="T94" s="24" t="s">
        <v>62</v>
      </c>
      <c r="U94" s="24" t="s">
        <v>179</v>
      </c>
      <c r="V94" s="24" t="s">
        <v>180</v>
      </c>
      <c r="W94" s="24" t="s">
        <v>107</v>
      </c>
      <c r="X94" s="24"/>
      <c r="Y94" s="24" t="s">
        <v>403</v>
      </c>
      <c r="Z94" s="24" t="s">
        <v>64</v>
      </c>
      <c r="AA94" s="24" t="s">
        <v>149</v>
      </c>
      <c r="AB94" s="24" t="s">
        <v>150</v>
      </c>
      <c r="AC94" s="24" t="s">
        <v>404</v>
      </c>
    </row>
    <row r="95" spans="1:29">
      <c r="A95" s="30" t="s">
        <v>210</v>
      </c>
      <c r="B95" s="30" t="str">
        <f>IF(ISNUMBER(SEARCH(E95,A95)),A95,IF(OR(E95="",E95=""),A95,A95&amp;" - "&amp;E95))</f>
        <v>Nimbus easy 22/1 - Gelato</v>
      </c>
      <c r="C95" s="30" t="s">
        <v>141</v>
      </c>
      <c r="D95" s="30" t="s">
        <v>142</v>
      </c>
      <c r="E95" s="40" t="s">
        <v>273</v>
      </c>
      <c r="F95" s="30" t="s">
        <v>177</v>
      </c>
      <c r="G95" s="34">
        <v>22</v>
      </c>
      <c r="H95" s="35">
        <v>1</v>
      </c>
      <c r="I95" s="30"/>
      <c r="J95" s="30"/>
      <c r="K95" s="30" t="s">
        <v>52</v>
      </c>
      <c r="L95" s="30" t="s">
        <v>145</v>
      </c>
      <c r="M95" s="30" t="s">
        <v>156</v>
      </c>
      <c r="N95" s="30" t="s">
        <v>54</v>
      </c>
      <c r="O95" s="30" t="s">
        <v>111</v>
      </c>
      <c r="P95" s="30" t="s">
        <v>112</v>
      </c>
      <c r="Q95" s="30" t="s">
        <v>57</v>
      </c>
      <c r="R95" s="30" t="s">
        <v>89</v>
      </c>
      <c r="S95" s="30" t="s">
        <v>123</v>
      </c>
      <c r="T95" s="30" t="s">
        <v>106</v>
      </c>
      <c r="U95" s="30" t="s">
        <v>76</v>
      </c>
      <c r="V95" s="30" t="s">
        <v>257</v>
      </c>
      <c r="W95" s="30" t="s">
        <v>252</v>
      </c>
      <c r="X95" s="30" t="s">
        <v>77</v>
      </c>
      <c r="Y95" s="30" t="s">
        <v>213</v>
      </c>
      <c r="Z95" s="30" t="s">
        <v>64</v>
      </c>
      <c r="AA95" s="30" t="s">
        <v>149</v>
      </c>
      <c r="AB95" s="30"/>
      <c r="AC95" s="30" t="s">
        <v>405</v>
      </c>
    </row>
    <row r="96" spans="1:29">
      <c r="A96" s="24" t="s">
        <v>374</v>
      </c>
      <c r="B96" s="24" t="str">
        <f>IF(ISNUMBER(SEARCH(E96,A96)),A96,IF(OR(E96="",E96=""),A96,A96&amp;" - "&amp;E96))</f>
        <v>Remexian 20/1 - Frosted Lemon Cake</v>
      </c>
      <c r="C96" s="24" t="s">
        <v>83</v>
      </c>
      <c r="D96" s="24" t="s">
        <v>84</v>
      </c>
      <c r="E96" s="41" t="s">
        <v>85</v>
      </c>
      <c r="F96" s="24" t="s">
        <v>86</v>
      </c>
      <c r="G96" s="27">
        <v>20</v>
      </c>
      <c r="H96" s="28">
        <v>1</v>
      </c>
      <c r="I96" s="24"/>
      <c r="J96" s="24"/>
      <c r="K96" s="24" t="s">
        <v>17</v>
      </c>
      <c r="L96" s="24" t="s">
        <v>87</v>
      </c>
      <c r="M96" s="24" t="s">
        <v>88</v>
      </c>
      <c r="N96" s="24" t="s">
        <v>72</v>
      </c>
      <c r="O96" s="24"/>
      <c r="P96" s="24" t="s">
        <v>75</v>
      </c>
      <c r="Q96" s="24" t="s">
        <v>89</v>
      </c>
      <c r="R96" s="24"/>
      <c r="S96" s="24" t="s">
        <v>90</v>
      </c>
      <c r="T96" s="24" t="s">
        <v>91</v>
      </c>
      <c r="U96" s="24" t="s">
        <v>61</v>
      </c>
      <c r="V96" s="24" t="s">
        <v>92</v>
      </c>
      <c r="W96" s="24" t="s">
        <v>77</v>
      </c>
      <c r="X96" s="24" t="s">
        <v>93</v>
      </c>
      <c r="Y96" s="24"/>
      <c r="Z96" s="24" t="s">
        <v>64</v>
      </c>
      <c r="AA96" s="24" t="s">
        <v>95</v>
      </c>
      <c r="AB96" s="24" t="s">
        <v>96</v>
      </c>
      <c r="AC96" s="24" t="s">
        <v>406</v>
      </c>
    </row>
    <row r="97" spans="1:29">
      <c r="A97" s="30" t="s">
        <v>82</v>
      </c>
      <c r="B97" s="30" t="str">
        <f>IF(ISNUMBER(SEARCH(E97,A97)),A97,IF(OR(E97="",E97=""),A97,A97&amp;" - "&amp;E97))</f>
        <v>Remexian 25/1 - Biscotti Mintz</v>
      </c>
      <c r="C97" s="30" t="s">
        <v>83</v>
      </c>
      <c r="D97" s="30" t="s">
        <v>84</v>
      </c>
      <c r="E97" s="40" t="s">
        <v>407</v>
      </c>
      <c r="F97" s="30" t="s">
        <v>86</v>
      </c>
      <c r="G97" s="34">
        <v>25</v>
      </c>
      <c r="H97" s="35">
        <v>1</v>
      </c>
      <c r="I97" s="30"/>
      <c r="J97" s="30"/>
      <c r="K97" s="30" t="s">
        <v>52</v>
      </c>
      <c r="L97" s="30" t="s">
        <v>87</v>
      </c>
      <c r="M97" s="30" t="s">
        <v>54</v>
      </c>
      <c r="N97" s="30" t="s">
        <v>111</v>
      </c>
      <c r="O97" s="30" t="s">
        <v>88</v>
      </c>
      <c r="P97" s="30" t="s">
        <v>112</v>
      </c>
      <c r="Q97" s="30" t="s">
        <v>74</v>
      </c>
      <c r="R97" s="30" t="s">
        <v>89</v>
      </c>
      <c r="S97" s="30" t="s">
        <v>123</v>
      </c>
      <c r="T97" s="30" t="s">
        <v>106</v>
      </c>
      <c r="U97" s="30" t="s">
        <v>62</v>
      </c>
      <c r="V97" s="30" t="s">
        <v>77</v>
      </c>
      <c r="W97" s="30" t="s">
        <v>116</v>
      </c>
      <c r="X97" s="30" t="s">
        <v>138</v>
      </c>
      <c r="Y97" s="30" t="s">
        <v>348</v>
      </c>
      <c r="Z97" s="30" t="s">
        <v>64</v>
      </c>
      <c r="AA97" s="30" t="s">
        <v>95</v>
      </c>
      <c r="AB97" s="30"/>
      <c r="AC97" s="30" t="s">
        <v>408</v>
      </c>
    </row>
    <row r="98" spans="1:29">
      <c r="A98" s="24" t="s">
        <v>250</v>
      </c>
      <c r="B98" s="24" t="str">
        <f>IF(ISNUMBER(SEARCH(E98,A98)),A98,IF(OR(E98="",E98=""),A98,A98&amp;" - "&amp;E98))</f>
        <v>Remexian 16/1 - Amnesia Lemon</v>
      </c>
      <c r="C98" s="24" t="s">
        <v>83</v>
      </c>
      <c r="D98" s="24" t="s">
        <v>84</v>
      </c>
      <c r="E98" s="41" t="s">
        <v>409</v>
      </c>
      <c r="F98" s="24" t="s">
        <v>144</v>
      </c>
      <c r="G98" s="27">
        <v>16</v>
      </c>
      <c r="H98" s="28">
        <v>1</v>
      </c>
      <c r="I98" s="24"/>
      <c r="J98" s="24"/>
      <c r="K98" s="24" t="s">
        <v>52</v>
      </c>
      <c r="L98" s="24" t="s">
        <v>87</v>
      </c>
      <c r="M98" s="24" t="s">
        <v>54</v>
      </c>
      <c r="N98" s="24" t="s">
        <v>111</v>
      </c>
      <c r="O98" s="24" t="s">
        <v>88</v>
      </c>
      <c r="P98" s="24" t="s">
        <v>157</v>
      </c>
      <c r="Q98" s="24" t="s">
        <v>74</v>
      </c>
      <c r="R98" s="24" t="s">
        <v>113</v>
      </c>
      <c r="S98" s="24" t="s">
        <v>147</v>
      </c>
      <c r="T98" s="24" t="s">
        <v>123</v>
      </c>
      <c r="U98" s="24"/>
      <c r="V98" s="24" t="s">
        <v>77</v>
      </c>
      <c r="W98" s="24" t="s">
        <v>292</v>
      </c>
      <c r="X98" s="24" t="s">
        <v>79</v>
      </c>
      <c r="Y98" s="24" t="s">
        <v>410</v>
      </c>
      <c r="Z98" s="24" t="s">
        <v>64</v>
      </c>
      <c r="AA98" s="24" t="s">
        <v>95</v>
      </c>
      <c r="AB98" s="24" t="s">
        <v>96</v>
      </c>
      <c r="AC98" s="24" t="s">
        <v>411</v>
      </c>
    </row>
    <row r="99" spans="1:29">
      <c r="A99" s="30" t="s">
        <v>222</v>
      </c>
      <c r="B99" s="30" t="str">
        <f>IF(ISNUMBER(SEARCH(E99,A99)),A99,IF(OR(E99="",E99=""),A99,A99&amp;" - "&amp;E99))</f>
        <v>Tilray THC 15 Spotlight Porto - Rockstar</v>
      </c>
      <c r="C99" s="30" t="s">
        <v>133</v>
      </c>
      <c r="D99" s="30" t="s">
        <v>134</v>
      </c>
      <c r="E99" s="40" t="s">
        <v>385</v>
      </c>
      <c r="F99" s="30" t="s">
        <v>120</v>
      </c>
      <c r="G99" s="34">
        <v>15</v>
      </c>
      <c r="H99" s="35">
        <v>1</v>
      </c>
      <c r="I99" s="30"/>
      <c r="J99" s="30"/>
      <c r="K99" s="30" t="s">
        <v>17</v>
      </c>
      <c r="L99" s="30" t="s">
        <v>102</v>
      </c>
      <c r="M99" s="30" t="s">
        <v>111</v>
      </c>
      <c r="N99" s="30" t="s">
        <v>103</v>
      </c>
      <c r="O99" s="30" t="s">
        <v>121</v>
      </c>
      <c r="P99" s="30" t="s">
        <v>157</v>
      </c>
      <c r="Q99" s="30" t="s">
        <v>89</v>
      </c>
      <c r="R99" s="30" t="s">
        <v>59</v>
      </c>
      <c r="S99" s="30" t="s">
        <v>60</v>
      </c>
      <c r="T99" s="30" t="s">
        <v>123</v>
      </c>
      <c r="U99" s="30" t="s">
        <v>106</v>
      </c>
      <c r="V99" s="30" t="s">
        <v>77</v>
      </c>
      <c r="W99" s="30" t="s">
        <v>116</v>
      </c>
      <c r="X99" s="30" t="s">
        <v>107</v>
      </c>
      <c r="Y99" s="30" t="s">
        <v>307</v>
      </c>
      <c r="Z99" s="30" t="s">
        <v>64</v>
      </c>
      <c r="AA99" s="30" t="s">
        <v>134</v>
      </c>
      <c r="AB99" s="30"/>
      <c r="AC99" s="30" t="s">
        <v>412</v>
      </c>
    </row>
    <row r="100" spans="1:29">
      <c r="A100" s="24" t="s">
        <v>222</v>
      </c>
      <c r="B100" s="24" t="str">
        <f>IF(ISNUMBER(SEARCH(E100,A100)),A100,IF(OR(E100="",E100=""),A100,A100&amp;" - "&amp;E100))</f>
        <v>Tilray THC 15 Spotlight Porto - Island Sweet Skunk</v>
      </c>
      <c r="C100" s="24" t="s">
        <v>133</v>
      </c>
      <c r="D100" s="24" t="s">
        <v>134</v>
      </c>
      <c r="E100" s="41" t="s">
        <v>135</v>
      </c>
      <c r="F100" s="24" t="s">
        <v>69</v>
      </c>
      <c r="G100" s="27">
        <v>15</v>
      </c>
      <c r="H100" s="28">
        <v>1</v>
      </c>
      <c r="I100" s="24"/>
      <c r="J100" s="24"/>
      <c r="K100" s="24" t="s">
        <v>17</v>
      </c>
      <c r="L100" s="24" t="s">
        <v>102</v>
      </c>
      <c r="M100" s="24" t="s">
        <v>54</v>
      </c>
      <c r="N100" s="24" t="s">
        <v>111</v>
      </c>
      <c r="O100" s="24" t="s">
        <v>88</v>
      </c>
      <c r="P100" s="24" t="s">
        <v>136</v>
      </c>
      <c r="Q100" s="24" t="s">
        <v>89</v>
      </c>
      <c r="R100" s="24" t="s">
        <v>58</v>
      </c>
      <c r="S100" s="24" t="s">
        <v>90</v>
      </c>
      <c r="T100" s="24" t="s">
        <v>60</v>
      </c>
      <c r="U100" s="24" t="s">
        <v>62</v>
      </c>
      <c r="V100" s="24" t="s">
        <v>77</v>
      </c>
      <c r="W100" s="24" t="s">
        <v>137</v>
      </c>
      <c r="X100" s="24" t="s">
        <v>138</v>
      </c>
      <c r="Y100" s="24" t="s">
        <v>413</v>
      </c>
      <c r="Z100" s="24" t="s">
        <v>64</v>
      </c>
      <c r="AA100" s="24" t="s">
        <v>134</v>
      </c>
      <c r="AB100" s="24"/>
      <c r="AC100" s="24" t="s">
        <v>414</v>
      </c>
    </row>
    <row r="101" spans="1:29">
      <c r="A101" s="30" t="s">
        <v>132</v>
      </c>
      <c r="B101" s="30" t="str">
        <f>IF(ISNUMBER(SEARCH(E101,A101)),A101,IF(OR(E101="",E101=""),A101,A101&amp;" - "&amp;E101))</f>
        <v>Tilray THC 22 Spotlight Porto - Jack Herer</v>
      </c>
      <c r="C101" s="30" t="s">
        <v>133</v>
      </c>
      <c r="D101" s="30" t="s">
        <v>134</v>
      </c>
      <c r="E101" s="40" t="s">
        <v>382</v>
      </c>
      <c r="F101" s="30" t="s">
        <v>69</v>
      </c>
      <c r="G101" s="34">
        <v>22</v>
      </c>
      <c r="H101" s="35">
        <v>1</v>
      </c>
      <c r="I101" s="30"/>
      <c r="J101" s="30"/>
      <c r="K101" s="30" t="s">
        <v>17</v>
      </c>
      <c r="L101" s="30" t="s">
        <v>102</v>
      </c>
      <c r="M101" s="30" t="s">
        <v>54</v>
      </c>
      <c r="N101" s="30" t="s">
        <v>55</v>
      </c>
      <c r="O101" s="30" t="s">
        <v>178</v>
      </c>
      <c r="P101" s="30" t="s">
        <v>113</v>
      </c>
      <c r="Q101" s="30" t="s">
        <v>59</v>
      </c>
      <c r="R101" s="30" t="s">
        <v>146</v>
      </c>
      <c r="S101" s="30" t="s">
        <v>106</v>
      </c>
      <c r="T101" s="30" t="s">
        <v>62</v>
      </c>
      <c r="U101" s="30"/>
      <c r="V101" s="30" t="s">
        <v>77</v>
      </c>
      <c r="W101" s="30" t="s">
        <v>79</v>
      </c>
      <c r="X101" s="30" t="s">
        <v>292</v>
      </c>
      <c r="Y101" s="30" t="s">
        <v>415</v>
      </c>
      <c r="Z101" s="30" t="s">
        <v>64</v>
      </c>
      <c r="AA101" s="30" t="s">
        <v>134</v>
      </c>
      <c r="AB101" s="30"/>
      <c r="AC101" s="30" t="s">
        <v>416</v>
      </c>
    </row>
    <row r="102" spans="1:29">
      <c r="A102" s="24" t="s">
        <v>162</v>
      </c>
      <c r="B102" s="24" t="str">
        <f>IF(ISNUMBER(SEARCH(E102,A102)),A102,IF(OR(E102="",E102=""),A102,A102&amp;" - "&amp;E102))</f>
        <v>madrecan 21/1 - MAC 2.0</v>
      </c>
      <c r="C102" s="24" t="s">
        <v>83</v>
      </c>
      <c r="D102" s="24" t="s">
        <v>84</v>
      </c>
      <c r="E102" s="41" t="s">
        <v>417</v>
      </c>
      <c r="F102" s="41" t="s">
        <v>86</v>
      </c>
      <c r="G102" s="27">
        <v>21</v>
      </c>
      <c r="H102" s="28">
        <v>1</v>
      </c>
      <c r="I102" s="24"/>
      <c r="J102" s="24"/>
      <c r="K102" s="24" t="s">
        <v>17</v>
      </c>
      <c r="L102" s="24" t="s">
        <v>102</v>
      </c>
      <c r="M102" s="24" t="s">
        <v>88</v>
      </c>
      <c r="N102" s="24" t="s">
        <v>111</v>
      </c>
      <c r="O102" s="24" t="s">
        <v>71</v>
      </c>
      <c r="P102" s="24" t="s">
        <v>73</v>
      </c>
      <c r="Q102" s="24" t="s">
        <v>75</v>
      </c>
      <c r="R102" s="24" t="s">
        <v>59</v>
      </c>
      <c r="S102" s="24" t="s">
        <v>62</v>
      </c>
      <c r="T102" s="24" t="s">
        <v>106</v>
      </c>
      <c r="U102" s="24" t="s">
        <v>90</v>
      </c>
      <c r="V102" s="24" t="s">
        <v>107</v>
      </c>
      <c r="W102" s="24" t="s">
        <v>77</v>
      </c>
      <c r="X102" s="24" t="s">
        <v>79</v>
      </c>
      <c r="Y102" s="24" t="s">
        <v>418</v>
      </c>
      <c r="Z102" s="24" t="s">
        <v>64</v>
      </c>
      <c r="AA102" s="24" t="s">
        <v>95</v>
      </c>
      <c r="AB102" s="24"/>
      <c r="AC102" s="24" t="s">
        <v>419</v>
      </c>
    </row>
    <row r="103" spans="1:29">
      <c r="A103" s="30" t="s">
        <v>276</v>
      </c>
      <c r="B103" s="30" t="str">
        <f>IF(ISNUMBER(SEARCH(E103,A103)),A103,IF(OR(E103="",E103=""),A103,A103&amp;" - "&amp;E103))</f>
        <v>Cannamedical CM 30/1 - Ginger Cookies</v>
      </c>
      <c r="C103" s="30" t="s">
        <v>48</v>
      </c>
      <c r="D103" s="30" t="s">
        <v>49</v>
      </c>
      <c r="E103" s="40" t="s">
        <v>420</v>
      </c>
      <c r="F103" s="40" t="s">
        <v>86</v>
      </c>
      <c r="G103" s="34">
        <v>30</v>
      </c>
      <c r="H103" s="35">
        <v>1</v>
      </c>
      <c r="I103" s="30"/>
      <c r="J103" s="30"/>
      <c r="K103" s="30" t="s">
        <v>52</v>
      </c>
      <c r="L103" s="30" t="s">
        <v>53</v>
      </c>
      <c r="M103" s="30" t="s">
        <v>54</v>
      </c>
      <c r="N103" s="30" t="s">
        <v>178</v>
      </c>
      <c r="O103" s="30" t="s">
        <v>111</v>
      </c>
      <c r="P103" s="30" t="s">
        <v>59</v>
      </c>
      <c r="Q103" s="30" t="s">
        <v>73</v>
      </c>
      <c r="R103" s="30" t="s">
        <v>89</v>
      </c>
      <c r="S103" s="30" t="s">
        <v>128</v>
      </c>
      <c r="T103" s="30" t="s">
        <v>106</v>
      </c>
      <c r="U103" s="30" t="s">
        <v>62</v>
      </c>
      <c r="V103" s="30" t="s">
        <v>116</v>
      </c>
      <c r="W103" s="30" t="s">
        <v>77</v>
      </c>
      <c r="X103" s="30" t="s">
        <v>107</v>
      </c>
      <c r="Y103" s="30" t="s">
        <v>421</v>
      </c>
      <c r="Z103" s="30" t="s">
        <v>64</v>
      </c>
      <c r="AA103" s="30" t="s">
        <v>49</v>
      </c>
      <c r="AB103" s="30"/>
      <c r="AC103" s="30" t="s">
        <v>422</v>
      </c>
    </row>
    <row r="104" spans="1:29">
      <c r="A104" s="24" t="s">
        <v>126</v>
      </c>
      <c r="B104" s="24" t="str">
        <f>IF(ISNUMBER(SEARCH(E104,A104)),A104,IF(OR(E104="",E104=""),A104,A104&amp;" - "&amp;E104))</f>
        <v>Cannamedical CM 20/1 - OG Kush</v>
      </c>
      <c r="C104" s="24" t="s">
        <v>48</v>
      </c>
      <c r="D104" s="24" t="s">
        <v>49</v>
      </c>
      <c r="E104" s="41" t="s">
        <v>337</v>
      </c>
      <c r="F104" s="41" t="s">
        <v>86</v>
      </c>
      <c r="G104" s="27">
        <v>21</v>
      </c>
      <c r="H104" s="28">
        <v>1</v>
      </c>
      <c r="I104" s="24"/>
      <c r="J104" s="24"/>
      <c r="K104" s="24" t="s">
        <v>52</v>
      </c>
      <c r="L104" s="24" t="s">
        <v>423</v>
      </c>
      <c r="M104" s="24" t="s">
        <v>103</v>
      </c>
      <c r="N104" s="24" t="s">
        <v>121</v>
      </c>
      <c r="O104" s="24" t="s">
        <v>88</v>
      </c>
      <c r="P104" s="24" t="s">
        <v>59</v>
      </c>
      <c r="Q104" s="24" t="s">
        <v>75</v>
      </c>
      <c r="R104" s="24" t="s">
        <v>146</v>
      </c>
      <c r="S104" s="24" t="s">
        <v>128</v>
      </c>
      <c r="T104" s="24" t="s">
        <v>61</v>
      </c>
      <c r="U104" s="24" t="s">
        <v>62</v>
      </c>
      <c r="V104" s="24" t="s">
        <v>116</v>
      </c>
      <c r="W104" s="24" t="s">
        <v>107</v>
      </c>
      <c r="X104" s="24" t="s">
        <v>93</v>
      </c>
      <c r="Y104" s="24" t="s">
        <v>424</v>
      </c>
      <c r="Z104" s="24" t="s">
        <v>64</v>
      </c>
      <c r="AA104" s="24" t="s">
        <v>49</v>
      </c>
      <c r="AB104" s="24"/>
      <c r="AC104" s="24" t="s">
        <v>425</v>
      </c>
    </row>
    <row r="105" spans="1:29">
      <c r="A105" s="30" t="s">
        <v>340</v>
      </c>
      <c r="B105" s="30" t="str">
        <f>IF(ISNUMBER(SEARCH(E105,A105)),A105,IF(OR(E105="",E105=""),A105,A105&amp;" - "&amp;E105))</f>
        <v>Cannamedical Indica Light URY - Cheddar Skunk</v>
      </c>
      <c r="C105" s="30" t="s">
        <v>48</v>
      </c>
      <c r="D105" s="30" t="s">
        <v>49</v>
      </c>
      <c r="E105" s="40" t="s">
        <v>426</v>
      </c>
      <c r="F105" s="40" t="s">
        <v>120</v>
      </c>
      <c r="G105" s="34">
        <v>17</v>
      </c>
      <c r="H105" s="35">
        <v>1</v>
      </c>
      <c r="I105" s="30"/>
      <c r="J105" s="30"/>
      <c r="K105" s="30" t="s">
        <v>52</v>
      </c>
      <c r="L105" s="30" t="s">
        <v>185</v>
      </c>
      <c r="M105" s="30" t="s">
        <v>72</v>
      </c>
      <c r="N105" s="30" t="s">
        <v>178</v>
      </c>
      <c r="O105" s="30" t="s">
        <v>54</v>
      </c>
      <c r="P105" s="30" t="s">
        <v>58</v>
      </c>
      <c r="Q105" s="30" t="s">
        <v>59</v>
      </c>
      <c r="R105" s="30" t="s">
        <v>89</v>
      </c>
      <c r="S105" s="30" t="s">
        <v>90</v>
      </c>
      <c r="T105" s="30" t="s">
        <v>128</v>
      </c>
      <c r="U105" s="30" t="s">
        <v>106</v>
      </c>
      <c r="V105" s="30" t="s">
        <v>116</v>
      </c>
      <c r="W105" s="30" t="s">
        <v>107</v>
      </c>
      <c r="X105" s="30" t="s">
        <v>77</v>
      </c>
      <c r="Y105" s="30" t="s">
        <v>427</v>
      </c>
      <c r="Z105" s="30" t="s">
        <v>64</v>
      </c>
      <c r="AA105" s="30" t="s">
        <v>49</v>
      </c>
      <c r="AB105" s="30"/>
      <c r="AC105" s="30" t="s">
        <v>428</v>
      </c>
    </row>
    <row r="106" spans="1:29">
      <c r="A106" s="24" t="s">
        <v>302</v>
      </c>
      <c r="B106" s="24" t="str">
        <f>IF(ISNUMBER(SEARCH(E106,A106)),A106,IF(OR(E106="",E106=""),A106,A106&amp;" - "&amp;E106))</f>
        <v>Cannamedical Sativa Classic - Fast Orange</v>
      </c>
      <c r="C106" s="24" t="s">
        <v>48</v>
      </c>
      <c r="D106" s="24" t="s">
        <v>49</v>
      </c>
      <c r="E106" s="41" t="s">
        <v>429</v>
      </c>
      <c r="F106" s="41" t="s">
        <v>144</v>
      </c>
      <c r="G106" s="27">
        <v>19</v>
      </c>
      <c r="H106" s="28">
        <v>1</v>
      </c>
      <c r="I106" s="24"/>
      <c r="J106" s="24"/>
      <c r="K106" s="24" t="s">
        <v>52</v>
      </c>
      <c r="L106" s="24" t="s">
        <v>53</v>
      </c>
      <c r="M106" s="24" t="s">
        <v>111</v>
      </c>
      <c r="N106" s="24" t="s">
        <v>178</v>
      </c>
      <c r="O106" s="24" t="s">
        <v>55</v>
      </c>
      <c r="P106" s="24" t="s">
        <v>73</v>
      </c>
      <c r="Q106" s="24" t="s">
        <v>58</v>
      </c>
      <c r="R106" s="24" t="s">
        <v>74</v>
      </c>
      <c r="S106" s="24" t="s">
        <v>90</v>
      </c>
      <c r="T106" s="24" t="s">
        <v>128</v>
      </c>
      <c r="U106" s="24" t="s">
        <v>430</v>
      </c>
      <c r="V106" s="24" t="s">
        <v>77</v>
      </c>
      <c r="W106" s="24" t="s">
        <v>107</v>
      </c>
      <c r="X106" s="24" t="s">
        <v>79</v>
      </c>
      <c r="Y106" s="24" t="s">
        <v>431</v>
      </c>
      <c r="Z106" s="24" t="s">
        <v>64</v>
      </c>
      <c r="AA106" s="24" t="s">
        <v>49</v>
      </c>
      <c r="AB106" s="24"/>
      <c r="AC106" s="24" t="s">
        <v>432</v>
      </c>
    </row>
    <row r="107" spans="1:29">
      <c r="A107" s="30" t="s">
        <v>171</v>
      </c>
      <c r="B107" s="30" t="str">
        <f>IF(ISNUMBER(SEARCH(E107,A107)),A107,IF(OR(E107="",E107=""),A107,A107&amp;" - "&amp;E107))</f>
        <v>Remexian 30/1 HCC - Blue Pavé</v>
      </c>
      <c r="C107" s="30" t="s">
        <v>83</v>
      </c>
      <c r="D107" s="30" t="s">
        <v>84</v>
      </c>
      <c r="E107" s="40" t="s">
        <v>433</v>
      </c>
      <c r="F107" s="40" t="s">
        <v>177</v>
      </c>
      <c r="G107" s="34">
        <v>30</v>
      </c>
      <c r="H107" s="35">
        <v>1</v>
      </c>
      <c r="I107" s="30"/>
      <c r="J107" s="30"/>
      <c r="K107" s="30" t="s">
        <v>52</v>
      </c>
      <c r="L107" s="30" t="s">
        <v>53</v>
      </c>
      <c r="M107" s="30" t="s">
        <v>88</v>
      </c>
      <c r="N107" s="30"/>
      <c r="O107" s="30"/>
      <c r="P107" s="30" t="s">
        <v>58</v>
      </c>
      <c r="Q107" s="30" t="s">
        <v>112</v>
      </c>
      <c r="R107" s="30" t="s">
        <v>74</v>
      </c>
      <c r="S107" s="30" t="s">
        <v>128</v>
      </c>
      <c r="T107" s="30" t="s">
        <v>106</v>
      </c>
      <c r="U107" s="30" t="s">
        <v>62</v>
      </c>
      <c r="V107" s="30" t="s">
        <v>116</v>
      </c>
      <c r="W107" s="30" t="s">
        <v>107</v>
      </c>
      <c r="X107" s="30" t="s">
        <v>77</v>
      </c>
      <c r="Y107" s="30" t="s">
        <v>311</v>
      </c>
      <c r="Z107" s="30" t="s">
        <v>64</v>
      </c>
      <c r="AA107" s="30" t="s">
        <v>95</v>
      </c>
      <c r="AB107" s="30"/>
      <c r="AC107" s="30" t="s">
        <v>434</v>
      </c>
    </row>
    <row r="108" spans="1:29">
      <c r="A108" s="43" t="s">
        <v>316</v>
      </c>
      <c r="B108" s="43" t="str">
        <f>IF(ISNUMBER(SEARCH(E108,A108)),A108,IF(OR(E108="",E108=""),A108,A108&amp;" - "&amp;E108))</f>
        <v>Mediprocan Lunaris 23/1 - Paradiso</v>
      </c>
      <c r="C108" s="24" t="s">
        <v>317</v>
      </c>
      <c r="D108" s="24" t="s">
        <v>318</v>
      </c>
      <c r="E108" s="45" t="s">
        <v>435</v>
      </c>
      <c r="F108" s="45" t="s">
        <v>144</v>
      </c>
      <c r="G108" s="46" t="s">
        <v>436</v>
      </c>
      <c r="H108" s="28">
        <v>1</v>
      </c>
      <c r="I108" s="43" t="s">
        <v>0</v>
      </c>
      <c r="J108" s="43" t="s">
        <v>0</v>
      </c>
      <c r="K108" s="43" t="s">
        <v>52</v>
      </c>
      <c r="L108" s="43" t="s">
        <v>102</v>
      </c>
      <c r="M108" s="43" t="s">
        <v>54</v>
      </c>
      <c r="N108" s="43" t="s">
        <v>178</v>
      </c>
      <c r="O108" s="43" t="s">
        <v>72</v>
      </c>
      <c r="P108" s="43" t="s">
        <v>58</v>
      </c>
      <c r="Q108" s="43" t="s">
        <v>74</v>
      </c>
      <c r="R108" s="43" t="s">
        <v>73</v>
      </c>
      <c r="S108" s="43" t="s">
        <v>106</v>
      </c>
      <c r="T108" s="43" t="s">
        <v>62</v>
      </c>
      <c r="U108" s="43" t="s">
        <v>60</v>
      </c>
      <c r="V108" s="43" t="s">
        <v>79</v>
      </c>
      <c r="W108" s="43" t="s">
        <v>180</v>
      </c>
      <c r="X108" s="43" t="s">
        <v>0</v>
      </c>
      <c r="Y108" s="43" t="s">
        <v>437</v>
      </c>
      <c r="Z108" s="43" t="s">
        <v>64</v>
      </c>
      <c r="AA108" s="43" t="s">
        <v>320</v>
      </c>
      <c r="AB108" s="43" t="s">
        <v>0</v>
      </c>
      <c r="AC108" s="24" t="s">
        <v>438</v>
      </c>
    </row>
    <row r="109" spans="1:29">
      <c r="A109" s="43" t="s">
        <v>439</v>
      </c>
      <c r="B109" s="43" t="str">
        <f>IF(ISNUMBER(SEARCH(E109,A109)),A109,IF(OR(E109="",E109=""),A109,A109&amp;" - "&amp;E109))</f>
        <v>Craft Botanics 27/1 - Mimosa</v>
      </c>
      <c r="C109" s="29" t="s">
        <v>440</v>
      </c>
      <c r="D109" s="43" t="s">
        <v>441</v>
      </c>
      <c r="E109" s="45" t="s">
        <v>442</v>
      </c>
      <c r="F109" s="45" t="s">
        <v>86</v>
      </c>
      <c r="G109" s="46" t="s">
        <v>443</v>
      </c>
      <c r="H109" s="35">
        <v>1</v>
      </c>
      <c r="I109" s="43" t="s">
        <v>0</v>
      </c>
      <c r="J109" s="43" t="s">
        <v>0</v>
      </c>
      <c r="K109" s="43" t="s">
        <v>52</v>
      </c>
      <c r="L109" s="43" t="s">
        <v>53</v>
      </c>
      <c r="M109" s="43" t="s">
        <v>88</v>
      </c>
      <c r="N109" s="43" t="s">
        <v>72</v>
      </c>
      <c r="O109" s="43" t="s">
        <v>111</v>
      </c>
      <c r="P109" s="43" t="s">
        <v>75</v>
      </c>
      <c r="Q109" s="43" t="s">
        <v>58</v>
      </c>
      <c r="R109" s="43" t="s">
        <v>89</v>
      </c>
      <c r="S109" s="43" t="s">
        <v>106</v>
      </c>
      <c r="T109" s="43" t="s">
        <v>62</v>
      </c>
      <c r="U109" s="43" t="s">
        <v>123</v>
      </c>
      <c r="V109" s="43" t="s">
        <v>79</v>
      </c>
      <c r="W109" s="43" t="s">
        <v>173</v>
      </c>
      <c r="X109" s="43" t="s">
        <v>93</v>
      </c>
      <c r="Y109" s="43" t="s">
        <v>204</v>
      </c>
      <c r="Z109" s="43" t="s">
        <v>64</v>
      </c>
      <c r="AA109" s="43" t="s">
        <v>441</v>
      </c>
      <c r="AB109" s="43" t="s">
        <v>0</v>
      </c>
      <c r="AC109" s="30" t="s">
        <v>444</v>
      </c>
    </row>
    <row r="110" spans="1:29">
      <c r="A110" s="43" t="s">
        <v>439</v>
      </c>
      <c r="B110" s="43" t="str">
        <f>IF(ISNUMBER(SEARCH(E110,A110)),A110,IF(OR(E110="",E110=""),A110,A110&amp;" - "&amp;E110))</f>
        <v>Craft Botanics 27/1 - White Runtz</v>
      </c>
      <c r="C110" s="23" t="s">
        <v>440</v>
      </c>
      <c r="D110" s="43" t="s">
        <v>441</v>
      </c>
      <c r="E110" s="45" t="s">
        <v>445</v>
      </c>
      <c r="F110" s="45" t="s">
        <v>86</v>
      </c>
      <c r="G110" s="46" t="s">
        <v>33</v>
      </c>
      <c r="H110" s="28">
        <v>1</v>
      </c>
      <c r="I110" s="43" t="s">
        <v>0</v>
      </c>
      <c r="J110" s="43" t="s">
        <v>0</v>
      </c>
      <c r="K110" s="43" t="s">
        <v>52</v>
      </c>
      <c r="L110" s="43" t="s">
        <v>53</v>
      </c>
      <c r="M110" s="43" t="s">
        <v>156</v>
      </c>
      <c r="N110" s="43" t="s">
        <v>88</v>
      </c>
      <c r="O110" s="43" t="s">
        <v>72</v>
      </c>
      <c r="P110" s="43" t="s">
        <v>89</v>
      </c>
      <c r="Q110" s="43" t="s">
        <v>58</v>
      </c>
      <c r="R110" s="43" t="s">
        <v>75</v>
      </c>
      <c r="S110" s="43" t="s">
        <v>106</v>
      </c>
      <c r="T110" s="43" t="s">
        <v>123</v>
      </c>
      <c r="U110" s="43" t="s">
        <v>147</v>
      </c>
      <c r="V110" s="43" t="s">
        <v>77</v>
      </c>
      <c r="W110" s="43" t="s">
        <v>79</v>
      </c>
      <c r="X110" s="43" t="s">
        <v>173</v>
      </c>
      <c r="Y110" s="43" t="s">
        <v>204</v>
      </c>
      <c r="Z110" s="43" t="s">
        <v>64</v>
      </c>
      <c r="AA110" s="43" t="s">
        <v>441</v>
      </c>
      <c r="AB110" s="43" t="s">
        <v>0</v>
      </c>
      <c r="AC110" s="24" t="s">
        <v>446</v>
      </c>
    </row>
    <row r="111" spans="1:29">
      <c r="A111" s="43" t="s">
        <v>309</v>
      </c>
      <c r="B111" s="47" t="str">
        <f>IF(ISNUMBER(SEARCH(E111,A111)),A111,IF(OR(E111="",E111=""),A111,A111&amp;" - "&amp;E111))</f>
        <v>Cannamedical Indica Forte DK - Cookies Kerosene Punch</v>
      </c>
      <c r="C111" s="30" t="s">
        <v>48</v>
      </c>
      <c r="D111" s="30" t="s">
        <v>49</v>
      </c>
      <c r="E111" s="45" t="s">
        <v>447</v>
      </c>
      <c r="F111" s="45" t="s">
        <v>177</v>
      </c>
      <c r="G111" s="46" t="s">
        <v>448</v>
      </c>
      <c r="H111" s="35">
        <v>1</v>
      </c>
      <c r="I111" s="43" t="s">
        <v>0</v>
      </c>
      <c r="J111" s="43" t="s">
        <v>0</v>
      </c>
      <c r="K111" s="43" t="s">
        <v>17</v>
      </c>
      <c r="L111" s="43" t="s">
        <v>87</v>
      </c>
      <c r="M111" s="43" t="s">
        <v>72</v>
      </c>
      <c r="N111" s="43" t="s">
        <v>54</v>
      </c>
      <c r="O111" s="43" t="s">
        <v>88</v>
      </c>
      <c r="P111" s="43" t="s">
        <v>59</v>
      </c>
      <c r="Q111" s="43" t="s">
        <v>75</v>
      </c>
      <c r="R111" s="43" t="s">
        <v>58</v>
      </c>
      <c r="S111" s="43" t="s">
        <v>106</v>
      </c>
      <c r="T111" s="43" t="s">
        <v>62</v>
      </c>
      <c r="U111" s="43" t="s">
        <v>123</v>
      </c>
      <c r="V111" s="43" t="s">
        <v>93</v>
      </c>
      <c r="W111" s="43" t="s">
        <v>79</v>
      </c>
      <c r="X111" s="43" t="s">
        <v>77</v>
      </c>
      <c r="Y111" s="43" t="s">
        <v>449</v>
      </c>
      <c r="Z111" s="43" t="s">
        <v>64</v>
      </c>
      <c r="AA111" s="43" t="s">
        <v>49</v>
      </c>
      <c r="AB111" s="43" t="s">
        <v>0</v>
      </c>
      <c r="AC111" s="30" t="s">
        <v>450</v>
      </c>
    </row>
    <row r="112" spans="1:29">
      <c r="A112" s="24" t="s">
        <v>162</v>
      </c>
      <c r="B112" s="24" t="str">
        <f>IF(ISNUMBER(SEARCH(E112,A112)),A112,IF(OR(E112="",E112=""),A112,A112&amp;" - "&amp;E112))</f>
        <v>madrecan 21/1 - Punch Cake</v>
      </c>
      <c r="C112" s="24" t="s">
        <v>83</v>
      </c>
      <c r="D112" s="24" t="s">
        <v>84</v>
      </c>
      <c r="E112" s="41" t="s">
        <v>451</v>
      </c>
      <c r="F112" s="41" t="s">
        <v>177</v>
      </c>
      <c r="G112" s="27" t="s">
        <v>452</v>
      </c>
      <c r="H112" s="28">
        <v>1</v>
      </c>
      <c r="I112" s="24" t="s">
        <v>0</v>
      </c>
      <c r="J112" s="24" t="s">
        <v>0</v>
      </c>
      <c r="K112" s="24" t="s">
        <v>17</v>
      </c>
      <c r="L112" s="24" t="s">
        <v>102</v>
      </c>
      <c r="M112" s="24" t="s">
        <v>121</v>
      </c>
      <c r="N112" s="24" t="s">
        <v>71</v>
      </c>
      <c r="O112" s="24" t="s">
        <v>72</v>
      </c>
      <c r="P112" s="24" t="s">
        <v>73</v>
      </c>
      <c r="Q112" s="24" t="s">
        <v>58</v>
      </c>
      <c r="R112" s="24" t="s">
        <v>89</v>
      </c>
      <c r="S112" s="24" t="s">
        <v>90</v>
      </c>
      <c r="T112" s="24" t="s">
        <v>62</v>
      </c>
      <c r="U112" s="24" t="s">
        <v>147</v>
      </c>
      <c r="V112" s="24" t="s">
        <v>77</v>
      </c>
      <c r="W112" s="24" t="s">
        <v>116</v>
      </c>
      <c r="X112" s="24" t="s">
        <v>107</v>
      </c>
      <c r="Y112" s="24" t="s">
        <v>453</v>
      </c>
      <c r="Z112" s="24" t="s">
        <v>64</v>
      </c>
      <c r="AA112" s="24" t="s">
        <v>95</v>
      </c>
      <c r="AB112" s="24" t="s">
        <v>0</v>
      </c>
      <c r="AC112" s="24" t="s">
        <v>454</v>
      </c>
    </row>
    <row r="113" spans="1:29">
      <c r="A113" s="30" t="s">
        <v>200</v>
      </c>
      <c r="B113" s="30" t="s">
        <v>455</v>
      </c>
      <c r="C113" s="30" t="s">
        <v>48</v>
      </c>
      <c r="D113" s="30" t="s">
        <v>49</v>
      </c>
      <c r="E113" s="30" t="s">
        <v>456</v>
      </c>
      <c r="F113" s="30" t="s">
        <v>177</v>
      </c>
      <c r="G113" s="30" t="s">
        <v>448</v>
      </c>
      <c r="H113" s="30" t="s">
        <v>65</v>
      </c>
      <c r="I113" s="30" t="s">
        <v>0</v>
      </c>
      <c r="J113" s="30" t="s">
        <v>0</v>
      </c>
      <c r="K113" s="30" t="s">
        <v>17</v>
      </c>
      <c r="L113" s="30" t="s">
        <v>423</v>
      </c>
      <c r="M113" s="30" t="s">
        <v>121</v>
      </c>
      <c r="N113" s="30" t="s">
        <v>72</v>
      </c>
      <c r="O113" s="30" t="s">
        <v>103</v>
      </c>
      <c r="P113" s="30" t="s">
        <v>113</v>
      </c>
      <c r="Q113" s="30" t="s">
        <v>59</v>
      </c>
      <c r="R113" s="30" t="s">
        <v>74</v>
      </c>
      <c r="S113" s="30" t="s">
        <v>90</v>
      </c>
      <c r="T113" s="30" t="s">
        <v>128</v>
      </c>
      <c r="U113" s="30" t="s">
        <v>76</v>
      </c>
      <c r="V113" s="30" t="s">
        <v>107</v>
      </c>
      <c r="W113" s="30" t="s">
        <v>77</v>
      </c>
      <c r="X113" s="30" t="s">
        <v>457</v>
      </c>
      <c r="Y113" s="30" t="s">
        <v>213</v>
      </c>
      <c r="Z113" s="30" t="s">
        <v>64</v>
      </c>
      <c r="AA113" s="30" t="s">
        <v>49</v>
      </c>
      <c r="AB113" s="30" t="s">
        <v>0</v>
      </c>
      <c r="AC113" s="30" t="s">
        <v>458</v>
      </c>
    </row>
    <row r="114" spans="1:29">
      <c r="A114" s="24" t="s">
        <v>126</v>
      </c>
      <c r="B114" s="24" t="s">
        <v>459</v>
      </c>
      <c r="C114" s="24" t="s">
        <v>48</v>
      </c>
      <c r="D114" s="24" t="s">
        <v>49</v>
      </c>
      <c r="E114" s="41" t="s">
        <v>456</v>
      </c>
      <c r="F114" s="41" t="s">
        <v>177</v>
      </c>
      <c r="G114" s="27" t="s">
        <v>460</v>
      </c>
      <c r="H114" s="28" t="s">
        <v>65</v>
      </c>
      <c r="I114" s="24" t="s">
        <v>0</v>
      </c>
      <c r="J114" s="24" t="s">
        <v>0</v>
      </c>
      <c r="K114" s="24" t="s">
        <v>17</v>
      </c>
      <c r="L114" s="24" t="s">
        <v>423</v>
      </c>
      <c r="M114" s="24" t="s">
        <v>121</v>
      </c>
      <c r="N114" s="24" t="s">
        <v>72</v>
      </c>
      <c r="O114" s="24" t="s">
        <v>103</v>
      </c>
      <c r="P114" s="24" t="s">
        <v>113</v>
      </c>
      <c r="Q114" s="24" t="s">
        <v>59</v>
      </c>
      <c r="R114" s="24" t="s">
        <v>74</v>
      </c>
      <c r="S114" s="24" t="s">
        <v>90</v>
      </c>
      <c r="T114" s="24" t="s">
        <v>128</v>
      </c>
      <c r="U114" s="24" t="s">
        <v>76</v>
      </c>
      <c r="V114" s="24" t="s">
        <v>107</v>
      </c>
      <c r="W114" s="24" t="s">
        <v>77</v>
      </c>
      <c r="X114" s="24" t="s">
        <v>457</v>
      </c>
      <c r="Y114" s="24" t="s">
        <v>307</v>
      </c>
      <c r="Z114" s="24" t="s">
        <v>64</v>
      </c>
      <c r="AA114" s="24" t="s">
        <v>49</v>
      </c>
      <c r="AB114" s="24" t="s">
        <v>0</v>
      </c>
      <c r="AC114" s="24" t="s">
        <v>461</v>
      </c>
    </row>
    <row r="115" spans="1:29">
      <c r="A115" s="30" t="s">
        <v>462</v>
      </c>
      <c r="B115" s="30" t="str">
        <f>IF(ISNUMBER(SEARCH(E115,A115)),A115,IF(OR(E115="",E115=""),A115,A115&amp;" - "&amp;E115))</f>
        <v>420 Evolution 25/1 CA ICC - Ice Cream Cake x Kush Mints</v>
      </c>
      <c r="C115" s="30" t="s">
        <v>463</v>
      </c>
      <c r="D115" s="30" t="s">
        <v>464</v>
      </c>
      <c r="E115" s="30" t="s">
        <v>465</v>
      </c>
      <c r="F115" s="30" t="s">
        <v>86</v>
      </c>
      <c r="G115" s="34">
        <v>25</v>
      </c>
      <c r="H115" s="35">
        <v>1</v>
      </c>
      <c r="I115" s="30"/>
      <c r="J115" s="30"/>
      <c r="K115" s="30" t="s">
        <v>52</v>
      </c>
      <c r="L115" s="30" t="s">
        <v>53</v>
      </c>
      <c r="M115" s="30" t="s">
        <v>111</v>
      </c>
      <c r="N115" s="30" t="s">
        <v>88</v>
      </c>
      <c r="O115" s="30" t="s">
        <v>72</v>
      </c>
      <c r="P115" s="30" t="s">
        <v>112</v>
      </c>
      <c r="Q115" s="30" t="s">
        <v>146</v>
      </c>
      <c r="R115" s="30" t="s">
        <v>89</v>
      </c>
      <c r="S115" s="30" t="s">
        <v>466</v>
      </c>
      <c r="T115" s="30" t="s">
        <v>123</v>
      </c>
      <c r="U115" s="30" t="s">
        <v>106</v>
      </c>
      <c r="V115" s="30" t="s">
        <v>77</v>
      </c>
      <c r="W115" s="30" t="s">
        <v>116</v>
      </c>
      <c r="X115" s="30" t="s">
        <v>165</v>
      </c>
      <c r="Y115" s="30" t="s">
        <v>467</v>
      </c>
      <c r="Z115" s="30" t="s">
        <v>64</v>
      </c>
      <c r="AA115" s="30" t="s">
        <v>468</v>
      </c>
      <c r="AB115" s="30" t="s">
        <v>56</v>
      </c>
      <c r="AC115" s="30" t="s">
        <v>469</v>
      </c>
    </row>
    <row r="116" spans="1:29">
      <c r="A116" s="24" t="s">
        <v>470</v>
      </c>
      <c r="B116" s="24" t="str">
        <f>IF(ISNUMBER(SEARCH(E116,A116)),A116,IF(OR(E116="",E116=""),A116,A116&amp;" - "&amp;E116))</f>
        <v>Cannamedical Indica forte - El Jefe</v>
      </c>
      <c r="C116" s="24" t="s">
        <v>48</v>
      </c>
      <c r="D116" s="24" t="s">
        <v>49</v>
      </c>
      <c r="E116" s="24" t="s">
        <v>471</v>
      </c>
      <c r="F116" s="24" t="s">
        <v>120</v>
      </c>
      <c r="G116" s="27">
        <v>24</v>
      </c>
      <c r="H116" s="28">
        <v>1</v>
      </c>
      <c r="I116" s="24"/>
      <c r="J116" s="24"/>
      <c r="K116" s="24" t="s">
        <v>52</v>
      </c>
      <c r="L116" s="24" t="s">
        <v>70</v>
      </c>
      <c r="M116" s="24" t="s">
        <v>121</v>
      </c>
      <c r="N116" s="24" t="s">
        <v>72</v>
      </c>
      <c r="O116" s="24" t="s">
        <v>56</v>
      </c>
      <c r="P116" s="24" t="s">
        <v>146</v>
      </c>
      <c r="Q116" s="24" t="s">
        <v>74</v>
      </c>
      <c r="R116" s="24" t="s">
        <v>75</v>
      </c>
      <c r="S116" s="24" t="s">
        <v>60</v>
      </c>
      <c r="T116" s="24" t="s">
        <v>61</v>
      </c>
      <c r="U116" s="24" t="s">
        <v>62</v>
      </c>
      <c r="V116" s="24" t="s">
        <v>77</v>
      </c>
      <c r="W116" s="24" t="s">
        <v>116</v>
      </c>
      <c r="X116" s="24" t="s">
        <v>129</v>
      </c>
      <c r="Y116" s="24" t="s">
        <v>472</v>
      </c>
      <c r="Z116" s="24" t="s">
        <v>64</v>
      </c>
      <c r="AA116" s="24" t="s">
        <v>49</v>
      </c>
      <c r="AB116" s="24" t="s">
        <v>56</v>
      </c>
      <c r="AC116" s="24" t="s">
        <v>473</v>
      </c>
    </row>
    <row r="117" spans="1:29">
      <c r="A117" s="30" t="s">
        <v>474</v>
      </c>
      <c r="B117" s="30" t="str">
        <f>IF(ISNUMBER(SEARCH(E117,A117)),A117,IF(OR(E117="",E117=""),A117,A117&amp;" - "&amp;E117))</f>
        <v>Cannamedical Indica ultra AU - El Jefe</v>
      </c>
      <c r="C117" s="30" t="s">
        <v>48</v>
      </c>
      <c r="D117" s="30" t="s">
        <v>49</v>
      </c>
      <c r="E117" s="30" t="s">
        <v>471</v>
      </c>
      <c r="F117" s="30" t="s">
        <v>120</v>
      </c>
      <c r="G117" s="34">
        <v>28</v>
      </c>
      <c r="H117" s="35">
        <v>1</v>
      </c>
      <c r="I117" s="30"/>
      <c r="J117" s="30"/>
      <c r="K117" s="30" t="s">
        <v>17</v>
      </c>
      <c r="L117" s="30" t="s">
        <v>70</v>
      </c>
      <c r="M117" s="30" t="s">
        <v>121</v>
      </c>
      <c r="N117" s="30" t="s">
        <v>72</v>
      </c>
      <c r="O117" s="30" t="s">
        <v>56</v>
      </c>
      <c r="P117" s="30" t="s">
        <v>146</v>
      </c>
      <c r="Q117" s="30" t="s">
        <v>74</v>
      </c>
      <c r="R117" s="30" t="s">
        <v>75</v>
      </c>
      <c r="S117" s="30" t="s">
        <v>60</v>
      </c>
      <c r="T117" s="30" t="s">
        <v>61</v>
      </c>
      <c r="U117" s="30" t="s">
        <v>62</v>
      </c>
      <c r="V117" s="30" t="s">
        <v>77</v>
      </c>
      <c r="W117" s="30" t="s">
        <v>116</v>
      </c>
      <c r="X117" s="30" t="s">
        <v>129</v>
      </c>
      <c r="Y117" s="30" t="s">
        <v>475</v>
      </c>
      <c r="Z117" s="30" t="s">
        <v>64</v>
      </c>
      <c r="AA117" s="30" t="s">
        <v>49</v>
      </c>
      <c r="AB117" s="30" t="s">
        <v>56</v>
      </c>
      <c r="AC117" s="30" t="s">
        <v>476</v>
      </c>
    </row>
    <row r="118" spans="1:29">
      <c r="A118" s="24" t="s">
        <v>477</v>
      </c>
      <c r="B118" s="24" t="str">
        <f>IF(ISNUMBER(SEARCH(E118,A118)),A118,IF(OR(E118="",E118=""),A118,A118&amp;" - "&amp;E118))</f>
        <v>CannabiStada GAB 25 - Garlic Breath</v>
      </c>
      <c r="C118" s="24" t="s">
        <v>478</v>
      </c>
      <c r="D118" s="24" t="s">
        <v>479</v>
      </c>
      <c r="E118" s="24" t="s">
        <v>480</v>
      </c>
      <c r="F118" s="24" t="s">
        <v>86</v>
      </c>
      <c r="G118" s="27">
        <v>25</v>
      </c>
      <c r="H118" s="28">
        <v>1</v>
      </c>
      <c r="I118" s="24"/>
      <c r="J118" s="24"/>
      <c r="K118" s="24" t="s">
        <v>52</v>
      </c>
      <c r="L118" s="24" t="s">
        <v>53</v>
      </c>
      <c r="M118" s="24" t="s">
        <v>178</v>
      </c>
      <c r="N118" s="24" t="s">
        <v>121</v>
      </c>
      <c r="O118" s="24" t="s">
        <v>72</v>
      </c>
      <c r="P118" s="24" t="s">
        <v>186</v>
      </c>
      <c r="Q118" s="24" t="s">
        <v>59</v>
      </c>
      <c r="R118" s="24" t="s">
        <v>56</v>
      </c>
      <c r="S118" s="24" t="s">
        <v>106</v>
      </c>
      <c r="T118" s="24" t="s">
        <v>128</v>
      </c>
      <c r="U118" s="24" t="s">
        <v>62</v>
      </c>
      <c r="V118" s="24" t="s">
        <v>77</v>
      </c>
      <c r="W118" s="24" t="s">
        <v>129</v>
      </c>
      <c r="X118" s="24" t="s">
        <v>107</v>
      </c>
      <c r="Y118" s="24" t="s">
        <v>56</v>
      </c>
      <c r="Z118" s="24" t="s">
        <v>64</v>
      </c>
      <c r="AA118" s="24" t="s">
        <v>481</v>
      </c>
      <c r="AB118" s="24" t="s">
        <v>56</v>
      </c>
      <c r="AC118" s="24" t="s">
        <v>482</v>
      </c>
    </row>
    <row r="119" spans="1:29">
      <c r="A119" s="30" t="s">
        <v>483</v>
      </c>
      <c r="B119" s="30" t="str">
        <f>IF(ISNUMBER(SEARCH(E119,A119)),A119,IF(OR(E119="",E119=""),A119,A119&amp;" - "&amp;E119))</f>
        <v>Demecan 22:01 Florestura - Super Haze x Amnesia</v>
      </c>
      <c r="C119" s="30" t="s">
        <v>484</v>
      </c>
      <c r="D119" s="30" t="s">
        <v>485</v>
      </c>
      <c r="E119" s="30" t="s">
        <v>486</v>
      </c>
      <c r="F119" s="30" t="s">
        <v>86</v>
      </c>
      <c r="G119" s="34">
        <v>22</v>
      </c>
      <c r="H119" s="35">
        <v>1</v>
      </c>
      <c r="I119" s="30"/>
      <c r="J119" s="30"/>
      <c r="K119" s="30" t="s">
        <v>17</v>
      </c>
      <c r="L119" s="30" t="s">
        <v>70</v>
      </c>
      <c r="M119" s="30" t="s">
        <v>111</v>
      </c>
      <c r="N119" s="30" t="s">
        <v>55</v>
      </c>
      <c r="O119" s="30" t="s">
        <v>56</v>
      </c>
      <c r="P119" s="30" t="s">
        <v>157</v>
      </c>
      <c r="Q119" s="30" t="s">
        <v>74</v>
      </c>
      <c r="R119" s="30" t="s">
        <v>75</v>
      </c>
      <c r="S119" s="30" t="s">
        <v>106</v>
      </c>
      <c r="T119" s="30" t="s">
        <v>91</v>
      </c>
      <c r="U119" s="30" t="s">
        <v>128</v>
      </c>
      <c r="V119" s="30" t="s">
        <v>77</v>
      </c>
      <c r="W119" s="30" t="s">
        <v>292</v>
      </c>
      <c r="X119" s="30" t="s">
        <v>138</v>
      </c>
      <c r="Y119" s="30" t="s">
        <v>487</v>
      </c>
      <c r="Z119" s="30" t="s">
        <v>64</v>
      </c>
      <c r="AA119" s="30" t="s">
        <v>485</v>
      </c>
      <c r="AB119" s="30" t="s">
        <v>56</v>
      </c>
      <c r="AC119" s="30" t="s">
        <v>488</v>
      </c>
    </row>
    <row r="120" spans="1:29">
      <c r="A120" s="24" t="s">
        <v>489</v>
      </c>
      <c r="B120" s="24" t="str">
        <f>IF(ISNUMBER(SEARCH(E120,A120)),A120,IF(OR(E120="",E120=""),A120,A120&amp;" - "&amp;E120))</f>
        <v>Demecan 22:01 Calama - Sour Kush</v>
      </c>
      <c r="C120" s="24" t="s">
        <v>484</v>
      </c>
      <c r="D120" s="24" t="s">
        <v>485</v>
      </c>
      <c r="E120" s="24" t="s">
        <v>490</v>
      </c>
      <c r="F120" s="24" t="s">
        <v>86</v>
      </c>
      <c r="G120" s="27">
        <v>22</v>
      </c>
      <c r="H120" s="28">
        <v>1</v>
      </c>
      <c r="I120" s="24"/>
      <c r="J120" s="24"/>
      <c r="K120" s="24" t="s">
        <v>52</v>
      </c>
      <c r="L120" s="24" t="s">
        <v>53</v>
      </c>
      <c r="M120" s="24" t="s">
        <v>212</v>
      </c>
      <c r="N120" s="24" t="s">
        <v>88</v>
      </c>
      <c r="O120" s="24" t="s">
        <v>71</v>
      </c>
      <c r="P120" s="24" t="s">
        <v>73</v>
      </c>
      <c r="Q120" s="24" t="s">
        <v>75</v>
      </c>
      <c r="R120" s="24" t="s">
        <v>89</v>
      </c>
      <c r="S120" s="24" t="s">
        <v>147</v>
      </c>
      <c r="T120" s="24" t="s">
        <v>106</v>
      </c>
      <c r="U120" s="24" t="s">
        <v>234</v>
      </c>
      <c r="V120" s="24" t="s">
        <v>77</v>
      </c>
      <c r="W120" s="24" t="s">
        <v>116</v>
      </c>
      <c r="X120" s="24" t="s">
        <v>253</v>
      </c>
      <c r="Y120" s="24" t="s">
        <v>56</v>
      </c>
      <c r="Z120" s="24" t="s">
        <v>64</v>
      </c>
      <c r="AA120" s="24" t="s">
        <v>485</v>
      </c>
      <c r="AB120" s="24" t="s">
        <v>56</v>
      </c>
      <c r="AC120" s="24" t="s">
        <v>491</v>
      </c>
    </row>
    <row r="121" spans="1:29">
      <c r="A121" s="30" t="s">
        <v>492</v>
      </c>
      <c r="B121" s="30" t="str">
        <f>IF(ISNUMBER(SEARCH(E121,A121)),A121,IF(OR(E121="",E121=""),A121,A121&amp;" - "&amp;E121))</f>
        <v>Demecan 25:01 Calama - Sour Kush</v>
      </c>
      <c r="C121" s="30" t="s">
        <v>484</v>
      </c>
      <c r="D121" s="30" t="s">
        <v>485</v>
      </c>
      <c r="E121" s="30" t="s">
        <v>490</v>
      </c>
      <c r="F121" s="30" t="s">
        <v>86</v>
      </c>
      <c r="G121" s="34">
        <v>25</v>
      </c>
      <c r="H121" s="35">
        <v>1</v>
      </c>
      <c r="I121" s="30"/>
      <c r="J121" s="30"/>
      <c r="K121" s="30" t="s">
        <v>52</v>
      </c>
      <c r="L121" s="30" t="s">
        <v>53</v>
      </c>
      <c r="M121" s="30" t="s">
        <v>212</v>
      </c>
      <c r="N121" s="30" t="s">
        <v>88</v>
      </c>
      <c r="O121" s="30" t="s">
        <v>71</v>
      </c>
      <c r="P121" s="30" t="s">
        <v>73</v>
      </c>
      <c r="Q121" s="30" t="s">
        <v>75</v>
      </c>
      <c r="R121" s="30" t="s">
        <v>89</v>
      </c>
      <c r="S121" s="30" t="s">
        <v>466</v>
      </c>
      <c r="T121" s="30" t="s">
        <v>106</v>
      </c>
      <c r="U121" s="30" t="s">
        <v>493</v>
      </c>
      <c r="V121" s="30" t="s">
        <v>77</v>
      </c>
      <c r="W121" s="30" t="s">
        <v>116</v>
      </c>
      <c r="X121" s="30" t="s">
        <v>253</v>
      </c>
      <c r="Y121" s="30" t="s">
        <v>56</v>
      </c>
      <c r="Z121" s="30" t="s">
        <v>64</v>
      </c>
      <c r="AA121" s="30" t="s">
        <v>485</v>
      </c>
      <c r="AB121" s="30" t="s">
        <v>56</v>
      </c>
      <c r="AC121" s="30" t="s">
        <v>494</v>
      </c>
    </row>
    <row r="122" spans="1:29">
      <c r="A122" s="24" t="s">
        <v>495</v>
      </c>
      <c r="B122" s="24" t="str">
        <f>IF(ISNUMBER(SEARCH(E122,A122)),A122,IF(OR(E122="",E122=""),A122,A122&amp;" - "&amp;E122))</f>
        <v>Demecan Sunshine Cresina 24:01 - Creamy Kee's</v>
      </c>
      <c r="C122" s="24" t="s">
        <v>484</v>
      </c>
      <c r="D122" s="24" t="s">
        <v>485</v>
      </c>
      <c r="E122" s="24" t="s">
        <v>496</v>
      </c>
      <c r="F122" s="24" t="s">
        <v>86</v>
      </c>
      <c r="G122" s="27">
        <v>24</v>
      </c>
      <c r="H122" s="28">
        <v>1</v>
      </c>
      <c r="I122" s="24"/>
      <c r="J122" s="24"/>
      <c r="K122" s="24" t="s">
        <v>52</v>
      </c>
      <c r="L122" s="24" t="s">
        <v>497</v>
      </c>
      <c r="M122" s="24" t="s">
        <v>121</v>
      </c>
      <c r="N122" s="24" t="s">
        <v>72</v>
      </c>
      <c r="O122" s="24" t="s">
        <v>56</v>
      </c>
      <c r="P122" s="24" t="s">
        <v>57</v>
      </c>
      <c r="Q122" s="24" t="s">
        <v>89</v>
      </c>
      <c r="R122" s="24" t="s">
        <v>56</v>
      </c>
      <c r="S122" s="24" t="s">
        <v>60</v>
      </c>
      <c r="T122" s="24" t="s">
        <v>106</v>
      </c>
      <c r="U122" s="24" t="s">
        <v>128</v>
      </c>
      <c r="V122" s="24" t="s">
        <v>77</v>
      </c>
      <c r="W122" s="24" t="s">
        <v>116</v>
      </c>
      <c r="X122" s="24" t="s">
        <v>107</v>
      </c>
      <c r="Y122" s="24" t="s">
        <v>56</v>
      </c>
      <c r="Z122" s="24" t="s">
        <v>64</v>
      </c>
      <c r="AA122" s="24" t="s">
        <v>485</v>
      </c>
      <c r="AB122" s="24" t="s">
        <v>498</v>
      </c>
      <c r="AC122" s="24" t="s">
        <v>499</v>
      </c>
    </row>
    <row r="123" spans="1:29">
      <c r="A123" s="30" t="s">
        <v>500</v>
      </c>
      <c r="B123" s="30" t="str">
        <f>IF(ISNUMBER(SEARCH(E123,A123)),A123,IF(OR(E123="",E123=""),A123,A123&amp;" - "&amp;E123))</f>
        <v>Demecan 24:01 Gasolime - Karel's Haze</v>
      </c>
      <c r="C123" s="30" t="s">
        <v>484</v>
      </c>
      <c r="D123" s="30" t="s">
        <v>485</v>
      </c>
      <c r="E123" s="30" t="s">
        <v>501</v>
      </c>
      <c r="F123" s="30" t="s">
        <v>86</v>
      </c>
      <c r="G123" s="34">
        <v>24</v>
      </c>
      <c r="H123" s="35">
        <v>1</v>
      </c>
      <c r="I123" s="30"/>
      <c r="J123" s="30"/>
      <c r="K123" s="30" t="s">
        <v>52</v>
      </c>
      <c r="L123" s="30" t="s">
        <v>497</v>
      </c>
      <c r="M123" s="30" t="s">
        <v>54</v>
      </c>
      <c r="N123" s="30" t="s">
        <v>111</v>
      </c>
      <c r="O123" s="30" t="s">
        <v>55</v>
      </c>
      <c r="P123" s="30" t="s">
        <v>75</v>
      </c>
      <c r="Q123" s="30" t="s">
        <v>89</v>
      </c>
      <c r="R123" s="30" t="s">
        <v>58</v>
      </c>
      <c r="S123" s="30" t="s">
        <v>60</v>
      </c>
      <c r="T123" s="30" t="s">
        <v>123</v>
      </c>
      <c r="U123" s="30" t="s">
        <v>106</v>
      </c>
      <c r="V123" s="30" t="s">
        <v>77</v>
      </c>
      <c r="W123" s="30" t="s">
        <v>79</v>
      </c>
      <c r="X123" s="30" t="s">
        <v>173</v>
      </c>
      <c r="Y123" s="30" t="s">
        <v>56</v>
      </c>
      <c r="Z123" s="30" t="s">
        <v>64</v>
      </c>
      <c r="AA123" s="30" t="s">
        <v>485</v>
      </c>
      <c r="AB123" s="30" t="s">
        <v>56</v>
      </c>
      <c r="AC123" s="30" t="s">
        <v>502</v>
      </c>
    </row>
    <row r="124" spans="1:29">
      <c r="A124" s="24" t="s">
        <v>503</v>
      </c>
      <c r="B124" s="24" t="str">
        <f>IF(ISNUMBER(SEARCH(E124,A124)),A124,IF(OR(E124="",E124=""),A124,A124&amp;" - "&amp;E124))</f>
        <v>Demecan 27:01 Petaluma - Tally Man</v>
      </c>
      <c r="C124" s="24" t="s">
        <v>484</v>
      </c>
      <c r="D124" s="24" t="s">
        <v>485</v>
      </c>
      <c r="E124" s="24" t="s">
        <v>504</v>
      </c>
      <c r="F124" s="24" t="s">
        <v>86</v>
      </c>
      <c r="G124" s="27">
        <v>27</v>
      </c>
      <c r="H124" s="28">
        <v>1</v>
      </c>
      <c r="I124" s="24"/>
      <c r="J124" s="24"/>
      <c r="K124" s="24" t="s">
        <v>52</v>
      </c>
      <c r="L124" s="24" t="s">
        <v>53</v>
      </c>
      <c r="M124" s="24" t="s">
        <v>156</v>
      </c>
      <c r="N124" s="24" t="s">
        <v>54</v>
      </c>
      <c r="O124" s="24" t="s">
        <v>88</v>
      </c>
      <c r="P124" s="24" t="s">
        <v>74</v>
      </c>
      <c r="Q124" s="24" t="s">
        <v>89</v>
      </c>
      <c r="R124" s="24" t="s">
        <v>56</v>
      </c>
      <c r="S124" s="24" t="s">
        <v>466</v>
      </c>
      <c r="T124" s="24" t="s">
        <v>106</v>
      </c>
      <c r="U124" s="24" t="s">
        <v>128</v>
      </c>
      <c r="V124" s="24" t="s">
        <v>79</v>
      </c>
      <c r="W124" s="24" t="s">
        <v>107</v>
      </c>
      <c r="X124" s="24" t="s">
        <v>56</v>
      </c>
      <c r="Y124" s="24" t="s">
        <v>56</v>
      </c>
      <c r="Z124" s="24" t="s">
        <v>64</v>
      </c>
      <c r="AA124" s="24" t="s">
        <v>485</v>
      </c>
      <c r="AB124" s="24" t="s">
        <v>56</v>
      </c>
      <c r="AC124" s="24" t="s">
        <v>505</v>
      </c>
    </row>
    <row r="125" spans="1:29">
      <c r="A125" s="30" t="s">
        <v>506</v>
      </c>
      <c r="B125" s="30" t="str">
        <f>IF(ISNUMBER(SEARCH(E125,A125)),A125,IF(OR(E125="",E125=""),A125,A125&amp;" - "&amp;E125))</f>
        <v>420 Evolution 25/1 CA TGP - Tiger Paw</v>
      </c>
      <c r="C125" s="30" t="s">
        <v>463</v>
      </c>
      <c r="D125" s="30" t="s">
        <v>464</v>
      </c>
      <c r="E125" s="30" t="s">
        <v>507</v>
      </c>
      <c r="F125" s="30" t="s">
        <v>86</v>
      </c>
      <c r="G125" s="34">
        <v>25</v>
      </c>
      <c r="H125" s="35">
        <v>1</v>
      </c>
      <c r="I125" s="30"/>
      <c r="J125" s="30"/>
      <c r="K125" s="30" t="s">
        <v>52</v>
      </c>
      <c r="L125" s="30" t="s">
        <v>53</v>
      </c>
      <c r="M125" s="30" t="s">
        <v>111</v>
      </c>
      <c r="N125" s="30" t="s">
        <v>72</v>
      </c>
      <c r="O125" s="30"/>
      <c r="P125" s="30" t="s">
        <v>58</v>
      </c>
      <c r="Q125" s="30" t="s">
        <v>59</v>
      </c>
      <c r="R125" s="30" t="s">
        <v>56</v>
      </c>
      <c r="S125" s="30" t="s">
        <v>466</v>
      </c>
      <c r="T125" s="30" t="s">
        <v>91</v>
      </c>
      <c r="U125" s="30" t="s">
        <v>493</v>
      </c>
      <c r="V125" s="30" t="s">
        <v>77</v>
      </c>
      <c r="W125" s="30" t="s">
        <v>116</v>
      </c>
      <c r="X125" s="30" t="s">
        <v>107</v>
      </c>
      <c r="Y125" s="30" t="s">
        <v>508</v>
      </c>
      <c r="Z125" s="30" t="s">
        <v>64</v>
      </c>
      <c r="AA125" s="30" t="s">
        <v>468</v>
      </c>
      <c r="AB125" s="30" t="s">
        <v>56</v>
      </c>
      <c r="AC125" s="30" t="s">
        <v>509</v>
      </c>
    </row>
    <row r="126" spans="1:29">
      <c r="A126" s="24" t="s">
        <v>510</v>
      </c>
      <c r="B126" s="24" t="str">
        <f>IF(ISNUMBER(SEARCH(E126,A126)),A126,IF(OR(E126="",E126=""),A126,A126&amp;" - "&amp;E126))</f>
        <v>Pedanios 22/1 - Ghost Train Haze</v>
      </c>
      <c r="C126" s="24" t="s">
        <v>511</v>
      </c>
      <c r="D126" s="24" t="s">
        <v>512</v>
      </c>
      <c r="E126" s="24" t="s">
        <v>343</v>
      </c>
      <c r="F126" s="24" t="s">
        <v>69</v>
      </c>
      <c r="G126" s="27">
        <v>22</v>
      </c>
      <c r="H126" s="28">
        <v>1</v>
      </c>
      <c r="I126" s="24"/>
      <c r="J126" s="24"/>
      <c r="K126" s="24" t="s">
        <v>17</v>
      </c>
      <c r="L126" s="24" t="s">
        <v>87</v>
      </c>
      <c r="M126" s="24" t="s">
        <v>111</v>
      </c>
      <c r="N126" s="24" t="s">
        <v>88</v>
      </c>
      <c r="O126" s="24" t="s">
        <v>55</v>
      </c>
      <c r="P126" s="24" t="s">
        <v>146</v>
      </c>
      <c r="Q126" s="24" t="s">
        <v>75</v>
      </c>
      <c r="R126" s="24" t="s">
        <v>89</v>
      </c>
      <c r="S126" s="24" t="s">
        <v>90</v>
      </c>
      <c r="T126" s="24" t="s">
        <v>106</v>
      </c>
      <c r="U126" s="24" t="s">
        <v>128</v>
      </c>
      <c r="V126" s="24" t="s">
        <v>77</v>
      </c>
      <c r="W126" s="24" t="s">
        <v>225</v>
      </c>
      <c r="X126" s="24" t="s">
        <v>197</v>
      </c>
      <c r="Y126" s="24" t="s">
        <v>513</v>
      </c>
      <c r="Z126" s="24" t="s">
        <v>64</v>
      </c>
      <c r="AA126" s="24" t="s">
        <v>512</v>
      </c>
      <c r="AB126" s="24" t="s">
        <v>56</v>
      </c>
      <c r="AC126" s="24" t="s">
        <v>514</v>
      </c>
    </row>
    <row r="127" spans="1:29">
      <c r="A127" s="30" t="s">
        <v>515</v>
      </c>
      <c r="B127" s="30" t="str">
        <f>IF(ISNUMBER(SEARCH(E127,A127)),A127,IF(OR(E127="",E127=""),A127,A127&amp;" - "&amp;E127))</f>
        <v>Aurora 20/1 - Pink Kush</v>
      </c>
      <c r="C127" s="30" t="s">
        <v>511</v>
      </c>
      <c r="D127" s="30" t="s">
        <v>512</v>
      </c>
      <c r="E127" s="30" t="s">
        <v>101</v>
      </c>
      <c r="F127" s="30" t="s">
        <v>120</v>
      </c>
      <c r="G127" s="34">
        <v>20</v>
      </c>
      <c r="H127" s="35">
        <v>1</v>
      </c>
      <c r="I127" s="30"/>
      <c r="J127" s="30"/>
      <c r="K127" s="30" t="s">
        <v>17</v>
      </c>
      <c r="L127" s="30" t="s">
        <v>53</v>
      </c>
      <c r="M127" s="30" t="s">
        <v>88</v>
      </c>
      <c r="N127" s="30" t="s">
        <v>71</v>
      </c>
      <c r="O127" s="30" t="s">
        <v>103</v>
      </c>
      <c r="P127" s="30" t="s">
        <v>57</v>
      </c>
      <c r="Q127" s="30" t="s">
        <v>104</v>
      </c>
      <c r="R127" s="30" t="s">
        <v>74</v>
      </c>
      <c r="S127" s="30" t="s">
        <v>106</v>
      </c>
      <c r="T127" s="30" t="s">
        <v>76</v>
      </c>
      <c r="U127" s="30" t="s">
        <v>128</v>
      </c>
      <c r="V127" s="30" t="s">
        <v>77</v>
      </c>
      <c r="W127" s="30" t="s">
        <v>79</v>
      </c>
      <c r="X127" s="30" t="s">
        <v>107</v>
      </c>
      <c r="Y127" s="30" t="s">
        <v>516</v>
      </c>
      <c r="Z127" s="30" t="s">
        <v>64</v>
      </c>
      <c r="AA127" s="30" t="s">
        <v>512</v>
      </c>
      <c r="AB127" s="30" t="s">
        <v>56</v>
      </c>
      <c r="AC127" s="30" t="s">
        <v>517</v>
      </c>
    </row>
    <row r="128" spans="1:29">
      <c r="A128" s="24" t="s">
        <v>518</v>
      </c>
      <c r="B128" s="24" t="str">
        <f>IF(ISNUMBER(SEARCH(E128,A128)),A128,IF(OR(E128="",E128=""),A128,A128&amp;" - "&amp;E128))</f>
        <v>Pedanios 24/1 LAC CA - LA Confidential</v>
      </c>
      <c r="C128" s="24" t="s">
        <v>511</v>
      </c>
      <c r="D128" s="24" t="s">
        <v>512</v>
      </c>
      <c r="E128" s="24" t="s">
        <v>519</v>
      </c>
      <c r="F128" s="24" t="s">
        <v>51</v>
      </c>
      <c r="G128" s="27">
        <v>24</v>
      </c>
      <c r="H128" s="28">
        <v>1</v>
      </c>
      <c r="I128" s="24"/>
      <c r="J128" s="24"/>
      <c r="K128" s="24" t="s">
        <v>17</v>
      </c>
      <c r="L128" s="24" t="s">
        <v>53</v>
      </c>
      <c r="M128" s="24" t="s">
        <v>88</v>
      </c>
      <c r="N128" s="24" t="s">
        <v>103</v>
      </c>
      <c r="O128" s="24" t="s">
        <v>121</v>
      </c>
      <c r="P128" s="24" t="s">
        <v>146</v>
      </c>
      <c r="Q128" s="24" t="s">
        <v>59</v>
      </c>
      <c r="R128" s="24" t="s">
        <v>56</v>
      </c>
      <c r="S128" s="24" t="s">
        <v>60</v>
      </c>
      <c r="T128" s="24" t="s">
        <v>106</v>
      </c>
      <c r="U128" s="24" t="s">
        <v>76</v>
      </c>
      <c r="V128" s="24" t="s">
        <v>77</v>
      </c>
      <c r="W128" s="24" t="s">
        <v>107</v>
      </c>
      <c r="X128" s="24" t="s">
        <v>56</v>
      </c>
      <c r="Y128" s="24" t="s">
        <v>437</v>
      </c>
      <c r="Z128" s="24" t="s">
        <v>64</v>
      </c>
      <c r="AA128" s="24" t="s">
        <v>512</v>
      </c>
      <c r="AB128" s="24" t="s">
        <v>56</v>
      </c>
      <c r="AC128" s="24" t="s">
        <v>520</v>
      </c>
    </row>
    <row r="129" spans="1:29">
      <c r="A129" s="30" t="s">
        <v>521</v>
      </c>
      <c r="B129" s="30" t="str">
        <f>IF(ISNUMBER(SEARCH(E129,A129)),A129,IF(OR(E129="",E129=""),A129,A129&amp;" - "&amp;E129))</f>
        <v>Aurora 22/1 - Delahaze</v>
      </c>
      <c r="C129" s="30" t="s">
        <v>511</v>
      </c>
      <c r="D129" s="30" t="s">
        <v>512</v>
      </c>
      <c r="E129" s="30" t="s">
        <v>522</v>
      </c>
      <c r="F129" s="30" t="s">
        <v>69</v>
      </c>
      <c r="G129" s="34">
        <v>22</v>
      </c>
      <c r="H129" s="35">
        <v>1</v>
      </c>
      <c r="I129" s="30"/>
      <c r="J129" s="30"/>
      <c r="K129" s="30" t="s">
        <v>17</v>
      </c>
      <c r="L129" s="30" t="s">
        <v>87</v>
      </c>
      <c r="M129" s="30" t="s">
        <v>54</v>
      </c>
      <c r="N129" s="30" t="s">
        <v>111</v>
      </c>
      <c r="O129" s="30" t="s">
        <v>88</v>
      </c>
      <c r="P129" s="30" t="s">
        <v>75</v>
      </c>
      <c r="Q129" s="30" t="s">
        <v>58</v>
      </c>
      <c r="R129" s="30" t="s">
        <v>56</v>
      </c>
      <c r="S129" s="30" t="s">
        <v>90</v>
      </c>
      <c r="T129" s="30" t="s">
        <v>76</v>
      </c>
      <c r="U129" s="30" t="s">
        <v>128</v>
      </c>
      <c r="V129" s="30" t="s">
        <v>173</v>
      </c>
      <c r="W129" s="30" t="s">
        <v>56</v>
      </c>
      <c r="X129" s="30" t="s">
        <v>56</v>
      </c>
      <c r="Y129" s="30" t="s">
        <v>523</v>
      </c>
      <c r="Z129" s="30" t="s">
        <v>64</v>
      </c>
      <c r="AA129" s="30" t="s">
        <v>512</v>
      </c>
      <c r="AB129" s="30" t="s">
        <v>56</v>
      </c>
      <c r="AC129" s="30" t="s">
        <v>524</v>
      </c>
    </row>
    <row r="130" spans="1:29">
      <c r="A130" s="24" t="s">
        <v>525</v>
      </c>
      <c r="B130" s="24" t="str">
        <f>IF(ISNUMBER(SEARCH(E130,A130)),A130,IF(OR(E130="",E130=""),A130,A130&amp;" - "&amp;E130))</f>
        <v>Demecan Typ 2 - Orange Velvet</v>
      </c>
      <c r="C130" s="24" t="s">
        <v>484</v>
      </c>
      <c r="D130" s="24" t="s">
        <v>485</v>
      </c>
      <c r="E130" s="24" t="s">
        <v>526</v>
      </c>
      <c r="F130" s="24" t="s">
        <v>86</v>
      </c>
      <c r="G130" s="27">
        <v>16</v>
      </c>
      <c r="H130" s="28">
        <v>1</v>
      </c>
      <c r="I130" s="24"/>
      <c r="J130" s="24"/>
      <c r="K130" s="24" t="s">
        <v>17</v>
      </c>
      <c r="L130" s="24" t="s">
        <v>527</v>
      </c>
      <c r="M130" s="24" t="s">
        <v>156</v>
      </c>
      <c r="N130" s="24" t="s">
        <v>71</v>
      </c>
      <c r="O130" s="24" t="s">
        <v>55</v>
      </c>
      <c r="P130" s="24" t="s">
        <v>57</v>
      </c>
      <c r="Q130" s="24" t="s">
        <v>104</v>
      </c>
      <c r="R130" s="24" t="s">
        <v>75</v>
      </c>
      <c r="S130" s="24" t="s">
        <v>60</v>
      </c>
      <c r="T130" s="24" t="s">
        <v>128</v>
      </c>
      <c r="U130" s="24" t="s">
        <v>62</v>
      </c>
      <c r="V130" s="24" t="s">
        <v>77</v>
      </c>
      <c r="W130" s="24" t="s">
        <v>79</v>
      </c>
      <c r="X130" s="24" t="s">
        <v>107</v>
      </c>
      <c r="Y130" s="24" t="s">
        <v>437</v>
      </c>
      <c r="Z130" s="24" t="s">
        <v>64</v>
      </c>
      <c r="AA130" s="24" t="s">
        <v>528</v>
      </c>
      <c r="AB130" s="24" t="s">
        <v>56</v>
      </c>
      <c r="AC130" s="24" t="s">
        <v>529</v>
      </c>
    </row>
    <row r="131" spans="1:29">
      <c r="A131" s="30" t="s">
        <v>530</v>
      </c>
      <c r="B131" s="30" t="str">
        <f>IF(ISNUMBER(SEARCH(E131,A131)),A131,IF(OR(E131="",E131=""),A131,A131&amp;" - "&amp;E131))</f>
        <v>Tilray THC9:CBD9 Warlock No 2 - Warlock CBD</v>
      </c>
      <c r="C131" s="30" t="s">
        <v>133</v>
      </c>
      <c r="D131" s="30" t="s">
        <v>134</v>
      </c>
      <c r="E131" s="30" t="s">
        <v>531</v>
      </c>
      <c r="F131" s="30" t="s">
        <v>86</v>
      </c>
      <c r="G131" s="34">
        <v>9</v>
      </c>
      <c r="H131" s="35">
        <v>9</v>
      </c>
      <c r="I131" s="30"/>
      <c r="J131" s="30"/>
      <c r="K131" s="30" t="s">
        <v>17</v>
      </c>
      <c r="L131" s="30" t="s">
        <v>102</v>
      </c>
      <c r="M131" s="30" t="s">
        <v>111</v>
      </c>
      <c r="N131" s="30" t="s">
        <v>72</v>
      </c>
      <c r="O131" s="30" t="s">
        <v>56</v>
      </c>
      <c r="P131" s="30" t="s">
        <v>89</v>
      </c>
      <c r="Q131" s="30" t="s">
        <v>58</v>
      </c>
      <c r="R131" s="30" t="s">
        <v>56</v>
      </c>
      <c r="S131" s="30" t="s">
        <v>106</v>
      </c>
      <c r="T131" s="30" t="s">
        <v>128</v>
      </c>
      <c r="U131" s="30" t="s">
        <v>164</v>
      </c>
      <c r="V131" s="30" t="s">
        <v>257</v>
      </c>
      <c r="W131" s="30" t="s">
        <v>77</v>
      </c>
      <c r="X131" s="30" t="s">
        <v>137</v>
      </c>
      <c r="Y131" s="30" t="s">
        <v>532</v>
      </c>
      <c r="Z131" s="30" t="s">
        <v>64</v>
      </c>
      <c r="AA131" s="30" t="s">
        <v>134</v>
      </c>
      <c r="AB131" s="30" t="s">
        <v>56</v>
      </c>
      <c r="AC131" s="30" t="s">
        <v>533</v>
      </c>
    </row>
    <row r="132" spans="1:29">
      <c r="A132" s="24" t="s">
        <v>534</v>
      </c>
      <c r="B132" s="24" t="str">
        <f>IF(ISNUMBER(SEARCH(E132,A132)),A132,IF(OR(E132="",E132=""),A132,A132&amp;" - "&amp;E132))</f>
        <v>Aphria Typ 3 - Churchill</v>
      </c>
      <c r="C132" s="24" t="s">
        <v>133</v>
      </c>
      <c r="D132" s="24" t="s">
        <v>134</v>
      </c>
      <c r="E132" s="24" t="s">
        <v>535</v>
      </c>
      <c r="F132" s="24" t="s">
        <v>69</v>
      </c>
      <c r="G132" s="27">
        <v>5</v>
      </c>
      <c r="H132" s="28">
        <v>8</v>
      </c>
      <c r="I132" s="24"/>
      <c r="J132" s="24"/>
      <c r="K132" s="24" t="s">
        <v>17</v>
      </c>
      <c r="L132" s="24" t="s">
        <v>527</v>
      </c>
      <c r="M132" s="24" t="s">
        <v>54</v>
      </c>
      <c r="N132" s="24" t="s">
        <v>71</v>
      </c>
      <c r="O132" s="24" t="s">
        <v>55</v>
      </c>
      <c r="P132" s="24" t="s">
        <v>74</v>
      </c>
      <c r="Q132" s="24" t="s">
        <v>75</v>
      </c>
      <c r="R132" s="24" t="s">
        <v>59</v>
      </c>
      <c r="S132" s="24" t="s">
        <v>147</v>
      </c>
      <c r="T132" s="24" t="s">
        <v>106</v>
      </c>
      <c r="U132" s="24" t="s">
        <v>128</v>
      </c>
      <c r="V132" s="24" t="s">
        <v>77</v>
      </c>
      <c r="W132" s="24" t="s">
        <v>107</v>
      </c>
      <c r="X132" s="24" t="s">
        <v>173</v>
      </c>
      <c r="Y132" s="24" t="s">
        <v>56</v>
      </c>
      <c r="Z132" s="24" t="s">
        <v>64</v>
      </c>
      <c r="AA132" s="24" t="s">
        <v>528</v>
      </c>
      <c r="AB132" s="24" t="s">
        <v>56</v>
      </c>
      <c r="AC132" s="24" t="s">
        <v>536</v>
      </c>
    </row>
    <row r="133" spans="1:29">
      <c r="A133" s="30" t="s">
        <v>537</v>
      </c>
      <c r="B133" s="30" t="str">
        <f>IF(ISNUMBER(SEARCH(E133,A133)),A133,IF(OR(E133="",E133=""),A133,A133&amp;" - "&amp;E133))</f>
        <v>Aphria Typ 2 - Great Bear</v>
      </c>
      <c r="C133" s="30" t="s">
        <v>133</v>
      </c>
      <c r="D133" s="30" t="s">
        <v>134</v>
      </c>
      <c r="E133" s="30" t="s">
        <v>538</v>
      </c>
      <c r="F133" s="30" t="s">
        <v>144</v>
      </c>
      <c r="G133" s="34">
        <v>16</v>
      </c>
      <c r="H133" s="35">
        <v>1</v>
      </c>
      <c r="I133" s="30"/>
      <c r="J133" s="30"/>
      <c r="K133" s="30" t="s">
        <v>17</v>
      </c>
      <c r="L133" s="30" t="s">
        <v>527</v>
      </c>
      <c r="M133" s="30" t="s">
        <v>72</v>
      </c>
      <c r="N133" s="30"/>
      <c r="O133" s="30" t="s">
        <v>56</v>
      </c>
      <c r="P133" s="30" t="s">
        <v>74</v>
      </c>
      <c r="Q133" s="30" t="s">
        <v>58</v>
      </c>
      <c r="R133" s="30" t="s">
        <v>56</v>
      </c>
      <c r="S133" s="30" t="s">
        <v>105</v>
      </c>
      <c r="T133" s="30" t="s">
        <v>123</v>
      </c>
      <c r="U133" s="30" t="s">
        <v>91</v>
      </c>
      <c r="V133" s="30" t="s">
        <v>77</v>
      </c>
      <c r="W133" s="30" t="s">
        <v>116</v>
      </c>
      <c r="X133" s="30" t="s">
        <v>165</v>
      </c>
      <c r="Y133" s="30" t="s">
        <v>539</v>
      </c>
      <c r="Z133" s="30" t="s">
        <v>64</v>
      </c>
      <c r="AA133" s="30" t="s">
        <v>528</v>
      </c>
      <c r="AB133" s="30" t="s">
        <v>56</v>
      </c>
      <c r="AC133" s="30" t="s">
        <v>540</v>
      </c>
    </row>
    <row r="134" spans="1:29">
      <c r="A134" s="24" t="s">
        <v>541</v>
      </c>
      <c r="B134" s="24" t="str">
        <f>IF(ISNUMBER(SEARCH(E134,A134)),A134,IF(OR(E134="",E134=""),A134,A134&amp;" - "&amp;E134))</f>
        <v>Aphria Typ 1 - Bienville</v>
      </c>
      <c r="C134" s="24" t="s">
        <v>133</v>
      </c>
      <c r="D134" s="24" t="s">
        <v>134</v>
      </c>
      <c r="E134" s="24" t="s">
        <v>542</v>
      </c>
      <c r="F134" s="24" t="s">
        <v>69</v>
      </c>
      <c r="G134" s="27">
        <v>21</v>
      </c>
      <c r="H134" s="28">
        <v>1</v>
      </c>
      <c r="I134" s="24"/>
      <c r="J134" s="24"/>
      <c r="K134" s="24" t="s">
        <v>17</v>
      </c>
      <c r="L134" s="24" t="s">
        <v>527</v>
      </c>
      <c r="M134" s="24" t="s">
        <v>54</v>
      </c>
      <c r="N134" s="24" t="s">
        <v>55</v>
      </c>
      <c r="O134" s="24" t="s">
        <v>178</v>
      </c>
      <c r="P134" s="24" t="s">
        <v>75</v>
      </c>
      <c r="Q134" s="24" t="s">
        <v>56</v>
      </c>
      <c r="R134" s="24" t="s">
        <v>56</v>
      </c>
      <c r="S134" s="24" t="s">
        <v>123</v>
      </c>
      <c r="T134" s="24" t="s">
        <v>106</v>
      </c>
      <c r="U134" s="24" t="s">
        <v>114</v>
      </c>
      <c r="V134" s="24" t="s">
        <v>77</v>
      </c>
      <c r="W134" s="24" t="s">
        <v>78</v>
      </c>
      <c r="X134" s="24" t="s">
        <v>395</v>
      </c>
      <c r="Y134" s="24" t="s">
        <v>437</v>
      </c>
      <c r="Z134" s="24" t="s">
        <v>64</v>
      </c>
      <c r="AA134" s="24" t="s">
        <v>528</v>
      </c>
      <c r="AB134" s="24" t="s">
        <v>56</v>
      </c>
      <c r="AC134" s="24" t="s">
        <v>543</v>
      </c>
    </row>
    <row r="135" spans="1:29">
      <c r="A135" s="30" t="s">
        <v>544</v>
      </c>
      <c r="B135" s="30" t="str">
        <f>IF(ISNUMBER(SEARCH(E135,A135)),A135,IF(OR(E135="",E135=""),A135,A135&amp;" - "&amp;E135))</f>
        <v>Tilray THC 22 Sativa No 1 - Headband</v>
      </c>
      <c r="C135" s="30" t="s">
        <v>133</v>
      </c>
      <c r="D135" s="30" t="s">
        <v>134</v>
      </c>
      <c r="E135" s="30" t="s">
        <v>233</v>
      </c>
      <c r="F135" s="30" t="s">
        <v>69</v>
      </c>
      <c r="G135" s="34">
        <v>22</v>
      </c>
      <c r="H135" s="35">
        <v>1</v>
      </c>
      <c r="I135" s="30"/>
      <c r="J135" s="30"/>
      <c r="K135" s="30" t="s">
        <v>17</v>
      </c>
      <c r="L135" s="30" t="s">
        <v>102</v>
      </c>
      <c r="M135" s="30" t="s">
        <v>54</v>
      </c>
      <c r="N135" s="30" t="s">
        <v>88</v>
      </c>
      <c r="O135" s="30" t="s">
        <v>178</v>
      </c>
      <c r="P135" s="30" t="s">
        <v>73</v>
      </c>
      <c r="Q135" s="30" t="s">
        <v>57</v>
      </c>
      <c r="R135" s="30" t="s">
        <v>75</v>
      </c>
      <c r="S135" s="30" t="s">
        <v>60</v>
      </c>
      <c r="T135" s="30" t="s">
        <v>106</v>
      </c>
      <c r="U135" s="30" t="s">
        <v>91</v>
      </c>
      <c r="V135" s="30" t="s">
        <v>77</v>
      </c>
      <c r="W135" s="30" t="s">
        <v>129</v>
      </c>
      <c r="X135" s="30" t="s">
        <v>79</v>
      </c>
      <c r="Y135" s="30" t="s">
        <v>56</v>
      </c>
      <c r="Z135" s="30" t="s">
        <v>64</v>
      </c>
      <c r="AA135" s="30" t="s">
        <v>134</v>
      </c>
      <c r="AB135" s="30" t="s">
        <v>56</v>
      </c>
      <c r="AC135" s="30" t="s">
        <v>545</v>
      </c>
    </row>
    <row r="136" spans="1:29">
      <c r="A136" s="24" t="s">
        <v>546</v>
      </c>
      <c r="B136" s="24" t="str">
        <f>IF(ISNUMBER(SEARCH(E136,A136)),A136,IF(OR(E136="",E136=""),A136,A136&amp;" - "&amp;E136))</f>
        <v>Canopy AKH 22/1 - Afghan Kush</v>
      </c>
      <c r="C136" s="24" t="s">
        <v>547</v>
      </c>
      <c r="D136" s="24" t="s">
        <v>548</v>
      </c>
      <c r="E136" s="24" t="s">
        <v>549</v>
      </c>
      <c r="F136" s="24" t="s">
        <v>120</v>
      </c>
      <c r="G136" s="27">
        <v>22</v>
      </c>
      <c r="H136" s="28">
        <v>1</v>
      </c>
      <c r="I136" s="24"/>
      <c r="J136" s="24"/>
      <c r="K136" s="24" t="s">
        <v>17</v>
      </c>
      <c r="L136" s="24" t="s">
        <v>53</v>
      </c>
      <c r="M136" s="24" t="s">
        <v>103</v>
      </c>
      <c r="N136" s="24" t="s">
        <v>178</v>
      </c>
      <c r="O136" s="24" t="s">
        <v>121</v>
      </c>
      <c r="P136" s="24" t="s">
        <v>122</v>
      </c>
      <c r="Q136" s="24" t="s">
        <v>74</v>
      </c>
      <c r="R136" s="24" t="s">
        <v>113</v>
      </c>
      <c r="S136" s="24" t="s">
        <v>61</v>
      </c>
      <c r="T136" s="24" t="s">
        <v>62</v>
      </c>
      <c r="U136" s="24" t="s">
        <v>56</v>
      </c>
      <c r="V136" s="24" t="s">
        <v>77</v>
      </c>
      <c r="W136" s="24" t="s">
        <v>116</v>
      </c>
      <c r="X136" s="24" t="s">
        <v>107</v>
      </c>
      <c r="Y136" s="24" t="s">
        <v>550</v>
      </c>
      <c r="Z136" s="24" t="s">
        <v>64</v>
      </c>
      <c r="AA136" s="24" t="s">
        <v>551</v>
      </c>
      <c r="AB136" s="24" t="s">
        <v>56</v>
      </c>
      <c r="AC136" s="24" t="s">
        <v>552</v>
      </c>
    </row>
    <row r="137" spans="1:29">
      <c r="A137" s="30" t="s">
        <v>553</v>
      </c>
      <c r="B137" s="30" t="str">
        <f>IF(ISNUMBER(SEARCH(E137,A137)),A137,IF(OR(E137="",E137=""),A137,A137&amp;" - "&amp;E137))</f>
        <v>Pedanios 10/10 EQI CA - Equiposa</v>
      </c>
      <c r="C137" s="30" t="s">
        <v>511</v>
      </c>
      <c r="D137" s="30" t="s">
        <v>512</v>
      </c>
      <c r="E137" s="30" t="s">
        <v>554</v>
      </c>
      <c r="F137" s="30" t="s">
        <v>51</v>
      </c>
      <c r="G137" s="34">
        <v>10</v>
      </c>
      <c r="H137" s="35">
        <v>10</v>
      </c>
      <c r="I137" s="30"/>
      <c r="J137" s="30"/>
      <c r="K137" s="30" t="s">
        <v>17</v>
      </c>
      <c r="L137" s="30" t="s">
        <v>53</v>
      </c>
      <c r="M137" s="30" t="s">
        <v>54</v>
      </c>
      <c r="N137" s="30" t="s">
        <v>111</v>
      </c>
      <c r="O137" s="30" t="s">
        <v>88</v>
      </c>
      <c r="P137" s="30" t="s">
        <v>112</v>
      </c>
      <c r="Q137" s="30" t="s">
        <v>104</v>
      </c>
      <c r="R137" s="30" t="s">
        <v>89</v>
      </c>
      <c r="S137" s="30" t="s">
        <v>123</v>
      </c>
      <c r="T137" s="30" t="s">
        <v>106</v>
      </c>
      <c r="U137" s="30" t="s">
        <v>76</v>
      </c>
      <c r="V137" s="30" t="s">
        <v>116</v>
      </c>
      <c r="W137" s="30" t="s">
        <v>79</v>
      </c>
      <c r="X137" s="30" t="s">
        <v>56</v>
      </c>
      <c r="Y137" s="30" t="s">
        <v>555</v>
      </c>
      <c r="Z137" s="30" t="s">
        <v>64</v>
      </c>
      <c r="AA137" s="30" t="s">
        <v>512</v>
      </c>
      <c r="AB137" s="30" t="s">
        <v>56</v>
      </c>
      <c r="AC137" s="30" t="s">
        <v>556</v>
      </c>
    </row>
    <row r="138" spans="1:29">
      <c r="A138" s="24" t="s">
        <v>557</v>
      </c>
      <c r="B138" s="24" t="str">
        <f>IF(ISNUMBER(SEARCH(E138,A138)),A138,IF(OR(E138="",E138=""),A138,A138&amp;" - "&amp;E138))</f>
        <v>Aurora 1/12 DNK CT - Cannatonic</v>
      </c>
      <c r="C138" s="24" t="s">
        <v>511</v>
      </c>
      <c r="D138" s="24" t="s">
        <v>512</v>
      </c>
      <c r="E138" s="24" t="s">
        <v>558</v>
      </c>
      <c r="F138" s="24" t="s">
        <v>86</v>
      </c>
      <c r="G138" s="27">
        <v>1</v>
      </c>
      <c r="H138" s="28">
        <v>12</v>
      </c>
      <c r="I138" s="24"/>
      <c r="J138" s="24"/>
      <c r="K138" s="24" t="s">
        <v>17</v>
      </c>
      <c r="L138" s="24" t="s">
        <v>87</v>
      </c>
      <c r="M138" s="24" t="s">
        <v>111</v>
      </c>
      <c r="N138" s="24" t="s">
        <v>121</v>
      </c>
      <c r="O138" s="24" t="s">
        <v>72</v>
      </c>
      <c r="P138" s="24" t="s">
        <v>146</v>
      </c>
      <c r="Q138" s="24" t="s">
        <v>113</v>
      </c>
      <c r="R138" s="24" t="s">
        <v>59</v>
      </c>
      <c r="S138" s="24" t="s">
        <v>106</v>
      </c>
      <c r="T138" s="24" t="s">
        <v>128</v>
      </c>
      <c r="U138" s="24" t="s">
        <v>62</v>
      </c>
      <c r="V138" s="24" t="s">
        <v>77</v>
      </c>
      <c r="W138" s="24" t="s">
        <v>129</v>
      </c>
      <c r="X138" s="24" t="s">
        <v>107</v>
      </c>
      <c r="Y138" s="24" t="s">
        <v>56</v>
      </c>
      <c r="Z138" s="24" t="s">
        <v>64</v>
      </c>
      <c r="AA138" s="24" t="s">
        <v>512</v>
      </c>
      <c r="AB138" s="24" t="s">
        <v>56</v>
      </c>
      <c r="AC138" s="24" t="s">
        <v>559</v>
      </c>
    </row>
    <row r="139" spans="1:29">
      <c r="A139" s="30" t="s">
        <v>560</v>
      </c>
      <c r="B139" s="30" t="str">
        <f>IF(ISNUMBER(SEARCH(E139,A139)),A139,IF(OR(E139="",E139=""),A139,A139&amp;" - "&amp;E139))</f>
        <v>420 Natural 22/1 CA GG4 - Gorilla Glue</v>
      </c>
      <c r="C139" s="30" t="s">
        <v>463</v>
      </c>
      <c r="D139" s="30" t="s">
        <v>464</v>
      </c>
      <c r="E139" s="30" t="s">
        <v>363</v>
      </c>
      <c r="F139" s="30" t="s">
        <v>86</v>
      </c>
      <c r="G139" s="34">
        <v>22</v>
      </c>
      <c r="H139" s="35">
        <v>1</v>
      </c>
      <c r="I139" s="30"/>
      <c r="J139" s="30"/>
      <c r="K139" s="30" t="s">
        <v>52</v>
      </c>
      <c r="L139" s="30" t="s">
        <v>53</v>
      </c>
      <c r="M139" s="30" t="s">
        <v>103</v>
      </c>
      <c r="N139" s="30" t="s">
        <v>121</v>
      </c>
      <c r="O139" s="30" t="s">
        <v>72</v>
      </c>
      <c r="P139" s="30" t="s">
        <v>146</v>
      </c>
      <c r="Q139" s="30" t="s">
        <v>74</v>
      </c>
      <c r="R139" s="30" t="s">
        <v>59</v>
      </c>
      <c r="S139" s="30" t="s">
        <v>123</v>
      </c>
      <c r="T139" s="30" t="s">
        <v>76</v>
      </c>
      <c r="U139" s="30" t="s">
        <v>164</v>
      </c>
      <c r="V139" s="30" t="s">
        <v>257</v>
      </c>
      <c r="W139" s="30" t="s">
        <v>252</v>
      </c>
      <c r="X139" s="30" t="s">
        <v>77</v>
      </c>
      <c r="Y139" s="30" t="s">
        <v>561</v>
      </c>
      <c r="Z139" s="30" t="s">
        <v>64</v>
      </c>
      <c r="AA139" s="30" t="s">
        <v>468</v>
      </c>
      <c r="AB139" s="30" t="s">
        <v>56</v>
      </c>
      <c r="AC139" s="30" t="s">
        <v>562</v>
      </c>
    </row>
    <row r="140" spans="1:29">
      <c r="A140" s="24" t="s">
        <v>563</v>
      </c>
      <c r="B140" s="24" t="str">
        <f>IF(ISNUMBER(SEARCH(E140,A140)),A140,IF(OR(E140="",E140=""),A140,A140&amp;" - "&amp;E140))</f>
        <v>IQANNA Wappa No. 10</v>
      </c>
      <c r="C140" s="24" t="s">
        <v>564</v>
      </c>
      <c r="D140" s="24" t="s">
        <v>565</v>
      </c>
      <c r="E140" s="24" t="s">
        <v>566</v>
      </c>
      <c r="F140" s="24" t="s">
        <v>86</v>
      </c>
      <c r="G140" s="27">
        <v>24</v>
      </c>
      <c r="H140" s="28">
        <v>1</v>
      </c>
      <c r="I140" s="24"/>
      <c r="J140" s="24"/>
      <c r="K140" s="24" t="s">
        <v>52</v>
      </c>
      <c r="L140" s="24" t="s">
        <v>102</v>
      </c>
      <c r="M140" s="24" t="s">
        <v>54</v>
      </c>
      <c r="N140" s="24" t="s">
        <v>111</v>
      </c>
      <c r="O140" s="24" t="s">
        <v>212</v>
      </c>
      <c r="P140" s="24" t="s">
        <v>75</v>
      </c>
      <c r="Q140" s="24" t="s">
        <v>89</v>
      </c>
      <c r="R140" s="24" t="s">
        <v>56</v>
      </c>
      <c r="S140" s="24" t="s">
        <v>60</v>
      </c>
      <c r="T140" s="24" t="s">
        <v>123</v>
      </c>
      <c r="U140" s="24" t="s">
        <v>106</v>
      </c>
      <c r="V140" s="24" t="s">
        <v>77</v>
      </c>
      <c r="W140" s="24" t="s">
        <v>116</v>
      </c>
      <c r="X140" s="24" t="s">
        <v>79</v>
      </c>
      <c r="Y140" s="24" t="s">
        <v>56</v>
      </c>
      <c r="Z140" s="24" t="s">
        <v>64</v>
      </c>
      <c r="AA140" s="24" t="s">
        <v>565</v>
      </c>
      <c r="AB140" s="24" t="s">
        <v>56</v>
      </c>
      <c r="AC140" s="24" t="s">
        <v>567</v>
      </c>
    </row>
    <row r="141" spans="1:29">
      <c r="A141" s="30" t="s">
        <v>568</v>
      </c>
      <c r="B141" s="30" t="str">
        <f>IF(ISNUMBER(SEARCH(E141,A141)),A141,IF(OR(E141="",E141=""),A141,A141&amp;" - "&amp;E141))</f>
        <v>avaay 23/1 CK - Critical Kush</v>
      </c>
      <c r="C141" s="30" t="s">
        <v>569</v>
      </c>
      <c r="D141" s="30" t="s">
        <v>570</v>
      </c>
      <c r="E141" s="30" t="s">
        <v>571</v>
      </c>
      <c r="F141" s="30" t="s">
        <v>86</v>
      </c>
      <c r="G141" s="34">
        <v>23</v>
      </c>
      <c r="H141" s="35">
        <v>1</v>
      </c>
      <c r="I141" s="30"/>
      <c r="J141" s="30"/>
      <c r="K141" s="30" t="s">
        <v>52</v>
      </c>
      <c r="L141" s="30" t="s">
        <v>497</v>
      </c>
      <c r="M141" s="30" t="s">
        <v>103</v>
      </c>
      <c r="N141" s="30" t="s">
        <v>121</v>
      </c>
      <c r="O141" s="30" t="s">
        <v>72</v>
      </c>
      <c r="P141" s="30" t="s">
        <v>74</v>
      </c>
      <c r="Q141" s="30" t="s">
        <v>113</v>
      </c>
      <c r="R141" s="30" t="s">
        <v>59</v>
      </c>
      <c r="S141" s="30" t="s">
        <v>106</v>
      </c>
      <c r="T141" s="30" t="s">
        <v>128</v>
      </c>
      <c r="U141" s="30" t="s">
        <v>62</v>
      </c>
      <c r="V141" s="30" t="s">
        <v>77</v>
      </c>
      <c r="W141" s="30" t="s">
        <v>107</v>
      </c>
      <c r="X141" s="30" t="s">
        <v>56</v>
      </c>
      <c r="Y141" s="30" t="s">
        <v>56</v>
      </c>
      <c r="Z141" s="30" t="s">
        <v>64</v>
      </c>
      <c r="AA141" s="30" t="s">
        <v>572</v>
      </c>
      <c r="AB141" s="30" t="s">
        <v>56</v>
      </c>
      <c r="AC141" s="30" t="s">
        <v>573</v>
      </c>
    </row>
    <row r="142" spans="1:29">
      <c r="A142" s="24" t="s">
        <v>574</v>
      </c>
      <c r="B142" s="24" t="str">
        <f>IF(ISNUMBER(SEARCH(E142,A142)),A142,IF(OR(E142="",E142=""),A142,A142&amp;" - "&amp;E142))</f>
        <v>Aphria forte 9 - Jean Guy</v>
      </c>
      <c r="C142" s="24" t="s">
        <v>133</v>
      </c>
      <c r="D142" s="24" t="s">
        <v>134</v>
      </c>
      <c r="E142" s="24" t="s">
        <v>394</v>
      </c>
      <c r="F142" s="24" t="s">
        <v>69</v>
      </c>
      <c r="G142" s="27">
        <v>24</v>
      </c>
      <c r="H142" s="28">
        <v>1</v>
      </c>
      <c r="I142" s="24"/>
      <c r="J142" s="24"/>
      <c r="K142" s="24" t="s">
        <v>17</v>
      </c>
      <c r="L142" s="24" t="s">
        <v>53</v>
      </c>
      <c r="M142" s="24" t="s">
        <v>54</v>
      </c>
      <c r="N142" s="24" t="s">
        <v>111</v>
      </c>
      <c r="O142" s="24" t="s">
        <v>88</v>
      </c>
      <c r="P142" s="24" t="s">
        <v>74</v>
      </c>
      <c r="Q142" s="24" t="s">
        <v>75</v>
      </c>
      <c r="R142" s="24" t="s">
        <v>56</v>
      </c>
      <c r="S142" s="24" t="s">
        <v>147</v>
      </c>
      <c r="T142" s="24" t="s">
        <v>123</v>
      </c>
      <c r="U142" s="24" t="s">
        <v>106</v>
      </c>
      <c r="V142" s="24" t="s">
        <v>77</v>
      </c>
      <c r="W142" s="24" t="s">
        <v>78</v>
      </c>
      <c r="X142" s="24" t="s">
        <v>395</v>
      </c>
      <c r="Y142" s="24" t="s">
        <v>56</v>
      </c>
      <c r="Z142" s="24" t="s">
        <v>64</v>
      </c>
      <c r="AA142" s="24" t="s">
        <v>575</v>
      </c>
      <c r="AB142" s="24" t="s">
        <v>56</v>
      </c>
      <c r="AC142" s="24" t="s">
        <v>576</v>
      </c>
    </row>
    <row r="143" spans="1:29">
      <c r="A143" s="30" t="s">
        <v>577</v>
      </c>
      <c r="B143" s="30" t="str">
        <f>IF(ISNUMBER(SEARCH(E143,A143)),A143,IF(OR(E143="",E143=""),A143,A143&amp;" - "&amp;E143))</f>
        <v>Demecan CRAFT Tricolo 27:01 - LA Kush Cake</v>
      </c>
      <c r="C143" s="30" t="s">
        <v>484</v>
      </c>
      <c r="D143" s="30" t="s">
        <v>485</v>
      </c>
      <c r="E143" s="30" t="s">
        <v>578</v>
      </c>
      <c r="F143" s="30" t="s">
        <v>120</v>
      </c>
      <c r="G143" s="34">
        <v>27</v>
      </c>
      <c r="H143" s="35">
        <v>1</v>
      </c>
      <c r="I143" s="30"/>
      <c r="J143" s="30"/>
      <c r="K143" s="30" t="s">
        <v>52</v>
      </c>
      <c r="L143" s="30" t="s">
        <v>53</v>
      </c>
      <c r="M143" s="30" t="s">
        <v>156</v>
      </c>
      <c r="N143" s="30" t="s">
        <v>121</v>
      </c>
      <c r="O143" s="30" t="s">
        <v>72</v>
      </c>
      <c r="P143" s="30" t="s">
        <v>112</v>
      </c>
      <c r="Q143" s="30" t="s">
        <v>57</v>
      </c>
      <c r="R143" s="30" t="s">
        <v>59</v>
      </c>
      <c r="S143" s="30" t="s">
        <v>466</v>
      </c>
      <c r="T143" s="30" t="s">
        <v>123</v>
      </c>
      <c r="U143" s="30" t="s">
        <v>106</v>
      </c>
      <c r="V143" s="30" t="s">
        <v>77</v>
      </c>
      <c r="W143" s="30" t="s">
        <v>79</v>
      </c>
      <c r="X143" s="30" t="s">
        <v>107</v>
      </c>
      <c r="Y143" s="30" t="s">
        <v>56</v>
      </c>
      <c r="Z143" s="30" t="s">
        <v>64</v>
      </c>
      <c r="AA143" s="30" t="s">
        <v>485</v>
      </c>
      <c r="AB143" s="30" t="s">
        <v>56</v>
      </c>
      <c r="AC143" s="30" t="s">
        <v>579</v>
      </c>
    </row>
    <row r="144" spans="1:29">
      <c r="A144" s="24" t="s">
        <v>580</v>
      </c>
      <c r="B144" s="24" t="str">
        <f>IF(ISNUMBER(SEARCH(E144,A144)),A144,IF(OR(E144="",E144=""),A144,A144&amp;" - "&amp;E144))</f>
        <v>420 Evolution 27/1 CA ICC - Ice Cream Cake x Kush Mints</v>
      </c>
      <c r="C144" s="24" t="s">
        <v>463</v>
      </c>
      <c r="D144" s="24" t="s">
        <v>464</v>
      </c>
      <c r="E144" s="24" t="s">
        <v>465</v>
      </c>
      <c r="F144" s="24" t="s">
        <v>86</v>
      </c>
      <c r="G144" s="27">
        <v>27</v>
      </c>
      <c r="H144" s="28">
        <v>1</v>
      </c>
      <c r="I144" s="24"/>
      <c r="J144" s="24"/>
      <c r="K144" s="24" t="s">
        <v>52</v>
      </c>
      <c r="L144" s="24" t="s">
        <v>53</v>
      </c>
      <c r="M144" s="24" t="s">
        <v>111</v>
      </c>
      <c r="N144" s="24" t="s">
        <v>88</v>
      </c>
      <c r="O144" s="24" t="s">
        <v>72</v>
      </c>
      <c r="P144" s="24" t="s">
        <v>112</v>
      </c>
      <c r="Q144" s="24" t="s">
        <v>146</v>
      </c>
      <c r="R144" s="24" t="s">
        <v>89</v>
      </c>
      <c r="S144" s="24" t="s">
        <v>466</v>
      </c>
      <c r="T144" s="24" t="s">
        <v>123</v>
      </c>
      <c r="U144" s="24" t="s">
        <v>106</v>
      </c>
      <c r="V144" s="24" t="s">
        <v>77</v>
      </c>
      <c r="W144" s="24" t="s">
        <v>116</v>
      </c>
      <c r="X144" s="24" t="s">
        <v>165</v>
      </c>
      <c r="Y144" s="24" t="s">
        <v>581</v>
      </c>
      <c r="Z144" s="24" t="s">
        <v>64</v>
      </c>
      <c r="AA144" s="24" t="s">
        <v>468</v>
      </c>
      <c r="AB144" s="24" t="s">
        <v>56</v>
      </c>
      <c r="AC144" s="24" t="s">
        <v>582</v>
      </c>
    </row>
    <row r="145" spans="1:29">
      <c r="A145" s="30" t="s">
        <v>583</v>
      </c>
      <c r="B145" s="30" t="str">
        <f>IF(ISNUMBER(SEARCH(E145,A145)),A145,IF(OR(E145="",E145=""),A145,A145&amp;" - "&amp;E145))</f>
        <v>avaay 23/1 RG - Royal Gorilla</v>
      </c>
      <c r="C145" s="30" t="s">
        <v>569</v>
      </c>
      <c r="D145" s="30" t="s">
        <v>570</v>
      </c>
      <c r="E145" s="30" t="s">
        <v>584</v>
      </c>
      <c r="F145" s="30" t="s">
        <v>86</v>
      </c>
      <c r="G145" s="34">
        <v>23</v>
      </c>
      <c r="H145" s="35">
        <v>1</v>
      </c>
      <c r="I145" s="30"/>
      <c r="J145" s="30"/>
      <c r="K145" s="30" t="s">
        <v>52</v>
      </c>
      <c r="L145" s="30" t="s">
        <v>497</v>
      </c>
      <c r="M145" s="30" t="s">
        <v>111</v>
      </c>
      <c r="N145" s="30" t="s">
        <v>88</v>
      </c>
      <c r="O145" s="30" t="s">
        <v>71</v>
      </c>
      <c r="P145" s="30" t="s">
        <v>112</v>
      </c>
      <c r="Q145" s="30" t="s">
        <v>74</v>
      </c>
      <c r="R145" s="30" t="s">
        <v>75</v>
      </c>
      <c r="S145" s="30" t="s">
        <v>106</v>
      </c>
      <c r="T145" s="30" t="s">
        <v>62</v>
      </c>
      <c r="U145" s="30" t="s">
        <v>128</v>
      </c>
      <c r="V145" s="30" t="s">
        <v>77</v>
      </c>
      <c r="W145" s="30" t="s">
        <v>116</v>
      </c>
      <c r="X145" s="30" t="s">
        <v>165</v>
      </c>
      <c r="Y145" s="30" t="s">
        <v>391</v>
      </c>
      <c r="Z145" s="30" t="s">
        <v>64</v>
      </c>
      <c r="AA145" s="30" t="s">
        <v>572</v>
      </c>
      <c r="AB145" s="30" t="s">
        <v>56</v>
      </c>
      <c r="AC145" s="30" t="s">
        <v>585</v>
      </c>
    </row>
    <row r="146" spans="1:29">
      <c r="A146" s="24" t="s">
        <v>586</v>
      </c>
      <c r="B146" s="24" t="str">
        <f>IF(ISNUMBER(SEARCH(E146,A146)),A146,IF(OR(E146="",E146=""),A146,A146&amp;" - "&amp;E146))</f>
        <v>avaay 16/1 BBH - Blueberry Haze</v>
      </c>
      <c r="C146" s="24" t="s">
        <v>569</v>
      </c>
      <c r="D146" s="24" t="s">
        <v>570</v>
      </c>
      <c r="E146" s="24" t="s">
        <v>587</v>
      </c>
      <c r="F146" s="24" t="s">
        <v>86</v>
      </c>
      <c r="G146" s="27">
        <v>16</v>
      </c>
      <c r="H146" s="28">
        <v>1</v>
      </c>
      <c r="I146" s="24"/>
      <c r="J146" s="24"/>
      <c r="K146" s="24" t="s">
        <v>52</v>
      </c>
      <c r="L146" s="24" t="s">
        <v>497</v>
      </c>
      <c r="M146" s="24" t="s">
        <v>212</v>
      </c>
      <c r="N146" s="24" t="s">
        <v>88</v>
      </c>
      <c r="O146" s="24" t="s">
        <v>55</v>
      </c>
      <c r="P146" s="24" t="s">
        <v>89</v>
      </c>
      <c r="Q146" s="24" t="s">
        <v>58</v>
      </c>
      <c r="R146" s="24" t="s">
        <v>56</v>
      </c>
      <c r="S146" s="24" t="s">
        <v>123</v>
      </c>
      <c r="T146" s="24" t="s">
        <v>106</v>
      </c>
      <c r="U146" s="24" t="s">
        <v>128</v>
      </c>
      <c r="V146" s="24" t="s">
        <v>77</v>
      </c>
      <c r="W146" s="24" t="s">
        <v>107</v>
      </c>
      <c r="X146" s="24" t="s">
        <v>56</v>
      </c>
      <c r="Y146" s="24" t="s">
        <v>56</v>
      </c>
      <c r="Z146" s="24" t="s">
        <v>64</v>
      </c>
      <c r="AA146" s="24" t="s">
        <v>572</v>
      </c>
      <c r="AB146" s="24" t="s">
        <v>56</v>
      </c>
      <c r="AC146" s="24" t="s">
        <v>588</v>
      </c>
    </row>
    <row r="147" spans="1:29">
      <c r="A147" s="30" t="s">
        <v>589</v>
      </c>
      <c r="B147" s="30" t="str">
        <f>IF(ISNUMBER(SEARCH(E147,A147)),A147,IF(OR(E147="",E147=""),A147,A147&amp;" - "&amp;E147))</f>
        <v>420 Natural 27/1 CA ZRP - Zour Apple</v>
      </c>
      <c r="C147" s="30" t="s">
        <v>463</v>
      </c>
      <c r="D147" s="30" t="s">
        <v>464</v>
      </c>
      <c r="E147" s="30" t="s">
        <v>590</v>
      </c>
      <c r="F147" s="30" t="s">
        <v>86</v>
      </c>
      <c r="G147" s="34">
        <v>27</v>
      </c>
      <c r="H147" s="35">
        <v>1</v>
      </c>
      <c r="I147" s="30"/>
      <c r="J147" s="30"/>
      <c r="K147" s="30" t="s">
        <v>52</v>
      </c>
      <c r="L147" s="30" t="s">
        <v>53</v>
      </c>
      <c r="M147" s="30" t="s">
        <v>111</v>
      </c>
      <c r="N147" s="30" t="s">
        <v>55</v>
      </c>
      <c r="O147" s="30" t="s">
        <v>178</v>
      </c>
      <c r="P147" s="30" t="s">
        <v>591</v>
      </c>
      <c r="Q147" s="30" t="s">
        <v>58</v>
      </c>
      <c r="R147" s="30" t="s">
        <v>56</v>
      </c>
      <c r="S147" s="30" t="s">
        <v>90</v>
      </c>
      <c r="T147" s="30" t="s">
        <v>91</v>
      </c>
      <c r="U147" s="30" t="s">
        <v>114</v>
      </c>
      <c r="V147" s="30" t="s">
        <v>92</v>
      </c>
      <c r="W147" s="30" t="s">
        <v>129</v>
      </c>
      <c r="X147" s="30" t="s">
        <v>107</v>
      </c>
      <c r="Y147" s="30" t="s">
        <v>56</v>
      </c>
      <c r="Z147" s="30" t="s">
        <v>64</v>
      </c>
      <c r="AA147" s="30" t="s">
        <v>468</v>
      </c>
      <c r="AB147" s="30" t="s">
        <v>56</v>
      </c>
      <c r="AC147" s="36" t="s">
        <v>592</v>
      </c>
    </row>
    <row r="148" spans="1:29">
      <c r="A148" s="24" t="s">
        <v>593</v>
      </c>
      <c r="B148" s="24" t="str">
        <f>IF(ISNUMBER(SEARCH(E148,A148)),A148,IF(OR(E148="",E148=""),A148,A148&amp;" - "&amp;E148))</f>
        <v>420 Evolution 30/1 CA TGP - Tiger Paw</v>
      </c>
      <c r="C148" s="24" t="s">
        <v>463</v>
      </c>
      <c r="D148" s="24" t="s">
        <v>464</v>
      </c>
      <c r="E148" s="24" t="s">
        <v>507</v>
      </c>
      <c r="F148" s="24" t="s">
        <v>51</v>
      </c>
      <c r="G148" s="27">
        <v>30</v>
      </c>
      <c r="H148" s="28">
        <v>1</v>
      </c>
      <c r="I148" s="24"/>
      <c r="J148" s="24"/>
      <c r="K148" s="24" t="s">
        <v>52</v>
      </c>
      <c r="L148" s="24" t="s">
        <v>53</v>
      </c>
      <c r="M148" s="24" t="s">
        <v>111</v>
      </c>
      <c r="N148" s="24" t="s">
        <v>72</v>
      </c>
      <c r="O148" s="24"/>
      <c r="P148" s="24" t="s">
        <v>58</v>
      </c>
      <c r="Q148" s="24" t="s">
        <v>59</v>
      </c>
      <c r="R148" s="24" t="s">
        <v>56</v>
      </c>
      <c r="S148" s="24" t="s">
        <v>466</v>
      </c>
      <c r="T148" s="24" t="s">
        <v>106</v>
      </c>
      <c r="U148" s="24" t="s">
        <v>493</v>
      </c>
      <c r="V148" s="24" t="s">
        <v>77</v>
      </c>
      <c r="W148" s="24" t="s">
        <v>116</v>
      </c>
      <c r="X148" s="24" t="s">
        <v>107</v>
      </c>
      <c r="Y148" s="24" t="s">
        <v>56</v>
      </c>
      <c r="Z148" s="24" t="s">
        <v>64</v>
      </c>
      <c r="AA148" s="24" t="s">
        <v>468</v>
      </c>
      <c r="AB148" s="24" t="s">
        <v>56</v>
      </c>
      <c r="AC148" s="24" t="s">
        <v>594</v>
      </c>
    </row>
    <row r="149" spans="1:29">
      <c r="A149" s="30" t="s">
        <v>98</v>
      </c>
      <c r="B149" s="30" t="str">
        <f>IF(ISNUMBER(SEARCH(E149,A149)),A149,IF(OR(E149="",E149=""),A149,A149&amp;" - "&amp;E149))</f>
        <v>Canify Cannabis flos 22/1 PT Ku. - Mango</v>
      </c>
      <c r="C149" s="30" t="s">
        <v>99</v>
      </c>
      <c r="D149" s="30" t="s">
        <v>100</v>
      </c>
      <c r="E149" s="30" t="s">
        <v>259</v>
      </c>
      <c r="F149" s="30" t="s">
        <v>120</v>
      </c>
      <c r="G149" s="34">
        <v>22</v>
      </c>
      <c r="H149" s="35">
        <v>1</v>
      </c>
      <c r="I149" s="30"/>
      <c r="J149" s="30"/>
      <c r="K149" s="30" t="s">
        <v>17</v>
      </c>
      <c r="L149" s="30" t="s">
        <v>102</v>
      </c>
      <c r="M149" s="30" t="s">
        <v>54</v>
      </c>
      <c r="N149" s="30" t="s">
        <v>212</v>
      </c>
      <c r="O149" s="30" t="s">
        <v>88</v>
      </c>
      <c r="P149" s="30" t="s">
        <v>136</v>
      </c>
      <c r="Q149" s="30" t="s">
        <v>89</v>
      </c>
      <c r="R149" s="30" t="s">
        <v>58</v>
      </c>
      <c r="S149" s="30" t="s">
        <v>60</v>
      </c>
      <c r="T149" s="30" t="s">
        <v>147</v>
      </c>
      <c r="U149" s="30" t="s">
        <v>106</v>
      </c>
      <c r="V149" s="30" t="s">
        <v>77</v>
      </c>
      <c r="W149" s="30" t="s">
        <v>129</v>
      </c>
      <c r="X149" s="30" t="s">
        <v>79</v>
      </c>
      <c r="Y149" s="30" t="s">
        <v>56</v>
      </c>
      <c r="Z149" s="30" t="s">
        <v>64</v>
      </c>
      <c r="AA149" s="30" t="s">
        <v>100</v>
      </c>
      <c r="AB149" s="30" t="s">
        <v>56</v>
      </c>
      <c r="AC149" s="30" t="s">
        <v>595</v>
      </c>
    </row>
    <row r="150" spans="1:29">
      <c r="A150" s="24" t="s">
        <v>596</v>
      </c>
      <c r="B150" s="24" t="str">
        <f>IF(ISNUMBER(SEARCH(E150,A150)),A150,IF(OR(E150="",E150=""),A150,A150&amp;" - "&amp;E150))</f>
        <v>CanPharma Flos 20/1 - Hindu Kush</v>
      </c>
      <c r="C150" s="24" t="s">
        <v>597</v>
      </c>
      <c r="D150" s="24" t="s">
        <v>598</v>
      </c>
      <c r="E150" s="24" t="s">
        <v>456</v>
      </c>
      <c r="F150" s="24" t="s">
        <v>86</v>
      </c>
      <c r="G150" s="27">
        <v>20</v>
      </c>
      <c r="H150" s="28">
        <v>1</v>
      </c>
      <c r="I150" s="24"/>
      <c r="J150" s="24"/>
      <c r="K150" s="24" t="s">
        <v>17</v>
      </c>
      <c r="L150" s="24" t="s">
        <v>423</v>
      </c>
      <c r="M150" s="24" t="s">
        <v>103</v>
      </c>
      <c r="N150" s="24" t="s">
        <v>121</v>
      </c>
      <c r="O150" s="24" t="s">
        <v>72</v>
      </c>
      <c r="P150" s="24" t="s">
        <v>74</v>
      </c>
      <c r="Q150" s="24" t="s">
        <v>113</v>
      </c>
      <c r="R150" s="24" t="s">
        <v>59</v>
      </c>
      <c r="S150" s="24" t="s">
        <v>90</v>
      </c>
      <c r="T150" s="24" t="s">
        <v>115</v>
      </c>
      <c r="U150" s="24" t="s">
        <v>128</v>
      </c>
      <c r="V150" s="24" t="s">
        <v>77</v>
      </c>
      <c r="W150" s="24" t="s">
        <v>395</v>
      </c>
      <c r="X150" s="24" t="s">
        <v>107</v>
      </c>
      <c r="Y150" s="24" t="s">
        <v>56</v>
      </c>
      <c r="Z150" s="24" t="s">
        <v>64</v>
      </c>
      <c r="AA150" s="24" t="s">
        <v>598</v>
      </c>
      <c r="AB150" s="24" t="s">
        <v>56</v>
      </c>
      <c r="AC150" s="24" t="s">
        <v>599</v>
      </c>
    </row>
    <row r="151" spans="1:29">
      <c r="A151" s="30" t="s">
        <v>600</v>
      </c>
      <c r="B151" s="30" t="str">
        <f>IF(ISNUMBER(SEARCH(E151,A151)),A151,IF(OR(E151="",E151=""),A151,A151&amp;" - "&amp;E151))</f>
        <v>Canify Cannabis flos 18/1 PT Ku. - Mango</v>
      </c>
      <c r="C151" s="30" t="s">
        <v>99</v>
      </c>
      <c r="D151" s="30" t="s">
        <v>100</v>
      </c>
      <c r="E151" s="30" t="s">
        <v>259</v>
      </c>
      <c r="F151" s="30" t="s">
        <v>86</v>
      </c>
      <c r="G151" s="34">
        <v>18</v>
      </c>
      <c r="H151" s="35">
        <v>1</v>
      </c>
      <c r="I151" s="30"/>
      <c r="J151" s="30"/>
      <c r="K151" s="30" t="s">
        <v>17</v>
      </c>
      <c r="L151" s="30" t="s">
        <v>102</v>
      </c>
      <c r="M151" s="30" t="s">
        <v>54</v>
      </c>
      <c r="N151" s="30" t="s">
        <v>212</v>
      </c>
      <c r="O151" s="30" t="s">
        <v>88</v>
      </c>
      <c r="P151" s="30" t="s">
        <v>136</v>
      </c>
      <c r="Q151" s="30" t="s">
        <v>89</v>
      </c>
      <c r="R151" s="30" t="s">
        <v>58</v>
      </c>
      <c r="S151" s="30" t="s">
        <v>60</v>
      </c>
      <c r="T151" s="30" t="s">
        <v>123</v>
      </c>
      <c r="U151" s="30" t="s">
        <v>106</v>
      </c>
      <c r="V151" s="30" t="s">
        <v>77</v>
      </c>
      <c r="W151" s="30" t="s">
        <v>129</v>
      </c>
      <c r="X151" s="30" t="s">
        <v>79</v>
      </c>
      <c r="Y151" s="30" t="s">
        <v>56</v>
      </c>
      <c r="Z151" s="30" t="s">
        <v>64</v>
      </c>
      <c r="AA151" s="30" t="s">
        <v>100</v>
      </c>
      <c r="AB151" s="30" t="s">
        <v>56</v>
      </c>
      <c r="AC151" s="30" t="s">
        <v>601</v>
      </c>
    </row>
    <row r="152" spans="1:29">
      <c r="A152" s="24" t="s">
        <v>602</v>
      </c>
      <c r="B152" s="24" t="str">
        <f>IF(ISNUMBER(SEARCH(E152,A152)),A152,IF(OR(E152="",E152=""),A152,A152&amp;" - "&amp;E152))</f>
        <v>Demecan CRAFT zoerO 25:01 - Oreoz</v>
      </c>
      <c r="C152" s="24" t="s">
        <v>484</v>
      </c>
      <c r="D152" s="24" t="s">
        <v>485</v>
      </c>
      <c r="E152" s="24" t="s">
        <v>603</v>
      </c>
      <c r="F152" s="24" t="s">
        <v>86</v>
      </c>
      <c r="G152" s="27">
        <v>25</v>
      </c>
      <c r="H152" s="28">
        <v>1</v>
      </c>
      <c r="I152" s="24"/>
      <c r="J152" s="24"/>
      <c r="K152" s="24" t="s">
        <v>52</v>
      </c>
      <c r="L152" s="24" t="s">
        <v>53</v>
      </c>
      <c r="M152" s="24" t="s">
        <v>88</v>
      </c>
      <c r="N152" s="24" t="s">
        <v>71</v>
      </c>
      <c r="O152" s="24" t="s">
        <v>103</v>
      </c>
      <c r="P152" s="24" t="s">
        <v>604</v>
      </c>
      <c r="Q152" s="24" t="s">
        <v>591</v>
      </c>
      <c r="R152" s="24" t="s">
        <v>73</v>
      </c>
      <c r="S152" s="24" t="s">
        <v>60</v>
      </c>
      <c r="T152" s="24" t="s">
        <v>106</v>
      </c>
      <c r="U152" s="24" t="s">
        <v>62</v>
      </c>
      <c r="V152" s="24" t="s">
        <v>77</v>
      </c>
      <c r="W152" s="24" t="s">
        <v>116</v>
      </c>
      <c r="X152" s="24" t="s">
        <v>79</v>
      </c>
      <c r="Y152" s="24" t="s">
        <v>605</v>
      </c>
      <c r="Z152" s="24" t="s">
        <v>64</v>
      </c>
      <c r="AA152" s="24" t="s">
        <v>485</v>
      </c>
      <c r="AB152" s="24" t="s">
        <v>56</v>
      </c>
      <c r="AC152" s="24" t="s">
        <v>606</v>
      </c>
    </row>
    <row r="153" spans="1:29">
      <c r="A153" s="30" t="s">
        <v>600</v>
      </c>
      <c r="B153" s="30" t="str">
        <f>IF(ISNUMBER(SEARCH(E153,A153)),A153,IF(OR(E153="",E153=""),A153,A153&amp;" - "&amp;E153))</f>
        <v>Canify Cannabis flos 18/1 PT Ku. - Pink Kush</v>
      </c>
      <c r="C153" s="30" t="s">
        <v>99</v>
      </c>
      <c r="D153" s="30" t="s">
        <v>100</v>
      </c>
      <c r="E153" s="30" t="s">
        <v>101</v>
      </c>
      <c r="F153" s="30" t="s">
        <v>86</v>
      </c>
      <c r="G153" s="34">
        <v>18</v>
      </c>
      <c r="H153" s="35">
        <v>1</v>
      </c>
      <c r="I153" s="30"/>
      <c r="J153" s="30"/>
      <c r="K153" s="30" t="s">
        <v>17</v>
      </c>
      <c r="L153" s="30" t="s">
        <v>102</v>
      </c>
      <c r="M153" s="30" t="s">
        <v>88</v>
      </c>
      <c r="N153" s="30" t="s">
        <v>71</v>
      </c>
      <c r="O153" s="30" t="s">
        <v>103</v>
      </c>
      <c r="P153" s="30" t="s">
        <v>57</v>
      </c>
      <c r="Q153" s="30" t="s">
        <v>104</v>
      </c>
      <c r="R153" s="30" t="s">
        <v>74</v>
      </c>
      <c r="S153" s="30" t="s">
        <v>60</v>
      </c>
      <c r="T153" s="30" t="s">
        <v>147</v>
      </c>
      <c r="U153" s="30" t="s">
        <v>123</v>
      </c>
      <c r="V153" s="30" t="s">
        <v>77</v>
      </c>
      <c r="W153" s="30" t="s">
        <v>79</v>
      </c>
      <c r="X153" s="30" t="s">
        <v>107</v>
      </c>
      <c r="Y153" s="30" t="s">
        <v>56</v>
      </c>
      <c r="Z153" s="30" t="s">
        <v>64</v>
      </c>
      <c r="AA153" s="30" t="s">
        <v>100</v>
      </c>
      <c r="AB153" s="30" t="s">
        <v>56</v>
      </c>
      <c r="AC153" s="30" t="s">
        <v>608</v>
      </c>
    </row>
    <row r="154" spans="1:29">
      <c r="A154" s="24" t="s">
        <v>609</v>
      </c>
      <c r="B154" s="24" t="str">
        <f>IF(ISNUMBER(SEARCH(E154,A154)),A154,IF(OR(E154="",E154=""),A154,A154&amp;" - "&amp;E154))</f>
        <v>Demecan 25:01 GOG-K - Gelato OG</v>
      </c>
      <c r="C154" s="24" t="s">
        <v>484</v>
      </c>
      <c r="D154" s="24" t="s">
        <v>485</v>
      </c>
      <c r="E154" s="24" t="s">
        <v>610</v>
      </c>
      <c r="F154" s="24" t="s">
        <v>86</v>
      </c>
      <c r="G154" s="27">
        <v>25</v>
      </c>
      <c r="H154" s="28">
        <v>1</v>
      </c>
      <c r="I154" s="24"/>
      <c r="J154" s="24"/>
      <c r="K154" s="24" t="s">
        <v>17</v>
      </c>
      <c r="L154" s="24" t="s">
        <v>53</v>
      </c>
      <c r="M154" s="24" t="s">
        <v>88</v>
      </c>
      <c r="N154" s="24" t="s">
        <v>71</v>
      </c>
      <c r="O154" s="24" t="s">
        <v>72</v>
      </c>
      <c r="P154" s="24" t="s">
        <v>75</v>
      </c>
      <c r="Q154" s="24" t="s">
        <v>89</v>
      </c>
      <c r="R154" s="24" t="s">
        <v>56</v>
      </c>
      <c r="S154" s="24" t="s">
        <v>147</v>
      </c>
      <c r="T154" s="24" t="s">
        <v>106</v>
      </c>
      <c r="U154" s="24" t="s">
        <v>493</v>
      </c>
      <c r="V154" s="24" t="s">
        <v>77</v>
      </c>
      <c r="W154" s="24" t="s">
        <v>107</v>
      </c>
      <c r="X154" s="24" t="s">
        <v>56</v>
      </c>
      <c r="Y154" s="24" t="s">
        <v>56</v>
      </c>
      <c r="Z154" s="24" t="s">
        <v>64</v>
      </c>
      <c r="AA154" s="24" t="s">
        <v>485</v>
      </c>
      <c r="AB154" s="24" t="s">
        <v>56</v>
      </c>
      <c r="AC154" s="24" t="s">
        <v>611</v>
      </c>
    </row>
    <row r="155" spans="1:29">
      <c r="A155" s="30" t="s">
        <v>612</v>
      </c>
      <c r="B155" s="30" t="str">
        <f>IF(ISNUMBER(SEARCH(E155,A155)),A155,IF(OR(E155="",E155=""),A155,A155&amp;" - "&amp;E155))</f>
        <v>Beacon Indica THC20 - Sensi Star</v>
      </c>
      <c r="C155" s="30" t="s">
        <v>613</v>
      </c>
      <c r="D155" s="30" t="s">
        <v>614</v>
      </c>
      <c r="E155" s="30" t="s">
        <v>615</v>
      </c>
      <c r="F155" s="30" t="s">
        <v>120</v>
      </c>
      <c r="G155" s="34">
        <v>20</v>
      </c>
      <c r="H155" s="35">
        <v>1</v>
      </c>
      <c r="I155" s="30"/>
      <c r="J155" s="30"/>
      <c r="K155" s="30" t="s">
        <v>17</v>
      </c>
      <c r="L155" s="30" t="s">
        <v>53</v>
      </c>
      <c r="M155" s="30" t="s">
        <v>212</v>
      </c>
      <c r="N155" s="30" t="s">
        <v>103</v>
      </c>
      <c r="O155" s="30" t="s">
        <v>121</v>
      </c>
      <c r="P155" s="30" t="s">
        <v>157</v>
      </c>
      <c r="Q155" s="30" t="s">
        <v>74</v>
      </c>
      <c r="R155" s="30" t="s">
        <v>75</v>
      </c>
      <c r="S155" s="30" t="s">
        <v>90</v>
      </c>
      <c r="T155" s="30" t="s">
        <v>147</v>
      </c>
      <c r="U155" s="30" t="s">
        <v>106</v>
      </c>
      <c r="V155" s="30" t="s">
        <v>77</v>
      </c>
      <c r="W155" s="30" t="s">
        <v>116</v>
      </c>
      <c r="X155" s="30" t="s">
        <v>107</v>
      </c>
      <c r="Y155" s="30" t="s">
        <v>56</v>
      </c>
      <c r="Z155" s="30" t="s">
        <v>64</v>
      </c>
      <c r="AA155" s="30" t="s">
        <v>614</v>
      </c>
      <c r="AB155" s="30" t="s">
        <v>56</v>
      </c>
      <c r="AC155" s="30" t="s">
        <v>616</v>
      </c>
    </row>
    <row r="156" spans="1:29">
      <c r="A156" s="24" t="s">
        <v>617</v>
      </c>
      <c r="B156" s="24" t="str">
        <f>IF(ISNUMBER(SEARCH(E156,A156)),A156,IF(OR(E156="",E156=""),A156,A156&amp;" - "&amp;E156))</f>
        <v>420 Evolution 27/1 CA STR - Star Struck</v>
      </c>
      <c r="C156" s="24" t="s">
        <v>463</v>
      </c>
      <c r="D156" s="24" t="s">
        <v>464</v>
      </c>
      <c r="E156" s="24" t="s">
        <v>618</v>
      </c>
      <c r="F156" s="24" t="s">
        <v>86</v>
      </c>
      <c r="G156" s="27">
        <v>27</v>
      </c>
      <c r="H156" s="28">
        <v>1</v>
      </c>
      <c r="I156" s="24"/>
      <c r="J156" s="24"/>
      <c r="K156" s="24" t="s">
        <v>52</v>
      </c>
      <c r="L156" s="24" t="s">
        <v>53</v>
      </c>
      <c r="M156" s="24" t="s">
        <v>54</v>
      </c>
      <c r="N156" s="24" t="s">
        <v>71</v>
      </c>
      <c r="O156" s="24" t="s">
        <v>121</v>
      </c>
      <c r="P156" s="24" t="s">
        <v>146</v>
      </c>
      <c r="Q156" s="24" t="s">
        <v>75</v>
      </c>
      <c r="R156" s="24" t="s">
        <v>58</v>
      </c>
      <c r="S156" s="24" t="s">
        <v>466</v>
      </c>
      <c r="T156" s="24" t="s">
        <v>493</v>
      </c>
      <c r="U156" s="24" t="s">
        <v>61</v>
      </c>
      <c r="V156" s="24" t="s">
        <v>77</v>
      </c>
      <c r="W156" s="24" t="s">
        <v>116</v>
      </c>
      <c r="X156" s="24" t="s">
        <v>165</v>
      </c>
      <c r="Y156" s="24" t="s">
        <v>56</v>
      </c>
      <c r="Z156" s="24" t="s">
        <v>64</v>
      </c>
      <c r="AA156" s="24" t="s">
        <v>468</v>
      </c>
      <c r="AB156" s="24" t="s">
        <v>56</v>
      </c>
      <c r="AC156" s="24" t="s">
        <v>619</v>
      </c>
    </row>
    <row r="157" spans="1:29">
      <c r="A157" s="30" t="s">
        <v>620</v>
      </c>
      <c r="B157" s="30" t="str">
        <f>IF(ISNUMBER(SEARCH(E157,A157)),A157,IF(OR(E157="",E157=""),A157,A157&amp;" - "&amp;E157))</f>
        <v>Cannamedical Hybrid Classic - Chocolate Marshmallows</v>
      </c>
      <c r="C157" s="30" t="s">
        <v>48</v>
      </c>
      <c r="D157" s="30" t="s">
        <v>49</v>
      </c>
      <c r="E157" s="30" t="s">
        <v>621</v>
      </c>
      <c r="F157" s="30" t="s">
        <v>86</v>
      </c>
      <c r="G157" s="34">
        <v>20</v>
      </c>
      <c r="H157" s="35">
        <v>1</v>
      </c>
      <c r="I157" s="30"/>
      <c r="J157" s="30"/>
      <c r="K157" s="30" t="s">
        <v>17</v>
      </c>
      <c r="L157" s="30" t="s">
        <v>53</v>
      </c>
      <c r="M157" s="30" t="s">
        <v>71</v>
      </c>
      <c r="N157" s="30" t="s">
        <v>72</v>
      </c>
      <c r="O157" s="30" t="s">
        <v>56</v>
      </c>
      <c r="P157" s="30" t="s">
        <v>104</v>
      </c>
      <c r="Q157" s="30" t="s">
        <v>113</v>
      </c>
      <c r="R157" s="30" t="s">
        <v>75</v>
      </c>
      <c r="S157" s="30" t="s">
        <v>106</v>
      </c>
      <c r="T157" s="30" t="s">
        <v>62</v>
      </c>
      <c r="U157" s="30" t="s">
        <v>234</v>
      </c>
      <c r="V157" s="30" t="s">
        <v>77</v>
      </c>
      <c r="W157" s="30" t="s">
        <v>116</v>
      </c>
      <c r="X157" s="30" t="s">
        <v>165</v>
      </c>
      <c r="Y157" s="30" t="s">
        <v>56</v>
      </c>
      <c r="Z157" s="30" t="s">
        <v>64</v>
      </c>
      <c r="AA157" s="30" t="s">
        <v>49</v>
      </c>
      <c r="AB157" s="30" t="s">
        <v>56</v>
      </c>
      <c r="AC157" s="30" t="s">
        <v>622</v>
      </c>
    </row>
    <row r="158" spans="1:29">
      <c r="A158" s="24" t="s">
        <v>623</v>
      </c>
      <c r="B158" s="24" t="str">
        <f>IF(ISNUMBER(SEARCH(E158,A158)),A158,IF(OR(E158="",E158=""),A158,A158&amp;" - "&amp;E158))</f>
        <v>420 Natural 17/1 CA TRP - Tropicana Cookies</v>
      </c>
      <c r="C158" s="24" t="s">
        <v>463</v>
      </c>
      <c r="D158" s="24" t="s">
        <v>464</v>
      </c>
      <c r="E158" s="24" t="s">
        <v>624</v>
      </c>
      <c r="F158" s="24" t="s">
        <v>86</v>
      </c>
      <c r="G158" s="27">
        <v>17</v>
      </c>
      <c r="H158" s="28">
        <v>1</v>
      </c>
      <c r="I158" s="24"/>
      <c r="J158" s="24"/>
      <c r="K158" s="24" t="s">
        <v>52</v>
      </c>
      <c r="L158" s="24" t="s">
        <v>53</v>
      </c>
      <c r="M158" s="24" t="s">
        <v>54</v>
      </c>
      <c r="N158" s="24" t="s">
        <v>111</v>
      </c>
      <c r="O158" s="24" t="s">
        <v>55</v>
      </c>
      <c r="P158" s="24" t="s">
        <v>136</v>
      </c>
      <c r="Q158" s="24" t="s">
        <v>57</v>
      </c>
      <c r="R158" s="24" t="s">
        <v>75</v>
      </c>
      <c r="S158" s="24" t="s">
        <v>123</v>
      </c>
      <c r="T158" s="24" t="s">
        <v>61</v>
      </c>
      <c r="U158" s="24" t="s">
        <v>128</v>
      </c>
      <c r="V158" s="24" t="s">
        <v>77</v>
      </c>
      <c r="W158" s="24" t="s">
        <v>79</v>
      </c>
      <c r="X158" s="24" t="s">
        <v>93</v>
      </c>
      <c r="Y158" s="24" t="s">
        <v>625</v>
      </c>
      <c r="Z158" s="24" t="s">
        <v>64</v>
      </c>
      <c r="AA158" s="24" t="s">
        <v>468</v>
      </c>
      <c r="AB158" s="24" t="s">
        <v>56</v>
      </c>
      <c r="AC158" s="24" t="s">
        <v>626</v>
      </c>
    </row>
    <row r="159" spans="1:29">
      <c r="A159" s="30" t="s">
        <v>627</v>
      </c>
      <c r="B159" s="30" t="str">
        <f>IF(ISNUMBER(SEARCH(E159,A159)),A159,IF(OR(E159="",E159=""),A159,A159&amp;" - "&amp;E159))</f>
        <v>RE:CANNIS 9.5/10.5 Hybrid</v>
      </c>
      <c r="C159" s="30" t="s">
        <v>628</v>
      </c>
      <c r="D159" s="30" t="s">
        <v>629</v>
      </c>
      <c r="E159" s="30"/>
      <c r="F159" s="30" t="s">
        <v>86</v>
      </c>
      <c r="G159" s="34">
        <v>10</v>
      </c>
      <c r="H159" s="35">
        <v>10.5</v>
      </c>
      <c r="I159" s="30"/>
      <c r="J159" s="30"/>
      <c r="K159" s="30" t="s">
        <v>52</v>
      </c>
      <c r="L159" s="30" t="s">
        <v>630</v>
      </c>
      <c r="M159" s="30" t="s">
        <v>54</v>
      </c>
      <c r="N159" s="30" t="s">
        <v>111</v>
      </c>
      <c r="O159" s="30" t="s">
        <v>71</v>
      </c>
      <c r="P159" s="30" t="s">
        <v>157</v>
      </c>
      <c r="Q159" s="30" t="s">
        <v>104</v>
      </c>
      <c r="R159" s="30" t="s">
        <v>58</v>
      </c>
      <c r="S159" s="30" t="s">
        <v>147</v>
      </c>
      <c r="T159" s="30" t="s">
        <v>123</v>
      </c>
      <c r="U159" s="30" t="s">
        <v>106</v>
      </c>
      <c r="V159" s="30" t="s">
        <v>77</v>
      </c>
      <c r="W159" s="30" t="s">
        <v>116</v>
      </c>
      <c r="X159" s="30" t="s">
        <v>107</v>
      </c>
      <c r="Y159" s="30" t="s">
        <v>631</v>
      </c>
      <c r="Z159" s="30" t="s">
        <v>64</v>
      </c>
      <c r="AA159" s="30" t="s">
        <v>632</v>
      </c>
      <c r="AB159" s="30" t="s">
        <v>56</v>
      </c>
      <c r="AC159" s="30" t="s">
        <v>633</v>
      </c>
    </row>
    <row r="160" spans="1:29">
      <c r="A160" s="24" t="s">
        <v>634</v>
      </c>
      <c r="B160" s="24" t="str">
        <f>IF(ISNUMBER(SEARCH(E160,A160)),A160,IF(OR(E160="",E160=""),A160,A160&amp;" - "&amp;E160))</f>
        <v>RE:CANNIS 1/15 CBD</v>
      </c>
      <c r="C160" s="24" t="s">
        <v>628</v>
      </c>
      <c r="D160" s="24" t="s">
        <v>629</v>
      </c>
      <c r="E160" s="24"/>
      <c r="F160" s="24" t="s">
        <v>86</v>
      </c>
      <c r="G160" s="27">
        <v>1</v>
      </c>
      <c r="H160" s="28">
        <v>15</v>
      </c>
      <c r="I160" s="24"/>
      <c r="J160" s="24"/>
      <c r="K160" s="24" t="s">
        <v>52</v>
      </c>
      <c r="L160" s="24" t="s">
        <v>630</v>
      </c>
      <c r="M160" s="24" t="s">
        <v>111</v>
      </c>
      <c r="N160" s="24" t="s">
        <v>55</v>
      </c>
      <c r="O160" s="24" t="s">
        <v>56</v>
      </c>
      <c r="P160" s="24" t="s">
        <v>56</v>
      </c>
      <c r="Q160" s="24" t="s">
        <v>56</v>
      </c>
      <c r="R160" s="24" t="s">
        <v>56</v>
      </c>
      <c r="S160" s="24" t="s">
        <v>106</v>
      </c>
      <c r="T160" s="24" t="s">
        <v>76</v>
      </c>
      <c r="U160" s="24" t="s">
        <v>128</v>
      </c>
      <c r="V160" s="24" t="s">
        <v>77</v>
      </c>
      <c r="W160" s="24" t="s">
        <v>635</v>
      </c>
      <c r="X160" s="24" t="s">
        <v>180</v>
      </c>
      <c r="Y160" s="24" t="s">
        <v>56</v>
      </c>
      <c r="Z160" s="24" t="s">
        <v>64</v>
      </c>
      <c r="AA160" s="24" t="s">
        <v>632</v>
      </c>
      <c r="AB160" s="24" t="s">
        <v>56</v>
      </c>
      <c r="AC160" s="24" t="s">
        <v>636</v>
      </c>
    </row>
    <row r="161" spans="1:29">
      <c r="A161" s="30" t="s">
        <v>637</v>
      </c>
      <c r="B161" s="30" t="str">
        <f>IF(ISNUMBER(SEARCH(E161,A161)),A161,IF(OR(E161="",E161=""),A161,A161&amp;" - "&amp;E161))</f>
        <v>avaay 24/1 DID - Do-Si-Dos</v>
      </c>
      <c r="C161" s="30" t="s">
        <v>569</v>
      </c>
      <c r="D161" s="30" t="s">
        <v>570</v>
      </c>
      <c r="E161" s="30" t="s">
        <v>638</v>
      </c>
      <c r="F161" s="30" t="s">
        <v>86</v>
      </c>
      <c r="G161" s="34">
        <v>24</v>
      </c>
      <c r="H161" s="35">
        <v>1</v>
      </c>
      <c r="I161" s="30"/>
      <c r="J161" s="30"/>
      <c r="K161" s="30" t="s">
        <v>52</v>
      </c>
      <c r="L161" s="30" t="s">
        <v>53</v>
      </c>
      <c r="M161" s="30" t="s">
        <v>103</v>
      </c>
      <c r="N161" s="30" t="s">
        <v>121</v>
      </c>
      <c r="O161" s="30" t="s">
        <v>72</v>
      </c>
      <c r="P161" s="30" t="s">
        <v>56</v>
      </c>
      <c r="Q161" s="30" t="s">
        <v>56</v>
      </c>
      <c r="R161" s="30" t="s">
        <v>56</v>
      </c>
      <c r="S161" s="30" t="s">
        <v>106</v>
      </c>
      <c r="T161" s="30" t="s">
        <v>493</v>
      </c>
      <c r="U161" s="30" t="s">
        <v>62</v>
      </c>
      <c r="V161" s="30" t="s">
        <v>252</v>
      </c>
      <c r="W161" s="30" t="s">
        <v>77</v>
      </c>
      <c r="X161" s="30" t="s">
        <v>225</v>
      </c>
      <c r="Y161" s="30" t="s">
        <v>130</v>
      </c>
      <c r="Z161" s="30" t="s">
        <v>64</v>
      </c>
      <c r="AA161" s="30" t="s">
        <v>572</v>
      </c>
      <c r="AB161" s="30" t="s">
        <v>56</v>
      </c>
      <c r="AC161" s="30" t="s">
        <v>639</v>
      </c>
    </row>
    <row r="162" spans="1:29">
      <c r="A162" s="24" t="s">
        <v>640</v>
      </c>
      <c r="B162" s="24" t="str">
        <f>IF(ISNUMBER(SEARCH(E162,A162)),A162,IF(OR(E162="",E162=""),A162,A162&amp;" - "&amp;E162))</f>
        <v>Supreme 18/1 - White Widow</v>
      </c>
      <c r="C162" s="24" t="s">
        <v>641</v>
      </c>
      <c r="D162" s="24" t="s">
        <v>642</v>
      </c>
      <c r="E162" s="24" t="s">
        <v>251</v>
      </c>
      <c r="F162" s="24" t="s">
        <v>86</v>
      </c>
      <c r="G162" s="27">
        <v>18</v>
      </c>
      <c r="H162" s="28">
        <v>1</v>
      </c>
      <c r="I162" s="24"/>
      <c r="J162" s="24"/>
      <c r="K162" s="24" t="s">
        <v>17</v>
      </c>
      <c r="L162" s="24" t="s">
        <v>87</v>
      </c>
      <c r="M162" s="24" t="s">
        <v>54</v>
      </c>
      <c r="N162" s="24" t="s">
        <v>111</v>
      </c>
      <c r="O162" s="24" t="s">
        <v>88</v>
      </c>
      <c r="P162" s="24" t="s">
        <v>146</v>
      </c>
      <c r="Q162" s="24" t="s">
        <v>74</v>
      </c>
      <c r="R162" s="24" t="s">
        <v>113</v>
      </c>
      <c r="S162" s="24" t="s">
        <v>60</v>
      </c>
      <c r="T162" s="24" t="s">
        <v>91</v>
      </c>
      <c r="U162" s="24" t="s">
        <v>61</v>
      </c>
      <c r="V162" s="24" t="s">
        <v>252</v>
      </c>
      <c r="W162" s="24" t="s">
        <v>77</v>
      </c>
      <c r="X162" s="24" t="s">
        <v>253</v>
      </c>
      <c r="Y162" s="24" t="s">
        <v>643</v>
      </c>
      <c r="Z162" s="24" t="s">
        <v>64</v>
      </c>
      <c r="AA162" s="24" t="s">
        <v>642</v>
      </c>
      <c r="AB162" s="24" t="s">
        <v>56</v>
      </c>
      <c r="AC162" s="24" t="s">
        <v>644</v>
      </c>
    </row>
    <row r="163" spans="1:29">
      <c r="A163" s="30" t="s">
        <v>645</v>
      </c>
      <c r="B163" s="30" t="str">
        <f>IF(ISNUMBER(SEARCH(E163,A163)),A163,IF(OR(E163="",E163=""),A163,A163&amp;" - "&amp;E163))</f>
        <v>IMC THC20 T01 HK - Hindu Kush</v>
      </c>
      <c r="C163" s="30" t="s">
        <v>646</v>
      </c>
      <c r="D163" s="30" t="s">
        <v>646</v>
      </c>
      <c r="E163" s="30" t="s">
        <v>456</v>
      </c>
      <c r="F163" s="30" t="s">
        <v>120</v>
      </c>
      <c r="G163" s="34">
        <v>20</v>
      </c>
      <c r="H163" s="35">
        <v>1</v>
      </c>
      <c r="I163" s="30"/>
      <c r="J163" s="30"/>
      <c r="K163" s="30" t="s">
        <v>17</v>
      </c>
      <c r="L163" s="30" t="s">
        <v>423</v>
      </c>
      <c r="M163" s="30" t="s">
        <v>103</v>
      </c>
      <c r="N163" s="30" t="s">
        <v>121</v>
      </c>
      <c r="O163" s="30" t="s">
        <v>72</v>
      </c>
      <c r="P163" s="30" t="s">
        <v>74</v>
      </c>
      <c r="Q163" s="30" t="s">
        <v>113</v>
      </c>
      <c r="R163" s="30" t="s">
        <v>59</v>
      </c>
      <c r="S163" s="30" t="s">
        <v>647</v>
      </c>
      <c r="T163" s="30" t="s">
        <v>90</v>
      </c>
      <c r="U163" s="30" t="s">
        <v>147</v>
      </c>
      <c r="V163" s="30" t="s">
        <v>77</v>
      </c>
      <c r="W163" s="30" t="s">
        <v>395</v>
      </c>
      <c r="X163" s="30" t="s">
        <v>107</v>
      </c>
      <c r="Y163" s="30" t="s">
        <v>188</v>
      </c>
      <c r="Z163" s="30" t="s">
        <v>64</v>
      </c>
      <c r="AA163" s="30" t="s">
        <v>646</v>
      </c>
      <c r="AB163" s="30" t="s">
        <v>56</v>
      </c>
      <c r="AC163" s="30" t="s">
        <v>648</v>
      </c>
    </row>
    <row r="164" spans="1:29">
      <c r="A164" s="24" t="s">
        <v>649</v>
      </c>
      <c r="B164" s="24" t="str">
        <f>IF(ISNUMBER(SEARCH(E164,A164)),A164,IF(OR(E164="",E164=""),A164,A164&amp;" - "&amp;E164))</f>
        <v>enua 27/1 CCK CA - Cold Creek Kush</v>
      </c>
      <c r="C164" s="24" t="s">
        <v>650</v>
      </c>
      <c r="D164" s="24" t="s">
        <v>651</v>
      </c>
      <c r="E164" s="24" t="s">
        <v>652</v>
      </c>
      <c r="F164" s="24" t="s">
        <v>86</v>
      </c>
      <c r="G164" s="27">
        <v>27</v>
      </c>
      <c r="H164" s="28">
        <v>1</v>
      </c>
      <c r="I164" s="24"/>
      <c r="J164" s="24"/>
      <c r="K164" s="24" t="s">
        <v>17</v>
      </c>
      <c r="L164" s="24" t="s">
        <v>53</v>
      </c>
      <c r="M164" s="24" t="s">
        <v>156</v>
      </c>
      <c r="N164" s="24" t="s">
        <v>54</v>
      </c>
      <c r="O164" s="24" t="s">
        <v>71</v>
      </c>
      <c r="P164" s="24" t="s">
        <v>146</v>
      </c>
      <c r="Q164" s="24" t="s">
        <v>74</v>
      </c>
      <c r="R164" s="24" t="s">
        <v>75</v>
      </c>
      <c r="S164" s="24" t="s">
        <v>115</v>
      </c>
      <c r="T164" s="24" t="s">
        <v>62</v>
      </c>
      <c r="U164" s="24" t="s">
        <v>128</v>
      </c>
      <c r="V164" s="24" t="s">
        <v>77</v>
      </c>
      <c r="W164" s="24" t="s">
        <v>116</v>
      </c>
      <c r="X164" s="24" t="s">
        <v>79</v>
      </c>
      <c r="Y164" s="24" t="s">
        <v>56</v>
      </c>
      <c r="Z164" s="24" t="s">
        <v>64</v>
      </c>
      <c r="AA164" s="24" t="s">
        <v>653</v>
      </c>
      <c r="AB164" s="24" t="s">
        <v>56</v>
      </c>
      <c r="AC164" s="24" t="s">
        <v>654</v>
      </c>
    </row>
    <row r="165" spans="1:29">
      <c r="A165" s="30" t="s">
        <v>655</v>
      </c>
      <c r="B165" s="30" t="str">
        <f>IF(ISNUMBER(SEARCH(E165,A165)),A165,IF(OR(E165="",E165=""),A165,A165&amp;" - "&amp;E165))</f>
        <v>LOT 420 OC - Orange Cake</v>
      </c>
      <c r="C165" s="30" t="s">
        <v>564</v>
      </c>
      <c r="D165" s="30" t="s">
        <v>565</v>
      </c>
      <c r="E165" s="30" t="s">
        <v>656</v>
      </c>
      <c r="F165" s="30" t="s">
        <v>86</v>
      </c>
      <c r="G165" s="34">
        <v>31</v>
      </c>
      <c r="H165" s="35">
        <v>1</v>
      </c>
      <c r="I165" s="30"/>
      <c r="J165" s="30"/>
      <c r="K165" s="30" t="s">
        <v>52</v>
      </c>
      <c r="L165" s="30" t="s">
        <v>53</v>
      </c>
      <c r="M165" s="30" t="s">
        <v>212</v>
      </c>
      <c r="N165" s="30" t="s">
        <v>103</v>
      </c>
      <c r="O165" s="30" t="s">
        <v>55</v>
      </c>
      <c r="P165" s="30" t="s">
        <v>58</v>
      </c>
      <c r="Q165" s="30" t="s">
        <v>59</v>
      </c>
      <c r="R165" s="30" t="s">
        <v>56</v>
      </c>
      <c r="S165" s="30" t="s">
        <v>106</v>
      </c>
      <c r="T165" s="30" t="s">
        <v>493</v>
      </c>
      <c r="U165" s="30" t="s">
        <v>128</v>
      </c>
      <c r="V165" s="30" t="s">
        <v>116</v>
      </c>
      <c r="W165" s="30" t="s">
        <v>79</v>
      </c>
      <c r="X165" s="30" t="s">
        <v>107</v>
      </c>
      <c r="Y165" s="30" t="s">
        <v>657</v>
      </c>
      <c r="Z165" s="30" t="s">
        <v>64</v>
      </c>
      <c r="AA165" s="30" t="s">
        <v>565</v>
      </c>
      <c r="AB165" s="30" t="s">
        <v>658</v>
      </c>
      <c r="AC165" s="30" t="s">
        <v>659</v>
      </c>
    </row>
    <row r="166" spans="1:29">
      <c r="A166" s="24" t="s">
        <v>660</v>
      </c>
      <c r="B166" s="24" t="str">
        <f>IF(ISNUMBER(SEARCH(E166,A166)),A166,IF(OR(E166="",E166=""),A166,A166&amp;" - "&amp;E166))</f>
        <v>Cantourage MAC 1+</v>
      </c>
      <c r="C166" s="24" t="s">
        <v>564</v>
      </c>
      <c r="D166" s="24" t="s">
        <v>565</v>
      </c>
      <c r="E166" s="24" t="s">
        <v>661</v>
      </c>
      <c r="F166" s="24" t="s">
        <v>86</v>
      </c>
      <c r="G166" s="27">
        <v>25</v>
      </c>
      <c r="H166" s="28">
        <v>1</v>
      </c>
      <c r="I166" s="24"/>
      <c r="J166" s="24"/>
      <c r="K166" s="24" t="s">
        <v>52</v>
      </c>
      <c r="L166" s="24" t="s">
        <v>53</v>
      </c>
      <c r="M166" s="24" t="s">
        <v>54</v>
      </c>
      <c r="N166" s="24" t="s">
        <v>88</v>
      </c>
      <c r="O166" s="24" t="s">
        <v>71</v>
      </c>
      <c r="P166" s="24" t="s">
        <v>57</v>
      </c>
      <c r="Q166" s="24" t="s">
        <v>74</v>
      </c>
      <c r="R166" s="24" t="s">
        <v>75</v>
      </c>
      <c r="S166" s="24" t="s">
        <v>466</v>
      </c>
      <c r="T166" s="24" t="s">
        <v>123</v>
      </c>
      <c r="U166" s="24" t="s">
        <v>106</v>
      </c>
      <c r="V166" s="24" t="s">
        <v>77</v>
      </c>
      <c r="W166" s="24" t="s">
        <v>79</v>
      </c>
      <c r="X166" s="24" t="s">
        <v>173</v>
      </c>
      <c r="Y166" s="24" t="s">
        <v>662</v>
      </c>
      <c r="Z166" s="24" t="s">
        <v>64</v>
      </c>
      <c r="AA166" s="24" t="s">
        <v>565</v>
      </c>
      <c r="AB166" s="24" t="s">
        <v>663</v>
      </c>
      <c r="AC166" s="24" t="s">
        <v>664</v>
      </c>
    </row>
    <row r="167" spans="1:29">
      <c r="A167" s="30" t="s">
        <v>665</v>
      </c>
      <c r="B167" s="30" t="str">
        <f>IF(ISNUMBER(SEARCH(E167,A167)),A167,IF(OR(E167="",E167=""),A167,A167&amp;" - "&amp;E167))</f>
        <v>Mediprocan Smaragd 22/1 - La Sage</v>
      </c>
      <c r="C167" s="30" t="s">
        <v>317</v>
      </c>
      <c r="D167" s="30" t="s">
        <v>318</v>
      </c>
      <c r="E167" s="30" t="s">
        <v>219</v>
      </c>
      <c r="F167" s="30" t="s">
        <v>86</v>
      </c>
      <c r="G167" s="34">
        <v>22</v>
      </c>
      <c r="H167" s="35">
        <v>1</v>
      </c>
      <c r="I167" s="30"/>
      <c r="J167" s="30"/>
      <c r="K167" s="30" t="s">
        <v>52</v>
      </c>
      <c r="L167" s="30" t="s">
        <v>145</v>
      </c>
      <c r="M167" s="30" t="s">
        <v>88</v>
      </c>
      <c r="N167" s="30" t="s">
        <v>71</v>
      </c>
      <c r="O167" s="30" t="s">
        <v>55</v>
      </c>
      <c r="P167" s="30" t="s">
        <v>146</v>
      </c>
      <c r="Q167" s="30" t="s">
        <v>75</v>
      </c>
      <c r="R167" s="30" t="s">
        <v>56</v>
      </c>
      <c r="S167" s="30" t="s">
        <v>90</v>
      </c>
      <c r="T167" s="30" t="s">
        <v>106</v>
      </c>
      <c r="U167" s="30" t="s">
        <v>115</v>
      </c>
      <c r="V167" s="30" t="s">
        <v>77</v>
      </c>
      <c r="W167" s="30" t="s">
        <v>116</v>
      </c>
      <c r="X167" s="30" t="s">
        <v>107</v>
      </c>
      <c r="Y167" s="30" t="s">
        <v>56</v>
      </c>
      <c r="Z167" s="30" t="s">
        <v>64</v>
      </c>
      <c r="AA167" s="30" t="s">
        <v>320</v>
      </c>
      <c r="AB167" s="30" t="s">
        <v>56</v>
      </c>
      <c r="AC167" s="30" t="s">
        <v>666</v>
      </c>
    </row>
    <row r="168" spans="1:29">
      <c r="A168" s="24" t="s">
        <v>667</v>
      </c>
      <c r="B168" s="24" t="str">
        <f>IF(ISNUMBER(SEARCH(E168,A168)),A168,IF(OR(E168="",E168=""),A168,A168&amp;" - "&amp;E168))</f>
        <v>Drapalin 18/1 - Cheesotho</v>
      </c>
      <c r="C168" s="24" t="s">
        <v>668</v>
      </c>
      <c r="D168" s="24" t="s">
        <v>669</v>
      </c>
      <c r="E168" s="24" t="s">
        <v>670</v>
      </c>
      <c r="F168" s="24" t="s">
        <v>86</v>
      </c>
      <c r="G168" s="27">
        <v>18</v>
      </c>
      <c r="H168" s="28">
        <v>1</v>
      </c>
      <c r="I168" s="24"/>
      <c r="J168" s="24"/>
      <c r="K168" s="24" t="s">
        <v>52</v>
      </c>
      <c r="L168" s="24" t="s">
        <v>630</v>
      </c>
      <c r="M168" s="24" t="s">
        <v>88</v>
      </c>
      <c r="N168" s="24" t="s">
        <v>71</v>
      </c>
      <c r="O168" s="24" t="s">
        <v>72</v>
      </c>
      <c r="P168" s="24" t="s">
        <v>74</v>
      </c>
      <c r="Q168" s="24" t="s">
        <v>89</v>
      </c>
      <c r="R168" s="24" t="s">
        <v>56</v>
      </c>
      <c r="S168" s="24" t="s">
        <v>123</v>
      </c>
      <c r="T168" s="24" t="s">
        <v>106</v>
      </c>
      <c r="U168" s="24" t="s">
        <v>76</v>
      </c>
      <c r="V168" s="24" t="s">
        <v>77</v>
      </c>
      <c r="W168" s="24" t="s">
        <v>79</v>
      </c>
      <c r="X168" s="24" t="s">
        <v>107</v>
      </c>
      <c r="Y168" s="24" t="s">
        <v>56</v>
      </c>
      <c r="Z168" s="24" t="s">
        <v>64</v>
      </c>
      <c r="AA168" s="24" t="s">
        <v>671</v>
      </c>
      <c r="AB168" s="24" t="s">
        <v>672</v>
      </c>
      <c r="AC168" s="24" t="s">
        <v>673</v>
      </c>
    </row>
    <row r="169" spans="1:29">
      <c r="A169" s="30" t="s">
        <v>674</v>
      </c>
      <c r="B169" s="30" t="str">
        <f>IF(ISNUMBER(SEARCH(E169,A169)),A169,IF(OR(E169="",E169=""),A169,A169&amp;" - "&amp;E169))</f>
        <v>420 Natural 18/1 CA ZRP - Zour Apple</v>
      </c>
      <c r="C169" s="30" t="s">
        <v>463</v>
      </c>
      <c r="D169" s="30" t="s">
        <v>464</v>
      </c>
      <c r="E169" s="30" t="s">
        <v>590</v>
      </c>
      <c r="F169" s="30" t="s">
        <v>86</v>
      </c>
      <c r="G169" s="34">
        <v>18</v>
      </c>
      <c r="H169" s="35">
        <v>1</v>
      </c>
      <c r="I169" s="30"/>
      <c r="J169" s="30"/>
      <c r="K169" s="30" t="s">
        <v>52</v>
      </c>
      <c r="L169" s="30" t="s">
        <v>53</v>
      </c>
      <c r="M169" s="30" t="s">
        <v>111</v>
      </c>
      <c r="N169" s="30" t="s">
        <v>55</v>
      </c>
      <c r="O169" s="30" t="s">
        <v>178</v>
      </c>
      <c r="P169" s="30" t="s">
        <v>591</v>
      </c>
      <c r="Q169" s="30" t="s">
        <v>58</v>
      </c>
      <c r="R169" s="30" t="s">
        <v>56</v>
      </c>
      <c r="S169" s="30" t="s">
        <v>90</v>
      </c>
      <c r="T169" s="30" t="s">
        <v>147</v>
      </c>
      <c r="U169" s="30" t="s">
        <v>493</v>
      </c>
      <c r="V169" s="30" t="s">
        <v>92</v>
      </c>
      <c r="W169" s="30" t="s">
        <v>129</v>
      </c>
      <c r="X169" s="30" t="s">
        <v>107</v>
      </c>
      <c r="Y169" s="30" t="s">
        <v>675</v>
      </c>
      <c r="Z169" s="30" t="s">
        <v>64</v>
      </c>
      <c r="AA169" s="30" t="s">
        <v>468</v>
      </c>
      <c r="AB169" s="30" t="s">
        <v>56</v>
      </c>
      <c r="AC169" s="30" t="s">
        <v>676</v>
      </c>
    </row>
    <row r="170" spans="1:29">
      <c r="A170" s="24" t="s">
        <v>677</v>
      </c>
      <c r="B170" s="24" t="str">
        <f>IF(ISNUMBER(SEARCH(E170,A170)),A170,IF(OR(E170="",E170=""),A170,A170&amp;" - "&amp;E170))</f>
        <v>Pure Sunfarms 20/1 - Pink Kush</v>
      </c>
      <c r="C170" s="24" t="s">
        <v>153</v>
      </c>
      <c r="D170" s="24" t="s">
        <v>154</v>
      </c>
      <c r="E170" s="24" t="s">
        <v>101</v>
      </c>
      <c r="F170" s="24" t="s">
        <v>120</v>
      </c>
      <c r="G170" s="27">
        <v>20</v>
      </c>
      <c r="H170" s="28">
        <v>1</v>
      </c>
      <c r="I170" s="24"/>
      <c r="J170" s="24"/>
      <c r="K170" s="24" t="s">
        <v>17</v>
      </c>
      <c r="L170" s="24" t="s">
        <v>53</v>
      </c>
      <c r="M170" s="24" t="s">
        <v>88</v>
      </c>
      <c r="N170" s="24" t="s">
        <v>71</v>
      </c>
      <c r="O170" s="24" t="s">
        <v>103</v>
      </c>
      <c r="P170" s="24" t="s">
        <v>57</v>
      </c>
      <c r="Q170" s="24" t="s">
        <v>104</v>
      </c>
      <c r="R170" s="24" t="s">
        <v>74</v>
      </c>
      <c r="S170" s="24" t="s">
        <v>106</v>
      </c>
      <c r="T170" s="24" t="s">
        <v>203</v>
      </c>
      <c r="U170" s="24" t="s">
        <v>62</v>
      </c>
      <c r="V170" s="24" t="s">
        <v>77</v>
      </c>
      <c r="W170" s="24" t="s">
        <v>79</v>
      </c>
      <c r="X170" s="24" t="s">
        <v>107</v>
      </c>
      <c r="Y170" s="24" t="s">
        <v>56</v>
      </c>
      <c r="Z170" s="24" t="s">
        <v>64</v>
      </c>
      <c r="AA170" s="24" t="s">
        <v>154</v>
      </c>
      <c r="AB170" s="24" t="s">
        <v>678</v>
      </c>
      <c r="AC170" s="24" t="s">
        <v>679</v>
      </c>
    </row>
    <row r="171" spans="1:29">
      <c r="A171" s="30" t="s">
        <v>680</v>
      </c>
      <c r="B171" s="30" t="str">
        <f>IF(ISNUMBER(SEARCH(E171,A171)),A171,IF(OR(E171="",E171=""),A171,A171&amp;" - "&amp;E171))</f>
        <v>Banana Cream Herbery SC 22/1</v>
      </c>
      <c r="C171" s="30" t="s">
        <v>484</v>
      </c>
      <c r="D171" s="30" t="s">
        <v>485</v>
      </c>
      <c r="E171" s="30" t="s">
        <v>681</v>
      </c>
      <c r="F171" s="30" t="s">
        <v>86</v>
      </c>
      <c r="G171" s="34">
        <v>22</v>
      </c>
      <c r="H171" s="35">
        <v>1</v>
      </c>
      <c r="I171" s="30"/>
      <c r="J171" s="30"/>
      <c r="K171" s="30" t="s">
        <v>52</v>
      </c>
      <c r="L171" s="30" t="s">
        <v>497</v>
      </c>
      <c r="M171" s="30" t="s">
        <v>88</v>
      </c>
      <c r="N171" s="30" t="s">
        <v>178</v>
      </c>
      <c r="O171" s="30" t="s">
        <v>121</v>
      </c>
      <c r="P171" s="30" t="s">
        <v>112</v>
      </c>
      <c r="Q171" s="30" t="s">
        <v>58</v>
      </c>
      <c r="R171" s="30" t="s">
        <v>56</v>
      </c>
      <c r="S171" s="30" t="s">
        <v>60</v>
      </c>
      <c r="T171" s="30" t="s">
        <v>147</v>
      </c>
      <c r="U171" s="30" t="s">
        <v>106</v>
      </c>
      <c r="V171" s="30" t="s">
        <v>77</v>
      </c>
      <c r="W171" s="30" t="s">
        <v>116</v>
      </c>
      <c r="X171" s="30" t="s">
        <v>180</v>
      </c>
      <c r="Y171" s="30" t="s">
        <v>56</v>
      </c>
      <c r="Z171" s="30" t="s">
        <v>64</v>
      </c>
      <c r="AA171" s="30" t="s">
        <v>682</v>
      </c>
      <c r="AB171" s="30" t="s">
        <v>56</v>
      </c>
      <c r="AC171" s="30" t="s">
        <v>683</v>
      </c>
    </row>
    <row r="172" spans="1:29">
      <c r="A172" s="24" t="s">
        <v>684</v>
      </c>
      <c r="B172" s="24" t="str">
        <f>IF(ISNUMBER(SEARCH(E172,A172)),A172,IF(OR(E172="",E172=""),A172,A172&amp;" - "&amp;E172))</f>
        <v>avaay 22/1 BCP - Black Cherry Punch</v>
      </c>
      <c r="C172" s="24" t="s">
        <v>569</v>
      </c>
      <c r="D172" s="24" t="s">
        <v>570</v>
      </c>
      <c r="E172" s="24" t="s">
        <v>685</v>
      </c>
      <c r="F172" s="24" t="s">
        <v>86</v>
      </c>
      <c r="G172" s="27">
        <v>22</v>
      </c>
      <c r="H172" s="28">
        <v>1</v>
      </c>
      <c r="I172" s="24"/>
      <c r="J172" s="24"/>
      <c r="K172" s="24" t="s">
        <v>52</v>
      </c>
      <c r="L172" s="24" t="s">
        <v>497</v>
      </c>
      <c r="M172" s="24" t="s">
        <v>71</v>
      </c>
      <c r="N172" s="24" t="s">
        <v>103</v>
      </c>
      <c r="O172" s="24" t="s">
        <v>121</v>
      </c>
      <c r="P172" s="24" t="s">
        <v>104</v>
      </c>
      <c r="Q172" s="24" t="s">
        <v>89</v>
      </c>
      <c r="R172" s="24" t="s">
        <v>58</v>
      </c>
      <c r="S172" s="24" t="s">
        <v>123</v>
      </c>
      <c r="T172" s="24" t="s">
        <v>106</v>
      </c>
      <c r="U172" s="24" t="s">
        <v>62</v>
      </c>
      <c r="V172" s="24" t="s">
        <v>77</v>
      </c>
      <c r="W172" s="24" t="s">
        <v>116</v>
      </c>
      <c r="X172" s="24" t="s">
        <v>79</v>
      </c>
      <c r="Y172" s="24" t="s">
        <v>56</v>
      </c>
      <c r="Z172" s="24" t="s">
        <v>64</v>
      </c>
      <c r="AA172" s="24" t="s">
        <v>572</v>
      </c>
      <c r="AB172" s="24" t="s">
        <v>56</v>
      </c>
      <c r="AC172" s="24" t="s">
        <v>686</v>
      </c>
    </row>
    <row r="173" spans="1:29">
      <c r="A173" s="42" t="s">
        <v>687</v>
      </c>
      <c r="B173" s="42" t="str">
        <f>IF(ISNUMBER(SEARCH(E173,A173)),A173,IF(OR(E173="",E173=""),A173,A173&amp;" - "&amp;E173))</f>
        <v>Demecan CRAFT Black Triangle 27:01</v>
      </c>
      <c r="C173" s="30" t="s">
        <v>484</v>
      </c>
      <c r="D173" s="30" t="s">
        <v>485</v>
      </c>
      <c r="E173" s="30" t="s">
        <v>688</v>
      </c>
      <c r="F173" s="30" t="s">
        <v>86</v>
      </c>
      <c r="G173" s="34">
        <v>27</v>
      </c>
      <c r="H173" s="35">
        <v>1</v>
      </c>
      <c r="I173" s="30"/>
      <c r="J173" s="30"/>
      <c r="K173" s="30" t="s">
        <v>52</v>
      </c>
      <c r="L173" s="30" t="s">
        <v>53</v>
      </c>
      <c r="M173" s="30" t="s">
        <v>88</v>
      </c>
      <c r="N173" s="30" t="s">
        <v>71</v>
      </c>
      <c r="O173" s="30" t="s">
        <v>178</v>
      </c>
      <c r="P173" s="30" t="s">
        <v>146</v>
      </c>
      <c r="Q173" s="30" t="s">
        <v>74</v>
      </c>
      <c r="R173" s="30" t="s">
        <v>59</v>
      </c>
      <c r="S173" s="30" t="s">
        <v>123</v>
      </c>
      <c r="T173" s="30" t="s">
        <v>106</v>
      </c>
      <c r="U173" s="30" t="s">
        <v>128</v>
      </c>
      <c r="V173" s="30" t="s">
        <v>77</v>
      </c>
      <c r="W173" s="30" t="s">
        <v>165</v>
      </c>
      <c r="X173" s="30" t="s">
        <v>180</v>
      </c>
      <c r="Y173" s="30" t="s">
        <v>56</v>
      </c>
      <c r="Z173" s="30" t="s">
        <v>64</v>
      </c>
      <c r="AA173" s="30" t="s">
        <v>485</v>
      </c>
      <c r="AB173" s="30" t="s">
        <v>56</v>
      </c>
      <c r="AC173" s="30" t="s">
        <v>689</v>
      </c>
    </row>
    <row r="174" spans="1:29">
      <c r="A174" s="24" t="s">
        <v>690</v>
      </c>
      <c r="B174" s="24" t="str">
        <f>IF(ISNUMBER(SEARCH(E174,A174)),A174,IF(OR(E174="",E174=""),A174,A174&amp;" - "&amp;E174))</f>
        <v>Vayamed 22/1 - Ghost Train Haze</v>
      </c>
      <c r="C174" s="24" t="s">
        <v>569</v>
      </c>
      <c r="D174" s="24" t="s">
        <v>570</v>
      </c>
      <c r="E174" s="24" t="s">
        <v>343</v>
      </c>
      <c r="F174" s="24" t="s">
        <v>69</v>
      </c>
      <c r="G174" s="27">
        <v>22</v>
      </c>
      <c r="H174" s="28">
        <v>1</v>
      </c>
      <c r="I174" s="24"/>
      <c r="J174" s="24"/>
      <c r="K174" s="24" t="s">
        <v>17</v>
      </c>
      <c r="L174" s="24" t="s">
        <v>87</v>
      </c>
      <c r="M174" s="24" t="s">
        <v>111</v>
      </c>
      <c r="N174" s="24" t="s">
        <v>88</v>
      </c>
      <c r="O174" s="24" t="s">
        <v>55</v>
      </c>
      <c r="P174" s="24" t="s">
        <v>146</v>
      </c>
      <c r="Q174" s="24" t="s">
        <v>75</v>
      </c>
      <c r="R174" s="24" t="s">
        <v>89</v>
      </c>
      <c r="S174" s="24" t="s">
        <v>90</v>
      </c>
      <c r="T174" s="24" t="s">
        <v>106</v>
      </c>
      <c r="U174" s="24" t="s">
        <v>128</v>
      </c>
      <c r="V174" s="24" t="s">
        <v>77</v>
      </c>
      <c r="W174" s="24" t="s">
        <v>225</v>
      </c>
      <c r="X174" s="24" t="s">
        <v>197</v>
      </c>
      <c r="Y174" s="24" t="s">
        <v>56</v>
      </c>
      <c r="Z174" s="24" t="s">
        <v>64</v>
      </c>
      <c r="AA174" s="24" t="s">
        <v>570</v>
      </c>
      <c r="AB174" s="24" t="s">
        <v>56</v>
      </c>
      <c r="AC174" s="24" t="s">
        <v>691</v>
      </c>
    </row>
    <row r="175" spans="1:29">
      <c r="A175" s="30" t="s">
        <v>692</v>
      </c>
      <c r="B175" s="30" t="str">
        <f>IF(ISNUMBER(SEARCH(E175,A175)),A175,IF(OR(E175="",E175=""),A175,A175&amp;" - "&amp;E175))</f>
        <v>Demecan CRAFT FCF 31:01 - First Class Funk</v>
      </c>
      <c r="C175" s="30" t="s">
        <v>484</v>
      </c>
      <c r="D175" s="30" t="s">
        <v>485</v>
      </c>
      <c r="E175" s="30" t="s">
        <v>693</v>
      </c>
      <c r="F175" s="30" t="s">
        <v>177</v>
      </c>
      <c r="G175" s="34">
        <v>31</v>
      </c>
      <c r="H175" s="35">
        <v>1</v>
      </c>
      <c r="I175" s="30"/>
      <c r="J175" s="30"/>
      <c r="K175" s="30" t="s">
        <v>52</v>
      </c>
      <c r="L175" s="30" t="s">
        <v>53</v>
      </c>
      <c r="M175" s="30" t="s">
        <v>156</v>
      </c>
      <c r="N175" s="30" t="s">
        <v>88</v>
      </c>
      <c r="O175" s="30" t="s">
        <v>178</v>
      </c>
      <c r="P175" s="30" t="s">
        <v>73</v>
      </c>
      <c r="Q175" s="30" t="s">
        <v>74</v>
      </c>
      <c r="R175" s="30" t="s">
        <v>89</v>
      </c>
      <c r="S175" s="30" t="s">
        <v>192</v>
      </c>
      <c r="T175" s="30" t="s">
        <v>147</v>
      </c>
      <c r="U175" s="30" t="s">
        <v>106</v>
      </c>
      <c r="V175" s="30" t="s">
        <v>116</v>
      </c>
      <c r="W175" s="30" t="s">
        <v>165</v>
      </c>
      <c r="X175" s="30" t="s">
        <v>129</v>
      </c>
      <c r="Y175" s="30" t="s">
        <v>694</v>
      </c>
      <c r="Z175" s="30" t="s">
        <v>64</v>
      </c>
      <c r="AA175" s="30" t="s">
        <v>485</v>
      </c>
      <c r="AB175" s="30" t="s">
        <v>695</v>
      </c>
      <c r="AC175" s="30" t="s">
        <v>696</v>
      </c>
    </row>
    <row r="176" spans="1:29">
      <c r="A176" s="24" t="s">
        <v>697</v>
      </c>
      <c r="B176" s="24" t="str">
        <f>IF(ISNUMBER(SEARCH(E176,A176)),A176,IF(OR(E176="",E176=""),A176,A176&amp;" - "&amp;E176))</f>
        <v>Green Karat FS PT - Fiji Sunset</v>
      </c>
      <c r="C176" s="24" t="s">
        <v>564</v>
      </c>
      <c r="D176" s="24" t="s">
        <v>565</v>
      </c>
      <c r="E176" s="24" t="s">
        <v>698</v>
      </c>
      <c r="F176" s="24" t="s">
        <v>120</v>
      </c>
      <c r="G176" s="27">
        <v>26</v>
      </c>
      <c r="H176" s="28">
        <v>1</v>
      </c>
      <c r="I176" s="24"/>
      <c r="J176" s="24"/>
      <c r="K176" s="24" t="s">
        <v>52</v>
      </c>
      <c r="L176" s="24" t="s">
        <v>102</v>
      </c>
      <c r="M176" s="24" t="s">
        <v>88</v>
      </c>
      <c r="N176" s="24" t="s">
        <v>55</v>
      </c>
      <c r="O176" s="24" t="s">
        <v>72</v>
      </c>
      <c r="P176" s="24" t="s">
        <v>73</v>
      </c>
      <c r="Q176" s="24" t="s">
        <v>58</v>
      </c>
      <c r="R176" s="24" t="s">
        <v>56</v>
      </c>
      <c r="S176" s="24" t="s">
        <v>123</v>
      </c>
      <c r="T176" s="24" t="s">
        <v>106</v>
      </c>
      <c r="U176" s="24" t="s">
        <v>493</v>
      </c>
      <c r="V176" s="24" t="s">
        <v>92</v>
      </c>
      <c r="W176" s="24" t="s">
        <v>79</v>
      </c>
      <c r="X176" s="24" t="s">
        <v>107</v>
      </c>
      <c r="Y176" s="24" t="s">
        <v>56</v>
      </c>
      <c r="Z176" s="24" t="s">
        <v>64</v>
      </c>
      <c r="AA176" s="24" t="s">
        <v>565</v>
      </c>
      <c r="AB176" s="24" t="s">
        <v>699</v>
      </c>
      <c r="AC176" s="24" t="s">
        <v>700</v>
      </c>
    </row>
    <row r="177" spans="1:29">
      <c r="A177" s="30" t="s">
        <v>701</v>
      </c>
      <c r="B177" s="30" t="str">
        <f>IF(ISNUMBER(SEARCH(E177,A177)),A177,IF(OR(E177="",E177=""),A177,A177&amp;" - "&amp;E177))</f>
        <v>AMP Classic 18/1 - White Widow</v>
      </c>
      <c r="C177" s="30" t="s">
        <v>702</v>
      </c>
      <c r="D177" s="30" t="s">
        <v>703</v>
      </c>
      <c r="E177" s="30" t="s">
        <v>251</v>
      </c>
      <c r="F177" s="30" t="s">
        <v>86</v>
      </c>
      <c r="G177" s="34">
        <v>18</v>
      </c>
      <c r="H177" s="35">
        <v>1</v>
      </c>
      <c r="I177" s="30"/>
      <c r="J177" s="30"/>
      <c r="K177" s="30" t="s">
        <v>17</v>
      </c>
      <c r="L177" s="30" t="s">
        <v>87</v>
      </c>
      <c r="M177" s="30" t="s">
        <v>54</v>
      </c>
      <c r="N177" s="30" t="s">
        <v>111</v>
      </c>
      <c r="O177" s="30" t="s">
        <v>88</v>
      </c>
      <c r="P177" s="30" t="s">
        <v>146</v>
      </c>
      <c r="Q177" s="30" t="s">
        <v>74</v>
      </c>
      <c r="R177" s="30" t="s">
        <v>113</v>
      </c>
      <c r="S177" s="30" t="s">
        <v>147</v>
      </c>
      <c r="T177" s="30" t="s">
        <v>106</v>
      </c>
      <c r="U177" s="30" t="s">
        <v>493</v>
      </c>
      <c r="V177" s="30" t="s">
        <v>252</v>
      </c>
      <c r="W177" s="30" t="s">
        <v>77</v>
      </c>
      <c r="X177" s="30" t="s">
        <v>253</v>
      </c>
      <c r="Y177" s="30" t="s">
        <v>307</v>
      </c>
      <c r="Z177" s="30" t="s">
        <v>64</v>
      </c>
      <c r="AA177" s="30" t="s">
        <v>702</v>
      </c>
      <c r="AB177" s="30" t="s">
        <v>56</v>
      </c>
      <c r="AC177" s="30" t="s">
        <v>704</v>
      </c>
    </row>
    <row r="178" spans="1:29">
      <c r="A178" s="24" t="s">
        <v>705</v>
      </c>
      <c r="B178" s="24" t="str">
        <f>IF(ISNUMBER(SEARCH(E178,A178)),A178,IF(OR(E178="",E178=""),A178,A178&amp;" - "&amp;E178))</f>
        <v>AMP Classic 25/1 - Frosted Lemon Angel</v>
      </c>
      <c r="C178" s="24" t="s">
        <v>702</v>
      </c>
      <c r="D178" s="24" t="s">
        <v>703</v>
      </c>
      <c r="E178" s="24" t="s">
        <v>706</v>
      </c>
      <c r="F178" s="24" t="s">
        <v>86</v>
      </c>
      <c r="G178" s="27">
        <v>25</v>
      </c>
      <c r="H178" s="28">
        <v>1</v>
      </c>
      <c r="I178" s="24"/>
      <c r="J178" s="24"/>
      <c r="K178" s="24" t="s">
        <v>17</v>
      </c>
      <c r="L178" s="24" t="s">
        <v>87</v>
      </c>
      <c r="M178" s="24" t="s">
        <v>54</v>
      </c>
      <c r="N178" s="24" t="s">
        <v>55</v>
      </c>
      <c r="O178" s="24" t="s">
        <v>72</v>
      </c>
      <c r="P178" s="24" t="s">
        <v>75</v>
      </c>
      <c r="Q178" s="24" t="s">
        <v>89</v>
      </c>
      <c r="R178" s="24" t="s">
        <v>56</v>
      </c>
      <c r="S178" s="24" t="s">
        <v>123</v>
      </c>
      <c r="T178" s="24" t="s">
        <v>106</v>
      </c>
      <c r="U178" s="24" t="s">
        <v>62</v>
      </c>
      <c r="V178" s="24" t="s">
        <v>116</v>
      </c>
      <c r="W178" s="24" t="s">
        <v>93</v>
      </c>
      <c r="X178" s="24" t="s">
        <v>173</v>
      </c>
      <c r="Y178" s="24" t="s">
        <v>707</v>
      </c>
      <c r="Z178" s="24" t="s">
        <v>64</v>
      </c>
      <c r="AA178" s="24" t="s">
        <v>702</v>
      </c>
      <c r="AB178" s="24" t="s">
        <v>96</v>
      </c>
      <c r="AC178" s="24" t="s">
        <v>708</v>
      </c>
    </row>
    <row r="179" spans="1:29">
      <c r="A179" s="30" t="s">
        <v>709</v>
      </c>
      <c r="B179" s="30" t="str">
        <f>IF(ISNUMBER(SEARCH(E179,A179)),A179,IF(OR(E179="",E179=""),A179,A179&amp;" - "&amp;E179))</f>
        <v>avaay 26/1 GLX - Galaxy</v>
      </c>
      <c r="C179" s="30" t="s">
        <v>569</v>
      </c>
      <c r="D179" s="30" t="s">
        <v>570</v>
      </c>
      <c r="E179" s="30" t="s">
        <v>710</v>
      </c>
      <c r="F179" s="30" t="s">
        <v>86</v>
      </c>
      <c r="G179" s="34">
        <v>26</v>
      </c>
      <c r="H179" s="35">
        <v>1</v>
      </c>
      <c r="I179" s="30"/>
      <c r="J179" s="30"/>
      <c r="K179" s="30" t="s">
        <v>52</v>
      </c>
      <c r="L179" s="30" t="s">
        <v>53</v>
      </c>
      <c r="M179" s="30" t="s">
        <v>111</v>
      </c>
      <c r="N179" s="30" t="s">
        <v>88</v>
      </c>
      <c r="O179" s="30" t="s">
        <v>72</v>
      </c>
      <c r="P179" s="30" t="s">
        <v>74</v>
      </c>
      <c r="Q179" s="30" t="s">
        <v>89</v>
      </c>
      <c r="R179" s="30" t="s">
        <v>59</v>
      </c>
      <c r="S179" s="30" t="s">
        <v>123</v>
      </c>
      <c r="T179" s="30" t="s">
        <v>61</v>
      </c>
      <c r="U179" s="30" t="s">
        <v>128</v>
      </c>
      <c r="V179" s="30" t="s">
        <v>77</v>
      </c>
      <c r="W179" s="30" t="s">
        <v>79</v>
      </c>
      <c r="X179" s="30" t="s">
        <v>711</v>
      </c>
      <c r="Y179" s="30" t="s">
        <v>56</v>
      </c>
      <c r="Z179" s="30" t="s">
        <v>64</v>
      </c>
      <c r="AA179" s="30" t="s">
        <v>572</v>
      </c>
      <c r="AB179" s="30" t="s">
        <v>56</v>
      </c>
      <c r="AC179" s="30" t="s">
        <v>712</v>
      </c>
    </row>
    <row r="180" spans="1:29">
      <c r="A180" s="24" t="s">
        <v>713</v>
      </c>
      <c r="B180" s="24" t="str">
        <f>IF(ISNUMBER(SEARCH(E180,A180)),A180,IF(OR(E180="",E180=""),A180,A180&amp;" - "&amp;E180))</f>
        <v>Pedanios 29/1 SRD CA - Sourdough</v>
      </c>
      <c r="C180" s="24" t="s">
        <v>511</v>
      </c>
      <c r="D180" s="24" t="s">
        <v>512</v>
      </c>
      <c r="E180" s="24" t="s">
        <v>714</v>
      </c>
      <c r="F180" s="24" t="s">
        <v>51</v>
      </c>
      <c r="G180" s="27">
        <v>29</v>
      </c>
      <c r="H180" s="28">
        <v>1</v>
      </c>
      <c r="I180" s="24"/>
      <c r="J180" s="24"/>
      <c r="K180" s="24" t="s">
        <v>17</v>
      </c>
      <c r="L180" s="24" t="s">
        <v>53</v>
      </c>
      <c r="M180" s="24" t="s">
        <v>54</v>
      </c>
      <c r="N180" s="24" t="s">
        <v>88</v>
      </c>
      <c r="O180" s="24" t="s">
        <v>71</v>
      </c>
      <c r="P180" s="24" t="s">
        <v>73</v>
      </c>
      <c r="Q180" s="24" t="s">
        <v>59</v>
      </c>
      <c r="R180" s="24" t="s">
        <v>56</v>
      </c>
      <c r="S180" s="24" t="s">
        <v>123</v>
      </c>
      <c r="T180" s="24" t="s">
        <v>106</v>
      </c>
      <c r="U180" s="24" t="s">
        <v>62</v>
      </c>
      <c r="V180" s="24" t="s">
        <v>77</v>
      </c>
      <c r="W180" s="24" t="s">
        <v>197</v>
      </c>
      <c r="X180" s="24" t="s">
        <v>79</v>
      </c>
      <c r="Y180" s="24" t="s">
        <v>715</v>
      </c>
      <c r="Z180" s="24" t="s">
        <v>64</v>
      </c>
      <c r="AA180" s="24" t="s">
        <v>512</v>
      </c>
      <c r="AB180" s="24" t="s">
        <v>56</v>
      </c>
      <c r="AC180" s="24" t="s">
        <v>716</v>
      </c>
    </row>
    <row r="181" spans="1:29">
      <c r="A181" s="30" t="s">
        <v>717</v>
      </c>
      <c r="B181" s="30" t="str">
        <f>IF(ISNUMBER(SEARCH(E181,A181)),A181,IF(OR(E181="",E181=""),A181,A181&amp;" - "&amp;E181))</f>
        <v>avaay 24/1 SC - Slurricane</v>
      </c>
      <c r="C181" s="30" t="s">
        <v>569</v>
      </c>
      <c r="D181" s="30" t="s">
        <v>570</v>
      </c>
      <c r="E181" s="30" t="s">
        <v>718</v>
      </c>
      <c r="F181" s="30" t="s">
        <v>86</v>
      </c>
      <c r="G181" s="34">
        <v>24</v>
      </c>
      <c r="H181" s="35">
        <v>1</v>
      </c>
      <c r="I181" s="30"/>
      <c r="J181" s="30"/>
      <c r="K181" s="30" t="s">
        <v>52</v>
      </c>
      <c r="L181" s="30" t="s">
        <v>53</v>
      </c>
      <c r="M181" s="30" t="s">
        <v>54</v>
      </c>
      <c r="N181" s="30" t="s">
        <v>111</v>
      </c>
      <c r="O181" s="30" t="s">
        <v>103</v>
      </c>
      <c r="P181" s="30" t="s">
        <v>146</v>
      </c>
      <c r="Q181" s="30" t="s">
        <v>74</v>
      </c>
      <c r="R181" s="30" t="s">
        <v>58</v>
      </c>
      <c r="S181" s="30" t="s">
        <v>123</v>
      </c>
      <c r="T181" s="30" t="s">
        <v>106</v>
      </c>
      <c r="U181" s="30" t="s">
        <v>234</v>
      </c>
      <c r="V181" s="30" t="s">
        <v>77</v>
      </c>
      <c r="W181" s="30" t="s">
        <v>116</v>
      </c>
      <c r="X181" s="30" t="s">
        <v>173</v>
      </c>
      <c r="Y181" s="30" t="s">
        <v>719</v>
      </c>
      <c r="Z181" s="30" t="s">
        <v>64</v>
      </c>
      <c r="AA181" s="30" t="s">
        <v>572</v>
      </c>
      <c r="AB181" s="30" t="s">
        <v>56</v>
      </c>
      <c r="AC181" s="30" t="s">
        <v>720</v>
      </c>
    </row>
    <row r="182" spans="1:29">
      <c r="A182" s="24" t="s">
        <v>721</v>
      </c>
      <c r="B182" s="24" t="str">
        <f>IF(ISNUMBER(SEARCH(E182,A182)),A182,IF(OR(E182="",E182=""),A182,A182&amp;" - "&amp;E182))</f>
        <v>Demecan Epic Drop 30:01 - Space Cake</v>
      </c>
      <c r="C182" s="24" t="s">
        <v>484</v>
      </c>
      <c r="D182" s="24" t="s">
        <v>485</v>
      </c>
      <c r="E182" s="24" t="s">
        <v>722</v>
      </c>
      <c r="F182" s="24" t="s">
        <v>120</v>
      </c>
      <c r="G182" s="27">
        <v>31</v>
      </c>
      <c r="H182" s="28">
        <v>1</v>
      </c>
      <c r="I182" s="24"/>
      <c r="J182" s="24"/>
      <c r="K182" s="24" t="s">
        <v>52</v>
      </c>
      <c r="L182" s="24" t="s">
        <v>53</v>
      </c>
      <c r="M182" s="24" t="s">
        <v>54</v>
      </c>
      <c r="N182" s="24" t="s">
        <v>212</v>
      </c>
      <c r="O182" s="24" t="s">
        <v>55</v>
      </c>
      <c r="P182" s="24" t="s">
        <v>57</v>
      </c>
      <c r="Q182" s="24" t="s">
        <v>74</v>
      </c>
      <c r="R182" s="24" t="s">
        <v>59</v>
      </c>
      <c r="S182" s="24" t="s">
        <v>106</v>
      </c>
      <c r="T182" s="24" t="s">
        <v>62</v>
      </c>
      <c r="U182" s="24" t="s">
        <v>128</v>
      </c>
      <c r="V182" s="24" t="s">
        <v>77</v>
      </c>
      <c r="W182" s="24" t="s">
        <v>79</v>
      </c>
      <c r="X182" s="24" t="s">
        <v>107</v>
      </c>
      <c r="Y182" s="24" t="s">
        <v>56</v>
      </c>
      <c r="Z182" s="24" t="s">
        <v>64</v>
      </c>
      <c r="AA182" s="24" t="s">
        <v>485</v>
      </c>
      <c r="AB182" s="24" t="s">
        <v>56</v>
      </c>
      <c r="AC182" s="24" t="s">
        <v>723</v>
      </c>
    </row>
    <row r="183" spans="1:29">
      <c r="A183" s="30" t="s">
        <v>724</v>
      </c>
      <c r="B183" s="30" t="str">
        <f>IF(ISNUMBER(SEARCH(E183,A183)),A183,IF(OR(E183="",E183=""),A183,A183&amp;" - "&amp;E183))</f>
        <v>aleph amber 22/1 - Mango Kush</v>
      </c>
      <c r="C183" s="30" t="s">
        <v>725</v>
      </c>
      <c r="D183" s="30" t="s">
        <v>726</v>
      </c>
      <c r="E183" s="30" t="s">
        <v>727</v>
      </c>
      <c r="F183" s="30" t="s">
        <v>120</v>
      </c>
      <c r="G183" s="34">
        <v>22</v>
      </c>
      <c r="H183" s="35">
        <v>1</v>
      </c>
      <c r="I183" s="30"/>
      <c r="J183" s="30"/>
      <c r="K183" s="30" t="s">
        <v>52</v>
      </c>
      <c r="L183" s="30" t="s">
        <v>102</v>
      </c>
      <c r="M183" s="30" t="s">
        <v>103</v>
      </c>
      <c r="N183" s="30" t="s">
        <v>178</v>
      </c>
      <c r="O183" s="30" t="s">
        <v>72</v>
      </c>
      <c r="P183" s="30" t="s">
        <v>136</v>
      </c>
      <c r="Q183" s="30" t="s">
        <v>146</v>
      </c>
      <c r="R183" s="30" t="s">
        <v>74</v>
      </c>
      <c r="S183" s="30" t="s">
        <v>106</v>
      </c>
      <c r="T183" s="30" t="s">
        <v>128</v>
      </c>
      <c r="U183" s="30" t="s">
        <v>62</v>
      </c>
      <c r="V183" s="30" t="s">
        <v>92</v>
      </c>
      <c r="W183" s="30" t="s">
        <v>77</v>
      </c>
      <c r="X183" s="30" t="s">
        <v>116</v>
      </c>
      <c r="Y183" s="30" t="s">
        <v>728</v>
      </c>
      <c r="Z183" s="30" t="s">
        <v>64</v>
      </c>
      <c r="AA183" s="30" t="s">
        <v>726</v>
      </c>
      <c r="AB183" s="30" t="s">
        <v>56</v>
      </c>
      <c r="AC183" s="30" t="s">
        <v>729</v>
      </c>
    </row>
    <row r="184" spans="1:29">
      <c r="A184" s="24" t="s">
        <v>730</v>
      </c>
      <c r="B184" s="24" t="str">
        <f>IF(ISNUMBER(SEARCH(E184,A184)),A184,IF(OR(E184="",E184=""),A184,A184&amp;" - "&amp;E184))</f>
        <v>420 Evolution 20/1 CA PLD - Plum Driver</v>
      </c>
      <c r="C184" s="24" t="s">
        <v>463</v>
      </c>
      <c r="D184" s="24" t="s">
        <v>464</v>
      </c>
      <c r="E184" s="24" t="s">
        <v>731</v>
      </c>
      <c r="F184" s="24" t="s">
        <v>177</v>
      </c>
      <c r="G184" s="27">
        <v>20</v>
      </c>
      <c r="H184" s="28">
        <v>1</v>
      </c>
      <c r="I184" s="24"/>
      <c r="J184" s="24"/>
      <c r="K184" s="24" t="s">
        <v>52</v>
      </c>
      <c r="L184" s="24" t="s">
        <v>53</v>
      </c>
      <c r="M184" s="24" t="s">
        <v>71</v>
      </c>
      <c r="N184" s="24" t="s">
        <v>178</v>
      </c>
      <c r="O184" s="24"/>
      <c r="P184" s="24" t="s">
        <v>57</v>
      </c>
      <c r="Q184" s="24" t="s">
        <v>89</v>
      </c>
      <c r="R184" s="24" t="s">
        <v>58</v>
      </c>
      <c r="S184" s="24" t="s">
        <v>147</v>
      </c>
      <c r="T184" s="24" t="s">
        <v>123</v>
      </c>
      <c r="U184" s="24" t="s">
        <v>106</v>
      </c>
      <c r="V184" s="24" t="s">
        <v>79</v>
      </c>
      <c r="W184" s="24" t="s">
        <v>107</v>
      </c>
      <c r="X184" s="24" t="s">
        <v>56</v>
      </c>
      <c r="Y184" s="24" t="s">
        <v>56</v>
      </c>
      <c r="Z184" s="24" t="s">
        <v>64</v>
      </c>
      <c r="AA184" s="24" t="s">
        <v>468</v>
      </c>
      <c r="AB184" s="24" t="s">
        <v>56</v>
      </c>
      <c r="AC184" s="24" t="s">
        <v>732</v>
      </c>
    </row>
    <row r="185" spans="1:29">
      <c r="A185" s="30" t="s">
        <v>733</v>
      </c>
      <c r="B185" s="30" t="str">
        <f>IF(ISNUMBER(SEARCH(E185,A185)),A185,IF(OR(E185="",E185=""),A185,A185&amp;" - "&amp;E185))</f>
        <v>aleph citrin 23/1 - Mimosa Evo</v>
      </c>
      <c r="C185" s="30" t="s">
        <v>725</v>
      </c>
      <c r="D185" s="30" t="s">
        <v>726</v>
      </c>
      <c r="E185" s="30" t="s">
        <v>734</v>
      </c>
      <c r="F185" s="30" t="s">
        <v>86</v>
      </c>
      <c r="G185" s="34">
        <v>23</v>
      </c>
      <c r="H185" s="35">
        <v>1</v>
      </c>
      <c r="I185" s="30"/>
      <c r="J185" s="30"/>
      <c r="K185" s="30" t="s">
        <v>52</v>
      </c>
      <c r="L185" s="30" t="s">
        <v>497</v>
      </c>
      <c r="M185" s="30" t="s">
        <v>88</v>
      </c>
      <c r="N185" s="30" t="s">
        <v>71</v>
      </c>
      <c r="O185" s="30" t="s">
        <v>55</v>
      </c>
      <c r="P185" s="30" t="s">
        <v>74</v>
      </c>
      <c r="Q185" s="30" t="s">
        <v>75</v>
      </c>
      <c r="R185" s="30" t="s">
        <v>59</v>
      </c>
      <c r="S185" s="30" t="s">
        <v>147</v>
      </c>
      <c r="T185" s="30" t="s">
        <v>91</v>
      </c>
      <c r="U185" s="30" t="s">
        <v>203</v>
      </c>
      <c r="V185" s="30" t="s">
        <v>77</v>
      </c>
      <c r="W185" s="30" t="s">
        <v>79</v>
      </c>
      <c r="X185" s="30" t="s">
        <v>107</v>
      </c>
      <c r="Y185" s="30" t="s">
        <v>56</v>
      </c>
      <c r="Z185" s="30" t="s">
        <v>64</v>
      </c>
      <c r="AA185" s="30" t="s">
        <v>726</v>
      </c>
      <c r="AB185" s="30" t="s">
        <v>56</v>
      </c>
      <c r="AC185" s="36" t="s">
        <v>735</v>
      </c>
    </row>
    <row r="186" spans="1:29">
      <c r="A186" s="24" t="s">
        <v>736</v>
      </c>
      <c r="B186" s="24" t="str">
        <f>IF(ISNUMBER(SEARCH(E186,A186)),A186,IF(OR(E186="",E186=""),A186,A186&amp;" - "&amp;E186))</f>
        <v>avaay Signature 28/1 WB - Waffle Bites</v>
      </c>
      <c r="C186" s="24" t="s">
        <v>569</v>
      </c>
      <c r="D186" s="24" t="s">
        <v>570</v>
      </c>
      <c r="E186" s="24" t="s">
        <v>737</v>
      </c>
      <c r="F186" s="24" t="s">
        <v>120</v>
      </c>
      <c r="G186" s="27">
        <v>28</v>
      </c>
      <c r="H186" s="28">
        <v>1</v>
      </c>
      <c r="I186" s="24"/>
      <c r="J186" s="24"/>
      <c r="K186" s="24" t="s">
        <v>52</v>
      </c>
      <c r="L186" s="24" t="s">
        <v>53</v>
      </c>
      <c r="M186" s="24" t="s">
        <v>88</v>
      </c>
      <c r="N186" s="24" t="s">
        <v>71</v>
      </c>
      <c r="O186" s="24" t="s">
        <v>72</v>
      </c>
      <c r="P186" s="24" t="s">
        <v>186</v>
      </c>
      <c r="Q186" s="24" t="s">
        <v>89</v>
      </c>
      <c r="R186" s="24" t="s">
        <v>56</v>
      </c>
      <c r="S186" s="24" t="s">
        <v>147</v>
      </c>
      <c r="T186" s="24" t="s">
        <v>123</v>
      </c>
      <c r="U186" s="24" t="s">
        <v>493</v>
      </c>
      <c r="V186" s="24" t="s">
        <v>79</v>
      </c>
      <c r="W186" s="24" t="s">
        <v>107</v>
      </c>
      <c r="X186" s="24" t="s">
        <v>56</v>
      </c>
      <c r="Y186" s="24" t="s">
        <v>738</v>
      </c>
      <c r="Z186" s="24" t="s">
        <v>64</v>
      </c>
      <c r="AA186" s="24" t="s">
        <v>572</v>
      </c>
      <c r="AB186" s="24" t="s">
        <v>56</v>
      </c>
      <c r="AC186" s="24" t="s">
        <v>739</v>
      </c>
    </row>
    <row r="187" spans="1:29">
      <c r="A187" s="30" t="s">
        <v>740</v>
      </c>
      <c r="B187" s="30" t="str">
        <f>IF(ISNUMBER(SEARCH(E187,A187)),A187,IF(OR(E187="",E187=""),A187,A187&amp;" - "&amp;E187))</f>
        <v>Therismos 25/1 DSM - Dark Side Of The Moon</v>
      </c>
      <c r="C187" s="30" t="s">
        <v>741</v>
      </c>
      <c r="D187" s="30" t="s">
        <v>742</v>
      </c>
      <c r="E187" s="30" t="s">
        <v>743</v>
      </c>
      <c r="F187" s="30" t="s">
        <v>120</v>
      </c>
      <c r="G187" s="34">
        <v>25</v>
      </c>
      <c r="H187" s="35">
        <v>1</v>
      </c>
      <c r="I187" s="30"/>
      <c r="J187" s="30"/>
      <c r="K187" s="30" t="s">
        <v>52</v>
      </c>
      <c r="L187" s="30" t="s">
        <v>53</v>
      </c>
      <c r="M187" s="30" t="s">
        <v>88</v>
      </c>
      <c r="N187" s="30" t="s">
        <v>121</v>
      </c>
      <c r="O187" s="30" t="s">
        <v>72</v>
      </c>
      <c r="P187" s="30" t="s">
        <v>74</v>
      </c>
      <c r="Q187" s="30" t="s">
        <v>58</v>
      </c>
      <c r="R187" s="30" t="s">
        <v>56</v>
      </c>
      <c r="S187" s="30" t="s">
        <v>60</v>
      </c>
      <c r="T187" s="30" t="s">
        <v>61</v>
      </c>
      <c r="U187" s="30" t="s">
        <v>62</v>
      </c>
      <c r="V187" s="30" t="s">
        <v>77</v>
      </c>
      <c r="W187" s="30" t="s">
        <v>116</v>
      </c>
      <c r="X187" s="30" t="s">
        <v>107</v>
      </c>
      <c r="Y187" s="30" t="s">
        <v>56</v>
      </c>
      <c r="Z187" s="30" t="s">
        <v>64</v>
      </c>
      <c r="AA187" s="30" t="s">
        <v>742</v>
      </c>
      <c r="AB187" s="30" t="s">
        <v>56</v>
      </c>
      <c r="AC187" s="30" t="s">
        <v>744</v>
      </c>
    </row>
    <row r="188" spans="1:29">
      <c r="A188" s="24" t="s">
        <v>745</v>
      </c>
      <c r="B188" s="24" t="str">
        <f>IF(ISNUMBER(SEARCH(E188,A188)),A188,IF(OR(E188="",E188=""),A188,A188&amp;" - "&amp;E188))</f>
        <v>Cannamedical CM 24/1 LLY - Legendary Larry</v>
      </c>
      <c r="C188" s="24" t="s">
        <v>48</v>
      </c>
      <c r="D188" s="24" t="s">
        <v>49</v>
      </c>
      <c r="E188" s="24" t="s">
        <v>746</v>
      </c>
      <c r="F188" s="24" t="s">
        <v>120</v>
      </c>
      <c r="G188" s="27">
        <v>24</v>
      </c>
      <c r="H188" s="28">
        <v>1</v>
      </c>
      <c r="I188" s="24"/>
      <c r="J188" s="24"/>
      <c r="K188" s="24" t="s">
        <v>52</v>
      </c>
      <c r="L188" s="24" t="s">
        <v>53</v>
      </c>
      <c r="M188" s="24" t="s">
        <v>72</v>
      </c>
      <c r="N188" s="24"/>
      <c r="O188" s="24" t="s">
        <v>56</v>
      </c>
      <c r="P188" s="24" t="s">
        <v>74</v>
      </c>
      <c r="Q188" s="24" t="s">
        <v>75</v>
      </c>
      <c r="R188" s="24" t="s">
        <v>59</v>
      </c>
      <c r="S188" s="24" t="s">
        <v>192</v>
      </c>
      <c r="T188" s="24" t="s">
        <v>123</v>
      </c>
      <c r="U188" s="24" t="s">
        <v>106</v>
      </c>
      <c r="V188" s="24" t="s">
        <v>77</v>
      </c>
      <c r="W188" s="24" t="s">
        <v>116</v>
      </c>
      <c r="X188" s="24" t="s">
        <v>165</v>
      </c>
      <c r="Y188" s="24" t="s">
        <v>391</v>
      </c>
      <c r="Z188" s="24" t="s">
        <v>64</v>
      </c>
      <c r="AA188" s="24" t="s">
        <v>49</v>
      </c>
      <c r="AB188" s="24" t="s">
        <v>56</v>
      </c>
      <c r="AC188" s="24" t="s">
        <v>747</v>
      </c>
    </row>
    <row r="189" spans="1:29">
      <c r="A189" s="30" t="s">
        <v>748</v>
      </c>
      <c r="B189" s="30" t="str">
        <f>IF(ISNUMBER(SEARCH(E189,A189)),A189,IF(OR(E189="",E189=""),A189,A189&amp;" - "&amp;E189))</f>
        <v>Cannamedical CM 24/1 ZA - Zour Apple</v>
      </c>
      <c r="C189" s="30" t="s">
        <v>48</v>
      </c>
      <c r="D189" s="30" t="s">
        <v>49</v>
      </c>
      <c r="E189" s="30" t="s">
        <v>590</v>
      </c>
      <c r="F189" s="30" t="s">
        <v>86</v>
      </c>
      <c r="G189" s="34">
        <v>24</v>
      </c>
      <c r="H189" s="35">
        <v>1</v>
      </c>
      <c r="I189" s="30"/>
      <c r="J189" s="30"/>
      <c r="K189" s="30" t="s">
        <v>52</v>
      </c>
      <c r="L189" s="30" t="s">
        <v>53</v>
      </c>
      <c r="M189" s="30" t="s">
        <v>111</v>
      </c>
      <c r="N189" s="30" t="s">
        <v>55</v>
      </c>
      <c r="O189" s="30" t="s">
        <v>178</v>
      </c>
      <c r="P189" s="30" t="s">
        <v>591</v>
      </c>
      <c r="Q189" s="30" t="s">
        <v>58</v>
      </c>
      <c r="R189" s="30" t="s">
        <v>56</v>
      </c>
      <c r="S189" s="30" t="s">
        <v>90</v>
      </c>
      <c r="T189" s="30" t="s">
        <v>60</v>
      </c>
      <c r="U189" s="30" t="s">
        <v>106</v>
      </c>
      <c r="V189" s="30" t="s">
        <v>92</v>
      </c>
      <c r="W189" s="30" t="s">
        <v>129</v>
      </c>
      <c r="X189" s="30" t="s">
        <v>107</v>
      </c>
      <c r="Y189" s="30" t="s">
        <v>124</v>
      </c>
      <c r="Z189" s="30" t="s">
        <v>64</v>
      </c>
      <c r="AA189" s="30" t="s">
        <v>49</v>
      </c>
      <c r="AB189" s="30" t="s">
        <v>56</v>
      </c>
      <c r="AC189" s="30" t="s">
        <v>749</v>
      </c>
    </row>
    <row r="190" spans="1:29">
      <c r="A190" s="24" t="s">
        <v>750</v>
      </c>
      <c r="B190" s="24" t="str">
        <f>IF(ISNUMBER(SEARCH(E190,A190)),A190,IF(OR(E190="",E190=""),A190,A190&amp;" - "&amp;E190))</f>
        <v>Cannamedical Hybrid forte - Chocolate Marshmallows</v>
      </c>
      <c r="C190" s="24" t="s">
        <v>48</v>
      </c>
      <c r="D190" s="24" t="s">
        <v>49</v>
      </c>
      <c r="E190" s="24" t="s">
        <v>621</v>
      </c>
      <c r="F190" s="24" t="s">
        <v>86</v>
      </c>
      <c r="G190" s="27">
        <v>24</v>
      </c>
      <c r="H190" s="28">
        <v>1</v>
      </c>
      <c r="I190" s="24"/>
      <c r="J190" s="24"/>
      <c r="K190" s="24" t="s">
        <v>17</v>
      </c>
      <c r="L190" s="24" t="s">
        <v>53</v>
      </c>
      <c r="M190" s="24" t="s">
        <v>71</v>
      </c>
      <c r="N190" s="24" t="s">
        <v>72</v>
      </c>
      <c r="O190" s="24" t="s">
        <v>56</v>
      </c>
      <c r="P190" s="24" t="s">
        <v>104</v>
      </c>
      <c r="Q190" s="24" t="s">
        <v>113</v>
      </c>
      <c r="R190" s="24" t="s">
        <v>75</v>
      </c>
      <c r="S190" s="24" t="s">
        <v>106</v>
      </c>
      <c r="T190" s="24" t="s">
        <v>62</v>
      </c>
      <c r="U190" s="24" t="s">
        <v>234</v>
      </c>
      <c r="V190" s="24" t="s">
        <v>77</v>
      </c>
      <c r="W190" s="24" t="s">
        <v>116</v>
      </c>
      <c r="X190" s="24" t="s">
        <v>165</v>
      </c>
      <c r="Y190" s="24" t="s">
        <v>56</v>
      </c>
      <c r="Z190" s="24" t="s">
        <v>64</v>
      </c>
      <c r="AA190" s="24" t="s">
        <v>49</v>
      </c>
      <c r="AB190" s="24" t="s">
        <v>56</v>
      </c>
      <c r="AC190" s="24" t="s">
        <v>751</v>
      </c>
    </row>
    <row r="191" spans="1:29">
      <c r="A191" s="30" t="s">
        <v>67</v>
      </c>
      <c r="B191" s="30" t="str">
        <f>IF(ISNUMBER(SEARCH(E191,A191)),A191,IF(OR(E191="",E191=""),A191,A191&amp;" - "&amp;E191))</f>
        <v>Cannamedical Sativa forte - Strawberry Ice</v>
      </c>
      <c r="C191" s="30" t="s">
        <v>48</v>
      </c>
      <c r="D191" s="30" t="s">
        <v>49</v>
      </c>
      <c r="E191" s="30" t="s">
        <v>110</v>
      </c>
      <c r="F191" s="30" t="s">
        <v>69</v>
      </c>
      <c r="G191" s="34">
        <v>21</v>
      </c>
      <c r="H191" s="35">
        <v>1</v>
      </c>
      <c r="I191" s="30"/>
      <c r="J191" s="30"/>
      <c r="K191" s="30" t="s">
        <v>17</v>
      </c>
      <c r="L191" s="30" t="s">
        <v>53</v>
      </c>
      <c r="M191" s="30" t="s">
        <v>54</v>
      </c>
      <c r="N191" s="30" t="s">
        <v>111</v>
      </c>
      <c r="O191" s="30" t="s">
        <v>88</v>
      </c>
      <c r="P191" s="30" t="s">
        <v>112</v>
      </c>
      <c r="Q191" s="30" t="s">
        <v>113</v>
      </c>
      <c r="R191" s="30" t="s">
        <v>89</v>
      </c>
      <c r="S191" s="30" t="s">
        <v>90</v>
      </c>
      <c r="T191" s="30" t="s">
        <v>114</v>
      </c>
      <c r="U191" s="30" t="s">
        <v>115</v>
      </c>
      <c r="V191" s="30" t="s">
        <v>77</v>
      </c>
      <c r="W191" s="30" t="s">
        <v>116</v>
      </c>
      <c r="X191" s="30" t="s">
        <v>79</v>
      </c>
      <c r="Y191" s="30" t="s">
        <v>56</v>
      </c>
      <c r="Z191" s="30" t="s">
        <v>64</v>
      </c>
      <c r="AA191" s="30" t="s">
        <v>49</v>
      </c>
      <c r="AB191" s="30" t="s">
        <v>56</v>
      </c>
      <c r="AC191" s="36" t="s">
        <v>752</v>
      </c>
    </row>
    <row r="192" spans="1:29">
      <c r="A192" s="24" t="s">
        <v>753</v>
      </c>
      <c r="B192" s="24" t="str">
        <f>IF(ISNUMBER(SEARCH(E192,A192)),A192,IF(OR(E192="",E192=""),A192,A192&amp;" - "&amp;E192))</f>
        <v>Cannamedical Balanced Classic 8/8 - California Orange</v>
      </c>
      <c r="C192" s="24" t="s">
        <v>48</v>
      </c>
      <c r="D192" s="24" t="s">
        <v>49</v>
      </c>
      <c r="E192" s="24" t="s">
        <v>754</v>
      </c>
      <c r="F192" s="24" t="s">
        <v>86</v>
      </c>
      <c r="G192" s="27">
        <v>8</v>
      </c>
      <c r="H192" s="28">
        <v>8</v>
      </c>
      <c r="I192" s="24"/>
      <c r="J192" s="24"/>
      <c r="K192" s="24" t="s">
        <v>52</v>
      </c>
      <c r="L192" s="24" t="s">
        <v>53</v>
      </c>
      <c r="M192" s="24" t="s">
        <v>156</v>
      </c>
      <c r="N192" s="24" t="s">
        <v>88</v>
      </c>
      <c r="O192" s="24" t="s">
        <v>71</v>
      </c>
      <c r="P192" s="24" t="s">
        <v>74</v>
      </c>
      <c r="Q192" s="24" t="s">
        <v>75</v>
      </c>
      <c r="R192" s="24" t="s">
        <v>89</v>
      </c>
      <c r="S192" s="24" t="s">
        <v>61</v>
      </c>
      <c r="T192" s="24" t="s">
        <v>128</v>
      </c>
      <c r="U192" s="24" t="s">
        <v>179</v>
      </c>
      <c r="V192" s="24" t="s">
        <v>77</v>
      </c>
      <c r="W192" s="24" t="s">
        <v>79</v>
      </c>
      <c r="X192" s="24" t="s">
        <v>173</v>
      </c>
      <c r="Y192" s="24" t="s">
        <v>755</v>
      </c>
      <c r="Z192" s="24" t="s">
        <v>64</v>
      </c>
      <c r="AA192" s="24" t="s">
        <v>49</v>
      </c>
      <c r="AB192" s="24" t="s">
        <v>56</v>
      </c>
      <c r="AC192" s="24" t="s">
        <v>756</v>
      </c>
    </row>
    <row r="193" spans="1:29">
      <c r="A193" s="30" t="s">
        <v>757</v>
      </c>
      <c r="B193" s="30" t="str">
        <f>IF(ISNUMBER(SEARCH(E193,A193)),A193,IF(OR(E193="",E193=""),A193,A193&amp;" - "&amp;E193))</f>
        <v>Green Karat PV - Pavé S1</v>
      </c>
      <c r="C193" s="30" t="s">
        <v>564</v>
      </c>
      <c r="D193" s="30" t="s">
        <v>565</v>
      </c>
      <c r="E193" s="30" t="s">
        <v>758</v>
      </c>
      <c r="F193" s="30" t="s">
        <v>86</v>
      </c>
      <c r="G193" s="34">
        <v>27</v>
      </c>
      <c r="H193" s="35">
        <v>1</v>
      </c>
      <c r="I193" s="30"/>
      <c r="J193" s="30"/>
      <c r="K193" s="30" t="s">
        <v>52</v>
      </c>
      <c r="L193" s="30" t="s">
        <v>53</v>
      </c>
      <c r="M193" s="30" t="s">
        <v>71</v>
      </c>
      <c r="N193" s="30" t="s">
        <v>55</v>
      </c>
      <c r="O193" s="30" t="s">
        <v>72</v>
      </c>
      <c r="P193" s="30" t="s">
        <v>74</v>
      </c>
      <c r="Q193" s="30" t="s">
        <v>58</v>
      </c>
      <c r="R193" s="30" t="s">
        <v>59</v>
      </c>
      <c r="S193" s="30" t="s">
        <v>192</v>
      </c>
      <c r="T193" s="30" t="s">
        <v>123</v>
      </c>
      <c r="U193" s="30" t="s">
        <v>106</v>
      </c>
      <c r="V193" s="30" t="s">
        <v>116</v>
      </c>
      <c r="W193" s="30" t="s">
        <v>79</v>
      </c>
      <c r="X193" s="30" t="s">
        <v>107</v>
      </c>
      <c r="Y193" s="30" t="s">
        <v>759</v>
      </c>
      <c r="Z193" s="30" t="s">
        <v>64</v>
      </c>
      <c r="AA193" s="30" t="s">
        <v>565</v>
      </c>
      <c r="AB193" s="30" t="s">
        <v>699</v>
      </c>
      <c r="AC193" s="30" t="s">
        <v>760</v>
      </c>
    </row>
    <row r="194" spans="1:29">
      <c r="A194" s="24" t="s">
        <v>761</v>
      </c>
      <c r="B194" s="24" t="str">
        <f>IF(ISNUMBER(SEARCH(E194,A194)),A194,IF(OR(E194="",E194=""),A194,A194&amp;" - "&amp;E194))</f>
        <v>Cannamedical Indica Ultra - Crazy Rntz</v>
      </c>
      <c r="C194" s="24" t="s">
        <v>48</v>
      </c>
      <c r="D194" s="24" t="s">
        <v>49</v>
      </c>
      <c r="E194" s="24" t="s">
        <v>50</v>
      </c>
      <c r="F194" s="24" t="s">
        <v>120</v>
      </c>
      <c r="G194" s="27">
        <v>28</v>
      </c>
      <c r="H194" s="28">
        <v>1</v>
      </c>
      <c r="I194" s="24"/>
      <c r="J194" s="24"/>
      <c r="K194" s="24" t="s">
        <v>52</v>
      </c>
      <c r="L194" s="24" t="s">
        <v>53</v>
      </c>
      <c r="M194" s="24" t="s">
        <v>54</v>
      </c>
      <c r="N194" s="24" t="s">
        <v>55</v>
      </c>
      <c r="O194" s="24" t="s">
        <v>56</v>
      </c>
      <c r="P194" s="24" t="s">
        <v>57</v>
      </c>
      <c r="Q194" s="24" t="s">
        <v>58</v>
      </c>
      <c r="R194" s="24" t="s">
        <v>59</v>
      </c>
      <c r="S194" s="24" t="s">
        <v>123</v>
      </c>
      <c r="T194" s="24" t="s">
        <v>106</v>
      </c>
      <c r="U194" s="24" t="s">
        <v>62</v>
      </c>
      <c r="V194" s="24" t="s">
        <v>56</v>
      </c>
      <c r="W194" s="24"/>
      <c r="X194" s="24" t="s">
        <v>56</v>
      </c>
      <c r="Y194" s="24" t="s">
        <v>762</v>
      </c>
      <c r="Z194" s="24" t="s">
        <v>64</v>
      </c>
      <c r="AA194" s="24" t="s">
        <v>49</v>
      </c>
      <c r="AB194" s="24" t="s">
        <v>56</v>
      </c>
      <c r="AC194" s="24" t="s">
        <v>763</v>
      </c>
    </row>
    <row r="195" spans="1:29">
      <c r="A195" s="30" t="s">
        <v>764</v>
      </c>
      <c r="B195" s="30" t="str">
        <f>IF(ISNUMBER(SEARCH(E195,A195)),A195,IF(OR(E195="",E195=""),A195,A195&amp;" - "&amp;E195))</f>
        <v>Cannamedical Sativa light - Strawberry Ice</v>
      </c>
      <c r="C195" s="30" t="s">
        <v>48</v>
      </c>
      <c r="D195" s="30" t="s">
        <v>49</v>
      </c>
      <c r="E195" s="30" t="s">
        <v>110</v>
      </c>
      <c r="F195" s="30" t="s">
        <v>69</v>
      </c>
      <c r="G195" s="34">
        <v>18</v>
      </c>
      <c r="H195" s="35">
        <v>1</v>
      </c>
      <c r="I195" s="30"/>
      <c r="J195" s="30"/>
      <c r="K195" s="30" t="s">
        <v>17</v>
      </c>
      <c r="L195" s="30" t="s">
        <v>53</v>
      </c>
      <c r="M195" s="30" t="s">
        <v>54</v>
      </c>
      <c r="N195" s="30" t="s">
        <v>111</v>
      </c>
      <c r="O195" s="30" t="s">
        <v>88</v>
      </c>
      <c r="P195" s="30" t="s">
        <v>112</v>
      </c>
      <c r="Q195" s="30" t="s">
        <v>113</v>
      </c>
      <c r="R195" s="30" t="s">
        <v>89</v>
      </c>
      <c r="S195" s="30" t="s">
        <v>90</v>
      </c>
      <c r="T195" s="30" t="s">
        <v>114</v>
      </c>
      <c r="U195" s="30" t="s">
        <v>115</v>
      </c>
      <c r="V195" s="30" t="s">
        <v>77</v>
      </c>
      <c r="W195" s="30" t="s">
        <v>116</v>
      </c>
      <c r="X195" s="30" t="s">
        <v>79</v>
      </c>
      <c r="Y195" s="30" t="s">
        <v>765</v>
      </c>
      <c r="Z195" s="30" t="s">
        <v>64</v>
      </c>
      <c r="AA195" s="30" t="s">
        <v>49</v>
      </c>
      <c r="AB195" s="30" t="s">
        <v>56</v>
      </c>
      <c r="AC195" s="30" t="s">
        <v>766</v>
      </c>
    </row>
    <row r="196" spans="1:29">
      <c r="A196" s="24" t="s">
        <v>767</v>
      </c>
      <c r="B196" s="24" t="str">
        <f>IF(ISNUMBER(SEARCH(E196,A196)),A196,IF(OR(E196="",E196=""),A196,A196&amp;" - "&amp;E196))</f>
        <v>420 Natural 20/1 CA GG4 - Gorilla Glue</v>
      </c>
      <c r="C196" s="24" t="s">
        <v>463</v>
      </c>
      <c r="D196" s="24" t="s">
        <v>464</v>
      </c>
      <c r="E196" s="24" t="s">
        <v>363</v>
      </c>
      <c r="F196" s="24" t="s">
        <v>86</v>
      </c>
      <c r="G196" s="27">
        <v>20</v>
      </c>
      <c r="H196" s="28">
        <v>1</v>
      </c>
      <c r="I196" s="24"/>
      <c r="J196" s="24"/>
      <c r="K196" s="24" t="s">
        <v>52</v>
      </c>
      <c r="L196" s="24" t="s">
        <v>53</v>
      </c>
      <c r="M196" s="24" t="s">
        <v>103</v>
      </c>
      <c r="N196" s="24" t="s">
        <v>121</v>
      </c>
      <c r="O196" s="24" t="s">
        <v>72</v>
      </c>
      <c r="P196" s="24" t="s">
        <v>146</v>
      </c>
      <c r="Q196" s="24" t="s">
        <v>74</v>
      </c>
      <c r="R196" s="24" t="s">
        <v>59</v>
      </c>
      <c r="S196" s="24" t="s">
        <v>123</v>
      </c>
      <c r="T196" s="24" t="s">
        <v>76</v>
      </c>
      <c r="U196" s="24" t="s">
        <v>164</v>
      </c>
      <c r="V196" s="24" t="s">
        <v>257</v>
      </c>
      <c r="W196" s="24" t="s">
        <v>252</v>
      </c>
      <c r="X196" s="24" t="s">
        <v>77</v>
      </c>
      <c r="Y196" s="24" t="s">
        <v>768</v>
      </c>
      <c r="Z196" s="24" t="s">
        <v>64</v>
      </c>
      <c r="AA196" s="24" t="s">
        <v>468</v>
      </c>
      <c r="AB196" s="24" t="s">
        <v>56</v>
      </c>
      <c r="AC196" s="24" t="s">
        <v>769</v>
      </c>
    </row>
    <row r="197" spans="1:29">
      <c r="A197" s="30" t="s">
        <v>770</v>
      </c>
      <c r="B197" s="30" t="str">
        <f>IF(ISNUMBER(SEARCH(E197,A197)),A197,IF(OR(E197="",E197=""),A197,A197&amp;" - "&amp;E197))</f>
        <v>Demecan Typ 1  forte - Gushers</v>
      </c>
      <c r="C197" s="30" t="s">
        <v>484</v>
      </c>
      <c r="D197" s="30" t="s">
        <v>485</v>
      </c>
      <c r="E197" s="30" t="s">
        <v>771</v>
      </c>
      <c r="F197" s="30" t="s">
        <v>120</v>
      </c>
      <c r="G197" s="34">
        <v>22</v>
      </c>
      <c r="H197" s="35">
        <v>1</v>
      </c>
      <c r="I197" s="30"/>
      <c r="J197" s="30"/>
      <c r="K197" s="30" t="s">
        <v>52</v>
      </c>
      <c r="L197" s="30" t="s">
        <v>53</v>
      </c>
      <c r="M197" s="30" t="s">
        <v>88</v>
      </c>
      <c r="N197" s="30" t="s">
        <v>72</v>
      </c>
      <c r="O197" s="30" t="s">
        <v>56</v>
      </c>
      <c r="P197" s="30" t="s">
        <v>157</v>
      </c>
      <c r="Q197" s="30" t="s">
        <v>89</v>
      </c>
      <c r="R197" s="30" t="s">
        <v>58</v>
      </c>
      <c r="S197" s="30" t="s">
        <v>466</v>
      </c>
      <c r="T197" s="30" t="s">
        <v>106</v>
      </c>
      <c r="U197" s="30" t="s">
        <v>128</v>
      </c>
      <c r="V197" s="30" t="s">
        <v>77</v>
      </c>
      <c r="W197" s="30" t="s">
        <v>79</v>
      </c>
      <c r="X197" s="30" t="s">
        <v>107</v>
      </c>
      <c r="Y197" s="30" t="s">
        <v>56</v>
      </c>
      <c r="Z197" s="30" t="s">
        <v>64</v>
      </c>
      <c r="AA197" s="30" t="s">
        <v>485</v>
      </c>
      <c r="AB197" s="30" t="s">
        <v>56</v>
      </c>
      <c r="AC197" s="30" t="s">
        <v>772</v>
      </c>
    </row>
    <row r="198" spans="1:29">
      <c r="A198" s="24" t="s">
        <v>773</v>
      </c>
      <c r="B198" s="24" t="str">
        <f>IF(ISNUMBER(SEARCH(E198,A198)),A198,IF(OR(E198="",E198=""),A198,A198&amp;" - "&amp;E198))</f>
        <v>IBT03.4 - Hindu Kush</v>
      </c>
      <c r="C198" s="23" t="s">
        <v>774</v>
      </c>
      <c r="D198" s="25" t="s">
        <v>775</v>
      </c>
      <c r="E198" s="23" t="s">
        <v>456</v>
      </c>
      <c r="F198" s="24" t="s">
        <v>51</v>
      </c>
      <c r="G198" s="27">
        <v>20</v>
      </c>
      <c r="H198" s="28">
        <v>1</v>
      </c>
      <c r="I198" s="24"/>
      <c r="J198" s="24"/>
      <c r="K198" s="24" t="s">
        <v>17</v>
      </c>
      <c r="L198" s="24" t="s">
        <v>423</v>
      </c>
      <c r="M198" s="24" t="s">
        <v>103</v>
      </c>
      <c r="N198" s="24" t="s">
        <v>121</v>
      </c>
      <c r="O198" s="24" t="s">
        <v>72</v>
      </c>
      <c r="P198" s="24" t="s">
        <v>74</v>
      </c>
      <c r="Q198" s="24" t="s">
        <v>113</v>
      </c>
      <c r="R198" s="24" t="s">
        <v>59</v>
      </c>
      <c r="S198" s="24" t="s">
        <v>90</v>
      </c>
      <c r="T198" s="24" t="s">
        <v>115</v>
      </c>
      <c r="U198" s="24" t="s">
        <v>128</v>
      </c>
      <c r="V198" s="24" t="s">
        <v>77</v>
      </c>
      <c r="W198" s="24" t="s">
        <v>395</v>
      </c>
      <c r="X198" s="24" t="s">
        <v>107</v>
      </c>
      <c r="Y198" s="24" t="s">
        <v>56</v>
      </c>
      <c r="Z198" s="24" t="s">
        <v>64</v>
      </c>
      <c r="AA198" s="24" t="s">
        <v>776</v>
      </c>
      <c r="AB198" s="24" t="s">
        <v>56</v>
      </c>
      <c r="AC198" s="24" t="s">
        <v>777</v>
      </c>
    </row>
    <row r="199" spans="1:29">
      <c r="A199" s="30" t="s">
        <v>778</v>
      </c>
      <c r="B199" s="30" t="str">
        <f>IF(ISNUMBER(SEARCH(E199,A199)),A199,IF(OR(E199="",E199=""),A199,A199&amp;" - "&amp;E199))</f>
        <v>avaay 21/1 SK - Sour Kush</v>
      </c>
      <c r="C199" s="30" t="s">
        <v>569</v>
      </c>
      <c r="D199" s="30" t="s">
        <v>570</v>
      </c>
      <c r="E199" s="30" t="s">
        <v>490</v>
      </c>
      <c r="F199" s="30" t="s">
        <v>86</v>
      </c>
      <c r="G199" s="34">
        <v>21</v>
      </c>
      <c r="H199" s="35">
        <v>1</v>
      </c>
      <c r="I199" s="30"/>
      <c r="J199" s="30"/>
      <c r="K199" s="30" t="s">
        <v>52</v>
      </c>
      <c r="L199" s="30" t="s">
        <v>53</v>
      </c>
      <c r="M199" s="30" t="s">
        <v>212</v>
      </c>
      <c r="N199" s="30" t="s">
        <v>88</v>
      </c>
      <c r="O199" s="30" t="s">
        <v>71</v>
      </c>
      <c r="P199" s="30" t="s">
        <v>73</v>
      </c>
      <c r="Q199" s="30" t="s">
        <v>75</v>
      </c>
      <c r="R199" s="30" t="s">
        <v>89</v>
      </c>
      <c r="S199" s="30" t="s">
        <v>90</v>
      </c>
      <c r="T199" s="30" t="s">
        <v>123</v>
      </c>
      <c r="U199" s="30" t="s">
        <v>106</v>
      </c>
      <c r="V199" s="30" t="s">
        <v>77</v>
      </c>
      <c r="W199" s="30" t="s">
        <v>116</v>
      </c>
      <c r="X199" s="30" t="s">
        <v>253</v>
      </c>
      <c r="Y199" s="30" t="s">
        <v>56</v>
      </c>
      <c r="Z199" s="30" t="s">
        <v>64</v>
      </c>
      <c r="AA199" s="30" t="s">
        <v>572</v>
      </c>
      <c r="AB199" s="30" t="s">
        <v>56</v>
      </c>
      <c r="AC199" s="30" t="s">
        <v>779</v>
      </c>
    </row>
    <row r="200" spans="1:29">
      <c r="A200" s="49" t="s">
        <v>780</v>
      </c>
      <c r="B200" s="49" t="str">
        <f>IF(ISNUMBER(SEARCH(E200,A200)),A200,IF(OR(E200="",E200=""),A200,A200&amp;" - "&amp;E200))</f>
        <v>Demecan MC Strong Drop 27:01 - Sky Pie</v>
      </c>
      <c r="C200" s="24" t="s">
        <v>484</v>
      </c>
      <c r="D200" s="24" t="s">
        <v>485</v>
      </c>
      <c r="E200" s="24" t="s">
        <v>781</v>
      </c>
      <c r="F200" s="24" t="s">
        <v>120</v>
      </c>
      <c r="G200" s="27">
        <v>27</v>
      </c>
      <c r="H200" s="28">
        <v>1</v>
      </c>
      <c r="I200" s="24"/>
      <c r="J200" s="24"/>
      <c r="K200" s="24" t="s">
        <v>52</v>
      </c>
      <c r="L200" s="24" t="s">
        <v>53</v>
      </c>
      <c r="M200" s="24" t="s">
        <v>156</v>
      </c>
      <c r="N200" s="24" t="s">
        <v>71</v>
      </c>
      <c r="O200" s="24" t="s">
        <v>55</v>
      </c>
      <c r="P200" s="24" t="s">
        <v>57</v>
      </c>
      <c r="Q200" s="24" t="s">
        <v>74</v>
      </c>
      <c r="R200" s="24" t="s">
        <v>89</v>
      </c>
      <c r="S200" s="24" t="s">
        <v>782</v>
      </c>
      <c r="T200" s="24" t="s">
        <v>123</v>
      </c>
      <c r="U200" s="24" t="s">
        <v>106</v>
      </c>
      <c r="V200" s="24" t="s">
        <v>77</v>
      </c>
      <c r="W200" s="24" t="s">
        <v>180</v>
      </c>
      <c r="X200" s="24" t="s">
        <v>79</v>
      </c>
      <c r="Y200" s="24" t="s">
        <v>56</v>
      </c>
      <c r="Z200" s="24" t="s">
        <v>64</v>
      </c>
      <c r="AA200" s="24" t="s">
        <v>485</v>
      </c>
      <c r="AB200" s="24" t="s">
        <v>56</v>
      </c>
      <c r="AC200" s="24" t="s">
        <v>783</v>
      </c>
    </row>
    <row r="201" spans="1:29">
      <c r="A201" s="30" t="s">
        <v>784</v>
      </c>
      <c r="B201" s="30" t="str">
        <f>IF(ISNUMBER(SEARCH(E201,A201)),A201,IF(OR(E201="",E201=""),A201,A201&amp;" - "&amp;E201))</f>
        <v>Cannamedical Hybrid Classic NG - Orange Kush Cake</v>
      </c>
      <c r="C201" s="30" t="s">
        <v>48</v>
      </c>
      <c r="D201" s="30" t="s">
        <v>49</v>
      </c>
      <c r="E201" s="30" t="s">
        <v>785</v>
      </c>
      <c r="F201" s="30" t="s">
        <v>86</v>
      </c>
      <c r="G201" s="34">
        <v>21</v>
      </c>
      <c r="H201" s="35">
        <v>1</v>
      </c>
      <c r="I201" s="30"/>
      <c r="J201" s="30"/>
      <c r="K201" s="30" t="s">
        <v>52</v>
      </c>
      <c r="L201" s="30" t="s">
        <v>53</v>
      </c>
      <c r="M201" s="30" t="s">
        <v>156</v>
      </c>
      <c r="N201" s="30" t="s">
        <v>111</v>
      </c>
      <c r="O201" s="30" t="s">
        <v>71</v>
      </c>
      <c r="P201" s="30" t="s">
        <v>73</v>
      </c>
      <c r="Q201" s="30" t="s">
        <v>75</v>
      </c>
      <c r="R201" s="30" t="s">
        <v>58</v>
      </c>
      <c r="S201" s="30" t="s">
        <v>786</v>
      </c>
      <c r="T201" s="30" t="s">
        <v>147</v>
      </c>
      <c r="U201" s="30" t="s">
        <v>224</v>
      </c>
      <c r="V201" s="30" t="s">
        <v>77</v>
      </c>
      <c r="W201" s="30" t="s">
        <v>292</v>
      </c>
      <c r="X201" s="30" t="s">
        <v>79</v>
      </c>
      <c r="Y201" s="30" t="s">
        <v>80</v>
      </c>
      <c r="Z201" s="30" t="s">
        <v>64</v>
      </c>
      <c r="AA201" s="30" t="s">
        <v>49</v>
      </c>
      <c r="AB201" s="30" t="s">
        <v>56</v>
      </c>
      <c r="AC201" s="30" t="s">
        <v>787</v>
      </c>
    </row>
    <row r="202" spans="1:29">
      <c r="A202" s="24" t="s">
        <v>788</v>
      </c>
      <c r="B202" s="24" t="str">
        <f>IF(ISNUMBER(SEARCH(E202,A202)),A202,IF(OR(E202="",E202=""),A202,A202&amp;" - "&amp;E202))</f>
        <v>Demecan Craft T4N-G 25:01 Banjo - Tangelo Boost</v>
      </c>
      <c r="C202" s="24" t="s">
        <v>484</v>
      </c>
      <c r="D202" s="24" t="s">
        <v>485</v>
      </c>
      <c r="E202" s="24" t="s">
        <v>789</v>
      </c>
      <c r="F202" s="24" t="s">
        <v>86</v>
      </c>
      <c r="G202" s="27">
        <v>25</v>
      </c>
      <c r="H202" s="28">
        <v>1</v>
      </c>
      <c r="I202" s="24"/>
      <c r="J202" s="24"/>
      <c r="K202" s="24" t="s">
        <v>52</v>
      </c>
      <c r="L202" s="24" t="s">
        <v>53</v>
      </c>
      <c r="M202" s="24" t="s">
        <v>88</v>
      </c>
      <c r="N202" s="24" t="s">
        <v>72</v>
      </c>
      <c r="O202" s="24" t="s">
        <v>56</v>
      </c>
      <c r="P202" s="24" t="s">
        <v>186</v>
      </c>
      <c r="Q202" s="24" t="s">
        <v>146</v>
      </c>
      <c r="R202" s="24" t="s">
        <v>89</v>
      </c>
      <c r="S202" s="24" t="s">
        <v>192</v>
      </c>
      <c r="T202" s="24" t="s">
        <v>147</v>
      </c>
      <c r="U202" s="24" t="s">
        <v>106</v>
      </c>
      <c r="V202" s="24" t="s">
        <v>116</v>
      </c>
      <c r="W202" s="24" t="s">
        <v>79</v>
      </c>
      <c r="X202" s="24" t="s">
        <v>107</v>
      </c>
      <c r="Y202" s="24" t="s">
        <v>790</v>
      </c>
      <c r="Z202" s="24" t="s">
        <v>64</v>
      </c>
      <c r="AA202" s="24" t="s">
        <v>485</v>
      </c>
      <c r="AB202" s="24" t="s">
        <v>56</v>
      </c>
      <c r="AC202" s="37" t="s">
        <v>792</v>
      </c>
    </row>
    <row r="203" spans="1:29">
      <c r="A203" s="30" t="s">
        <v>793</v>
      </c>
      <c r="B203" s="30" t="str">
        <f>IF(ISNUMBER(SEARCH(E203,A203)),A203,IF(OR(E203="",E203=""),A203,A203&amp;" - "&amp;E203))</f>
        <v>Nimbus 24/1 GNC - Grapes and Cream</v>
      </c>
      <c r="C203" s="30" t="s">
        <v>141</v>
      </c>
      <c r="D203" s="30" t="s">
        <v>142</v>
      </c>
      <c r="E203" s="30" t="s">
        <v>794</v>
      </c>
      <c r="F203" s="30" t="s">
        <v>86</v>
      </c>
      <c r="G203" s="34">
        <v>24</v>
      </c>
      <c r="H203" s="35">
        <v>1</v>
      </c>
      <c r="I203" s="30"/>
      <c r="J203" s="30"/>
      <c r="K203" s="30" t="s">
        <v>52</v>
      </c>
      <c r="L203" s="30" t="s">
        <v>53</v>
      </c>
      <c r="M203" s="30" t="s">
        <v>54</v>
      </c>
      <c r="N203" s="30" t="s">
        <v>121</v>
      </c>
      <c r="O203" s="30" t="s">
        <v>72</v>
      </c>
      <c r="P203" s="30" t="s">
        <v>89</v>
      </c>
      <c r="Q203" s="30" t="s">
        <v>58</v>
      </c>
      <c r="R203" s="30" t="s">
        <v>56</v>
      </c>
      <c r="S203" s="30" t="s">
        <v>60</v>
      </c>
      <c r="T203" s="30" t="s">
        <v>123</v>
      </c>
      <c r="U203" s="30" t="s">
        <v>106</v>
      </c>
      <c r="V203" s="30" t="s">
        <v>77</v>
      </c>
      <c r="W203" s="30" t="s">
        <v>107</v>
      </c>
      <c r="X203" s="30" t="s">
        <v>93</v>
      </c>
      <c r="Y203" s="30" t="s">
        <v>56</v>
      </c>
      <c r="Z203" s="30" t="s">
        <v>64</v>
      </c>
      <c r="AA203" s="30" t="s">
        <v>149</v>
      </c>
      <c r="AB203" s="30" t="s">
        <v>56</v>
      </c>
      <c r="AC203" s="30" t="s">
        <v>795</v>
      </c>
    </row>
    <row r="204" spans="1:29">
      <c r="A204" s="24" t="s">
        <v>796</v>
      </c>
      <c r="B204" s="24" t="str">
        <f>IF(ISNUMBER(SEARCH(E204,A204)),A204,IF(OR(E204="",E204=""),A204,A204&amp;" - "&amp;E204))</f>
        <v>enua 22/1 JFG CA - Jet Fuel Gelato</v>
      </c>
      <c r="C204" s="24" t="s">
        <v>650</v>
      </c>
      <c r="D204" s="24" t="s">
        <v>651</v>
      </c>
      <c r="E204" s="24" t="s">
        <v>797</v>
      </c>
      <c r="F204" s="24" t="s">
        <v>86</v>
      </c>
      <c r="G204" s="27">
        <v>22</v>
      </c>
      <c r="H204" s="28">
        <v>1</v>
      </c>
      <c r="I204" s="24"/>
      <c r="J204" s="24"/>
      <c r="K204" s="24" t="s">
        <v>17</v>
      </c>
      <c r="L204" s="24" t="s">
        <v>53</v>
      </c>
      <c r="M204" s="24" t="s">
        <v>88</v>
      </c>
      <c r="N204" s="24" t="s">
        <v>71</v>
      </c>
      <c r="O204" s="24" t="s">
        <v>72</v>
      </c>
      <c r="P204" s="24" t="s">
        <v>75</v>
      </c>
      <c r="Q204" s="24" t="s">
        <v>89</v>
      </c>
      <c r="R204" s="24" t="s">
        <v>58</v>
      </c>
      <c r="S204" s="24" t="s">
        <v>106</v>
      </c>
      <c r="T204" s="24" t="s">
        <v>91</v>
      </c>
      <c r="U204" s="24" t="s">
        <v>62</v>
      </c>
      <c r="V204" s="24" t="s">
        <v>77</v>
      </c>
      <c r="W204" s="24" t="s">
        <v>116</v>
      </c>
      <c r="X204" s="24" t="s">
        <v>79</v>
      </c>
      <c r="Y204" s="24" t="s">
        <v>371</v>
      </c>
      <c r="Z204" s="24" t="s">
        <v>64</v>
      </c>
      <c r="AA204" s="24" t="s">
        <v>653</v>
      </c>
      <c r="AB204" s="24" t="s">
        <v>56</v>
      </c>
      <c r="AC204" s="24" t="s">
        <v>798</v>
      </c>
    </row>
    <row r="205" spans="1:29">
      <c r="A205" s="30" t="s">
        <v>799</v>
      </c>
      <c r="B205" s="30" t="str">
        <f>IF(ISNUMBER(SEARCH(E205,A205)),A205,IF(OR(E205="",E205=""),A205,A205&amp;" - "&amp;E205))</f>
        <v>avaay Signature 23/1 MC - Mandarin Cookies</v>
      </c>
      <c r="C205" s="30" t="s">
        <v>569</v>
      </c>
      <c r="D205" s="30" t="s">
        <v>570</v>
      </c>
      <c r="E205" s="30" t="s">
        <v>800</v>
      </c>
      <c r="F205" s="30" t="s">
        <v>51</v>
      </c>
      <c r="G205" s="34">
        <v>23</v>
      </c>
      <c r="H205" s="35">
        <v>1</v>
      </c>
      <c r="I205" s="30"/>
      <c r="J205" s="30"/>
      <c r="K205" s="30" t="s">
        <v>52</v>
      </c>
      <c r="L205" s="30" t="s">
        <v>53</v>
      </c>
      <c r="M205" s="30" t="s">
        <v>71</v>
      </c>
      <c r="N205" s="30" t="s">
        <v>55</v>
      </c>
      <c r="O205" s="30" t="s">
        <v>72</v>
      </c>
      <c r="P205" s="30" t="s">
        <v>75</v>
      </c>
      <c r="Q205" s="30" t="s">
        <v>58</v>
      </c>
      <c r="R205" s="30" t="s">
        <v>56</v>
      </c>
      <c r="S205" s="30" t="s">
        <v>801</v>
      </c>
      <c r="T205" s="30" t="s">
        <v>123</v>
      </c>
      <c r="U205" s="30" t="s">
        <v>106</v>
      </c>
      <c r="V205" s="30" t="s">
        <v>77</v>
      </c>
      <c r="W205" s="30" t="s">
        <v>79</v>
      </c>
      <c r="X205" s="30" t="s">
        <v>107</v>
      </c>
      <c r="Y205" s="30" t="s">
        <v>56</v>
      </c>
      <c r="Z205" s="30" t="s">
        <v>64</v>
      </c>
      <c r="AA205" s="30" t="s">
        <v>572</v>
      </c>
      <c r="AB205" s="30" t="s">
        <v>802</v>
      </c>
      <c r="AC205" s="30" t="s">
        <v>803</v>
      </c>
    </row>
    <row r="206" spans="1:29">
      <c r="A206" s="24" t="s">
        <v>804</v>
      </c>
      <c r="B206" s="24" t="str">
        <f>IF(ISNUMBER(SEARCH(E206,A206)),A206,IF(OR(E206="",E206=""),A206,A206&amp;" - "&amp;E206))</f>
        <v>Green Karat MG PT - Modified Gas</v>
      </c>
      <c r="C206" s="24" t="s">
        <v>564</v>
      </c>
      <c r="D206" s="24" t="s">
        <v>565</v>
      </c>
      <c r="E206" s="24" t="s">
        <v>805</v>
      </c>
      <c r="F206" s="24" t="s">
        <v>86</v>
      </c>
      <c r="G206" s="27">
        <v>24</v>
      </c>
      <c r="H206" s="28">
        <v>1</v>
      </c>
      <c r="I206" s="24"/>
      <c r="J206" s="24"/>
      <c r="K206" s="24" t="s">
        <v>52</v>
      </c>
      <c r="L206" s="24" t="s">
        <v>102</v>
      </c>
      <c r="M206" s="24" t="s">
        <v>88</v>
      </c>
      <c r="N206" s="24" t="s">
        <v>55</v>
      </c>
      <c r="O206" s="24" t="s">
        <v>72</v>
      </c>
      <c r="P206" s="24" t="s">
        <v>157</v>
      </c>
      <c r="Q206" s="24" t="s">
        <v>58</v>
      </c>
      <c r="R206" s="24" t="s">
        <v>59</v>
      </c>
      <c r="S206" s="24" t="s">
        <v>147</v>
      </c>
      <c r="T206" s="24" t="s">
        <v>123</v>
      </c>
      <c r="U206" s="24" t="s">
        <v>106</v>
      </c>
      <c r="V206" s="24" t="s">
        <v>92</v>
      </c>
      <c r="W206" s="24" t="s">
        <v>116</v>
      </c>
      <c r="X206" s="24" t="s">
        <v>180</v>
      </c>
      <c r="Y206" s="24" t="s">
        <v>755</v>
      </c>
      <c r="Z206" s="24" t="s">
        <v>64</v>
      </c>
      <c r="AA206" s="24" t="s">
        <v>565</v>
      </c>
      <c r="AB206" s="24" t="s">
        <v>699</v>
      </c>
      <c r="AC206" s="24" t="s">
        <v>806</v>
      </c>
    </row>
    <row r="207" spans="1:29">
      <c r="A207" s="30" t="s">
        <v>807</v>
      </c>
      <c r="B207" s="30" t="str">
        <f>IF(ISNUMBER(SEARCH(E207,A207)),A207,IF(OR(E207="",E207=""),A207,A207&amp;" - "&amp;E207))</f>
        <v>avaay Simple 23/1 CHM - Chem OG</v>
      </c>
      <c r="C207" s="30" t="s">
        <v>569</v>
      </c>
      <c r="D207" s="30" t="s">
        <v>570</v>
      </c>
      <c r="E207" s="30" t="s">
        <v>808</v>
      </c>
      <c r="F207" s="30" t="s">
        <v>86</v>
      </c>
      <c r="G207" s="34">
        <v>23</v>
      </c>
      <c r="H207" s="35">
        <v>1</v>
      </c>
      <c r="I207" s="30"/>
      <c r="J207" s="30"/>
      <c r="K207" s="30" t="s">
        <v>52</v>
      </c>
      <c r="L207" s="30" t="s">
        <v>102</v>
      </c>
      <c r="M207" s="30" t="s">
        <v>54</v>
      </c>
      <c r="N207" s="30" t="s">
        <v>88</v>
      </c>
      <c r="O207" s="30" t="s">
        <v>71</v>
      </c>
      <c r="P207" s="30" t="s">
        <v>73</v>
      </c>
      <c r="Q207" s="30" t="s">
        <v>146</v>
      </c>
      <c r="R207" s="30" t="s">
        <v>74</v>
      </c>
      <c r="S207" s="30" t="s">
        <v>147</v>
      </c>
      <c r="T207" s="30" t="s">
        <v>106</v>
      </c>
      <c r="U207" s="30" t="s">
        <v>62</v>
      </c>
      <c r="V207" s="30" t="s">
        <v>77</v>
      </c>
      <c r="W207" s="30" t="s">
        <v>116</v>
      </c>
      <c r="X207" s="30" t="s">
        <v>79</v>
      </c>
      <c r="Y207" s="30" t="s">
        <v>56</v>
      </c>
      <c r="Z207" s="30" t="s">
        <v>64</v>
      </c>
      <c r="AA207" s="30" t="s">
        <v>572</v>
      </c>
      <c r="AB207" s="30" t="s">
        <v>56</v>
      </c>
      <c r="AC207" s="30" t="s">
        <v>809</v>
      </c>
    </row>
    <row r="208" spans="1:29">
      <c r="A208" s="24" t="s">
        <v>810</v>
      </c>
      <c r="B208" s="24" t="str">
        <f>IF(ISNUMBER(SEARCH(E208,A208)),A208,IF(OR(E208="",E208=""),A208,A208&amp;" - "&amp;E208))</f>
        <v>Peace Naturals 27/1 CB - Cocoa Bomba</v>
      </c>
      <c r="C208" s="24" t="s">
        <v>811</v>
      </c>
      <c r="D208" s="24" t="s">
        <v>812</v>
      </c>
      <c r="E208" s="24" t="s">
        <v>813</v>
      </c>
      <c r="F208" s="24" t="s">
        <v>86</v>
      </c>
      <c r="G208" s="27">
        <v>27</v>
      </c>
      <c r="H208" s="28">
        <v>1</v>
      </c>
      <c r="I208" s="24"/>
      <c r="J208" s="24"/>
      <c r="K208" s="24" t="s">
        <v>52</v>
      </c>
      <c r="L208" s="24" t="s">
        <v>53</v>
      </c>
      <c r="M208" s="24" t="s">
        <v>55</v>
      </c>
      <c r="N208" s="24" t="s">
        <v>72</v>
      </c>
      <c r="O208" s="24" t="s">
        <v>56</v>
      </c>
      <c r="P208" s="24" t="s">
        <v>74</v>
      </c>
      <c r="Q208" s="24" t="s">
        <v>75</v>
      </c>
      <c r="R208" s="24" t="s">
        <v>59</v>
      </c>
      <c r="S208" s="24" t="s">
        <v>192</v>
      </c>
      <c r="T208" s="24" t="s">
        <v>147</v>
      </c>
      <c r="U208" s="24" t="s">
        <v>106</v>
      </c>
      <c r="V208" s="24" t="s">
        <v>77</v>
      </c>
      <c r="W208" s="24" t="s">
        <v>116</v>
      </c>
      <c r="X208" s="24" t="s">
        <v>208</v>
      </c>
      <c r="Y208" s="24" t="s">
        <v>56</v>
      </c>
      <c r="Z208" s="24" t="s">
        <v>64</v>
      </c>
      <c r="AA208" s="24" t="s">
        <v>812</v>
      </c>
      <c r="AB208" s="24" t="s">
        <v>812</v>
      </c>
      <c r="AC208" s="24" t="s">
        <v>814</v>
      </c>
    </row>
    <row r="209" spans="1:29">
      <c r="A209" s="30" t="s">
        <v>815</v>
      </c>
      <c r="B209" s="24" t="str">
        <f>IF(ISNUMBER(SEARCH(E209,A209)),A209,IF(OR(E209="",E209=""),A209,A209&amp;" - "&amp;E209))</f>
        <v>Peace Naturals 31/1 GC - GMO Cookies</v>
      </c>
      <c r="C209" s="30" t="s">
        <v>811</v>
      </c>
      <c r="D209" s="30" t="s">
        <v>812</v>
      </c>
      <c r="E209" s="30" t="s">
        <v>816</v>
      </c>
      <c r="F209" s="30" t="s">
        <v>120</v>
      </c>
      <c r="G209" s="34">
        <v>31</v>
      </c>
      <c r="H209" s="35">
        <v>1</v>
      </c>
      <c r="I209" s="30"/>
      <c r="J209" s="30"/>
      <c r="K209" s="30" t="s">
        <v>52</v>
      </c>
      <c r="L209" s="30" t="s">
        <v>53</v>
      </c>
      <c r="M209" s="30" t="s">
        <v>88</v>
      </c>
      <c r="N209" s="30" t="s">
        <v>121</v>
      </c>
      <c r="O209" s="30" t="s">
        <v>72</v>
      </c>
      <c r="P209" s="30" t="s">
        <v>73</v>
      </c>
      <c r="Q209" s="30" t="s">
        <v>56</v>
      </c>
      <c r="R209" s="30" t="s">
        <v>56</v>
      </c>
      <c r="S209" s="30" t="s">
        <v>147</v>
      </c>
      <c r="T209" s="30" t="s">
        <v>106</v>
      </c>
      <c r="U209" s="30" t="s">
        <v>234</v>
      </c>
      <c r="V209" s="30" t="s">
        <v>92</v>
      </c>
      <c r="W209" s="30" t="s">
        <v>116</v>
      </c>
      <c r="X209" s="30" t="s">
        <v>79</v>
      </c>
      <c r="Y209" s="30" t="s">
        <v>581</v>
      </c>
      <c r="Z209" s="30" t="s">
        <v>64</v>
      </c>
      <c r="AA209" s="30" t="s">
        <v>812</v>
      </c>
      <c r="AB209" s="30" t="s">
        <v>812</v>
      </c>
      <c r="AC209" s="30" t="s">
        <v>817</v>
      </c>
    </row>
    <row r="210" spans="1:29">
      <c r="A210" s="24" t="s">
        <v>818</v>
      </c>
      <c r="B210" s="24" t="str">
        <f>IF(ISNUMBER(SEARCH(E210,A210)),A210,IF(OR(E210="",E210=""),A210,A210&amp;" - "&amp;E210))</f>
        <v>Peace Naturals 31/1 SC - Space Cake</v>
      </c>
      <c r="C210" s="24" t="s">
        <v>811</v>
      </c>
      <c r="D210" s="24" t="s">
        <v>812</v>
      </c>
      <c r="E210" s="24" t="s">
        <v>722</v>
      </c>
      <c r="F210" s="24" t="s">
        <v>69</v>
      </c>
      <c r="G210" s="27">
        <v>31</v>
      </c>
      <c r="H210" s="28">
        <v>1</v>
      </c>
      <c r="I210" s="24"/>
      <c r="J210" s="24"/>
      <c r="K210" s="24" t="s">
        <v>52</v>
      </c>
      <c r="L210" s="24" t="s">
        <v>53</v>
      </c>
      <c r="M210" s="24" t="s">
        <v>54</v>
      </c>
      <c r="N210" s="24" t="s">
        <v>212</v>
      </c>
      <c r="O210" s="24" t="s">
        <v>55</v>
      </c>
      <c r="P210" s="24" t="s">
        <v>57</v>
      </c>
      <c r="Q210" s="24" t="s">
        <v>74</v>
      </c>
      <c r="R210" s="24" t="s">
        <v>59</v>
      </c>
      <c r="S210" s="24" t="s">
        <v>123</v>
      </c>
      <c r="T210" s="24" t="s">
        <v>106</v>
      </c>
      <c r="U210" s="24" t="s">
        <v>128</v>
      </c>
      <c r="V210" s="24" t="s">
        <v>77</v>
      </c>
      <c r="W210" s="24" t="s">
        <v>79</v>
      </c>
      <c r="X210" s="24" t="s">
        <v>107</v>
      </c>
      <c r="Y210" s="24" t="s">
        <v>819</v>
      </c>
      <c r="Z210" s="24" t="s">
        <v>64</v>
      </c>
      <c r="AA210" s="24" t="s">
        <v>812</v>
      </c>
      <c r="AB210" s="24" t="s">
        <v>812</v>
      </c>
      <c r="AC210" s="24" t="s">
        <v>820</v>
      </c>
    </row>
    <row r="211" spans="1:29">
      <c r="A211" s="30" t="s">
        <v>821</v>
      </c>
      <c r="B211" s="30" t="str">
        <f>IF(ISNUMBER(SEARCH(E211,A211)),A211,IF(OR(E211="",E211=""),A211,A211&amp;" - "&amp;E211))</f>
        <v>KEjF. SMNZ 25/1 - Siggis Minze</v>
      </c>
      <c r="C211" s="30" t="s">
        <v>822</v>
      </c>
      <c r="D211" s="30" t="s">
        <v>823</v>
      </c>
      <c r="E211" s="30" t="s">
        <v>824</v>
      </c>
      <c r="F211" s="30" t="s">
        <v>120</v>
      </c>
      <c r="G211" s="34">
        <v>27</v>
      </c>
      <c r="H211" s="35">
        <v>1</v>
      </c>
      <c r="I211" s="30"/>
      <c r="J211" s="30"/>
      <c r="K211" s="30" t="s">
        <v>52</v>
      </c>
      <c r="L211" s="30" t="s">
        <v>53</v>
      </c>
      <c r="M211" s="30" t="s">
        <v>88</v>
      </c>
      <c r="N211" s="30" t="s">
        <v>71</v>
      </c>
      <c r="O211" s="30" t="s">
        <v>72</v>
      </c>
      <c r="P211" s="30" t="s">
        <v>112</v>
      </c>
      <c r="Q211" s="30" t="s">
        <v>104</v>
      </c>
      <c r="R211" s="30" t="s">
        <v>113</v>
      </c>
      <c r="S211" s="30" t="s">
        <v>466</v>
      </c>
      <c r="T211" s="30" t="s">
        <v>106</v>
      </c>
      <c r="U211" s="30" t="s">
        <v>493</v>
      </c>
      <c r="V211" s="30" t="s">
        <v>77</v>
      </c>
      <c r="W211" s="30" t="s">
        <v>116</v>
      </c>
      <c r="X211" s="30" t="s">
        <v>197</v>
      </c>
      <c r="Y211" s="30" t="s">
        <v>825</v>
      </c>
      <c r="Z211" s="30" t="s">
        <v>64</v>
      </c>
      <c r="AA211" s="30" t="s">
        <v>826</v>
      </c>
      <c r="AB211" s="30" t="s">
        <v>56</v>
      </c>
      <c r="AC211" s="30" t="s">
        <v>827</v>
      </c>
    </row>
    <row r="212" spans="1:29">
      <c r="A212" s="24" t="s">
        <v>828</v>
      </c>
      <c r="B212" s="24" t="str">
        <f>IF(ISNUMBER(SEARCH(E212,A212)),A212,IF(OR(E212="",E212=""),A212,A212&amp;" - "&amp;E212))</f>
        <v>CNBS FFC 21/1 - Frosted Fruit Cake</v>
      </c>
      <c r="C212" s="24" t="s">
        <v>822</v>
      </c>
      <c r="D212" s="24" t="s">
        <v>823</v>
      </c>
      <c r="E212" s="24" t="s">
        <v>829</v>
      </c>
      <c r="F212" s="24" t="s">
        <v>86</v>
      </c>
      <c r="G212" s="27">
        <v>21</v>
      </c>
      <c r="H212" s="28">
        <v>1</v>
      </c>
      <c r="I212" s="24"/>
      <c r="J212" s="24"/>
      <c r="K212" s="24" t="s">
        <v>52</v>
      </c>
      <c r="L212" s="24" t="s">
        <v>53</v>
      </c>
      <c r="M212" s="24" t="s">
        <v>156</v>
      </c>
      <c r="N212" s="24" t="s">
        <v>88</v>
      </c>
      <c r="O212" s="24" t="s">
        <v>103</v>
      </c>
      <c r="P212" s="24" t="s">
        <v>74</v>
      </c>
      <c r="Q212" s="24" t="s">
        <v>58</v>
      </c>
      <c r="R212" s="24" t="s">
        <v>56</v>
      </c>
      <c r="S212" s="24" t="s">
        <v>106</v>
      </c>
      <c r="T212" s="24" t="s">
        <v>493</v>
      </c>
      <c r="U212" s="24" t="s">
        <v>128</v>
      </c>
      <c r="V212" s="24" t="s">
        <v>77</v>
      </c>
      <c r="W212" s="24" t="s">
        <v>79</v>
      </c>
      <c r="X212" s="24" t="s">
        <v>93</v>
      </c>
      <c r="Y212" s="24" t="s">
        <v>56</v>
      </c>
      <c r="Z212" s="24" t="s">
        <v>64</v>
      </c>
      <c r="AA212" s="24" t="s">
        <v>826</v>
      </c>
      <c r="AB212" s="24" t="s">
        <v>56</v>
      </c>
      <c r="AC212" s="24" t="s">
        <v>830</v>
      </c>
    </row>
    <row r="213" spans="1:29">
      <c r="A213" s="30" t="s">
        <v>831</v>
      </c>
      <c r="B213" s="30" t="str">
        <f>IF(ISNUMBER(SEARCH(E213,A213)),A213,IF(OR(E213="",E213=""),A213,A213&amp;" - "&amp;E213))</f>
        <v>420 Evolution 27/1 CA WES - Wedding Singer</v>
      </c>
      <c r="C213" s="30" t="s">
        <v>463</v>
      </c>
      <c r="D213" s="30" t="s">
        <v>464</v>
      </c>
      <c r="E213" s="30" t="s">
        <v>832</v>
      </c>
      <c r="F213" s="30" t="s">
        <v>86</v>
      </c>
      <c r="G213" s="34">
        <v>27</v>
      </c>
      <c r="H213" s="35">
        <v>1</v>
      </c>
      <c r="I213" s="30"/>
      <c r="J213" s="30"/>
      <c r="K213" s="30" t="s">
        <v>52</v>
      </c>
      <c r="L213" s="30" t="s">
        <v>53</v>
      </c>
      <c r="M213" s="30" t="s">
        <v>88</v>
      </c>
      <c r="N213" s="30" t="s">
        <v>71</v>
      </c>
      <c r="O213" s="30" t="s">
        <v>55</v>
      </c>
      <c r="P213" s="30" t="s">
        <v>73</v>
      </c>
      <c r="Q213" s="30" t="s">
        <v>146</v>
      </c>
      <c r="R213" s="30" t="s">
        <v>104</v>
      </c>
      <c r="S213" s="30" t="s">
        <v>61</v>
      </c>
      <c r="T213" s="30" t="s">
        <v>62</v>
      </c>
      <c r="U213" s="30" t="s">
        <v>128</v>
      </c>
      <c r="V213" s="30" t="s">
        <v>77</v>
      </c>
      <c r="W213" s="30" t="s">
        <v>165</v>
      </c>
      <c r="X213" s="30" t="s">
        <v>129</v>
      </c>
      <c r="Y213" s="30" t="s">
        <v>833</v>
      </c>
      <c r="Z213" s="30" t="s">
        <v>64</v>
      </c>
      <c r="AA213" s="30" t="s">
        <v>468</v>
      </c>
      <c r="AB213" s="30" t="s">
        <v>56</v>
      </c>
      <c r="AC213" s="30" t="s">
        <v>834</v>
      </c>
    </row>
    <row r="214" spans="1:29">
      <c r="A214" s="24" t="s">
        <v>835</v>
      </c>
      <c r="B214" s="24" t="str">
        <f>IF(ISNUMBER(SEARCH(E214,A214)),A214,IF(OR(E214="",E214=""),A214,A214&amp;" - "&amp;E214))</f>
        <v>Demecan CRAFT GNC 24:01 - Grapes and Cream</v>
      </c>
      <c r="C214" s="24" t="s">
        <v>484</v>
      </c>
      <c r="D214" s="24" t="s">
        <v>485</v>
      </c>
      <c r="E214" s="24" t="s">
        <v>794</v>
      </c>
      <c r="F214" s="24" t="s">
        <v>86</v>
      </c>
      <c r="G214" s="27">
        <v>24</v>
      </c>
      <c r="H214" s="28">
        <v>1</v>
      </c>
      <c r="I214" s="24"/>
      <c r="J214" s="24"/>
      <c r="K214" s="24" t="s">
        <v>52</v>
      </c>
      <c r="L214" s="24" t="s">
        <v>53</v>
      </c>
      <c r="M214" s="24" t="s">
        <v>54</v>
      </c>
      <c r="N214" s="24" t="s">
        <v>121</v>
      </c>
      <c r="O214" s="24" t="s">
        <v>72</v>
      </c>
      <c r="P214" s="24" t="s">
        <v>89</v>
      </c>
      <c r="Q214" s="24" t="s">
        <v>58</v>
      </c>
      <c r="R214" s="24" t="s">
        <v>56</v>
      </c>
      <c r="S214" s="24" t="s">
        <v>106</v>
      </c>
      <c r="T214" s="24" t="s">
        <v>91</v>
      </c>
      <c r="U214" s="24" t="s">
        <v>62</v>
      </c>
      <c r="V214" s="24" t="s">
        <v>77</v>
      </c>
      <c r="W214" s="24" t="s">
        <v>107</v>
      </c>
      <c r="X214" s="24" t="s">
        <v>93</v>
      </c>
      <c r="Y214" s="24" t="s">
        <v>56</v>
      </c>
      <c r="Z214" s="24" t="s">
        <v>64</v>
      </c>
      <c r="AA214" s="24" t="s">
        <v>485</v>
      </c>
      <c r="AB214" s="24" t="s">
        <v>56</v>
      </c>
      <c r="AC214" s="24" t="s">
        <v>836</v>
      </c>
    </row>
    <row r="215" spans="1:29">
      <c r="A215" s="30" t="s">
        <v>837</v>
      </c>
      <c r="B215" s="30" t="str">
        <f>IF(ISNUMBER(SEARCH(E215,A215)),A215,IF(OR(E215="",E215=""),A215,A215&amp;" - "&amp;E215))</f>
        <v>Cannamedical Balanced forte - Mango Haze</v>
      </c>
      <c r="C215" s="30" t="s">
        <v>48</v>
      </c>
      <c r="D215" s="30" t="s">
        <v>49</v>
      </c>
      <c r="E215" s="30" t="s">
        <v>838</v>
      </c>
      <c r="F215" s="30" t="s">
        <v>86</v>
      </c>
      <c r="G215" s="34">
        <v>8</v>
      </c>
      <c r="H215" s="35">
        <v>13</v>
      </c>
      <c r="I215" s="30"/>
      <c r="J215" s="30"/>
      <c r="K215" s="30" t="s">
        <v>52</v>
      </c>
      <c r="L215" s="30" t="s">
        <v>53</v>
      </c>
      <c r="M215" s="30" t="s">
        <v>54</v>
      </c>
      <c r="N215" s="30" t="s">
        <v>88</v>
      </c>
      <c r="O215" s="30" t="s">
        <v>71</v>
      </c>
      <c r="P215" s="30" t="s">
        <v>136</v>
      </c>
      <c r="Q215" s="30" t="s">
        <v>89</v>
      </c>
      <c r="R215" s="30" t="s">
        <v>58</v>
      </c>
      <c r="S215" s="30" t="s">
        <v>91</v>
      </c>
      <c r="T215" s="30" t="s">
        <v>128</v>
      </c>
      <c r="U215" s="30" t="s">
        <v>62</v>
      </c>
      <c r="V215" s="30" t="s">
        <v>77</v>
      </c>
      <c r="W215" s="30" t="s">
        <v>635</v>
      </c>
      <c r="X215" s="30" t="s">
        <v>79</v>
      </c>
      <c r="Y215" s="30" t="s">
        <v>400</v>
      </c>
      <c r="Z215" s="30" t="s">
        <v>64</v>
      </c>
      <c r="AA215" s="30" t="s">
        <v>49</v>
      </c>
      <c r="AB215" s="30" t="s">
        <v>56</v>
      </c>
      <c r="AC215" s="30" t="s">
        <v>839</v>
      </c>
    </row>
    <row r="216" spans="1:29">
      <c r="A216" s="24" t="s">
        <v>840</v>
      </c>
      <c r="B216" s="24" t="str">
        <f>IF(ISNUMBER(SEARCH(E216,A216)),A216,IF(OR(E216="",E216=""),A216,A216&amp;" - "&amp;E216))</f>
        <v>Demecan MC Regular Drop 24:01 - Sherbet Mints</v>
      </c>
      <c r="C216" s="24" t="s">
        <v>484</v>
      </c>
      <c r="D216" s="24" t="s">
        <v>485</v>
      </c>
      <c r="E216" s="24" t="s">
        <v>841</v>
      </c>
      <c r="F216" s="24" t="s">
        <v>120</v>
      </c>
      <c r="G216" s="27">
        <v>25</v>
      </c>
      <c r="H216" s="28">
        <v>1</v>
      </c>
      <c r="I216" s="24"/>
      <c r="J216" s="24"/>
      <c r="K216" s="24" t="s">
        <v>52</v>
      </c>
      <c r="L216" s="24" t="s">
        <v>53</v>
      </c>
      <c r="M216" s="24" t="s">
        <v>72</v>
      </c>
      <c r="N216" s="24"/>
      <c r="O216" s="24" t="s">
        <v>56</v>
      </c>
      <c r="P216" s="24" t="s">
        <v>74</v>
      </c>
      <c r="Q216" s="24" t="s">
        <v>75</v>
      </c>
      <c r="R216" s="24" t="s">
        <v>59</v>
      </c>
      <c r="S216" s="24" t="s">
        <v>123</v>
      </c>
      <c r="T216" s="24" t="s">
        <v>106</v>
      </c>
      <c r="U216" s="24" t="s">
        <v>62</v>
      </c>
      <c r="V216" s="24" t="s">
        <v>77</v>
      </c>
      <c r="W216" s="24" t="s">
        <v>107</v>
      </c>
      <c r="X216" s="24" t="s">
        <v>173</v>
      </c>
      <c r="Y216" s="24" t="s">
        <v>56</v>
      </c>
      <c r="Z216" s="24" t="s">
        <v>64</v>
      </c>
      <c r="AA216" s="24" t="s">
        <v>485</v>
      </c>
      <c r="AB216" s="24" t="s">
        <v>56</v>
      </c>
      <c r="AC216" s="24" t="s">
        <v>842</v>
      </c>
    </row>
    <row r="217" spans="1:29">
      <c r="A217" s="30" t="s">
        <v>843</v>
      </c>
      <c r="B217" s="30" t="str">
        <f>IF(ISNUMBER(SEARCH(E217,A217)),A217,IF(OR(E217="",E217=""),A217,A217&amp;" - "&amp;E217))</f>
        <v>Cannamedical Indica Forte NM - Sugar Bomb Punch</v>
      </c>
      <c r="C217" s="30" t="s">
        <v>48</v>
      </c>
      <c r="D217" s="30" t="s">
        <v>49</v>
      </c>
      <c r="E217" s="30" t="s">
        <v>844</v>
      </c>
      <c r="F217" s="30" t="s">
        <v>120</v>
      </c>
      <c r="G217" s="34">
        <v>24</v>
      </c>
      <c r="H217" s="35">
        <v>1</v>
      </c>
      <c r="I217" s="30"/>
      <c r="J217" s="30"/>
      <c r="K217" s="30" t="s">
        <v>52</v>
      </c>
      <c r="L217" s="30" t="s">
        <v>145</v>
      </c>
      <c r="M217" s="30" t="s">
        <v>88</v>
      </c>
      <c r="N217" s="30" t="s">
        <v>71</v>
      </c>
      <c r="O217" s="30" t="s">
        <v>55</v>
      </c>
      <c r="P217" s="30" t="s">
        <v>74</v>
      </c>
      <c r="Q217" s="30" t="s">
        <v>75</v>
      </c>
      <c r="R217" s="30" t="s">
        <v>89</v>
      </c>
      <c r="S217" s="30" t="s">
        <v>106</v>
      </c>
      <c r="T217" s="30" t="s">
        <v>62</v>
      </c>
      <c r="U217" s="30" t="s">
        <v>128</v>
      </c>
      <c r="V217" s="30" t="s">
        <v>77</v>
      </c>
      <c r="W217" s="30" t="s">
        <v>79</v>
      </c>
      <c r="X217" s="30" t="s">
        <v>173</v>
      </c>
      <c r="Y217" s="30" t="s">
        <v>845</v>
      </c>
      <c r="Z217" s="30" t="s">
        <v>64</v>
      </c>
      <c r="AA217" s="30" t="s">
        <v>49</v>
      </c>
      <c r="AB217" s="30" t="s">
        <v>298</v>
      </c>
      <c r="AC217" s="30" t="s">
        <v>846</v>
      </c>
    </row>
    <row r="218" spans="1:29">
      <c r="A218" s="24" t="s">
        <v>847</v>
      </c>
      <c r="B218" s="24" t="str">
        <f>IF(ISNUMBER(SEARCH(E218,A218)),A218,IF(OR(E218="",E218=""),A218,A218&amp;" - "&amp;E218))</f>
        <v>420 Evolution 30/1 CA BUL - Bucket List</v>
      </c>
      <c r="C218" s="24" t="s">
        <v>463</v>
      </c>
      <c r="D218" s="24" t="s">
        <v>464</v>
      </c>
      <c r="E218" s="24" t="s">
        <v>848</v>
      </c>
      <c r="F218" s="24" t="s">
        <v>86</v>
      </c>
      <c r="G218" s="27">
        <v>30</v>
      </c>
      <c r="H218" s="28">
        <v>1</v>
      </c>
      <c r="I218" s="24"/>
      <c r="J218" s="24"/>
      <c r="K218" s="24" t="s">
        <v>52</v>
      </c>
      <c r="L218" s="24" t="s">
        <v>53</v>
      </c>
      <c r="M218" s="24" t="s">
        <v>156</v>
      </c>
      <c r="N218" s="24" t="s">
        <v>54</v>
      </c>
      <c r="O218" s="24" t="s">
        <v>111</v>
      </c>
      <c r="P218" s="24" t="s">
        <v>73</v>
      </c>
      <c r="Q218" s="24" t="s">
        <v>75</v>
      </c>
      <c r="R218" s="24" t="s">
        <v>89</v>
      </c>
      <c r="S218" s="24" t="s">
        <v>106</v>
      </c>
      <c r="T218" s="24" t="s">
        <v>76</v>
      </c>
      <c r="U218" s="24" t="s">
        <v>62</v>
      </c>
      <c r="V218" s="24" t="s">
        <v>116</v>
      </c>
      <c r="W218" s="24" t="s">
        <v>79</v>
      </c>
      <c r="X218" s="24" t="s">
        <v>107</v>
      </c>
      <c r="Y218" s="24" t="s">
        <v>849</v>
      </c>
      <c r="Z218" s="24" t="s">
        <v>64</v>
      </c>
      <c r="AA218" s="24" t="s">
        <v>468</v>
      </c>
      <c r="AB218" s="24" t="s">
        <v>56</v>
      </c>
      <c r="AC218" s="24" t="s">
        <v>850</v>
      </c>
    </row>
    <row r="219" spans="1:29">
      <c r="A219" s="30" t="s">
        <v>851</v>
      </c>
      <c r="B219" s="30" t="str">
        <f>IF(ISNUMBER(SEARCH(E219,A219)),A219,IF(OR(E219="",E219=""),A219,A219&amp;" - "&amp;E219))</f>
        <v>avaay 26/1 BCP - Black Cherry Punch</v>
      </c>
      <c r="C219" s="30" t="s">
        <v>569</v>
      </c>
      <c r="D219" s="30" t="s">
        <v>570</v>
      </c>
      <c r="E219" s="30" t="s">
        <v>685</v>
      </c>
      <c r="F219" s="30" t="s">
        <v>86</v>
      </c>
      <c r="G219" s="34">
        <v>26</v>
      </c>
      <c r="H219" s="35">
        <v>1</v>
      </c>
      <c r="I219" s="30"/>
      <c r="J219" s="30"/>
      <c r="K219" s="30" t="s">
        <v>52</v>
      </c>
      <c r="L219" s="30" t="s">
        <v>497</v>
      </c>
      <c r="M219" s="30" t="s">
        <v>71</v>
      </c>
      <c r="N219" s="30" t="s">
        <v>103</v>
      </c>
      <c r="O219" s="30" t="s">
        <v>121</v>
      </c>
      <c r="P219" s="30" t="s">
        <v>104</v>
      </c>
      <c r="Q219" s="30" t="s">
        <v>89</v>
      </c>
      <c r="R219" s="30" t="s">
        <v>58</v>
      </c>
      <c r="S219" s="30" t="s">
        <v>123</v>
      </c>
      <c r="T219" s="30" t="s">
        <v>106</v>
      </c>
      <c r="U219" s="30" t="s">
        <v>62</v>
      </c>
      <c r="V219" s="30" t="s">
        <v>77</v>
      </c>
      <c r="W219" s="30" t="s">
        <v>116</v>
      </c>
      <c r="X219" s="30" t="s">
        <v>79</v>
      </c>
      <c r="Y219" s="30" t="s">
        <v>130</v>
      </c>
      <c r="Z219" s="30" t="s">
        <v>64</v>
      </c>
      <c r="AA219" s="30" t="s">
        <v>572</v>
      </c>
      <c r="AB219" s="30" t="s">
        <v>56</v>
      </c>
      <c r="AC219" s="30" t="s">
        <v>852</v>
      </c>
    </row>
    <row r="220" spans="1:29">
      <c r="A220" s="24" t="s">
        <v>853</v>
      </c>
      <c r="B220" s="24" t="str">
        <f>IF(ISNUMBER(SEARCH(E220,A220)),A220,IF(OR(E220="",E220=""),A220,A220&amp;" - "&amp;E220))</f>
        <v>avaay 20/1 CK - Critical Kush</v>
      </c>
      <c r="C220" s="24" t="s">
        <v>569</v>
      </c>
      <c r="D220" s="24" t="s">
        <v>570</v>
      </c>
      <c r="E220" s="24" t="s">
        <v>571</v>
      </c>
      <c r="F220" s="24" t="s">
        <v>86</v>
      </c>
      <c r="G220" s="27">
        <v>20</v>
      </c>
      <c r="H220" s="28">
        <v>1</v>
      </c>
      <c r="I220" s="24"/>
      <c r="J220" s="24"/>
      <c r="K220" s="24" t="s">
        <v>52</v>
      </c>
      <c r="L220" s="24" t="s">
        <v>497</v>
      </c>
      <c r="M220" s="24" t="s">
        <v>103</v>
      </c>
      <c r="N220" s="24" t="s">
        <v>121</v>
      </c>
      <c r="O220" s="24" t="s">
        <v>72</v>
      </c>
      <c r="P220" s="24" t="s">
        <v>74</v>
      </c>
      <c r="Q220" s="24" t="s">
        <v>113</v>
      </c>
      <c r="R220" s="24" t="s">
        <v>59</v>
      </c>
      <c r="S220" s="24" t="s">
        <v>106</v>
      </c>
      <c r="T220" s="24" t="s">
        <v>128</v>
      </c>
      <c r="U220" s="24" t="s">
        <v>62</v>
      </c>
      <c r="V220" s="24" t="s">
        <v>77</v>
      </c>
      <c r="W220" s="24" t="s">
        <v>107</v>
      </c>
      <c r="X220" s="24" t="s">
        <v>56</v>
      </c>
      <c r="Y220" s="24" t="s">
        <v>283</v>
      </c>
      <c r="Z220" s="24" t="s">
        <v>64</v>
      </c>
      <c r="AA220" s="24" t="s">
        <v>572</v>
      </c>
      <c r="AB220" s="24" t="s">
        <v>56</v>
      </c>
      <c r="AC220" s="24" t="s">
        <v>854</v>
      </c>
    </row>
    <row r="221" spans="1:29">
      <c r="A221" s="30" t="s">
        <v>855</v>
      </c>
      <c r="B221" s="30" t="str">
        <f>IF(ISNUMBER(SEARCH(E221,A221)),A221,IF(OR(E221="",E221=""),A221,A221&amp;" - "&amp;E221))</f>
        <v>420 Natural 19/1 CA TRP - Tropicana Cookies</v>
      </c>
      <c r="C221" s="30" t="s">
        <v>463</v>
      </c>
      <c r="D221" s="30" t="s">
        <v>464</v>
      </c>
      <c r="E221" s="30" t="s">
        <v>624</v>
      </c>
      <c r="F221" s="30" t="s">
        <v>86</v>
      </c>
      <c r="G221" s="34">
        <v>19</v>
      </c>
      <c r="H221" s="35">
        <v>1</v>
      </c>
      <c r="I221" s="30"/>
      <c r="J221" s="30"/>
      <c r="K221" s="30" t="s">
        <v>52</v>
      </c>
      <c r="L221" s="30" t="s">
        <v>53</v>
      </c>
      <c r="M221" s="30" t="s">
        <v>54</v>
      </c>
      <c r="N221" s="30" t="s">
        <v>111</v>
      </c>
      <c r="O221" s="30" t="s">
        <v>55</v>
      </c>
      <c r="P221" s="30" t="s">
        <v>136</v>
      </c>
      <c r="Q221" s="30" t="s">
        <v>57</v>
      </c>
      <c r="R221" s="30" t="s">
        <v>75</v>
      </c>
      <c r="S221" s="30" t="s">
        <v>123</v>
      </c>
      <c r="T221" s="30" t="s">
        <v>106</v>
      </c>
      <c r="U221" s="30" t="s">
        <v>128</v>
      </c>
      <c r="V221" s="30" t="s">
        <v>77</v>
      </c>
      <c r="W221" s="30" t="s">
        <v>79</v>
      </c>
      <c r="X221" s="30" t="s">
        <v>93</v>
      </c>
      <c r="Y221" s="30" t="s">
        <v>56</v>
      </c>
      <c r="Z221" s="30" t="s">
        <v>64</v>
      </c>
      <c r="AA221" s="30" t="s">
        <v>468</v>
      </c>
      <c r="AB221" s="30" t="s">
        <v>56</v>
      </c>
      <c r="AC221" s="30" t="s">
        <v>856</v>
      </c>
    </row>
    <row r="222" spans="1:29">
      <c r="A222" s="24" t="s">
        <v>857</v>
      </c>
      <c r="B222" s="24" t="str">
        <f>IF(ISNUMBER(SEARCH(E222,A222)),A222,IF(OR(E222="",E222=""),A222,A222&amp;" - "&amp;E222))</f>
        <v>Cannamedical Hybrid forte PH - THC Bomb</v>
      </c>
      <c r="C222" s="24" t="s">
        <v>48</v>
      </c>
      <c r="D222" s="24" t="s">
        <v>49</v>
      </c>
      <c r="E222" s="24" t="s">
        <v>858</v>
      </c>
      <c r="F222" s="24" t="s">
        <v>86</v>
      </c>
      <c r="G222" s="27">
        <v>24</v>
      </c>
      <c r="H222" s="28">
        <v>1</v>
      </c>
      <c r="I222" s="24"/>
      <c r="J222" s="24"/>
      <c r="K222" s="24" t="s">
        <v>52</v>
      </c>
      <c r="L222" s="24" t="s">
        <v>53</v>
      </c>
      <c r="M222" s="24" t="s">
        <v>88</v>
      </c>
      <c r="N222" s="24" t="s">
        <v>103</v>
      </c>
      <c r="O222" s="24" t="s">
        <v>55</v>
      </c>
      <c r="P222" s="24" t="s">
        <v>74</v>
      </c>
      <c r="Q222" s="24" t="s">
        <v>75</v>
      </c>
      <c r="R222" s="24" t="s">
        <v>56</v>
      </c>
      <c r="S222" s="24" t="s">
        <v>106</v>
      </c>
      <c r="T222" s="24" t="s">
        <v>62</v>
      </c>
      <c r="U222" s="24" t="s">
        <v>128</v>
      </c>
      <c r="V222" s="24" t="s">
        <v>116</v>
      </c>
      <c r="W222" s="24" t="s">
        <v>165</v>
      </c>
      <c r="X222" s="24" t="s">
        <v>107</v>
      </c>
      <c r="Y222" s="24" t="s">
        <v>56</v>
      </c>
      <c r="Z222" s="24" t="s">
        <v>64</v>
      </c>
      <c r="AA222" s="24" t="s">
        <v>49</v>
      </c>
      <c r="AB222" s="24" t="s">
        <v>56</v>
      </c>
      <c r="AC222" s="24" t="s">
        <v>859</v>
      </c>
    </row>
    <row r="223" spans="1:29">
      <c r="A223" s="30" t="s">
        <v>750</v>
      </c>
      <c r="B223" s="30" t="str">
        <f>IF(ISNUMBER(SEARCH(E223,A223)),A223,IF(OR(E223="",E223=""),A223,A223&amp;" - "&amp;E223))</f>
        <v>Cannamedical Hybrid forte - Gorilla Mints</v>
      </c>
      <c r="C223" s="30" t="s">
        <v>48</v>
      </c>
      <c r="D223" s="30" t="s">
        <v>49</v>
      </c>
      <c r="E223" s="30" t="s">
        <v>860</v>
      </c>
      <c r="F223" s="30" t="s">
        <v>86</v>
      </c>
      <c r="G223" s="34">
        <v>24</v>
      </c>
      <c r="H223" s="35">
        <v>1</v>
      </c>
      <c r="I223" s="30"/>
      <c r="J223" s="30"/>
      <c r="K223" s="30" t="s">
        <v>17</v>
      </c>
      <c r="L223" s="30" t="s">
        <v>53</v>
      </c>
      <c r="M223" s="30" t="s">
        <v>111</v>
      </c>
      <c r="N223" s="30" t="s">
        <v>88</v>
      </c>
      <c r="O223" s="30" t="s">
        <v>72</v>
      </c>
      <c r="P223" s="30" t="s">
        <v>112</v>
      </c>
      <c r="Q223" s="30" t="s">
        <v>74</v>
      </c>
      <c r="R223" s="30" t="s">
        <v>89</v>
      </c>
      <c r="S223" s="30" t="s">
        <v>123</v>
      </c>
      <c r="T223" s="30" t="s">
        <v>106</v>
      </c>
      <c r="U223" s="30" t="s">
        <v>128</v>
      </c>
      <c r="V223" s="30" t="s">
        <v>56</v>
      </c>
      <c r="W223" s="30"/>
      <c r="X223" s="30" t="s">
        <v>56</v>
      </c>
      <c r="Y223" s="30" t="s">
        <v>487</v>
      </c>
      <c r="Z223" s="30" t="s">
        <v>64</v>
      </c>
      <c r="AA223" s="30" t="s">
        <v>49</v>
      </c>
      <c r="AB223" s="30" t="s">
        <v>56</v>
      </c>
      <c r="AC223" s="30" t="s">
        <v>861</v>
      </c>
    </row>
    <row r="224" spans="1:29">
      <c r="A224" s="24" t="s">
        <v>862</v>
      </c>
      <c r="B224" s="24" t="str">
        <f>IF(ISNUMBER(SEARCH(E224,A224)),A224,IF(OR(E224="",E224=""),A224,A224&amp;" - "&amp;E224))</f>
        <v>Drapalin 1/17 - Maluti CBD</v>
      </c>
      <c r="C224" s="24" t="s">
        <v>668</v>
      </c>
      <c r="D224" s="24" t="s">
        <v>669</v>
      </c>
      <c r="E224" s="24" t="s">
        <v>863</v>
      </c>
      <c r="F224" s="24" t="s">
        <v>86</v>
      </c>
      <c r="G224" s="27">
        <v>1</v>
      </c>
      <c r="H224" s="28">
        <v>17</v>
      </c>
      <c r="I224" s="24"/>
      <c r="J224" s="24"/>
      <c r="K224" s="24" t="s">
        <v>52</v>
      </c>
      <c r="L224" s="24" t="s">
        <v>630</v>
      </c>
      <c r="M224" s="24" t="s">
        <v>72</v>
      </c>
      <c r="N224" s="24"/>
      <c r="O224" s="24" t="s">
        <v>56</v>
      </c>
      <c r="P224" s="24" t="s">
        <v>58</v>
      </c>
      <c r="Q224" s="24" t="s">
        <v>56</v>
      </c>
      <c r="R224" s="24" t="s">
        <v>56</v>
      </c>
      <c r="S224" s="24" t="s">
        <v>91</v>
      </c>
      <c r="T224" s="24" t="s">
        <v>76</v>
      </c>
      <c r="U224" s="24" t="s">
        <v>128</v>
      </c>
      <c r="V224" s="24" t="s">
        <v>116</v>
      </c>
      <c r="W224" s="24" t="s">
        <v>165</v>
      </c>
      <c r="X224" s="24" t="s">
        <v>138</v>
      </c>
      <c r="Y224" s="24" t="s">
        <v>56</v>
      </c>
      <c r="Z224" s="24" t="s">
        <v>64</v>
      </c>
      <c r="AA224" s="24" t="s">
        <v>671</v>
      </c>
      <c r="AB224" s="24" t="s">
        <v>672</v>
      </c>
      <c r="AC224" s="24" t="s">
        <v>864</v>
      </c>
    </row>
    <row r="225" spans="1:29">
      <c r="A225" s="30" t="s">
        <v>865</v>
      </c>
      <c r="B225" s="30" t="str">
        <f>IF(ISNUMBER(SEARCH(E225,A225)),A225,IF(OR(E225="",E225=""),A225,A225&amp;" - "&amp;E225))</f>
        <v>KEJF. SKR 23/1 - Siggis Kirsche</v>
      </c>
      <c r="C225" s="30" t="s">
        <v>822</v>
      </c>
      <c r="D225" s="30" t="s">
        <v>823</v>
      </c>
      <c r="E225" s="30" t="s">
        <v>866</v>
      </c>
      <c r="F225" s="30" t="s">
        <v>86</v>
      </c>
      <c r="G225" s="34">
        <v>22</v>
      </c>
      <c r="H225" s="35">
        <v>1</v>
      </c>
      <c r="I225" s="30"/>
      <c r="J225" s="30"/>
      <c r="K225" s="30" t="s">
        <v>52</v>
      </c>
      <c r="L225" s="30" t="s">
        <v>53</v>
      </c>
      <c r="M225" s="30" t="s">
        <v>88</v>
      </c>
      <c r="N225" s="30" t="s">
        <v>103</v>
      </c>
      <c r="O225" s="30" t="s">
        <v>178</v>
      </c>
      <c r="P225" s="30" t="s">
        <v>74</v>
      </c>
      <c r="Q225" s="30" t="s">
        <v>75</v>
      </c>
      <c r="R225" s="30" t="s">
        <v>89</v>
      </c>
      <c r="S225" s="30" t="s">
        <v>106</v>
      </c>
      <c r="T225" s="30" t="s">
        <v>493</v>
      </c>
      <c r="U225" s="30" t="s">
        <v>128</v>
      </c>
      <c r="V225" s="30" t="s">
        <v>77</v>
      </c>
      <c r="W225" s="30" t="s">
        <v>116</v>
      </c>
      <c r="X225" s="30" t="s">
        <v>79</v>
      </c>
      <c r="Y225" s="30" t="s">
        <v>56</v>
      </c>
      <c r="Z225" s="30" t="s">
        <v>64</v>
      </c>
      <c r="AA225" s="30" t="s">
        <v>826</v>
      </c>
      <c r="AB225" s="30" t="s">
        <v>56</v>
      </c>
      <c r="AC225" s="30" t="s">
        <v>867</v>
      </c>
    </row>
    <row r="226" spans="1:29">
      <c r="A226" s="24" t="s">
        <v>868</v>
      </c>
      <c r="B226" s="24" t="str">
        <f>IF(ISNUMBER(SEARCH(E226,A226)),A226,IF(OR(E226="",E226=""),A226,A226&amp;" - "&amp;E226))</f>
        <v>CNBS Gelo 20/1 - Gelonade</v>
      </c>
      <c r="C226" s="24" t="s">
        <v>822</v>
      </c>
      <c r="D226" s="24" t="s">
        <v>823</v>
      </c>
      <c r="E226" s="24" t="s">
        <v>869</v>
      </c>
      <c r="F226" s="24" t="s">
        <v>86</v>
      </c>
      <c r="G226" s="27">
        <v>20</v>
      </c>
      <c r="H226" s="28">
        <v>1</v>
      </c>
      <c r="I226" s="24"/>
      <c r="J226" s="24"/>
      <c r="K226" s="24" t="s">
        <v>52</v>
      </c>
      <c r="L226" s="24" t="s">
        <v>53</v>
      </c>
      <c r="M226" s="24" t="s">
        <v>156</v>
      </c>
      <c r="N226" s="24" t="s">
        <v>88</v>
      </c>
      <c r="O226" s="24" t="s">
        <v>55</v>
      </c>
      <c r="P226" s="24" t="s">
        <v>57</v>
      </c>
      <c r="Q226" s="24" t="s">
        <v>113</v>
      </c>
      <c r="R226" s="24" t="s">
        <v>75</v>
      </c>
      <c r="S226" s="24" t="s">
        <v>106</v>
      </c>
      <c r="T226" s="24" t="s">
        <v>62</v>
      </c>
      <c r="U226" s="24" t="s">
        <v>56</v>
      </c>
      <c r="V226" s="24" t="s">
        <v>77</v>
      </c>
      <c r="W226" s="24" t="s">
        <v>116</v>
      </c>
      <c r="X226" s="24" t="s">
        <v>129</v>
      </c>
      <c r="Y226" s="24" t="s">
        <v>870</v>
      </c>
      <c r="Z226" s="24" t="s">
        <v>64</v>
      </c>
      <c r="AA226" s="24" t="s">
        <v>826</v>
      </c>
      <c r="AB226" s="24" t="s">
        <v>56</v>
      </c>
      <c r="AC226" s="24" t="s">
        <v>871</v>
      </c>
    </row>
    <row r="227" spans="1:29">
      <c r="A227" s="30" t="s">
        <v>872</v>
      </c>
      <c r="B227" s="30" t="str">
        <f>IF(ISNUMBER(SEARCH(E227,A227)),A227,IF(OR(E227="",E227=""),A227,A227&amp;" - "&amp;E227))</f>
        <v>KEjF. WRM 21/1 - White Runtz x Menthol</v>
      </c>
      <c r="C227" s="30" t="s">
        <v>822</v>
      </c>
      <c r="D227" s="30" t="s">
        <v>823</v>
      </c>
      <c r="E227" s="30" t="s">
        <v>873</v>
      </c>
      <c r="F227" s="30" t="s">
        <v>86</v>
      </c>
      <c r="G227" s="34">
        <v>20</v>
      </c>
      <c r="H227" s="35">
        <v>1</v>
      </c>
      <c r="I227" s="30"/>
      <c r="J227" s="30"/>
      <c r="K227" s="30" t="s">
        <v>52</v>
      </c>
      <c r="L227" s="30" t="s">
        <v>53</v>
      </c>
      <c r="M227" s="30" t="s">
        <v>72</v>
      </c>
      <c r="N227" s="30"/>
      <c r="O227" s="30" t="s">
        <v>56</v>
      </c>
      <c r="P227" s="30" t="s">
        <v>146</v>
      </c>
      <c r="Q227" s="30" t="s">
        <v>104</v>
      </c>
      <c r="R227" s="30" t="s">
        <v>74</v>
      </c>
      <c r="S227" s="30" t="s">
        <v>123</v>
      </c>
      <c r="T227" s="30" t="s">
        <v>106</v>
      </c>
      <c r="U227" s="30" t="s">
        <v>128</v>
      </c>
      <c r="V227" s="30" t="s">
        <v>77</v>
      </c>
      <c r="W227" s="30" t="s">
        <v>107</v>
      </c>
      <c r="X227" s="30" t="s">
        <v>93</v>
      </c>
      <c r="Y227" s="30" t="s">
        <v>581</v>
      </c>
      <c r="Z227" s="30" t="s">
        <v>64</v>
      </c>
      <c r="AA227" s="30" t="s">
        <v>826</v>
      </c>
      <c r="AB227" s="30" t="s">
        <v>56</v>
      </c>
      <c r="AC227" s="30" t="s">
        <v>874</v>
      </c>
    </row>
    <row r="228" spans="1:29">
      <c r="A228" s="24" t="s">
        <v>875</v>
      </c>
      <c r="B228" s="24" t="str">
        <f>IF(ISNUMBER(SEARCH(E228,A228)),A228,IF(OR(E228="",E228=""),A228,A228&amp;" - "&amp;E228))</f>
        <v>Canopy HSK 8/7 - CBD Skunk Haze</v>
      </c>
      <c r="C228" s="24" t="s">
        <v>547</v>
      </c>
      <c r="D228" s="24" t="s">
        <v>548</v>
      </c>
      <c r="E228" s="24" t="s">
        <v>876</v>
      </c>
      <c r="F228" s="24" t="s">
        <v>86</v>
      </c>
      <c r="G228" s="27">
        <v>8</v>
      </c>
      <c r="H228" s="28">
        <v>7.0000000000000009</v>
      </c>
      <c r="I228" s="24"/>
      <c r="J228" s="24"/>
      <c r="K228" s="24" t="s">
        <v>17</v>
      </c>
      <c r="L228" s="24" t="s">
        <v>53</v>
      </c>
      <c r="M228" s="24" t="s">
        <v>71</v>
      </c>
      <c r="N228" s="24" t="s">
        <v>72</v>
      </c>
      <c r="O228" s="24" t="s">
        <v>56</v>
      </c>
      <c r="P228" s="24" t="s">
        <v>56</v>
      </c>
      <c r="Q228" s="24" t="s">
        <v>56</v>
      </c>
      <c r="R228" s="24" t="s">
        <v>56</v>
      </c>
      <c r="S228" s="24" t="s">
        <v>203</v>
      </c>
      <c r="T228" s="24" t="s">
        <v>76</v>
      </c>
      <c r="U228" s="24" t="s">
        <v>62</v>
      </c>
      <c r="V228" s="24" t="s">
        <v>77</v>
      </c>
      <c r="W228" s="24" t="s">
        <v>107</v>
      </c>
      <c r="X228" s="24" t="s">
        <v>56</v>
      </c>
      <c r="Y228" s="24" t="s">
        <v>877</v>
      </c>
      <c r="Z228" s="24" t="s">
        <v>64</v>
      </c>
      <c r="AA228" s="24" t="s">
        <v>551</v>
      </c>
      <c r="AB228" s="24" t="s">
        <v>56</v>
      </c>
      <c r="AC228" s="24" t="s">
        <v>878</v>
      </c>
    </row>
    <row r="229" spans="1:29">
      <c r="A229" s="30" t="s">
        <v>879</v>
      </c>
      <c r="B229" s="30" t="str">
        <f>IF(ISNUMBER(SEARCH(E229,A229)),A229,IF(OR(E229="",E229=""),A229,A229&amp;" - "&amp;E229))</f>
        <v>Bediol - Elida</v>
      </c>
      <c r="C229" s="30" t="s">
        <v>880</v>
      </c>
      <c r="D229" s="30" t="s">
        <v>881</v>
      </c>
      <c r="E229" s="30" t="s">
        <v>882</v>
      </c>
      <c r="F229" s="30" t="s">
        <v>69</v>
      </c>
      <c r="G229" s="34">
        <v>6</v>
      </c>
      <c r="H229" s="35">
        <v>8</v>
      </c>
      <c r="I229" s="30"/>
      <c r="J229" s="30"/>
      <c r="K229" s="30" t="s">
        <v>17</v>
      </c>
      <c r="L229" s="30" t="s">
        <v>883</v>
      </c>
      <c r="M229" s="30" t="s">
        <v>56</v>
      </c>
      <c r="N229" s="30"/>
      <c r="O229" s="30" t="s">
        <v>56</v>
      </c>
      <c r="P229" s="30" t="s">
        <v>136</v>
      </c>
      <c r="Q229" s="30" t="s">
        <v>74</v>
      </c>
      <c r="R229" s="30" t="s">
        <v>75</v>
      </c>
      <c r="S229" s="30" t="s">
        <v>90</v>
      </c>
      <c r="T229" s="30" t="s">
        <v>147</v>
      </c>
      <c r="U229" s="30" t="s">
        <v>91</v>
      </c>
      <c r="V229" s="30" t="s">
        <v>77</v>
      </c>
      <c r="W229" s="30" t="s">
        <v>165</v>
      </c>
      <c r="X229" s="30" t="s">
        <v>79</v>
      </c>
      <c r="Y229" s="30" t="s">
        <v>884</v>
      </c>
      <c r="Z229" s="30" t="s">
        <v>64</v>
      </c>
      <c r="AA229" s="30" t="s">
        <v>881</v>
      </c>
      <c r="AB229" s="30" t="s">
        <v>56</v>
      </c>
      <c r="AC229" s="30" t="s">
        <v>885</v>
      </c>
    </row>
    <row r="230" spans="1:29">
      <c r="A230" s="24" t="s">
        <v>886</v>
      </c>
      <c r="B230" s="24" t="str">
        <f>IF(ISNUMBER(SEARCH(E230,A230)),A230,IF(OR(E230="",E230=""),A230,A230&amp;" - "&amp;E230))</f>
        <v>Oceanic BC 25/1 - Black Cookies</v>
      </c>
      <c r="C230" s="24" t="s">
        <v>564</v>
      </c>
      <c r="D230" s="24" t="s">
        <v>565</v>
      </c>
      <c r="E230" s="24" t="s">
        <v>887</v>
      </c>
      <c r="F230" s="24" t="s">
        <v>120</v>
      </c>
      <c r="G230" s="27">
        <v>25</v>
      </c>
      <c r="H230" s="28">
        <v>1</v>
      </c>
      <c r="I230" s="24"/>
      <c r="J230" s="24"/>
      <c r="K230" s="24" t="s">
        <v>52</v>
      </c>
      <c r="L230" s="24" t="s">
        <v>53</v>
      </c>
      <c r="M230" s="24" t="s">
        <v>71</v>
      </c>
      <c r="N230" s="24" t="s">
        <v>72</v>
      </c>
      <c r="O230" s="24" t="s">
        <v>56</v>
      </c>
      <c r="P230" s="24" t="s">
        <v>73</v>
      </c>
      <c r="Q230" s="24" t="s">
        <v>146</v>
      </c>
      <c r="R230" s="24" t="s">
        <v>74</v>
      </c>
      <c r="S230" s="24" t="s">
        <v>105</v>
      </c>
      <c r="T230" s="24" t="s">
        <v>147</v>
      </c>
      <c r="U230" s="24" t="s">
        <v>106</v>
      </c>
      <c r="V230" s="24" t="s">
        <v>77</v>
      </c>
      <c r="W230" s="24" t="s">
        <v>107</v>
      </c>
      <c r="X230" s="24" t="s">
        <v>56</v>
      </c>
      <c r="Y230" s="24" t="s">
        <v>130</v>
      </c>
      <c r="Z230" s="24" t="s">
        <v>64</v>
      </c>
      <c r="AA230" s="24" t="s">
        <v>565</v>
      </c>
      <c r="AB230" s="24" t="s">
        <v>56</v>
      </c>
      <c r="AC230" s="24" t="s">
        <v>888</v>
      </c>
    </row>
    <row r="231" spans="1:29">
      <c r="A231" s="30" t="s">
        <v>889</v>
      </c>
      <c r="B231" s="30" t="str">
        <f>IF(ISNUMBER(SEARCH(E231,A231)),A231,IF(OR(E231="",E231=""),A231,A231&amp;" - "&amp;E231))</f>
        <v>enua 30/1 DSH CA - Dark Shadow Haze</v>
      </c>
      <c r="C231" s="30" t="s">
        <v>650</v>
      </c>
      <c r="D231" s="30" t="s">
        <v>651</v>
      </c>
      <c r="E231" s="30" t="s">
        <v>890</v>
      </c>
      <c r="F231" s="30" t="s">
        <v>86</v>
      </c>
      <c r="G231" s="34">
        <v>30</v>
      </c>
      <c r="H231" s="35">
        <v>1</v>
      </c>
      <c r="I231" s="30"/>
      <c r="J231" s="30"/>
      <c r="K231" s="30" t="s">
        <v>52</v>
      </c>
      <c r="L231" s="30" t="s">
        <v>53</v>
      </c>
      <c r="M231" s="30" t="s">
        <v>111</v>
      </c>
      <c r="N231" s="30" t="s">
        <v>88</v>
      </c>
      <c r="O231" s="30" t="s">
        <v>55</v>
      </c>
      <c r="P231" s="30" t="s">
        <v>75</v>
      </c>
      <c r="Q231" s="30" t="s">
        <v>58</v>
      </c>
      <c r="R231" s="30" t="s">
        <v>56</v>
      </c>
      <c r="S231" s="30" t="s">
        <v>90</v>
      </c>
      <c r="T231" s="30" t="s">
        <v>76</v>
      </c>
      <c r="U231" s="30" t="s">
        <v>115</v>
      </c>
      <c r="V231" s="30" t="s">
        <v>92</v>
      </c>
      <c r="W231" s="30" t="s">
        <v>77</v>
      </c>
      <c r="X231" s="30" t="s">
        <v>79</v>
      </c>
      <c r="Y231" s="30" t="s">
        <v>437</v>
      </c>
      <c r="Z231" s="30" t="s">
        <v>64</v>
      </c>
      <c r="AA231" s="30" t="s">
        <v>653</v>
      </c>
      <c r="AB231" s="30" t="s">
        <v>56</v>
      </c>
      <c r="AC231" s="30" t="s">
        <v>891</v>
      </c>
    </row>
    <row r="232" spans="1:29">
      <c r="A232" s="24" t="s">
        <v>892</v>
      </c>
      <c r="B232" s="24" t="str">
        <f>IF(ISNUMBER(SEARCH(E232,A232)),A232,IF(OR(E232="",E232=""),A232,A232&amp;" - "&amp;E232))</f>
        <v>enua 25/1 CRO CA - Crescendo Cookies</v>
      </c>
      <c r="C232" s="24" t="s">
        <v>650</v>
      </c>
      <c r="D232" s="24" t="s">
        <v>651</v>
      </c>
      <c r="E232" s="24" t="s">
        <v>893</v>
      </c>
      <c r="F232" s="24" t="s">
        <v>86</v>
      </c>
      <c r="G232" s="27">
        <v>25</v>
      </c>
      <c r="H232" s="28">
        <v>1</v>
      </c>
      <c r="I232" s="24"/>
      <c r="J232" s="24"/>
      <c r="K232" s="24" t="s">
        <v>52</v>
      </c>
      <c r="L232" s="24" t="s">
        <v>53</v>
      </c>
      <c r="M232" s="24" t="s">
        <v>212</v>
      </c>
      <c r="N232" s="24" t="s">
        <v>88</v>
      </c>
      <c r="O232" s="24" t="s">
        <v>72</v>
      </c>
      <c r="P232" s="24" t="s">
        <v>113</v>
      </c>
      <c r="Q232" s="24" t="s">
        <v>89</v>
      </c>
      <c r="R232" s="24" t="s">
        <v>58</v>
      </c>
      <c r="S232" s="24" t="s">
        <v>123</v>
      </c>
      <c r="T232" s="24" t="s">
        <v>106</v>
      </c>
      <c r="U232" s="24" t="s">
        <v>128</v>
      </c>
      <c r="V232" s="24" t="s">
        <v>77</v>
      </c>
      <c r="W232" s="24" t="s">
        <v>116</v>
      </c>
      <c r="X232" s="24" t="s">
        <v>79</v>
      </c>
      <c r="Y232" s="24" t="s">
        <v>56</v>
      </c>
      <c r="Z232" s="24" t="s">
        <v>64</v>
      </c>
      <c r="AA232" s="24" t="s">
        <v>653</v>
      </c>
      <c r="AB232" s="24" t="s">
        <v>56</v>
      </c>
      <c r="AC232" s="24" t="s">
        <v>894</v>
      </c>
    </row>
    <row r="233" spans="1:29">
      <c r="A233" s="30" t="s">
        <v>895</v>
      </c>
      <c r="B233" s="30" t="str">
        <f>IF(ISNUMBER(SEARCH(E233,A233)),A233,IF(OR(E233="",E233=""),A233,A233&amp;" - "&amp;E233))</f>
        <v>enua 25/1 QSG CA - Queen SanG</v>
      </c>
      <c r="C233" s="30" t="s">
        <v>650</v>
      </c>
      <c r="D233" s="30" t="s">
        <v>651</v>
      </c>
      <c r="E233" s="30" t="s">
        <v>896</v>
      </c>
      <c r="F233" s="30" t="s">
        <v>86</v>
      </c>
      <c r="G233" s="34">
        <v>25</v>
      </c>
      <c r="H233" s="35">
        <v>1</v>
      </c>
      <c r="I233" s="30"/>
      <c r="J233" s="30"/>
      <c r="K233" s="30" t="s">
        <v>52</v>
      </c>
      <c r="L233" s="30" t="s">
        <v>53</v>
      </c>
      <c r="M233" s="30" t="s">
        <v>88</v>
      </c>
      <c r="N233" s="30" t="s">
        <v>71</v>
      </c>
      <c r="O233" s="30" t="s">
        <v>55</v>
      </c>
      <c r="P233" s="30" t="s">
        <v>73</v>
      </c>
      <c r="Q233" s="30" t="s">
        <v>75</v>
      </c>
      <c r="R233" s="30" t="s">
        <v>58</v>
      </c>
      <c r="S233" s="30" t="s">
        <v>106</v>
      </c>
      <c r="T233" s="30" t="s">
        <v>76</v>
      </c>
      <c r="U233" s="30" t="s">
        <v>62</v>
      </c>
      <c r="V233" s="30" t="s">
        <v>197</v>
      </c>
      <c r="W233" s="30" t="s">
        <v>79</v>
      </c>
      <c r="X233" s="30" t="s">
        <v>107</v>
      </c>
      <c r="Y233" s="30" t="s">
        <v>56</v>
      </c>
      <c r="Z233" s="30" t="s">
        <v>64</v>
      </c>
      <c r="AA233" s="30" t="s">
        <v>653</v>
      </c>
      <c r="AB233" s="30" t="s">
        <v>56</v>
      </c>
      <c r="AC233" s="30" t="s">
        <v>897</v>
      </c>
    </row>
    <row r="234" spans="1:29">
      <c r="A234" s="24" t="s">
        <v>898</v>
      </c>
      <c r="B234" s="24" t="str">
        <f>IF(ISNUMBER(SEARCH(E234,A234)),A234,IF(OR(E234="",E234=""),A234,A234&amp;" - "&amp;E234))</f>
        <v>Demecan Organic MC 25:01 - Cherry Mints</v>
      </c>
      <c r="C234" s="24" t="s">
        <v>484</v>
      </c>
      <c r="D234" s="24" t="s">
        <v>485</v>
      </c>
      <c r="E234" s="24" t="s">
        <v>899</v>
      </c>
      <c r="F234" s="24" t="s">
        <v>86</v>
      </c>
      <c r="G234" s="27">
        <v>25</v>
      </c>
      <c r="H234" s="28">
        <v>1</v>
      </c>
      <c r="I234" s="24"/>
      <c r="J234" s="24"/>
      <c r="K234" s="24" t="s">
        <v>52</v>
      </c>
      <c r="L234" s="24" t="s">
        <v>53</v>
      </c>
      <c r="M234" s="24" t="s">
        <v>111</v>
      </c>
      <c r="N234" s="24" t="s">
        <v>88</v>
      </c>
      <c r="O234" s="24" t="s">
        <v>55</v>
      </c>
      <c r="P234" s="24" t="s">
        <v>112</v>
      </c>
      <c r="Q234" s="24" t="s">
        <v>58</v>
      </c>
      <c r="R234" s="24" t="s">
        <v>56</v>
      </c>
      <c r="S234" s="24" t="s">
        <v>192</v>
      </c>
      <c r="T234" s="24" t="s">
        <v>106</v>
      </c>
      <c r="U234" s="24" t="s">
        <v>128</v>
      </c>
      <c r="V234" s="24" t="s">
        <v>77</v>
      </c>
      <c r="W234" s="24" t="s">
        <v>79</v>
      </c>
      <c r="X234" s="24" t="s">
        <v>93</v>
      </c>
      <c r="Y234" s="24" t="s">
        <v>56</v>
      </c>
      <c r="Z234" s="24" t="s">
        <v>64</v>
      </c>
      <c r="AA234" s="24" t="s">
        <v>485</v>
      </c>
      <c r="AB234" s="24" t="s">
        <v>900</v>
      </c>
      <c r="AC234" s="24" t="s">
        <v>901</v>
      </c>
    </row>
    <row r="235" spans="1:29">
      <c r="A235" s="30" t="s">
        <v>902</v>
      </c>
      <c r="B235" s="30" t="str">
        <f>IF(ISNUMBER(SEARCH(E235,A235)),A235,IF(OR(E235="",E235=""),A235,A235&amp;" - "&amp;E235))</f>
        <v>enua 22/1 CRO CA - Crescendo Cookies</v>
      </c>
      <c r="C235" s="30" t="s">
        <v>650</v>
      </c>
      <c r="D235" s="30" t="s">
        <v>651</v>
      </c>
      <c r="E235" s="30" t="s">
        <v>893</v>
      </c>
      <c r="F235" s="30" t="s">
        <v>86</v>
      </c>
      <c r="G235" s="34">
        <v>22</v>
      </c>
      <c r="H235" s="35">
        <v>1</v>
      </c>
      <c r="I235" s="30"/>
      <c r="J235" s="30"/>
      <c r="K235" s="30" t="s">
        <v>52</v>
      </c>
      <c r="L235" s="30" t="s">
        <v>53</v>
      </c>
      <c r="M235" s="30" t="s">
        <v>212</v>
      </c>
      <c r="N235" s="30" t="s">
        <v>88</v>
      </c>
      <c r="O235" s="30" t="s">
        <v>72</v>
      </c>
      <c r="P235" s="30" t="s">
        <v>113</v>
      </c>
      <c r="Q235" s="30" t="s">
        <v>89</v>
      </c>
      <c r="R235" s="30" t="s">
        <v>58</v>
      </c>
      <c r="S235" s="30" t="s">
        <v>123</v>
      </c>
      <c r="T235" s="30" t="s">
        <v>106</v>
      </c>
      <c r="U235" s="30" t="s">
        <v>128</v>
      </c>
      <c r="V235" s="30" t="s">
        <v>77</v>
      </c>
      <c r="W235" s="30" t="s">
        <v>116</v>
      </c>
      <c r="X235" s="30" t="s">
        <v>79</v>
      </c>
      <c r="Y235" s="30" t="s">
        <v>311</v>
      </c>
      <c r="Z235" s="30" t="s">
        <v>64</v>
      </c>
      <c r="AA235" s="30" t="s">
        <v>653</v>
      </c>
      <c r="AB235" s="30" t="s">
        <v>56</v>
      </c>
      <c r="AC235" s="30" t="s">
        <v>903</v>
      </c>
    </row>
    <row r="236" spans="1:29">
      <c r="A236" s="24" t="s">
        <v>904</v>
      </c>
      <c r="B236" s="24" t="str">
        <f>IF(ISNUMBER(SEARCH(E236,A236)),A236,IF(OR(E236="",E236=""),A236,A236&amp;" - "&amp;E236))</f>
        <v>Weeco Duke 24/1 - Purple Rain by The Gram</v>
      </c>
      <c r="C236" s="24" t="s">
        <v>905</v>
      </c>
      <c r="D236" s="24" t="s">
        <v>906</v>
      </c>
      <c r="E236" s="24" t="s">
        <v>907</v>
      </c>
      <c r="F236" s="24" t="s">
        <v>69</v>
      </c>
      <c r="G236" s="27">
        <v>24</v>
      </c>
      <c r="H236" s="28">
        <v>1</v>
      </c>
      <c r="I236" s="24"/>
      <c r="J236" s="24"/>
      <c r="K236" s="24" t="s">
        <v>17</v>
      </c>
      <c r="L236" s="24" t="s">
        <v>87</v>
      </c>
      <c r="M236" s="24" t="s">
        <v>71</v>
      </c>
      <c r="N236" s="24" t="s">
        <v>72</v>
      </c>
      <c r="O236" s="24" t="s">
        <v>56</v>
      </c>
      <c r="P236" s="24" t="s">
        <v>104</v>
      </c>
      <c r="Q236" s="24" t="s">
        <v>59</v>
      </c>
      <c r="R236" s="24" t="s">
        <v>56</v>
      </c>
      <c r="S236" s="24" t="s">
        <v>192</v>
      </c>
      <c r="T236" s="24" t="s">
        <v>147</v>
      </c>
      <c r="U236" s="24" t="s">
        <v>234</v>
      </c>
      <c r="V236" s="24" t="s">
        <v>116</v>
      </c>
      <c r="W236" s="24" t="s">
        <v>165</v>
      </c>
      <c r="X236" s="24" t="s">
        <v>129</v>
      </c>
      <c r="Y236" s="24" t="s">
        <v>908</v>
      </c>
      <c r="Z236" s="24" t="s">
        <v>64</v>
      </c>
      <c r="AA236" s="24" t="s">
        <v>906</v>
      </c>
      <c r="AB236" s="24" t="s">
        <v>56</v>
      </c>
      <c r="AC236" s="24" t="s">
        <v>909</v>
      </c>
    </row>
    <row r="237" spans="1:29">
      <c r="A237" s="30" t="s">
        <v>910</v>
      </c>
      <c r="B237" s="30" t="str">
        <f>IF(ISNUMBER(SEARCH(E237,A237)),A237,IF(OR(E237="",E237=""),A237,A237&amp;" - "&amp;E237))</f>
        <v>ADREX 21 LMOG COL - Lemon OG</v>
      </c>
      <c r="C237" s="30" t="s">
        <v>911</v>
      </c>
      <c r="D237" s="30" t="s">
        <v>912</v>
      </c>
      <c r="E237" s="30" t="s">
        <v>913</v>
      </c>
      <c r="F237" s="30" t="s">
        <v>86</v>
      </c>
      <c r="G237" s="34">
        <v>21</v>
      </c>
      <c r="H237" s="35">
        <v>1</v>
      </c>
      <c r="I237" s="30"/>
      <c r="J237" s="30"/>
      <c r="K237" s="30" t="s">
        <v>52</v>
      </c>
      <c r="L237" s="30" t="s">
        <v>202</v>
      </c>
      <c r="M237" s="30" t="s">
        <v>55</v>
      </c>
      <c r="N237" s="30" t="s">
        <v>72</v>
      </c>
      <c r="O237" s="30" t="s">
        <v>56</v>
      </c>
      <c r="P237" s="30" t="s">
        <v>75</v>
      </c>
      <c r="Q237" s="30" t="s">
        <v>58</v>
      </c>
      <c r="R237" s="30" t="s">
        <v>56</v>
      </c>
      <c r="S237" s="30" t="s">
        <v>123</v>
      </c>
      <c r="T237" s="30" t="s">
        <v>106</v>
      </c>
      <c r="U237" s="30" t="s">
        <v>62</v>
      </c>
      <c r="V237" s="30" t="s">
        <v>116</v>
      </c>
      <c r="W237" s="30" t="s">
        <v>914</v>
      </c>
      <c r="X237" s="30" t="s">
        <v>79</v>
      </c>
      <c r="Y237" s="30" t="s">
        <v>915</v>
      </c>
      <c r="Z237" s="30" t="s">
        <v>64</v>
      </c>
      <c r="AA237" s="30" t="s">
        <v>912</v>
      </c>
      <c r="AB237" s="30" t="s">
        <v>916</v>
      </c>
      <c r="AC237" s="30" t="s">
        <v>917</v>
      </c>
    </row>
    <row r="238" spans="1:29">
      <c r="A238" s="24" t="s">
        <v>918</v>
      </c>
      <c r="B238" s="24" t="str">
        <f>IF(ISNUMBER(SEARCH(E238,A238)),A238,IF(OR(E238="",E238=""),A238,A238&amp;" - "&amp;E238))</f>
        <v>Demecan CRAFT Walkie Talkie 31:01 - Sugar Cake</v>
      </c>
      <c r="C238" s="24" t="s">
        <v>484</v>
      </c>
      <c r="D238" s="24" t="s">
        <v>485</v>
      </c>
      <c r="E238" s="24" t="s">
        <v>919</v>
      </c>
      <c r="F238" s="24" t="s">
        <v>86</v>
      </c>
      <c r="G238" s="27">
        <v>31</v>
      </c>
      <c r="H238" s="28">
        <v>1</v>
      </c>
      <c r="I238" s="24"/>
      <c r="J238" s="24"/>
      <c r="K238" s="24" t="s">
        <v>52</v>
      </c>
      <c r="L238" s="24" t="s">
        <v>53</v>
      </c>
      <c r="M238" s="24" t="s">
        <v>88</v>
      </c>
      <c r="N238" s="24" t="s">
        <v>71</v>
      </c>
      <c r="O238" s="24" t="s">
        <v>103</v>
      </c>
      <c r="P238" s="24" t="s">
        <v>57</v>
      </c>
      <c r="Q238" s="24" t="s">
        <v>74</v>
      </c>
      <c r="R238" s="24" t="s">
        <v>89</v>
      </c>
      <c r="S238" s="24" t="s">
        <v>123</v>
      </c>
      <c r="T238" s="24" t="s">
        <v>106</v>
      </c>
      <c r="U238" s="24" t="s">
        <v>62</v>
      </c>
      <c r="V238" s="24" t="s">
        <v>92</v>
      </c>
      <c r="W238" s="24" t="s">
        <v>78</v>
      </c>
      <c r="X238" s="24" t="s">
        <v>138</v>
      </c>
      <c r="Y238" s="24" t="s">
        <v>920</v>
      </c>
      <c r="Z238" s="24" t="s">
        <v>64</v>
      </c>
      <c r="AA238" s="24" t="s">
        <v>485</v>
      </c>
      <c r="AB238" s="24" t="s">
        <v>56</v>
      </c>
      <c r="AC238" s="24" t="s">
        <v>921</v>
      </c>
    </row>
    <row r="239" spans="1:29">
      <c r="A239" s="30" t="s">
        <v>922</v>
      </c>
      <c r="B239" s="30" t="str">
        <f>IF(ISNUMBER(SEARCH(E239,A239)),A239,IF(OR(E239="",E239=""),A239,A239&amp;" - "&amp;E239))</f>
        <v>avaay 22/1 LSB - Lemon Sherbet</v>
      </c>
      <c r="C239" s="30" t="s">
        <v>569</v>
      </c>
      <c r="D239" s="30" t="s">
        <v>570</v>
      </c>
      <c r="E239" s="30" t="s">
        <v>923</v>
      </c>
      <c r="F239" s="30" t="s">
        <v>86</v>
      </c>
      <c r="G239" s="34">
        <v>22</v>
      </c>
      <c r="H239" s="35">
        <v>1</v>
      </c>
      <c r="I239" s="30"/>
      <c r="J239" s="30"/>
      <c r="K239" s="30" t="s">
        <v>52</v>
      </c>
      <c r="L239" s="30" t="s">
        <v>185</v>
      </c>
      <c r="M239" s="30" t="s">
        <v>88</v>
      </c>
      <c r="N239" s="30" t="s">
        <v>71</v>
      </c>
      <c r="O239" s="30" t="s">
        <v>55</v>
      </c>
      <c r="P239" s="30" t="s">
        <v>75</v>
      </c>
      <c r="Q239" s="30" t="s">
        <v>89</v>
      </c>
      <c r="R239" s="30" t="s">
        <v>58</v>
      </c>
      <c r="S239" s="30" t="s">
        <v>90</v>
      </c>
      <c r="T239" s="30" t="s">
        <v>192</v>
      </c>
      <c r="U239" s="30" t="s">
        <v>60</v>
      </c>
      <c r="V239" s="30" t="s">
        <v>77</v>
      </c>
      <c r="W239" s="30" t="s">
        <v>79</v>
      </c>
      <c r="X239" s="30" t="s">
        <v>107</v>
      </c>
      <c r="Y239" s="30" t="s">
        <v>56</v>
      </c>
      <c r="Z239" s="30" t="s">
        <v>64</v>
      </c>
      <c r="AA239" s="30" t="s">
        <v>572</v>
      </c>
      <c r="AB239" s="30" t="s">
        <v>924</v>
      </c>
      <c r="AC239" s="30" t="s">
        <v>925</v>
      </c>
    </row>
    <row r="240" spans="1:29">
      <c r="A240" s="24" t="s">
        <v>926</v>
      </c>
      <c r="B240" s="24" t="str">
        <f>IF(ISNUMBER(SEARCH(E240,A240)),A240,IF(OR(E240="",E240=""),A240,A240&amp;" - "&amp;E240))</f>
        <v>enua 22/1 Mac F CA - MacFlurry</v>
      </c>
      <c r="C240" s="24" t="s">
        <v>650</v>
      </c>
      <c r="D240" s="24" t="s">
        <v>651</v>
      </c>
      <c r="E240" s="24" t="s">
        <v>927</v>
      </c>
      <c r="F240" s="24" t="s">
        <v>86</v>
      </c>
      <c r="G240" s="27">
        <v>21</v>
      </c>
      <c r="H240" s="28">
        <v>1</v>
      </c>
      <c r="I240" s="24"/>
      <c r="J240" s="24"/>
      <c r="K240" s="24" t="s">
        <v>52</v>
      </c>
      <c r="L240" s="24" t="s">
        <v>53</v>
      </c>
      <c r="M240" s="24" t="s">
        <v>88</v>
      </c>
      <c r="N240" s="24" t="s">
        <v>121</v>
      </c>
      <c r="O240" s="24" t="s">
        <v>72</v>
      </c>
      <c r="P240" s="24" t="s">
        <v>73</v>
      </c>
      <c r="Q240" s="24" t="s">
        <v>104</v>
      </c>
      <c r="R240" s="24" t="s">
        <v>75</v>
      </c>
      <c r="S240" s="24" t="s">
        <v>90</v>
      </c>
      <c r="T240" s="24" t="s">
        <v>106</v>
      </c>
      <c r="U240" s="24" t="s">
        <v>493</v>
      </c>
      <c r="V240" s="24" t="s">
        <v>77</v>
      </c>
      <c r="W240" s="24" t="s">
        <v>116</v>
      </c>
      <c r="X240" s="24" t="s">
        <v>79</v>
      </c>
      <c r="Y240" s="24" t="s">
        <v>928</v>
      </c>
      <c r="Z240" s="24" t="s">
        <v>64</v>
      </c>
      <c r="AA240" s="24" t="s">
        <v>653</v>
      </c>
      <c r="AB240" s="24" t="s">
        <v>56</v>
      </c>
      <c r="AC240" s="24" t="s">
        <v>929</v>
      </c>
    </row>
    <row r="241" spans="1:29">
      <c r="A241" s="30" t="s">
        <v>930</v>
      </c>
      <c r="B241" s="30" t="str">
        <f>IF(ISNUMBER(SEARCH(E241,A241)),A241,IF(OR(E241="",E241=""),A241,A241&amp;" - "&amp;E241))</f>
        <v>Bathera 25/1 FC - Fine Cookies</v>
      </c>
      <c r="C241" s="30" t="s">
        <v>153</v>
      </c>
      <c r="D241" s="30" t="s">
        <v>154</v>
      </c>
      <c r="E241" s="30" t="s">
        <v>931</v>
      </c>
      <c r="F241" s="30" t="s">
        <v>51</v>
      </c>
      <c r="G241" s="34">
        <v>25</v>
      </c>
      <c r="H241" s="35">
        <v>1</v>
      </c>
      <c r="I241" s="30"/>
      <c r="J241" s="30"/>
      <c r="K241" s="30" t="s">
        <v>52</v>
      </c>
      <c r="L241" s="30" t="s">
        <v>102</v>
      </c>
      <c r="M241" s="30" t="s">
        <v>71</v>
      </c>
      <c r="N241" s="30" t="s">
        <v>121</v>
      </c>
      <c r="O241" s="30" t="s">
        <v>72</v>
      </c>
      <c r="P241" s="30" t="s">
        <v>113</v>
      </c>
      <c r="Q241" s="30" t="s">
        <v>75</v>
      </c>
      <c r="R241" s="30" t="s">
        <v>56</v>
      </c>
      <c r="S241" s="30" t="s">
        <v>147</v>
      </c>
      <c r="T241" s="30" t="s">
        <v>61</v>
      </c>
      <c r="U241" s="30" t="s">
        <v>62</v>
      </c>
      <c r="V241" s="30" t="s">
        <v>92</v>
      </c>
      <c r="W241" s="30" t="s">
        <v>77</v>
      </c>
      <c r="X241" s="30" t="s">
        <v>116</v>
      </c>
      <c r="Y241" s="30" t="s">
        <v>707</v>
      </c>
      <c r="Z241" s="30" t="s">
        <v>64</v>
      </c>
      <c r="AA241" s="30" t="s">
        <v>154</v>
      </c>
      <c r="AB241" s="30" t="s">
        <v>160</v>
      </c>
      <c r="AC241" s="36" t="s">
        <v>932</v>
      </c>
    </row>
    <row r="242" spans="1:29">
      <c r="A242" s="24" t="s">
        <v>933</v>
      </c>
      <c r="B242" s="24" t="str">
        <f>IF(ISNUMBER(SEARCH(E242,A242)),A242,IF(OR(E242="",E242=""),A242,A242&amp;" - "&amp;E242))</f>
        <v>Demecan AG Epic Drop - Guava Barz</v>
      </c>
      <c r="C242" s="24" t="s">
        <v>484</v>
      </c>
      <c r="D242" s="24" t="s">
        <v>485</v>
      </c>
      <c r="E242" s="24" t="s">
        <v>934</v>
      </c>
      <c r="F242" s="24" t="s">
        <v>86</v>
      </c>
      <c r="G242" s="27">
        <v>30</v>
      </c>
      <c r="H242" s="28">
        <v>1</v>
      </c>
      <c r="I242" s="24"/>
      <c r="J242" s="24"/>
      <c r="K242" s="24" t="s">
        <v>52</v>
      </c>
      <c r="L242" s="24" t="s">
        <v>53</v>
      </c>
      <c r="M242" s="24" t="s">
        <v>55</v>
      </c>
      <c r="N242" s="24" t="s">
        <v>72</v>
      </c>
      <c r="O242" s="24" t="s">
        <v>56</v>
      </c>
      <c r="P242" s="24" t="s">
        <v>73</v>
      </c>
      <c r="Q242" s="24" t="s">
        <v>89</v>
      </c>
      <c r="R242" s="24" t="s">
        <v>58</v>
      </c>
      <c r="S242" s="24" t="s">
        <v>466</v>
      </c>
      <c r="T242" s="24" t="s">
        <v>106</v>
      </c>
      <c r="U242" s="24" t="s">
        <v>493</v>
      </c>
      <c r="V242" s="24" t="s">
        <v>77</v>
      </c>
      <c r="W242" s="24" t="s">
        <v>107</v>
      </c>
      <c r="X242" s="24" t="s">
        <v>56</v>
      </c>
      <c r="Y242" s="24" t="s">
        <v>935</v>
      </c>
      <c r="Z242" s="24" t="s">
        <v>64</v>
      </c>
      <c r="AA242" s="24" t="s">
        <v>485</v>
      </c>
      <c r="AB242" s="24" t="s">
        <v>56</v>
      </c>
      <c r="AC242" s="24" t="s">
        <v>936</v>
      </c>
    </row>
    <row r="243" spans="1:29">
      <c r="A243" s="30" t="s">
        <v>937</v>
      </c>
      <c r="B243" s="30" t="str">
        <f>IF(ISNUMBER(SEARCH(E243,A243)),A243,IF(OR(E243="",E243=""),A243,A243&amp;" - "&amp;E243))</f>
        <v>420 Natural 20/1 CA DBB - DJ Blueberry</v>
      </c>
      <c r="C243" s="30" t="s">
        <v>463</v>
      </c>
      <c r="D243" s="30" t="s">
        <v>464</v>
      </c>
      <c r="E243" s="30" t="s">
        <v>938</v>
      </c>
      <c r="F243" s="30" t="s">
        <v>120</v>
      </c>
      <c r="G243" s="34">
        <v>20</v>
      </c>
      <c r="H243" s="35">
        <v>1</v>
      </c>
      <c r="I243" s="30"/>
      <c r="J243" s="30"/>
      <c r="K243" s="30" t="s">
        <v>52</v>
      </c>
      <c r="L243" s="30" t="s">
        <v>53</v>
      </c>
      <c r="M243" s="30" t="s">
        <v>103</v>
      </c>
      <c r="N243" s="30" t="s">
        <v>72</v>
      </c>
      <c r="O243" s="30"/>
      <c r="P243" s="30" t="s">
        <v>89</v>
      </c>
      <c r="Q243" s="30" t="s">
        <v>58</v>
      </c>
      <c r="R243" s="30" t="s">
        <v>56</v>
      </c>
      <c r="S243" s="30" t="s">
        <v>106</v>
      </c>
      <c r="T243" s="30" t="s">
        <v>203</v>
      </c>
      <c r="U243" s="30" t="s">
        <v>62</v>
      </c>
      <c r="V243" s="30" t="s">
        <v>77</v>
      </c>
      <c r="W243" s="30" t="s">
        <v>116</v>
      </c>
      <c r="X243" s="30" t="s">
        <v>79</v>
      </c>
      <c r="Y243" s="30" t="s">
        <v>56</v>
      </c>
      <c r="Z243" s="30" t="s">
        <v>64</v>
      </c>
      <c r="AA243" s="30" t="s">
        <v>468</v>
      </c>
      <c r="AB243" s="30" t="s">
        <v>56</v>
      </c>
      <c r="AC243" s="30" t="s">
        <v>939</v>
      </c>
    </row>
    <row r="244" spans="1:29">
      <c r="A244" s="24" t="s">
        <v>940</v>
      </c>
      <c r="B244" s="24" t="str">
        <f>IF(ISNUMBER(SEARCH(E244,A244)),A244,IF(OR(E244="",E244=""),A244,A244&amp;" - "&amp;E244))</f>
        <v>enua 22/1 JLSY CA - Jealousy</v>
      </c>
      <c r="C244" s="24" t="s">
        <v>650</v>
      </c>
      <c r="D244" s="24" t="s">
        <v>651</v>
      </c>
      <c r="E244" s="24" t="s">
        <v>941</v>
      </c>
      <c r="F244" s="24" t="s">
        <v>86</v>
      </c>
      <c r="G244" s="27">
        <v>22</v>
      </c>
      <c r="H244" s="28">
        <v>1</v>
      </c>
      <c r="I244" s="24"/>
      <c r="J244" s="24"/>
      <c r="K244" s="24" t="s">
        <v>52</v>
      </c>
      <c r="L244" s="24" t="s">
        <v>53</v>
      </c>
      <c r="M244" s="24" t="s">
        <v>54</v>
      </c>
      <c r="N244" s="24" t="s">
        <v>88</v>
      </c>
      <c r="O244" s="24" t="s">
        <v>55</v>
      </c>
      <c r="P244" s="24" t="s">
        <v>74</v>
      </c>
      <c r="Q244" s="24" t="s">
        <v>59</v>
      </c>
      <c r="R244" s="24" t="s">
        <v>56</v>
      </c>
      <c r="S244" s="24" t="s">
        <v>192</v>
      </c>
      <c r="T244" s="24" t="s">
        <v>147</v>
      </c>
      <c r="U244" s="24" t="s">
        <v>123</v>
      </c>
      <c r="V244" s="24" t="s">
        <v>77</v>
      </c>
      <c r="W244" s="24" t="s">
        <v>79</v>
      </c>
      <c r="X244" s="24" t="s">
        <v>173</v>
      </c>
      <c r="Y244" s="24" t="s">
        <v>424</v>
      </c>
      <c r="Z244" s="24" t="s">
        <v>64</v>
      </c>
      <c r="AA244" s="24" t="s">
        <v>653</v>
      </c>
      <c r="AB244" s="24" t="s">
        <v>56</v>
      </c>
      <c r="AC244" s="24" t="s">
        <v>942</v>
      </c>
    </row>
    <row r="245" spans="1:29">
      <c r="A245" s="30" t="s">
        <v>943</v>
      </c>
      <c r="B245" s="30" t="str">
        <f>IF(ISNUMBER(SEARCH(E245,A245)),A245,IF(OR(E245="",E245=""),A245,A245&amp;" - "&amp;E245))</f>
        <v>KEjF. SPZ 29/1 - Spritzer</v>
      </c>
      <c r="C245" s="30" t="s">
        <v>822</v>
      </c>
      <c r="D245" s="30" t="s">
        <v>823</v>
      </c>
      <c r="E245" s="30" t="s">
        <v>944</v>
      </c>
      <c r="F245" s="30" t="s">
        <v>86</v>
      </c>
      <c r="G245" s="34">
        <v>29</v>
      </c>
      <c r="H245" s="35">
        <v>1</v>
      </c>
      <c r="I245" s="30"/>
      <c r="J245" s="30"/>
      <c r="K245" s="30" t="s">
        <v>52</v>
      </c>
      <c r="L245" s="30" t="s">
        <v>53</v>
      </c>
      <c r="M245" s="30" t="s">
        <v>111</v>
      </c>
      <c r="N245" s="30" t="s">
        <v>88</v>
      </c>
      <c r="O245" s="30" t="s">
        <v>71</v>
      </c>
      <c r="P245" s="30" t="s">
        <v>74</v>
      </c>
      <c r="Q245" s="30" t="s">
        <v>75</v>
      </c>
      <c r="R245" s="30" t="s">
        <v>89</v>
      </c>
      <c r="S245" s="30" t="s">
        <v>147</v>
      </c>
      <c r="T245" s="30" t="s">
        <v>123</v>
      </c>
      <c r="U245" s="30" t="s">
        <v>106</v>
      </c>
      <c r="V245" s="30" t="s">
        <v>77</v>
      </c>
      <c r="W245" s="30" t="s">
        <v>79</v>
      </c>
      <c r="X245" s="30" t="s">
        <v>173</v>
      </c>
      <c r="Y245" s="30" t="s">
        <v>56</v>
      </c>
      <c r="Z245" s="30" t="s">
        <v>64</v>
      </c>
      <c r="AA245" s="30" t="s">
        <v>826</v>
      </c>
      <c r="AB245" s="30" t="s">
        <v>56</v>
      </c>
      <c r="AC245" s="30" t="s">
        <v>945</v>
      </c>
    </row>
    <row r="246" spans="1:29">
      <c r="A246" s="24" t="s">
        <v>946</v>
      </c>
      <c r="B246" s="24" t="str">
        <f>IF(ISNUMBER(SEARCH(E246,A246)),A246,IF(OR(E246="",E246=""),A246,A246&amp;" - "&amp;E246))</f>
        <v>CNBS FK 30/1 - Florida Kush</v>
      </c>
      <c r="C246" s="24" t="s">
        <v>822</v>
      </c>
      <c r="D246" s="24" t="s">
        <v>823</v>
      </c>
      <c r="E246" s="24" t="s">
        <v>947</v>
      </c>
      <c r="F246" s="24" t="s">
        <v>86</v>
      </c>
      <c r="G246" s="27">
        <v>30</v>
      </c>
      <c r="H246" s="28">
        <v>1</v>
      </c>
      <c r="I246" s="24"/>
      <c r="J246" s="24"/>
      <c r="K246" s="24" t="s">
        <v>52</v>
      </c>
      <c r="L246" s="24" t="s">
        <v>53</v>
      </c>
      <c r="M246" s="24" t="s">
        <v>121</v>
      </c>
      <c r="N246" s="24" t="s">
        <v>72</v>
      </c>
      <c r="O246" s="24" t="s">
        <v>56</v>
      </c>
      <c r="P246" s="24" t="s">
        <v>146</v>
      </c>
      <c r="Q246" s="24" t="s">
        <v>74</v>
      </c>
      <c r="R246" s="24" t="s">
        <v>75</v>
      </c>
      <c r="S246" s="24" t="s">
        <v>61</v>
      </c>
      <c r="T246" s="24" t="s">
        <v>76</v>
      </c>
      <c r="U246" s="24" t="s">
        <v>128</v>
      </c>
      <c r="V246" s="24" t="s">
        <v>77</v>
      </c>
      <c r="W246" s="24" t="s">
        <v>116</v>
      </c>
      <c r="X246" s="24" t="s">
        <v>79</v>
      </c>
      <c r="Y246" s="24" t="s">
        <v>581</v>
      </c>
      <c r="Z246" s="24" t="s">
        <v>64</v>
      </c>
      <c r="AA246" s="24" t="s">
        <v>826</v>
      </c>
      <c r="AB246" s="24" t="s">
        <v>56</v>
      </c>
      <c r="AC246" s="24" t="s">
        <v>948</v>
      </c>
    </row>
    <row r="247" spans="1:29">
      <c r="A247" s="30" t="s">
        <v>949</v>
      </c>
      <c r="B247" s="30" t="str">
        <f>IF(ISNUMBER(SEARCH(E247,A247)),A247,IF(OR(E247="",E247=""),A247,A247&amp;" - "&amp;E247))</f>
        <v>420 Natural 15/1 CA TRP - Tropicana Cookies</v>
      </c>
      <c r="C247" s="30" t="s">
        <v>463</v>
      </c>
      <c r="D247" s="30" t="s">
        <v>464</v>
      </c>
      <c r="E247" s="30" t="s">
        <v>624</v>
      </c>
      <c r="F247" s="30" t="s">
        <v>86</v>
      </c>
      <c r="G247" s="34">
        <v>15</v>
      </c>
      <c r="H247" s="35">
        <v>1</v>
      </c>
      <c r="I247" s="30"/>
      <c r="J247" s="30"/>
      <c r="K247" s="30" t="s">
        <v>52</v>
      </c>
      <c r="L247" s="30" t="s">
        <v>53</v>
      </c>
      <c r="M247" s="30" t="s">
        <v>54</v>
      </c>
      <c r="N247" s="30" t="s">
        <v>111</v>
      </c>
      <c r="O247" s="30" t="s">
        <v>55</v>
      </c>
      <c r="P247" s="30" t="s">
        <v>136</v>
      </c>
      <c r="Q247" s="30" t="s">
        <v>57</v>
      </c>
      <c r="R247" s="30" t="s">
        <v>75</v>
      </c>
      <c r="S247" s="30" t="s">
        <v>123</v>
      </c>
      <c r="T247" s="30" t="s">
        <v>106</v>
      </c>
      <c r="U247" s="30" t="s">
        <v>128</v>
      </c>
      <c r="V247" s="30" t="s">
        <v>77</v>
      </c>
      <c r="W247" s="30" t="s">
        <v>79</v>
      </c>
      <c r="X247" s="30" t="s">
        <v>93</v>
      </c>
      <c r="Y247" s="30" t="s">
        <v>56</v>
      </c>
      <c r="Z247" s="30" t="s">
        <v>64</v>
      </c>
      <c r="AA247" s="30" t="s">
        <v>468</v>
      </c>
      <c r="AB247" s="30" t="s">
        <v>56</v>
      </c>
      <c r="AC247" s="30" t="s">
        <v>950</v>
      </c>
    </row>
    <row r="248" spans="1:29">
      <c r="A248" s="24" t="s">
        <v>951</v>
      </c>
      <c r="B248" s="24" t="str">
        <f>IF(ISNUMBER(SEARCH(E248,A248)),A248,IF(OR(E248="",E248=""),A248,A248&amp;" - "&amp;E248))</f>
        <v>enua 22/1 BCP CA - Black Cherry Punch</v>
      </c>
      <c r="C248" s="24" t="s">
        <v>650</v>
      </c>
      <c r="D248" s="24" t="s">
        <v>651</v>
      </c>
      <c r="E248" s="24" t="s">
        <v>685</v>
      </c>
      <c r="F248" s="24" t="s">
        <v>86</v>
      </c>
      <c r="G248" s="27">
        <v>22</v>
      </c>
      <c r="H248" s="28">
        <v>1</v>
      </c>
      <c r="I248" s="24"/>
      <c r="J248" s="24"/>
      <c r="K248" s="24" t="s">
        <v>17</v>
      </c>
      <c r="L248" s="24" t="s">
        <v>53</v>
      </c>
      <c r="M248" s="24" t="s">
        <v>71</v>
      </c>
      <c r="N248" s="24" t="s">
        <v>103</v>
      </c>
      <c r="O248" s="24" t="s">
        <v>121</v>
      </c>
      <c r="P248" s="24" t="s">
        <v>104</v>
      </c>
      <c r="Q248" s="24" t="s">
        <v>89</v>
      </c>
      <c r="R248" s="24" t="s">
        <v>58</v>
      </c>
      <c r="S248" s="24" t="s">
        <v>123</v>
      </c>
      <c r="T248" s="24" t="s">
        <v>61</v>
      </c>
      <c r="U248" s="24" t="s">
        <v>62</v>
      </c>
      <c r="V248" s="24" t="s">
        <v>77</v>
      </c>
      <c r="W248" s="24" t="s">
        <v>116</v>
      </c>
      <c r="X248" s="24" t="s">
        <v>79</v>
      </c>
      <c r="Y248" s="24" t="s">
        <v>264</v>
      </c>
      <c r="Z248" s="24" t="s">
        <v>64</v>
      </c>
      <c r="AA248" s="24" t="s">
        <v>653</v>
      </c>
      <c r="AB248" s="24" t="s">
        <v>56</v>
      </c>
      <c r="AC248" s="24" t="s">
        <v>952</v>
      </c>
    </row>
    <row r="249" spans="1:29">
      <c r="A249" s="30" t="s">
        <v>953</v>
      </c>
      <c r="B249" s="30" t="str">
        <f>IF(ISNUMBER(SEARCH(E249,A249)),A249,IF(OR(E249="",E249=""),A249,A249&amp;" - "&amp;E249))</f>
        <v>Canopy KMI 28/1 - Kush Mints</v>
      </c>
      <c r="C249" s="30" t="s">
        <v>547</v>
      </c>
      <c r="D249" s="30" t="s">
        <v>548</v>
      </c>
      <c r="E249" s="30" t="s">
        <v>954</v>
      </c>
      <c r="F249" s="30" t="s">
        <v>86</v>
      </c>
      <c r="G249" s="34">
        <v>26</v>
      </c>
      <c r="H249" s="35">
        <v>1</v>
      </c>
      <c r="I249" s="30"/>
      <c r="J249" s="30"/>
      <c r="K249" s="30" t="s">
        <v>17</v>
      </c>
      <c r="L249" s="30" t="s">
        <v>53</v>
      </c>
      <c r="M249" s="30" t="s">
        <v>88</v>
      </c>
      <c r="N249" s="30" t="s">
        <v>55</v>
      </c>
      <c r="O249" s="30" t="s">
        <v>72</v>
      </c>
      <c r="P249" s="30" t="s">
        <v>591</v>
      </c>
      <c r="Q249" s="30" t="s">
        <v>112</v>
      </c>
      <c r="R249" s="30" t="s">
        <v>146</v>
      </c>
      <c r="S249" s="30" t="s">
        <v>123</v>
      </c>
      <c r="T249" s="30" t="s">
        <v>106</v>
      </c>
      <c r="U249" s="30" t="s">
        <v>62</v>
      </c>
      <c r="V249" s="30" t="s">
        <v>92</v>
      </c>
      <c r="W249" s="30" t="s">
        <v>77</v>
      </c>
      <c r="X249" s="30" t="s">
        <v>116</v>
      </c>
      <c r="Y249" s="30" t="s">
        <v>955</v>
      </c>
      <c r="Z249" s="30" t="s">
        <v>64</v>
      </c>
      <c r="AA249" s="30" t="s">
        <v>551</v>
      </c>
      <c r="AB249" s="30" t="s">
        <v>56</v>
      </c>
      <c r="AC249" s="30" t="s">
        <v>956</v>
      </c>
    </row>
    <row r="250" spans="1:29">
      <c r="A250" s="24" t="s">
        <v>957</v>
      </c>
      <c r="B250" s="24" t="str">
        <f>IF(ISNUMBER(SEARCH(E250,A250)),A250,IF(OR(E250="",E250=""),A250,A250&amp;" - "&amp;E250))</f>
        <v>Cannamedical Sativa forte NM - Wedding Tree</v>
      </c>
      <c r="C250" s="24" t="s">
        <v>48</v>
      </c>
      <c r="D250" s="24" t="s">
        <v>49</v>
      </c>
      <c r="E250" s="24" t="s">
        <v>288</v>
      </c>
      <c r="F250" s="24" t="s">
        <v>69</v>
      </c>
      <c r="G250" s="27">
        <v>24</v>
      </c>
      <c r="H250" s="28">
        <v>1</v>
      </c>
      <c r="I250" s="24"/>
      <c r="J250" s="24"/>
      <c r="K250" s="24" t="s">
        <v>52</v>
      </c>
      <c r="L250" s="24" t="s">
        <v>145</v>
      </c>
      <c r="M250" s="24" t="s">
        <v>54</v>
      </c>
      <c r="N250" s="24" t="s">
        <v>88</v>
      </c>
      <c r="O250" s="24" t="s">
        <v>71</v>
      </c>
      <c r="P250" s="24" t="s">
        <v>73</v>
      </c>
      <c r="Q250" s="24" t="s">
        <v>75</v>
      </c>
      <c r="R250" s="24" t="s">
        <v>89</v>
      </c>
      <c r="S250" s="24" t="s">
        <v>128</v>
      </c>
      <c r="T250" s="24" t="s">
        <v>62</v>
      </c>
      <c r="U250" s="24" t="s">
        <v>179</v>
      </c>
      <c r="V250" s="24" t="s">
        <v>79</v>
      </c>
      <c r="W250" s="24" t="s">
        <v>107</v>
      </c>
      <c r="X250" s="24" t="s">
        <v>173</v>
      </c>
      <c r="Y250" s="24" t="s">
        <v>581</v>
      </c>
      <c r="Z250" s="24" t="s">
        <v>64</v>
      </c>
      <c r="AA250" s="24" t="s">
        <v>49</v>
      </c>
      <c r="AB250" s="24" t="s">
        <v>56</v>
      </c>
      <c r="AC250" s="24" t="s">
        <v>958</v>
      </c>
    </row>
    <row r="251" spans="1:29">
      <c r="A251" s="30" t="s">
        <v>959</v>
      </c>
      <c r="B251" s="30" t="str">
        <f>IF(ISNUMBER(SEARCH(E251,A251)),A251,IF(OR(E251="",E251=""),A251,A251&amp;" - "&amp;E251))</f>
        <v>Cannamedical Indica light NM - OG Punch</v>
      </c>
      <c r="C251" s="30" t="s">
        <v>48</v>
      </c>
      <c r="D251" s="30" t="s">
        <v>49</v>
      </c>
      <c r="E251" s="30" t="s">
        <v>960</v>
      </c>
      <c r="F251" s="30" t="s">
        <v>120</v>
      </c>
      <c r="G251" s="34">
        <v>18</v>
      </c>
      <c r="H251" s="35">
        <v>1</v>
      </c>
      <c r="I251" s="30"/>
      <c r="J251" s="30"/>
      <c r="K251" s="30" t="s">
        <v>52</v>
      </c>
      <c r="L251" s="30" t="s">
        <v>145</v>
      </c>
      <c r="M251" s="30" t="s">
        <v>72</v>
      </c>
      <c r="N251" s="30"/>
      <c r="O251" s="30" t="s">
        <v>56</v>
      </c>
      <c r="P251" s="30" t="s">
        <v>104</v>
      </c>
      <c r="Q251" s="30" t="s">
        <v>58</v>
      </c>
      <c r="R251" s="30" t="s">
        <v>59</v>
      </c>
      <c r="S251" s="30" t="s">
        <v>123</v>
      </c>
      <c r="T251" s="30" t="s">
        <v>62</v>
      </c>
      <c r="U251" s="30" t="s">
        <v>164</v>
      </c>
      <c r="V251" s="30" t="s">
        <v>77</v>
      </c>
      <c r="W251" s="30" t="s">
        <v>116</v>
      </c>
      <c r="X251" s="30" t="s">
        <v>107</v>
      </c>
      <c r="Y251" s="30" t="s">
        <v>961</v>
      </c>
      <c r="Z251" s="30" t="s">
        <v>64</v>
      </c>
      <c r="AA251" s="30" t="s">
        <v>49</v>
      </c>
      <c r="AB251" s="30" t="s">
        <v>298</v>
      </c>
      <c r="AC251" s="30" t="s">
        <v>962</v>
      </c>
    </row>
    <row r="252" spans="1:29">
      <c r="A252" s="24" t="s">
        <v>963</v>
      </c>
      <c r="B252" s="24" t="str">
        <f>IF(ISNUMBER(SEARCH(E252,A252)),A252,IF(OR(E252="",E252=""),A252,A252&amp;" - "&amp;E252))</f>
        <v>BOTANICS Purple Cream 22/1 - Purple Ice Water</v>
      </c>
      <c r="C252" s="24" t="s">
        <v>141</v>
      </c>
      <c r="D252" s="24" t="s">
        <v>142</v>
      </c>
      <c r="E252" s="24" t="s">
        <v>964</v>
      </c>
      <c r="F252" s="24" t="s">
        <v>86</v>
      </c>
      <c r="G252" s="27">
        <v>22</v>
      </c>
      <c r="H252" s="28">
        <v>1</v>
      </c>
      <c r="I252" s="24"/>
      <c r="J252" s="24"/>
      <c r="K252" s="24" t="s">
        <v>52</v>
      </c>
      <c r="L252" s="24" t="s">
        <v>965</v>
      </c>
      <c r="M252" s="24" t="s">
        <v>54</v>
      </c>
      <c r="N252" s="24" t="s">
        <v>88</v>
      </c>
      <c r="O252" s="24" t="s">
        <v>71</v>
      </c>
      <c r="P252" s="24" t="s">
        <v>104</v>
      </c>
      <c r="Q252" s="24" t="s">
        <v>89</v>
      </c>
      <c r="R252" s="24" t="s">
        <v>58</v>
      </c>
      <c r="S252" s="24" t="s">
        <v>123</v>
      </c>
      <c r="T252" s="24" t="s">
        <v>106</v>
      </c>
      <c r="U252" s="24" t="s">
        <v>91</v>
      </c>
      <c r="V252" s="24" t="s">
        <v>77</v>
      </c>
      <c r="W252" s="24" t="s">
        <v>165</v>
      </c>
      <c r="X252" s="24" t="s">
        <v>129</v>
      </c>
      <c r="Y252" s="24" t="s">
        <v>966</v>
      </c>
      <c r="Z252" s="24" t="s">
        <v>64</v>
      </c>
      <c r="AA252" s="24" t="s">
        <v>149</v>
      </c>
      <c r="AB252" s="24" t="s">
        <v>967</v>
      </c>
      <c r="AC252" s="24" t="s">
        <v>968</v>
      </c>
    </row>
    <row r="253" spans="1:29">
      <c r="A253" s="30" t="s">
        <v>969</v>
      </c>
      <c r="B253" s="30" t="str">
        <f>IF(ISNUMBER(SEARCH(E253,A253)),A253,IF(OR(E253="",E253=""),A253,A253&amp;" - "&amp;E253))</f>
        <v>Cannamedical Sunshine Coast - Eve</v>
      </c>
      <c r="C253" s="30" t="s">
        <v>48</v>
      </c>
      <c r="D253" s="30" t="s">
        <v>49</v>
      </c>
      <c r="E253" s="30" t="s">
        <v>970</v>
      </c>
      <c r="F253" s="30" t="s">
        <v>86</v>
      </c>
      <c r="G253" s="34">
        <v>1</v>
      </c>
      <c r="H253" s="35">
        <v>11</v>
      </c>
      <c r="I253" s="30"/>
      <c r="J253" s="30"/>
      <c r="K253" s="30" t="s">
        <v>17</v>
      </c>
      <c r="L253" s="30" t="s">
        <v>70</v>
      </c>
      <c r="M253" s="30" t="s">
        <v>88</v>
      </c>
      <c r="N253" s="30" t="s">
        <v>71</v>
      </c>
      <c r="O253" s="30" t="s">
        <v>72</v>
      </c>
      <c r="P253" s="30" t="s">
        <v>157</v>
      </c>
      <c r="Q253" s="30" t="s">
        <v>104</v>
      </c>
      <c r="R253" s="30" t="s">
        <v>74</v>
      </c>
      <c r="S253" s="30" t="s">
        <v>90</v>
      </c>
      <c r="T253" s="30" t="s">
        <v>128</v>
      </c>
      <c r="U253" s="30" t="s">
        <v>62</v>
      </c>
      <c r="V253" s="30" t="s">
        <v>92</v>
      </c>
      <c r="W253" s="30" t="s">
        <v>77</v>
      </c>
      <c r="X253" s="30" t="s">
        <v>180</v>
      </c>
      <c r="Y253" s="30" t="s">
        <v>56</v>
      </c>
      <c r="Z253" s="30" t="s">
        <v>64</v>
      </c>
      <c r="AA253" s="30" t="s">
        <v>49</v>
      </c>
      <c r="AB253" s="30" t="s">
        <v>56</v>
      </c>
      <c r="AC253" s="30" t="s">
        <v>971</v>
      </c>
    </row>
    <row r="254" spans="1:29">
      <c r="A254" s="24" t="s">
        <v>972</v>
      </c>
      <c r="B254" s="24" t="str">
        <f>IF(ISNUMBER(SEARCH(E254,A254)),A254,IF(OR(E254="",E254=""),A254,A254&amp;" - "&amp;E254))</f>
        <v>Demecan Craft Sky 25:01 - Sky Pie</v>
      </c>
      <c r="C254" s="24" t="s">
        <v>484</v>
      </c>
      <c r="D254" s="24" t="s">
        <v>485</v>
      </c>
      <c r="E254" s="24" t="s">
        <v>781</v>
      </c>
      <c r="F254" s="24" t="s">
        <v>120</v>
      </c>
      <c r="G254" s="27">
        <v>25</v>
      </c>
      <c r="H254" s="28">
        <v>1</v>
      </c>
      <c r="I254" s="24"/>
      <c r="J254" s="24"/>
      <c r="K254" s="24" t="s">
        <v>52</v>
      </c>
      <c r="L254" s="24" t="s">
        <v>53</v>
      </c>
      <c r="M254" s="24" t="s">
        <v>156</v>
      </c>
      <c r="N254" s="24" t="s">
        <v>71</v>
      </c>
      <c r="O254" s="24" t="s">
        <v>55</v>
      </c>
      <c r="P254" s="24" t="s">
        <v>57</v>
      </c>
      <c r="Q254" s="24" t="s">
        <v>74</v>
      </c>
      <c r="R254" s="24" t="s">
        <v>89</v>
      </c>
      <c r="S254" s="24" t="s">
        <v>782</v>
      </c>
      <c r="T254" s="24" t="s">
        <v>123</v>
      </c>
      <c r="U254" s="24" t="s">
        <v>106</v>
      </c>
      <c r="V254" s="24" t="s">
        <v>77</v>
      </c>
      <c r="W254" s="24" t="s">
        <v>180</v>
      </c>
      <c r="X254" s="24" t="s">
        <v>79</v>
      </c>
      <c r="Y254" s="24" t="s">
        <v>80</v>
      </c>
      <c r="Z254" s="24" t="s">
        <v>64</v>
      </c>
      <c r="AA254" s="24" t="s">
        <v>485</v>
      </c>
      <c r="AB254" s="24" t="s">
        <v>56</v>
      </c>
      <c r="AC254" s="24" t="s">
        <v>973</v>
      </c>
    </row>
    <row r="255" spans="1:29">
      <c r="A255" s="30" t="s">
        <v>974</v>
      </c>
      <c r="B255" s="30" t="str">
        <f>IF(ISNUMBER(SEARCH(E255,A255)),A255,IF(OR(E255="",E255=""),A255,A255&amp;" - "&amp;E255))</f>
        <v>Remexian 22/1 - Frosted Lemon Cake</v>
      </c>
      <c r="C255" s="30" t="s">
        <v>83</v>
      </c>
      <c r="D255" s="30" t="s">
        <v>84</v>
      </c>
      <c r="E255" s="30" t="s">
        <v>85</v>
      </c>
      <c r="F255" s="30" t="s">
        <v>86</v>
      </c>
      <c r="G255" s="34">
        <v>22</v>
      </c>
      <c r="H255" s="35">
        <v>1</v>
      </c>
      <c r="I255" s="30"/>
      <c r="J255" s="30"/>
      <c r="K255" s="30" t="s">
        <v>17</v>
      </c>
      <c r="L255" s="30" t="s">
        <v>87</v>
      </c>
      <c r="M255" s="30" t="s">
        <v>88</v>
      </c>
      <c r="N255" s="30" t="s">
        <v>72</v>
      </c>
      <c r="O255" s="30" t="s">
        <v>56</v>
      </c>
      <c r="P255" s="30" t="s">
        <v>75</v>
      </c>
      <c r="Q255" s="30" t="s">
        <v>89</v>
      </c>
      <c r="R255" s="30" t="s">
        <v>56</v>
      </c>
      <c r="S255" s="30" t="s">
        <v>90</v>
      </c>
      <c r="T255" s="30" t="s">
        <v>91</v>
      </c>
      <c r="U255" s="30" t="s">
        <v>61</v>
      </c>
      <c r="V255" s="30" t="s">
        <v>92</v>
      </c>
      <c r="W255" s="30" t="s">
        <v>77</v>
      </c>
      <c r="X255" s="30" t="s">
        <v>93</v>
      </c>
      <c r="Y255" s="30" t="s">
        <v>427</v>
      </c>
      <c r="Z255" s="30" t="s">
        <v>64</v>
      </c>
      <c r="AA255" s="30" t="s">
        <v>95</v>
      </c>
      <c r="AB255" s="30" t="s">
        <v>96</v>
      </c>
      <c r="AC255" s="30" t="s">
        <v>975</v>
      </c>
    </row>
    <row r="256" spans="1:29">
      <c r="A256" s="24" t="s">
        <v>976</v>
      </c>
      <c r="B256" s="24" t="str">
        <f>IF(ISNUMBER(SEARCH(E256,A256)),A256,IF(OR(E256="",E256=""),A256,A256&amp;" - "&amp;E256))</f>
        <v>Therismos 24/1 SDK - Sensi Double Kush</v>
      </c>
      <c r="C256" s="24" t="s">
        <v>741</v>
      </c>
      <c r="D256" s="24" t="s">
        <v>742</v>
      </c>
      <c r="E256" s="24" t="s">
        <v>977</v>
      </c>
      <c r="F256" s="24" t="s">
        <v>120</v>
      </c>
      <c r="G256" s="27">
        <v>24</v>
      </c>
      <c r="H256" s="28">
        <v>1</v>
      </c>
      <c r="I256" s="24"/>
      <c r="J256" s="24"/>
      <c r="K256" s="24" t="s">
        <v>52</v>
      </c>
      <c r="L256" s="24" t="s">
        <v>53</v>
      </c>
      <c r="M256" s="24" t="s">
        <v>71</v>
      </c>
      <c r="N256" s="24" t="s">
        <v>121</v>
      </c>
      <c r="O256" s="24" t="s">
        <v>72</v>
      </c>
      <c r="P256" s="24" t="s">
        <v>146</v>
      </c>
      <c r="Q256" s="24" t="s">
        <v>104</v>
      </c>
      <c r="R256" s="24" t="s">
        <v>74</v>
      </c>
      <c r="S256" s="24" t="s">
        <v>786</v>
      </c>
      <c r="T256" s="24" t="s">
        <v>61</v>
      </c>
      <c r="U256" s="24" t="s">
        <v>62</v>
      </c>
      <c r="V256" s="24" t="s">
        <v>77</v>
      </c>
      <c r="W256" s="24" t="s">
        <v>116</v>
      </c>
      <c r="X256" s="24" t="s">
        <v>107</v>
      </c>
      <c r="Y256" s="24" t="s">
        <v>978</v>
      </c>
      <c r="Z256" s="24" t="s">
        <v>64</v>
      </c>
      <c r="AA256" s="24" t="s">
        <v>742</v>
      </c>
      <c r="AB256" s="24" t="s">
        <v>979</v>
      </c>
      <c r="AC256" s="24" t="s">
        <v>980</v>
      </c>
    </row>
    <row r="257" spans="1:29">
      <c r="A257" s="30" t="s">
        <v>981</v>
      </c>
      <c r="B257" s="30" t="str">
        <f>IF(ISNUMBER(SEARCH(E257,A257)),A257,IF(OR(E257="",E257=""),A257,A257&amp;" - "&amp;E257))</f>
        <v>Therismos 30/1 ATG - Atlantic Glue GG4</v>
      </c>
      <c r="C257" s="30" t="s">
        <v>741</v>
      </c>
      <c r="D257" s="30" t="s">
        <v>742</v>
      </c>
      <c r="E257" s="30" t="s">
        <v>982</v>
      </c>
      <c r="F257" s="30" t="s">
        <v>120</v>
      </c>
      <c r="G257" s="34">
        <v>30</v>
      </c>
      <c r="H257" s="35">
        <v>1</v>
      </c>
      <c r="I257" s="30"/>
      <c r="J257" s="30"/>
      <c r="K257" s="30" t="s">
        <v>52</v>
      </c>
      <c r="L257" s="30" t="s">
        <v>53</v>
      </c>
      <c r="M257" s="30" t="s">
        <v>54</v>
      </c>
      <c r="N257" s="30" t="s">
        <v>88</v>
      </c>
      <c r="O257" s="30" t="s">
        <v>121</v>
      </c>
      <c r="P257" s="30" t="s">
        <v>146</v>
      </c>
      <c r="Q257" s="30" t="s">
        <v>74</v>
      </c>
      <c r="R257" s="30" t="s">
        <v>89</v>
      </c>
      <c r="S257" s="30" t="s">
        <v>61</v>
      </c>
      <c r="T257" s="30" t="s">
        <v>62</v>
      </c>
      <c r="U257" s="30" t="s">
        <v>128</v>
      </c>
      <c r="V257" s="30" t="s">
        <v>77</v>
      </c>
      <c r="W257" s="30" t="s">
        <v>116</v>
      </c>
      <c r="X257" s="30" t="s">
        <v>107</v>
      </c>
      <c r="Y257" s="30" t="s">
        <v>983</v>
      </c>
      <c r="Z257" s="30" t="s">
        <v>64</v>
      </c>
      <c r="AA257" s="30" t="s">
        <v>742</v>
      </c>
      <c r="AB257" s="30" t="s">
        <v>979</v>
      </c>
      <c r="AC257" s="30" t="s">
        <v>984</v>
      </c>
    </row>
    <row r="258" spans="1:29">
      <c r="A258" s="24" t="s">
        <v>985</v>
      </c>
      <c r="B258" s="24" t="str">
        <f>IF(ISNUMBER(SEARCH(E258,A258)),A258,IF(OR(E258="",E258=""),A258,A258&amp;" - "&amp;E258))</f>
        <v>Therismos 30/1 BRB - Bruce Banner</v>
      </c>
      <c r="C258" s="24" t="s">
        <v>741</v>
      </c>
      <c r="D258" s="24" t="s">
        <v>742</v>
      </c>
      <c r="E258" s="24" t="s">
        <v>986</v>
      </c>
      <c r="F258" s="24" t="s">
        <v>69</v>
      </c>
      <c r="G258" s="27">
        <v>30</v>
      </c>
      <c r="H258" s="28">
        <v>1</v>
      </c>
      <c r="I258" s="24"/>
      <c r="J258" s="24"/>
      <c r="K258" s="24" t="s">
        <v>52</v>
      </c>
      <c r="L258" s="24" t="s">
        <v>53</v>
      </c>
      <c r="M258" s="24" t="s">
        <v>54</v>
      </c>
      <c r="N258" s="24" t="s">
        <v>55</v>
      </c>
      <c r="O258" s="24" t="s">
        <v>178</v>
      </c>
      <c r="P258" s="24" t="s">
        <v>74</v>
      </c>
      <c r="Q258" s="24" t="s">
        <v>59</v>
      </c>
      <c r="R258" s="24" t="s">
        <v>56</v>
      </c>
      <c r="S258" s="24" t="s">
        <v>123</v>
      </c>
      <c r="T258" s="24" t="s">
        <v>61</v>
      </c>
      <c r="U258" s="24" t="s">
        <v>128</v>
      </c>
      <c r="V258" s="24" t="s">
        <v>77</v>
      </c>
      <c r="W258" s="24" t="s">
        <v>79</v>
      </c>
      <c r="X258" s="24" t="s">
        <v>107</v>
      </c>
      <c r="Y258" s="24" t="s">
        <v>987</v>
      </c>
      <c r="Z258" s="24" t="s">
        <v>64</v>
      </c>
      <c r="AA258" s="24" t="s">
        <v>742</v>
      </c>
      <c r="AB258" s="24" t="s">
        <v>979</v>
      </c>
      <c r="AC258" s="24" t="s">
        <v>988</v>
      </c>
    </row>
    <row r="259" spans="1:29">
      <c r="A259" s="30" t="s">
        <v>989</v>
      </c>
      <c r="B259" s="30" t="str">
        <f>IF(ISNUMBER(SEARCH(E259,A259)),A259,IF(OR(E259="",E259=""),A259,A259&amp;" - "&amp;E259))</f>
        <v>ADREX 22/1 WM COL - Octagon Kush</v>
      </c>
      <c r="C259" s="30" t="s">
        <v>911</v>
      </c>
      <c r="D259" s="30" t="s">
        <v>912</v>
      </c>
      <c r="E259" s="30" t="s">
        <v>990</v>
      </c>
      <c r="F259" s="30" t="s">
        <v>86</v>
      </c>
      <c r="G259" s="34">
        <v>22</v>
      </c>
      <c r="H259" s="35">
        <v>1</v>
      </c>
      <c r="I259" s="30"/>
      <c r="J259" s="30"/>
      <c r="K259" s="30" t="s">
        <v>52</v>
      </c>
      <c r="L259" s="30" t="s">
        <v>202</v>
      </c>
      <c r="M259" s="30" t="s">
        <v>111</v>
      </c>
      <c r="N259" s="30" t="s">
        <v>88</v>
      </c>
      <c r="O259" s="30" t="s">
        <v>55</v>
      </c>
      <c r="P259" s="30" t="s">
        <v>73</v>
      </c>
      <c r="Q259" s="30" t="s">
        <v>157</v>
      </c>
      <c r="R259" s="30" t="s">
        <v>74</v>
      </c>
      <c r="S259" s="30" t="s">
        <v>147</v>
      </c>
      <c r="T259" s="30" t="s">
        <v>106</v>
      </c>
      <c r="U259" s="30" t="s">
        <v>62</v>
      </c>
      <c r="V259" s="30" t="s">
        <v>77</v>
      </c>
      <c r="W259" s="30" t="s">
        <v>180</v>
      </c>
      <c r="X259" s="30" t="s">
        <v>79</v>
      </c>
      <c r="Y259" s="30" t="s">
        <v>220</v>
      </c>
      <c r="Z259" s="30" t="s">
        <v>64</v>
      </c>
      <c r="AA259" s="30" t="s">
        <v>912</v>
      </c>
      <c r="AB259" s="30" t="s">
        <v>56</v>
      </c>
      <c r="AC259" s="30" t="s">
        <v>991</v>
      </c>
    </row>
    <row r="260" spans="1:29">
      <c r="A260" s="24" t="s">
        <v>992</v>
      </c>
      <c r="B260" s="24" t="str">
        <f>IF(ISNUMBER(SEARCH(E260,A260)),A260,IF(OR(E260="",E260=""),A260,A260&amp;" - "&amp;E260))</f>
        <v>Cannamedical Hybrid classic URY - White Gorilla</v>
      </c>
      <c r="C260" s="24" t="s">
        <v>48</v>
      </c>
      <c r="D260" s="24" t="s">
        <v>49</v>
      </c>
      <c r="E260" s="24" t="s">
        <v>993</v>
      </c>
      <c r="F260" s="24" t="s">
        <v>86</v>
      </c>
      <c r="G260" s="27">
        <v>22</v>
      </c>
      <c r="H260" s="28">
        <v>1</v>
      </c>
      <c r="I260" s="24"/>
      <c r="J260" s="24"/>
      <c r="K260" s="24" t="s">
        <v>52</v>
      </c>
      <c r="L260" s="24" t="s">
        <v>185</v>
      </c>
      <c r="M260" s="24" t="s">
        <v>88</v>
      </c>
      <c r="N260" s="24" t="s">
        <v>121</v>
      </c>
      <c r="O260" s="24" t="s">
        <v>72</v>
      </c>
      <c r="P260" s="24" t="s">
        <v>73</v>
      </c>
      <c r="Q260" s="24" t="s">
        <v>146</v>
      </c>
      <c r="R260" s="24" t="s">
        <v>75</v>
      </c>
      <c r="S260" s="24" t="s">
        <v>106</v>
      </c>
      <c r="T260" s="24" t="s">
        <v>62</v>
      </c>
      <c r="U260" s="24" t="s">
        <v>164</v>
      </c>
      <c r="V260" s="24" t="s">
        <v>77</v>
      </c>
      <c r="W260" s="24" t="s">
        <v>116</v>
      </c>
      <c r="X260" s="24" t="s">
        <v>79</v>
      </c>
      <c r="Y260" s="24" t="s">
        <v>56</v>
      </c>
      <c r="Z260" s="24" t="s">
        <v>64</v>
      </c>
      <c r="AA260" s="24" t="s">
        <v>49</v>
      </c>
      <c r="AB260" s="24" t="s">
        <v>332</v>
      </c>
      <c r="AC260" s="24" t="s">
        <v>994</v>
      </c>
    </row>
    <row r="261" spans="1:29">
      <c r="A261" s="30" t="s">
        <v>995</v>
      </c>
      <c r="B261" s="30" t="str">
        <f>IF(ISNUMBER(SEARCH(E261,A261)),A261,IF(OR(E261="",E261=""),A261,A261&amp;" - "&amp;E261))</f>
        <v>N!CE 23/1 C - Cherry Pie</v>
      </c>
      <c r="C261" s="30" t="s">
        <v>996</v>
      </c>
      <c r="D261" s="30" t="s">
        <v>997</v>
      </c>
      <c r="E261" s="30" t="s">
        <v>998</v>
      </c>
      <c r="F261" s="30" t="s">
        <v>51</v>
      </c>
      <c r="G261" s="34">
        <v>23</v>
      </c>
      <c r="H261" s="35">
        <v>1</v>
      </c>
      <c r="I261" s="30"/>
      <c r="J261" s="30"/>
      <c r="K261" s="30" t="s">
        <v>52</v>
      </c>
      <c r="L261" s="30" t="s">
        <v>102</v>
      </c>
      <c r="M261" s="30" t="s">
        <v>212</v>
      </c>
      <c r="N261" s="30" t="s">
        <v>88</v>
      </c>
      <c r="O261" s="30" t="s">
        <v>71</v>
      </c>
      <c r="P261" s="30" t="s">
        <v>89</v>
      </c>
      <c r="Q261" s="30" t="s">
        <v>58</v>
      </c>
      <c r="R261" s="30" t="s">
        <v>56</v>
      </c>
      <c r="S261" s="30" t="s">
        <v>123</v>
      </c>
      <c r="T261" s="30" t="s">
        <v>106</v>
      </c>
      <c r="U261" s="30" t="s">
        <v>62</v>
      </c>
      <c r="V261" s="30" t="s">
        <v>77</v>
      </c>
      <c r="W261" s="30" t="s">
        <v>79</v>
      </c>
      <c r="X261" s="30" t="s">
        <v>56</v>
      </c>
      <c r="Y261" s="30" t="s">
        <v>56</v>
      </c>
      <c r="Z261" s="30" t="s">
        <v>64</v>
      </c>
      <c r="AA261" s="30" t="s">
        <v>997</v>
      </c>
      <c r="AB261" s="30" t="s">
        <v>56</v>
      </c>
      <c r="AC261" s="30" t="s">
        <v>999</v>
      </c>
    </row>
    <row r="262" spans="1:29">
      <c r="A262" s="24" t="s">
        <v>1000</v>
      </c>
      <c r="B262" s="24" t="str">
        <f>IF(ISNUMBER(SEARCH(E262,A262)),A262,IF(OR(E262="",E262=""),A262,A262&amp;" - "&amp;E262))</f>
        <v>madrecan 21/1 WOP - Wonder Punch</v>
      </c>
      <c r="C262" s="24" t="s">
        <v>83</v>
      </c>
      <c r="D262" s="24" t="s">
        <v>84</v>
      </c>
      <c r="E262" s="24" t="s">
        <v>1001</v>
      </c>
      <c r="F262" s="24" t="s">
        <v>120</v>
      </c>
      <c r="G262" s="27">
        <v>21</v>
      </c>
      <c r="H262" s="28">
        <v>1</v>
      </c>
      <c r="I262" s="24"/>
      <c r="J262" s="24"/>
      <c r="K262" s="24" t="s">
        <v>17</v>
      </c>
      <c r="L262" s="24" t="s">
        <v>102</v>
      </c>
      <c r="M262" s="24" t="s">
        <v>88</v>
      </c>
      <c r="N262" s="24" t="s">
        <v>103</v>
      </c>
      <c r="O262" s="24" t="s">
        <v>72</v>
      </c>
      <c r="P262" s="24" t="s">
        <v>157</v>
      </c>
      <c r="Q262" s="24" t="s">
        <v>146</v>
      </c>
      <c r="R262" s="24" t="s">
        <v>74</v>
      </c>
      <c r="S262" s="24" t="s">
        <v>62</v>
      </c>
      <c r="T262" s="24" t="s">
        <v>164</v>
      </c>
      <c r="U262" s="24" t="s">
        <v>56</v>
      </c>
      <c r="V262" s="24" t="s">
        <v>92</v>
      </c>
      <c r="W262" s="24" t="s">
        <v>77</v>
      </c>
      <c r="X262" s="24" t="s">
        <v>165</v>
      </c>
      <c r="Y262" s="24" t="s">
        <v>1002</v>
      </c>
      <c r="Z262" s="24" t="s">
        <v>64</v>
      </c>
      <c r="AA262" s="24" t="s">
        <v>95</v>
      </c>
      <c r="AB262" s="24" t="s">
        <v>56</v>
      </c>
      <c r="AC262" s="24" t="s">
        <v>1003</v>
      </c>
    </row>
    <row r="263" spans="1:29">
      <c r="A263" s="30" t="s">
        <v>1004</v>
      </c>
      <c r="B263" s="30" t="str">
        <f>IF(ISNUMBER(SEARCH(E263,A263)),A263,IF(OR(E263="",E263=""),A263,A263&amp;" - "&amp;E263))</f>
        <v>enua 21/1 SG CA - Sherbert Glue</v>
      </c>
      <c r="C263" s="30" t="s">
        <v>650</v>
      </c>
      <c r="D263" s="30" t="s">
        <v>651</v>
      </c>
      <c r="E263" s="30" t="s">
        <v>1005</v>
      </c>
      <c r="F263" s="30" t="s">
        <v>86</v>
      </c>
      <c r="G263" s="34">
        <v>21</v>
      </c>
      <c r="H263" s="35">
        <v>1</v>
      </c>
      <c r="I263" s="30"/>
      <c r="J263" s="30"/>
      <c r="K263" s="30" t="s">
        <v>17</v>
      </c>
      <c r="L263" s="30" t="s">
        <v>53</v>
      </c>
      <c r="M263" s="30" t="s">
        <v>111</v>
      </c>
      <c r="N263" s="30" t="s">
        <v>88</v>
      </c>
      <c r="O263" s="30" t="s">
        <v>72</v>
      </c>
      <c r="P263" s="30" t="s">
        <v>74</v>
      </c>
      <c r="Q263" s="30" t="s">
        <v>75</v>
      </c>
      <c r="R263" s="30" t="s">
        <v>89</v>
      </c>
      <c r="S263" s="30" t="s">
        <v>61</v>
      </c>
      <c r="T263" s="30" t="s">
        <v>76</v>
      </c>
      <c r="U263" s="30" t="s">
        <v>128</v>
      </c>
      <c r="V263" s="30" t="s">
        <v>77</v>
      </c>
      <c r="W263" s="30" t="s">
        <v>79</v>
      </c>
      <c r="X263" s="30" t="s">
        <v>173</v>
      </c>
      <c r="Y263" s="30" t="s">
        <v>1006</v>
      </c>
      <c r="Z263" s="30" t="s">
        <v>64</v>
      </c>
      <c r="AA263" s="30" t="s">
        <v>653</v>
      </c>
      <c r="AB263" s="30" t="s">
        <v>56</v>
      </c>
      <c r="AC263" s="30" t="s">
        <v>1007</v>
      </c>
    </row>
    <row r="264" spans="1:29">
      <c r="A264" s="24" t="s">
        <v>1008</v>
      </c>
      <c r="B264" s="24" t="str">
        <f>IF(ISNUMBER(SEARCH(E264,A264)),A264,IF(OR(E264="",E264=""),A264,A264&amp;" - "&amp;E264))</f>
        <v>enua 25/1 SC CA - Strawberry Cake</v>
      </c>
      <c r="C264" s="24" t="s">
        <v>650</v>
      </c>
      <c r="D264" s="24" t="s">
        <v>651</v>
      </c>
      <c r="E264" s="24" t="s">
        <v>1009</v>
      </c>
      <c r="F264" s="24" t="s">
        <v>86</v>
      </c>
      <c r="G264" s="27">
        <v>25</v>
      </c>
      <c r="H264" s="28">
        <v>1</v>
      </c>
      <c r="I264" s="24"/>
      <c r="J264" s="24"/>
      <c r="K264" s="24" t="s">
        <v>52</v>
      </c>
      <c r="L264" s="24" t="s">
        <v>53</v>
      </c>
      <c r="M264" s="24" t="s">
        <v>156</v>
      </c>
      <c r="N264" s="24" t="s">
        <v>111</v>
      </c>
      <c r="O264" s="24" t="s">
        <v>88</v>
      </c>
      <c r="P264" s="24" t="s">
        <v>186</v>
      </c>
      <c r="Q264" s="24" t="s">
        <v>58</v>
      </c>
      <c r="R264" s="24" t="s">
        <v>56</v>
      </c>
      <c r="S264" s="24" t="s">
        <v>192</v>
      </c>
      <c r="T264" s="24" t="s">
        <v>147</v>
      </c>
      <c r="U264" s="24" t="s">
        <v>62</v>
      </c>
      <c r="V264" s="24" t="s">
        <v>197</v>
      </c>
      <c r="W264" s="24" t="s">
        <v>107</v>
      </c>
      <c r="X264" s="24" t="s">
        <v>173</v>
      </c>
      <c r="Y264" s="24" t="s">
        <v>1010</v>
      </c>
      <c r="Z264" s="24" t="s">
        <v>64</v>
      </c>
      <c r="AA264" s="24" t="s">
        <v>653</v>
      </c>
      <c r="AB264" s="24" t="s">
        <v>56</v>
      </c>
      <c r="AC264" s="24" t="s">
        <v>1011</v>
      </c>
    </row>
    <row r="265" spans="1:29">
      <c r="A265" s="30" t="s">
        <v>1012</v>
      </c>
      <c r="B265" s="30" t="str">
        <f>IF(ISNUMBER(SEARCH(E265,A265)),A265,IF(OR(E265="",E265=""),A265,A265&amp;" - "&amp;E265))</f>
        <v>enua 27/1 ATG - Atlantic Glue GG4</v>
      </c>
      <c r="C265" s="30" t="s">
        <v>650</v>
      </c>
      <c r="D265" s="30" t="s">
        <v>651</v>
      </c>
      <c r="E265" s="30" t="s">
        <v>982</v>
      </c>
      <c r="F265" s="30" t="s">
        <v>86</v>
      </c>
      <c r="G265" s="34">
        <v>27</v>
      </c>
      <c r="H265" s="35">
        <v>1</v>
      </c>
      <c r="I265" s="30"/>
      <c r="J265" s="30"/>
      <c r="K265" s="30" t="s">
        <v>52</v>
      </c>
      <c r="L265" s="30" t="s">
        <v>53</v>
      </c>
      <c r="M265" s="30" t="s">
        <v>54</v>
      </c>
      <c r="N265" s="30" t="s">
        <v>88</v>
      </c>
      <c r="O265" s="30" t="s">
        <v>121</v>
      </c>
      <c r="P265" s="30" t="s">
        <v>146</v>
      </c>
      <c r="Q265" s="30" t="s">
        <v>74</v>
      </c>
      <c r="R265" s="30" t="s">
        <v>89</v>
      </c>
      <c r="S265" s="30" t="s">
        <v>61</v>
      </c>
      <c r="T265" s="30" t="s">
        <v>62</v>
      </c>
      <c r="U265" s="30" t="s">
        <v>128</v>
      </c>
      <c r="V265" s="30" t="s">
        <v>77</v>
      </c>
      <c r="W265" s="30" t="s">
        <v>116</v>
      </c>
      <c r="X265" s="30" t="s">
        <v>107</v>
      </c>
      <c r="Y265" s="30" t="s">
        <v>213</v>
      </c>
      <c r="Z265" s="30" t="s">
        <v>64</v>
      </c>
      <c r="AA265" s="30" t="s">
        <v>653</v>
      </c>
      <c r="AB265" s="30" t="s">
        <v>979</v>
      </c>
      <c r="AC265" s="30" t="s">
        <v>1013</v>
      </c>
    </row>
    <row r="266" spans="1:29">
      <c r="A266" s="24" t="s">
        <v>1014</v>
      </c>
      <c r="B266" s="24" t="str">
        <f>IF(ISNUMBER(SEARCH(E266,A266)),A266,IF(OR(E266="",E266=""),A266,A266&amp;" - "&amp;E266))</f>
        <v>Bathera 21/1 - Zashimi</v>
      </c>
      <c r="C266" s="24" t="s">
        <v>153</v>
      </c>
      <c r="D266" s="24" t="s">
        <v>154</v>
      </c>
      <c r="E266" s="24" t="s">
        <v>1015</v>
      </c>
      <c r="F266" s="24" t="s">
        <v>86</v>
      </c>
      <c r="G266" s="27">
        <v>21</v>
      </c>
      <c r="H266" s="28">
        <v>1</v>
      </c>
      <c r="I266" s="24"/>
      <c r="J266" s="24"/>
      <c r="K266" s="24" t="s">
        <v>52</v>
      </c>
      <c r="L266" s="24" t="s">
        <v>102</v>
      </c>
      <c r="M266" s="24" t="s">
        <v>111</v>
      </c>
      <c r="N266" s="24" t="s">
        <v>71</v>
      </c>
      <c r="O266" s="24" t="s">
        <v>72</v>
      </c>
      <c r="P266" s="24" t="s">
        <v>73</v>
      </c>
      <c r="Q266" s="24" t="s">
        <v>89</v>
      </c>
      <c r="R266" s="24" t="s">
        <v>58</v>
      </c>
      <c r="S266" s="24" t="s">
        <v>147</v>
      </c>
      <c r="T266" s="24" t="s">
        <v>76</v>
      </c>
      <c r="U266" s="24" t="s">
        <v>62</v>
      </c>
      <c r="V266" s="24" t="s">
        <v>77</v>
      </c>
      <c r="W266" s="24" t="s">
        <v>79</v>
      </c>
      <c r="X266" s="24" t="s">
        <v>107</v>
      </c>
      <c r="Y266" s="24" t="s">
        <v>307</v>
      </c>
      <c r="Z266" s="24" t="s">
        <v>64</v>
      </c>
      <c r="AA266" s="24" t="s">
        <v>154</v>
      </c>
      <c r="AB266" s="24" t="s">
        <v>160</v>
      </c>
      <c r="AC266" s="24" t="s">
        <v>1016</v>
      </c>
    </row>
    <row r="267" spans="1:29">
      <c r="A267" s="30" t="s">
        <v>1017</v>
      </c>
      <c r="B267" s="30" t="str">
        <f>IF(ISNUMBER(SEARCH(E267,A267)),A267,IF(OR(E267="",E267=""),A267,A267&amp;" - "&amp;E267))</f>
        <v>Demecan MC Strong Drop - Magic Marker #2</v>
      </c>
      <c r="C267" s="30" t="s">
        <v>484</v>
      </c>
      <c r="D267" s="30" t="s">
        <v>485</v>
      </c>
      <c r="E267" s="30" t="s">
        <v>1018</v>
      </c>
      <c r="F267" s="30" t="s">
        <v>86</v>
      </c>
      <c r="G267" s="34">
        <v>26</v>
      </c>
      <c r="H267" s="35">
        <v>1</v>
      </c>
      <c r="I267" s="30"/>
      <c r="J267" s="30"/>
      <c r="K267" s="30" t="s">
        <v>52</v>
      </c>
      <c r="L267" s="30" t="s">
        <v>53</v>
      </c>
      <c r="M267" s="30" t="s">
        <v>72</v>
      </c>
      <c r="N267" s="30"/>
      <c r="O267" s="30" t="s">
        <v>56</v>
      </c>
      <c r="P267" s="30" t="s">
        <v>74</v>
      </c>
      <c r="Q267" s="30" t="s">
        <v>75</v>
      </c>
      <c r="R267" s="30" t="s">
        <v>89</v>
      </c>
      <c r="S267" s="30" t="s">
        <v>123</v>
      </c>
      <c r="T267" s="30" t="s">
        <v>106</v>
      </c>
      <c r="U267" s="30" t="s">
        <v>62</v>
      </c>
      <c r="V267" s="30" t="s">
        <v>77</v>
      </c>
      <c r="W267" s="30" t="s">
        <v>138</v>
      </c>
      <c r="X267" s="30" t="s">
        <v>107</v>
      </c>
      <c r="Y267" s="30" t="s">
        <v>1019</v>
      </c>
      <c r="Z267" s="30" t="s">
        <v>64</v>
      </c>
      <c r="AA267" s="30" t="s">
        <v>485</v>
      </c>
      <c r="AB267" s="30" t="s">
        <v>56</v>
      </c>
      <c r="AC267" s="30" t="s">
        <v>1020</v>
      </c>
    </row>
    <row r="268" spans="1:29">
      <c r="A268" s="24" t="s">
        <v>1021</v>
      </c>
      <c r="B268" s="24" t="str">
        <f>IF(ISNUMBER(SEARCH(E268,A268)),A268,IF(OR(E268="",E268=""),A268,A268&amp;" - "&amp;E268))</f>
        <v>Cannamedical Hybrid Forte NM - Gorilla Zkittlez</v>
      </c>
      <c r="C268" s="24" t="s">
        <v>48</v>
      </c>
      <c r="D268" s="24" t="s">
        <v>49</v>
      </c>
      <c r="E268" s="24" t="s">
        <v>1022</v>
      </c>
      <c r="F268" s="24" t="s">
        <v>86</v>
      </c>
      <c r="G268" s="27">
        <v>22</v>
      </c>
      <c r="H268" s="28">
        <v>1</v>
      </c>
      <c r="I268" s="24"/>
      <c r="J268" s="24"/>
      <c r="K268" s="24" t="s">
        <v>52</v>
      </c>
      <c r="L268" s="24" t="s">
        <v>145</v>
      </c>
      <c r="M268" s="24" t="s">
        <v>111</v>
      </c>
      <c r="N268" s="24" t="s">
        <v>88</v>
      </c>
      <c r="O268" s="24" t="s">
        <v>72</v>
      </c>
      <c r="P268" s="24" t="s">
        <v>74</v>
      </c>
      <c r="Q268" s="24" t="s">
        <v>75</v>
      </c>
      <c r="R268" s="24" t="s">
        <v>89</v>
      </c>
      <c r="S268" s="24" t="s">
        <v>123</v>
      </c>
      <c r="T268" s="24" t="s">
        <v>106</v>
      </c>
      <c r="U268" s="24" t="s">
        <v>76</v>
      </c>
      <c r="V268" s="24" t="s">
        <v>77</v>
      </c>
      <c r="W268" s="24" t="s">
        <v>116</v>
      </c>
      <c r="X268" s="24" t="s">
        <v>79</v>
      </c>
      <c r="Y268" s="24" t="s">
        <v>1023</v>
      </c>
      <c r="Z268" s="24" t="s">
        <v>64</v>
      </c>
      <c r="AA268" s="24" t="s">
        <v>49</v>
      </c>
      <c r="AB268" s="24" t="s">
        <v>298</v>
      </c>
      <c r="AC268" s="24" t="s">
        <v>1024</v>
      </c>
    </row>
    <row r="269" spans="1:29">
      <c r="A269" s="30" t="s">
        <v>1025</v>
      </c>
      <c r="B269" s="30" t="str">
        <f>IF(ISNUMBER(SEARCH(E269,A269)),A269,IF(OR(E269="",E269=""),A269,A269&amp;" - "&amp;E269))</f>
        <v>BOTANICS Golden Ace 20/1 - Orange Panties</v>
      </c>
      <c r="C269" s="30" t="s">
        <v>141</v>
      </c>
      <c r="D269" s="30" t="s">
        <v>142</v>
      </c>
      <c r="E269" s="30" t="s">
        <v>1026</v>
      </c>
      <c r="F269" s="30" t="s">
        <v>86</v>
      </c>
      <c r="G269" s="34">
        <v>20</v>
      </c>
      <c r="H269" s="35">
        <v>1</v>
      </c>
      <c r="I269" s="30"/>
      <c r="J269" s="30"/>
      <c r="K269" s="30" t="s">
        <v>52</v>
      </c>
      <c r="L269" s="30" t="s">
        <v>965</v>
      </c>
      <c r="M269" s="30" t="s">
        <v>54</v>
      </c>
      <c r="N269" s="30" t="s">
        <v>88</v>
      </c>
      <c r="O269" s="30" t="s">
        <v>72</v>
      </c>
      <c r="P269" s="30" t="s">
        <v>75</v>
      </c>
      <c r="Q269" s="30" t="s">
        <v>58</v>
      </c>
      <c r="R269" s="30" t="s">
        <v>56</v>
      </c>
      <c r="S269" s="30" t="s">
        <v>123</v>
      </c>
      <c r="T269" s="30" t="s">
        <v>106</v>
      </c>
      <c r="U269" s="30" t="s">
        <v>91</v>
      </c>
      <c r="V269" s="30" t="s">
        <v>79</v>
      </c>
      <c r="W269" s="30" t="s">
        <v>107</v>
      </c>
      <c r="X269" s="30" t="s">
        <v>93</v>
      </c>
      <c r="Y269" s="30" t="s">
        <v>338</v>
      </c>
      <c r="Z269" s="30" t="s">
        <v>64</v>
      </c>
      <c r="AA269" s="30" t="s">
        <v>149</v>
      </c>
      <c r="AB269" s="30" t="s">
        <v>56</v>
      </c>
      <c r="AC269" s="30" t="s">
        <v>1027</v>
      </c>
    </row>
    <row r="270" spans="1:29">
      <c r="A270" s="24" t="s">
        <v>1028</v>
      </c>
      <c r="B270" s="24" t="str">
        <f>IF(ISNUMBER(SEARCH(E270,A270)),A270,IF(OR(E270="",E270=""),A270,A270&amp;" - "&amp;E270))</f>
        <v>31/1 Amici AS - Atomic Sour Grapefruit</v>
      </c>
      <c r="C270" s="24" t="s">
        <v>996</v>
      </c>
      <c r="D270" s="24" t="s">
        <v>997</v>
      </c>
      <c r="E270" s="24" t="s">
        <v>1029</v>
      </c>
      <c r="F270" s="24" t="s">
        <v>120</v>
      </c>
      <c r="G270" s="27">
        <v>31</v>
      </c>
      <c r="H270" s="28">
        <v>1</v>
      </c>
      <c r="I270" s="24"/>
      <c r="J270" s="24"/>
      <c r="K270" s="24" t="s">
        <v>52</v>
      </c>
      <c r="L270" s="24" t="s">
        <v>53</v>
      </c>
      <c r="M270" s="24" t="s">
        <v>88</v>
      </c>
      <c r="N270" s="24" t="s">
        <v>71</v>
      </c>
      <c r="O270" s="24" t="s">
        <v>72</v>
      </c>
      <c r="P270" s="24" t="s">
        <v>73</v>
      </c>
      <c r="Q270" s="24" t="s">
        <v>74</v>
      </c>
      <c r="R270" s="24" t="s">
        <v>75</v>
      </c>
      <c r="S270" s="24" t="s">
        <v>123</v>
      </c>
      <c r="T270" s="24" t="s">
        <v>106</v>
      </c>
      <c r="U270" s="24" t="s">
        <v>128</v>
      </c>
      <c r="V270" s="24" t="s">
        <v>77</v>
      </c>
      <c r="W270" s="24" t="s">
        <v>197</v>
      </c>
      <c r="X270" s="24" t="s">
        <v>79</v>
      </c>
      <c r="Y270" s="24" t="s">
        <v>80</v>
      </c>
      <c r="Z270" s="24" t="s">
        <v>64</v>
      </c>
      <c r="AA270" s="24" t="s">
        <v>997</v>
      </c>
      <c r="AB270" s="24" t="s">
        <v>812</v>
      </c>
      <c r="AC270" s="24" t="s">
        <v>1030</v>
      </c>
    </row>
    <row r="271" spans="1:29">
      <c r="A271" s="30" t="s">
        <v>369</v>
      </c>
      <c r="B271" s="30" t="str">
        <f>IF(ISNUMBER(SEARCH(E271,A271)),A271,IF(OR(E271="",E271=""),A271,A271&amp;" - "&amp;E271))</f>
        <v>Navcora THC 22 Spotlight Porto - Master Kush</v>
      </c>
      <c r="C271" s="30" t="s">
        <v>133</v>
      </c>
      <c r="D271" s="30" t="s">
        <v>134</v>
      </c>
      <c r="E271" s="30" t="s">
        <v>237</v>
      </c>
      <c r="F271" s="30" t="s">
        <v>120</v>
      </c>
      <c r="G271" s="34">
        <v>22</v>
      </c>
      <c r="H271" s="35">
        <v>1</v>
      </c>
      <c r="I271" s="30"/>
      <c r="J271" s="30"/>
      <c r="K271" s="30" t="s">
        <v>17</v>
      </c>
      <c r="L271" s="30" t="s">
        <v>102</v>
      </c>
      <c r="M271" s="30" t="s">
        <v>103</v>
      </c>
      <c r="N271" s="30" t="s">
        <v>121</v>
      </c>
      <c r="O271" s="30" t="s">
        <v>72</v>
      </c>
      <c r="P271" s="30" t="s">
        <v>74</v>
      </c>
      <c r="Q271" s="30" t="s">
        <v>59</v>
      </c>
      <c r="R271" s="30" t="s">
        <v>56</v>
      </c>
      <c r="S271" s="30" t="s">
        <v>203</v>
      </c>
      <c r="T271" s="30" t="s">
        <v>62</v>
      </c>
      <c r="U271" s="30" t="s">
        <v>164</v>
      </c>
      <c r="V271" s="30" t="s">
        <v>77</v>
      </c>
      <c r="W271" s="30" t="s">
        <v>78</v>
      </c>
      <c r="X271" s="30" t="s">
        <v>107</v>
      </c>
      <c r="Y271" s="30" t="s">
        <v>56</v>
      </c>
      <c r="Z271" s="30" t="s">
        <v>64</v>
      </c>
      <c r="AA271" s="30" t="s">
        <v>134</v>
      </c>
      <c r="AB271" s="30" t="s">
        <v>56</v>
      </c>
      <c r="AC271" s="30" t="s">
        <v>1031</v>
      </c>
    </row>
    <row r="272" spans="1:29">
      <c r="A272" s="24" t="s">
        <v>1032</v>
      </c>
      <c r="B272" s="24" t="str">
        <f>IF(ISNUMBER(SEARCH(E272,A272)),A272,IF(OR(E272="",E272=""),A272,A272&amp;" - "&amp;E272))</f>
        <v>avaay Signature 30/1 CBX Chatterbox</v>
      </c>
      <c r="C272" s="24" t="s">
        <v>569</v>
      </c>
      <c r="D272" s="24" t="s">
        <v>570</v>
      </c>
      <c r="E272" s="24" t="s">
        <v>1033</v>
      </c>
      <c r="F272" s="24" t="s">
        <v>120</v>
      </c>
      <c r="G272" s="27">
        <v>30</v>
      </c>
      <c r="H272" s="28">
        <v>1</v>
      </c>
      <c r="I272" s="24"/>
      <c r="J272" s="24"/>
      <c r="K272" s="24" t="s">
        <v>52</v>
      </c>
      <c r="L272" s="24" t="s">
        <v>53</v>
      </c>
      <c r="M272" s="24" t="s">
        <v>178</v>
      </c>
      <c r="N272" s="24" t="s">
        <v>72</v>
      </c>
      <c r="O272" s="24" t="s">
        <v>56</v>
      </c>
      <c r="P272" s="24" t="s">
        <v>73</v>
      </c>
      <c r="Q272" s="24" t="s">
        <v>75</v>
      </c>
      <c r="R272" s="24" t="s">
        <v>56</v>
      </c>
      <c r="S272" s="24" t="s">
        <v>192</v>
      </c>
      <c r="T272" s="24" t="s">
        <v>123</v>
      </c>
      <c r="U272" s="24" t="s">
        <v>106</v>
      </c>
      <c r="V272" s="24" t="s">
        <v>77</v>
      </c>
      <c r="W272" s="24" t="s">
        <v>79</v>
      </c>
      <c r="X272" s="24" t="s">
        <v>56</v>
      </c>
      <c r="Y272" s="24" t="s">
        <v>487</v>
      </c>
      <c r="Z272" s="24" t="s">
        <v>64</v>
      </c>
      <c r="AA272" s="24" t="s">
        <v>572</v>
      </c>
      <c r="AB272" s="24" t="s">
        <v>663</v>
      </c>
      <c r="AC272" s="24" t="s">
        <v>1034</v>
      </c>
    </row>
    <row r="273" spans="1:29">
      <c r="A273" s="30" t="s">
        <v>1035</v>
      </c>
      <c r="B273" s="30" t="str">
        <f>IF(ISNUMBER(SEARCH(E273,A273)),A273,IF(OR(E273="",E273=""),A273,A273&amp;" - "&amp;E273))</f>
        <v>Bathera 24/1 - Permanent Marker</v>
      </c>
      <c r="C273" s="30" t="s">
        <v>153</v>
      </c>
      <c r="D273" s="30" t="s">
        <v>154</v>
      </c>
      <c r="E273" s="30" t="s">
        <v>327</v>
      </c>
      <c r="F273" s="30" t="s">
        <v>144</v>
      </c>
      <c r="G273" s="34">
        <v>23</v>
      </c>
      <c r="H273" s="35">
        <v>1</v>
      </c>
      <c r="I273" s="30"/>
      <c r="J273" s="30"/>
      <c r="K273" s="30" t="s">
        <v>52</v>
      </c>
      <c r="L273" s="30" t="s">
        <v>102</v>
      </c>
      <c r="M273" s="30" t="s">
        <v>54</v>
      </c>
      <c r="N273" s="30" t="s">
        <v>111</v>
      </c>
      <c r="O273" s="30" t="s">
        <v>71</v>
      </c>
      <c r="P273" s="30" t="s">
        <v>104</v>
      </c>
      <c r="Q273" s="30" t="s">
        <v>89</v>
      </c>
      <c r="R273" s="30" t="s">
        <v>56</v>
      </c>
      <c r="S273" s="30" t="s">
        <v>106</v>
      </c>
      <c r="T273" s="30" t="s">
        <v>62</v>
      </c>
      <c r="U273" s="30" t="s">
        <v>56</v>
      </c>
      <c r="V273" s="30" t="s">
        <v>116</v>
      </c>
      <c r="W273" s="30" t="s">
        <v>107</v>
      </c>
      <c r="X273" s="30" t="s">
        <v>173</v>
      </c>
      <c r="Y273" s="30" t="s">
        <v>1036</v>
      </c>
      <c r="Z273" s="30" t="s">
        <v>64</v>
      </c>
      <c r="AA273" s="30" t="s">
        <v>154</v>
      </c>
      <c r="AB273" s="30" t="s">
        <v>160</v>
      </c>
      <c r="AC273" s="30" t="s">
        <v>1037</v>
      </c>
    </row>
    <row r="274" spans="1:29">
      <c r="A274" s="24" t="s">
        <v>1038</v>
      </c>
      <c r="B274" s="24" t="str">
        <f>IF(ISNUMBER(SEARCH(E274,A274)),A274,IF(OR(E274="",E274=""),A274,A274&amp;" - "&amp;E274))</f>
        <v>Pedanios 10/13 MBE-CA - Moon Berry</v>
      </c>
      <c r="C274" s="24" t="s">
        <v>511</v>
      </c>
      <c r="D274" s="24" t="s">
        <v>512</v>
      </c>
      <c r="E274" s="24" t="s">
        <v>1039</v>
      </c>
      <c r="F274" s="24" t="s">
        <v>86</v>
      </c>
      <c r="G274" s="27">
        <v>10</v>
      </c>
      <c r="H274" s="28">
        <v>13</v>
      </c>
      <c r="I274" s="24"/>
      <c r="J274" s="24"/>
      <c r="K274" s="24" t="s">
        <v>17</v>
      </c>
      <c r="L274" s="24" t="s">
        <v>53</v>
      </c>
      <c r="M274" s="24" t="s">
        <v>111</v>
      </c>
      <c r="N274" s="24" t="s">
        <v>72</v>
      </c>
      <c r="O274" s="24" t="s">
        <v>56</v>
      </c>
      <c r="P274" s="24" t="s">
        <v>75</v>
      </c>
      <c r="Q274" s="24" t="s">
        <v>58</v>
      </c>
      <c r="R274" s="24" t="s">
        <v>56</v>
      </c>
      <c r="S274" s="24" t="s">
        <v>106</v>
      </c>
      <c r="T274" s="24" t="s">
        <v>76</v>
      </c>
      <c r="U274" s="24" t="s">
        <v>128</v>
      </c>
      <c r="V274" s="24" t="s">
        <v>77</v>
      </c>
      <c r="W274" s="24" t="s">
        <v>138</v>
      </c>
      <c r="X274" s="24" t="s">
        <v>79</v>
      </c>
      <c r="Y274" s="24" t="s">
        <v>130</v>
      </c>
      <c r="Z274" s="24" t="s">
        <v>64</v>
      </c>
      <c r="AA274" s="24" t="s">
        <v>512</v>
      </c>
      <c r="AB274" s="24" t="s">
        <v>56</v>
      </c>
      <c r="AC274" s="24" t="s">
        <v>1040</v>
      </c>
    </row>
    <row r="275" spans="1:29">
      <c r="A275" s="30" t="s">
        <v>1041</v>
      </c>
      <c r="B275" s="30" t="str">
        <f>IF(ISNUMBER(SEARCH(E275,A275)),A275,IF(OR(E275="",E275=""),A275,A275&amp;" - "&amp;E275))</f>
        <v>Peace Naturals 33/1 SC - Space Cake</v>
      </c>
      <c r="C275" s="30" t="s">
        <v>811</v>
      </c>
      <c r="D275" s="30" t="s">
        <v>812</v>
      </c>
      <c r="E275" s="30" t="s">
        <v>722</v>
      </c>
      <c r="F275" s="30" t="s">
        <v>69</v>
      </c>
      <c r="G275" s="34">
        <v>33</v>
      </c>
      <c r="H275" s="35">
        <v>1</v>
      </c>
      <c r="I275" s="30"/>
      <c r="J275" s="30"/>
      <c r="K275" s="30" t="s">
        <v>52</v>
      </c>
      <c r="L275" s="30" t="s">
        <v>53</v>
      </c>
      <c r="M275" s="30" t="s">
        <v>54</v>
      </c>
      <c r="N275" s="30" t="s">
        <v>212</v>
      </c>
      <c r="O275" s="30" t="s">
        <v>55</v>
      </c>
      <c r="P275" s="30" t="s">
        <v>57</v>
      </c>
      <c r="Q275" s="30" t="s">
        <v>74</v>
      </c>
      <c r="R275" s="30" t="s">
        <v>59</v>
      </c>
      <c r="S275" s="30" t="s">
        <v>123</v>
      </c>
      <c r="T275" s="30" t="s">
        <v>106</v>
      </c>
      <c r="U275" s="30" t="s">
        <v>128</v>
      </c>
      <c r="V275" s="30" t="s">
        <v>77</v>
      </c>
      <c r="W275" s="30" t="s">
        <v>79</v>
      </c>
      <c r="X275" s="30" t="s">
        <v>107</v>
      </c>
      <c r="Y275" s="30" t="s">
        <v>849</v>
      </c>
      <c r="Z275" s="30" t="s">
        <v>64</v>
      </c>
      <c r="AA275" s="30" t="s">
        <v>812</v>
      </c>
      <c r="AB275" s="30" t="s">
        <v>812</v>
      </c>
      <c r="AC275" s="30" t="s">
        <v>1042</v>
      </c>
    </row>
    <row r="276" spans="1:29">
      <c r="A276" s="24" t="s">
        <v>1043</v>
      </c>
      <c r="B276" s="24" t="str">
        <f>IF(ISNUMBER(SEARCH(E276,A276)),A276,IF(OR(E276="",E276=""),A276,A276&amp;" - "&amp;E276))</f>
        <v>enua 25/1 MB CA - Mega Breath</v>
      </c>
      <c r="C276" s="24" t="s">
        <v>650</v>
      </c>
      <c r="D276" s="24" t="s">
        <v>651</v>
      </c>
      <c r="E276" s="24" t="s">
        <v>1044</v>
      </c>
      <c r="F276" s="24" t="s">
        <v>86</v>
      </c>
      <c r="G276" s="27">
        <v>25</v>
      </c>
      <c r="H276" s="28">
        <v>1</v>
      </c>
      <c r="I276" s="24"/>
      <c r="J276" s="24"/>
      <c r="K276" s="24" t="s">
        <v>52</v>
      </c>
      <c r="L276" s="24" t="s">
        <v>53</v>
      </c>
      <c r="M276" s="24" t="s">
        <v>88</v>
      </c>
      <c r="N276" s="24" t="s">
        <v>72</v>
      </c>
      <c r="O276" s="24" t="s">
        <v>56</v>
      </c>
      <c r="P276" s="24" t="s">
        <v>73</v>
      </c>
      <c r="Q276" s="24" t="s">
        <v>74</v>
      </c>
      <c r="R276" s="24" t="s">
        <v>75</v>
      </c>
      <c r="S276" s="24" t="s">
        <v>61</v>
      </c>
      <c r="T276" s="24" t="s">
        <v>115</v>
      </c>
      <c r="U276" s="24" t="s">
        <v>128</v>
      </c>
      <c r="V276" s="24" t="s">
        <v>180</v>
      </c>
      <c r="W276" s="24" t="s">
        <v>56</v>
      </c>
      <c r="X276" s="24" t="s">
        <v>56</v>
      </c>
      <c r="Y276" s="24" t="s">
        <v>130</v>
      </c>
      <c r="Z276" s="24" t="s">
        <v>64</v>
      </c>
      <c r="AA276" s="24" t="s">
        <v>653</v>
      </c>
      <c r="AB276" s="24" t="s">
        <v>56</v>
      </c>
      <c r="AC276" s="24" t="s">
        <v>1045</v>
      </c>
    </row>
    <row r="277" spans="1:29">
      <c r="A277" s="30" t="s">
        <v>1046</v>
      </c>
      <c r="B277" s="30" t="str">
        <f>IF(ISNUMBER(SEARCH(E277,A277)),A277,IF(OR(E277="",E277=""),A277,A277&amp;" - "&amp;E277))</f>
        <v>enua 25/1 SJ CA - Splitter Jelato</v>
      </c>
      <c r="C277" s="30" t="s">
        <v>650</v>
      </c>
      <c r="D277" s="30" t="s">
        <v>651</v>
      </c>
      <c r="E277" s="40" t="s">
        <v>1047</v>
      </c>
      <c r="F277" s="30" t="s">
        <v>177</v>
      </c>
      <c r="G277" s="34">
        <v>25</v>
      </c>
      <c r="H277" s="35">
        <v>1</v>
      </c>
      <c r="I277" s="30"/>
      <c r="J277" s="30"/>
      <c r="K277" s="30" t="s">
        <v>52</v>
      </c>
      <c r="L277" s="30" t="s">
        <v>53</v>
      </c>
      <c r="M277" s="30" t="s">
        <v>88</v>
      </c>
      <c r="N277" s="30" t="s">
        <v>72</v>
      </c>
      <c r="O277" s="30" t="s">
        <v>56</v>
      </c>
      <c r="P277" s="30" t="s">
        <v>89</v>
      </c>
      <c r="Q277" s="30" t="s">
        <v>56</v>
      </c>
      <c r="R277" s="30" t="s">
        <v>56</v>
      </c>
      <c r="S277" s="30" t="s">
        <v>1048</v>
      </c>
      <c r="T277" s="30" t="s">
        <v>62</v>
      </c>
      <c r="U277" s="30" t="s">
        <v>128</v>
      </c>
      <c r="V277" s="30" t="s">
        <v>138</v>
      </c>
      <c r="W277" s="30" t="s">
        <v>107</v>
      </c>
      <c r="X277" s="30" t="s">
        <v>173</v>
      </c>
      <c r="Y277" s="30" t="s">
        <v>719</v>
      </c>
      <c r="Z277" s="30" t="s">
        <v>64</v>
      </c>
      <c r="AA277" s="30" t="s">
        <v>653</v>
      </c>
      <c r="AB277" s="30" t="s">
        <v>56</v>
      </c>
      <c r="AC277" s="36" t="s">
        <v>1049</v>
      </c>
    </row>
    <row r="278" spans="1:29">
      <c r="A278" s="24" t="s">
        <v>1050</v>
      </c>
      <c r="B278" s="24" t="str">
        <f>IF(ISNUMBER(SEARCH(E278,A278)),A278,IF(OR(E278="",E278=""),A278,A278&amp;" - "&amp;E278))</f>
        <v>Remexian 22/1 HUW - Humble Warrior</v>
      </c>
      <c r="C278" s="24" t="s">
        <v>83</v>
      </c>
      <c r="D278" s="24" t="s">
        <v>84</v>
      </c>
      <c r="E278" s="24" t="s">
        <v>1051</v>
      </c>
      <c r="F278" s="24" t="s">
        <v>69</v>
      </c>
      <c r="G278" s="27">
        <v>22</v>
      </c>
      <c r="H278" s="28">
        <v>1</v>
      </c>
      <c r="I278" s="24"/>
      <c r="J278" s="24"/>
      <c r="K278" s="24" t="s">
        <v>52</v>
      </c>
      <c r="L278" s="24" t="s">
        <v>102</v>
      </c>
      <c r="M278" s="24" t="s">
        <v>156</v>
      </c>
      <c r="N278" s="24" t="s">
        <v>111</v>
      </c>
      <c r="O278" s="24" t="s">
        <v>88</v>
      </c>
      <c r="P278" s="24" t="s">
        <v>58</v>
      </c>
      <c r="Q278" s="24" t="s">
        <v>56</v>
      </c>
      <c r="R278" s="24" t="s">
        <v>56</v>
      </c>
      <c r="S278" s="24" t="s">
        <v>105</v>
      </c>
      <c r="T278" s="24" t="s">
        <v>147</v>
      </c>
      <c r="U278" s="24" t="s">
        <v>62</v>
      </c>
      <c r="V278" s="24" t="s">
        <v>77</v>
      </c>
      <c r="W278" s="24" t="s">
        <v>116</v>
      </c>
      <c r="X278" s="24" t="s">
        <v>138</v>
      </c>
      <c r="Y278" s="24" t="s">
        <v>56</v>
      </c>
      <c r="Z278" s="24" t="s">
        <v>64</v>
      </c>
      <c r="AA278" s="24" t="s">
        <v>95</v>
      </c>
      <c r="AB278" s="24" t="s">
        <v>56</v>
      </c>
      <c r="AC278" s="24" t="s">
        <v>1052</v>
      </c>
    </row>
    <row r="279" spans="1:29">
      <c r="A279" s="30" t="s">
        <v>1053</v>
      </c>
      <c r="B279" s="30" t="str">
        <f>IF(ISNUMBER(SEARCH(E279,A279)),A279,IF(OR(E279="",E279=""),A279,A279&amp;" - "&amp;E279))</f>
        <v>Cannamedical CM 18/1 - Karl OG</v>
      </c>
      <c r="C279" s="30" t="s">
        <v>48</v>
      </c>
      <c r="D279" s="30" t="s">
        <v>49</v>
      </c>
      <c r="E279" s="30" t="s">
        <v>127</v>
      </c>
      <c r="F279" s="30" t="s">
        <v>86</v>
      </c>
      <c r="G279" s="34">
        <v>18</v>
      </c>
      <c r="H279" s="35">
        <v>1</v>
      </c>
      <c r="I279" s="30"/>
      <c r="J279" s="30"/>
      <c r="K279" s="30" t="s">
        <v>17</v>
      </c>
      <c r="L279" s="30" t="s">
        <v>145</v>
      </c>
      <c r="M279" s="30" t="s">
        <v>54</v>
      </c>
      <c r="N279" s="30" t="s">
        <v>88</v>
      </c>
      <c r="O279" s="30" t="s">
        <v>71</v>
      </c>
      <c r="P279" s="30" t="s">
        <v>74</v>
      </c>
      <c r="Q279" s="30" t="s">
        <v>89</v>
      </c>
      <c r="R279" s="30" t="s">
        <v>58</v>
      </c>
      <c r="S279" s="30" t="s">
        <v>123</v>
      </c>
      <c r="T279" s="30" t="s">
        <v>61</v>
      </c>
      <c r="U279" s="30" t="s">
        <v>128</v>
      </c>
      <c r="V279" s="30" t="s">
        <v>77</v>
      </c>
      <c r="W279" s="30" t="s">
        <v>129</v>
      </c>
      <c r="X279" s="30" t="s">
        <v>79</v>
      </c>
      <c r="Y279" s="30" t="s">
        <v>1054</v>
      </c>
      <c r="Z279" s="30" t="s">
        <v>64</v>
      </c>
      <c r="AA279" s="30" t="s">
        <v>49</v>
      </c>
      <c r="AB279" s="30" t="s">
        <v>56</v>
      </c>
      <c r="AC279" s="30" t="s">
        <v>1055</v>
      </c>
    </row>
    <row r="280" spans="1:29">
      <c r="A280" s="24" t="s">
        <v>1056</v>
      </c>
      <c r="B280" s="24" t="str">
        <f>IF(ISNUMBER(SEARCH(E280,A280)),A280,IF(OR(E280="",E280=""),A280,A280&amp;" - "&amp;E280))</f>
        <v>CNBS VV 30/1 - Varnish Vapor</v>
      </c>
      <c r="C280" s="24" t="s">
        <v>822</v>
      </c>
      <c r="D280" s="24" t="s">
        <v>823</v>
      </c>
      <c r="E280" s="24" t="s">
        <v>1057</v>
      </c>
      <c r="F280" s="24" t="s">
        <v>86</v>
      </c>
      <c r="G280" s="27">
        <v>31</v>
      </c>
      <c r="H280" s="28">
        <v>1</v>
      </c>
      <c r="I280" s="24"/>
      <c r="J280" s="24"/>
      <c r="K280" s="24" t="s">
        <v>52</v>
      </c>
      <c r="L280" s="24" t="s">
        <v>53</v>
      </c>
      <c r="M280" s="24" t="s">
        <v>111</v>
      </c>
      <c r="N280" s="24" t="s">
        <v>72</v>
      </c>
      <c r="O280" s="24" t="s">
        <v>56</v>
      </c>
      <c r="P280" s="24" t="s">
        <v>89</v>
      </c>
      <c r="Q280" s="24" t="s">
        <v>58</v>
      </c>
      <c r="R280" s="24" t="s">
        <v>59</v>
      </c>
      <c r="S280" s="24" t="s">
        <v>147</v>
      </c>
      <c r="T280" s="24" t="s">
        <v>106</v>
      </c>
      <c r="U280" s="24" t="s">
        <v>62</v>
      </c>
      <c r="V280" s="24" t="s">
        <v>180</v>
      </c>
      <c r="W280" s="24" t="s">
        <v>129</v>
      </c>
      <c r="X280" s="24" t="s">
        <v>79</v>
      </c>
      <c r="Y280" s="24" t="s">
        <v>475</v>
      </c>
      <c r="Z280" s="24" t="s">
        <v>64</v>
      </c>
      <c r="AA280" s="24" t="s">
        <v>826</v>
      </c>
      <c r="AB280" s="24" t="s">
        <v>56</v>
      </c>
      <c r="AC280" s="24" t="s">
        <v>1058</v>
      </c>
    </row>
    <row r="281" spans="1:29">
      <c r="A281" s="30" t="s">
        <v>1059</v>
      </c>
      <c r="B281" s="30" t="str">
        <f>IF(ISNUMBER(SEARCH(E281,A281)),A281,IF(OR(E281="",E281=""),A281,A281&amp;" - "&amp;E281))</f>
        <v>enua 22/1 CCK CA - Cold Creek Kush</v>
      </c>
      <c r="C281" s="30" t="s">
        <v>650</v>
      </c>
      <c r="D281" s="30" t="s">
        <v>651</v>
      </c>
      <c r="E281" s="30" t="s">
        <v>652</v>
      </c>
      <c r="F281" s="30" t="s">
        <v>86</v>
      </c>
      <c r="G281" s="34">
        <v>22</v>
      </c>
      <c r="H281" s="35">
        <v>1</v>
      </c>
      <c r="I281" s="30"/>
      <c r="J281" s="30"/>
      <c r="K281" s="30" t="s">
        <v>17</v>
      </c>
      <c r="L281" s="30" t="s">
        <v>53</v>
      </c>
      <c r="M281" s="30" t="s">
        <v>156</v>
      </c>
      <c r="N281" s="30" t="s">
        <v>54</v>
      </c>
      <c r="O281" s="30" t="s">
        <v>71</v>
      </c>
      <c r="P281" s="30" t="s">
        <v>146</v>
      </c>
      <c r="Q281" s="30" t="s">
        <v>74</v>
      </c>
      <c r="R281" s="30" t="s">
        <v>75</v>
      </c>
      <c r="S281" s="30" t="s">
        <v>115</v>
      </c>
      <c r="T281" s="30" t="s">
        <v>128</v>
      </c>
      <c r="U281" s="30" t="s">
        <v>62</v>
      </c>
      <c r="V281" s="30" t="s">
        <v>77</v>
      </c>
      <c r="W281" s="30" t="s">
        <v>116</v>
      </c>
      <c r="X281" s="30" t="s">
        <v>79</v>
      </c>
      <c r="Y281" s="30" t="s">
        <v>213</v>
      </c>
      <c r="Z281" s="30" t="s">
        <v>64</v>
      </c>
      <c r="AA281" s="30" t="s">
        <v>653</v>
      </c>
      <c r="AB281" s="30" t="s">
        <v>56</v>
      </c>
      <c r="AC281" s="30" t="s">
        <v>1060</v>
      </c>
    </row>
    <row r="282" spans="1:29">
      <c r="A282" s="24" t="s">
        <v>1061</v>
      </c>
      <c r="B282" s="24" t="str">
        <f>IF(ISNUMBER(SEARCH(E282,A282)),A282,IF(OR(E282="",E282=""),A282,A282&amp;" - "&amp;E282))</f>
        <v>Demecan MC Lean Drop - Banana Marker</v>
      </c>
      <c r="C282" s="24" t="s">
        <v>484</v>
      </c>
      <c r="D282" s="24" t="s">
        <v>485</v>
      </c>
      <c r="E282" s="24" t="s">
        <v>1062</v>
      </c>
      <c r="F282" s="24" t="s">
        <v>177</v>
      </c>
      <c r="G282" s="27">
        <v>24</v>
      </c>
      <c r="H282" s="28">
        <v>1</v>
      </c>
      <c r="I282" s="24"/>
      <c r="J282" s="24"/>
      <c r="K282" s="24" t="s">
        <v>52</v>
      </c>
      <c r="L282" s="24" t="s">
        <v>53</v>
      </c>
      <c r="M282" s="24" t="s">
        <v>88</v>
      </c>
      <c r="N282" s="24" t="s">
        <v>71</v>
      </c>
      <c r="O282" s="24" t="s">
        <v>72</v>
      </c>
      <c r="P282" s="24" t="s">
        <v>89</v>
      </c>
      <c r="Q282" s="24" t="s">
        <v>58</v>
      </c>
      <c r="R282" s="24" t="s">
        <v>56</v>
      </c>
      <c r="S282" s="24" t="s">
        <v>782</v>
      </c>
      <c r="T282" s="24" t="s">
        <v>192</v>
      </c>
      <c r="U282" s="24" t="s">
        <v>106</v>
      </c>
      <c r="V282" s="24" t="s">
        <v>116</v>
      </c>
      <c r="W282" s="24" t="s">
        <v>180</v>
      </c>
      <c r="X282" s="24" t="s">
        <v>107</v>
      </c>
      <c r="Y282" s="24" t="s">
        <v>56</v>
      </c>
      <c r="Z282" s="24" t="s">
        <v>64</v>
      </c>
      <c r="AA282" s="24" t="s">
        <v>485</v>
      </c>
      <c r="AB282" s="24" t="s">
        <v>56</v>
      </c>
      <c r="AC282" s="24" t="s">
        <v>1063</v>
      </c>
    </row>
    <row r="283" spans="1:29">
      <c r="A283" s="30" t="s">
        <v>1064</v>
      </c>
      <c r="B283" s="30" t="str">
        <f>IF(ISNUMBER(SEARCH(E283,A283)),A283,IF(OR(E283="",E283=""),A283,A283&amp;" - "&amp;E283))</f>
        <v>Peace Naturals 33/1 GC - GMO Cookies</v>
      </c>
      <c r="C283" s="30" t="s">
        <v>811</v>
      </c>
      <c r="D283" s="30" t="s">
        <v>812</v>
      </c>
      <c r="E283" s="30" t="s">
        <v>816</v>
      </c>
      <c r="F283" s="30" t="s">
        <v>120</v>
      </c>
      <c r="G283" s="34">
        <v>33</v>
      </c>
      <c r="H283" s="35">
        <v>1</v>
      </c>
      <c r="I283" s="30"/>
      <c r="J283" s="30"/>
      <c r="K283" s="30" t="s">
        <v>52</v>
      </c>
      <c r="L283" s="30" t="s">
        <v>53</v>
      </c>
      <c r="M283" s="30" t="s">
        <v>88</v>
      </c>
      <c r="N283" s="30" t="s">
        <v>121</v>
      </c>
      <c r="O283" s="30" t="s">
        <v>72</v>
      </c>
      <c r="P283" s="30" t="s">
        <v>73</v>
      </c>
      <c r="Q283" s="30" t="s">
        <v>56</v>
      </c>
      <c r="R283" s="30" t="s">
        <v>56</v>
      </c>
      <c r="S283" s="30" t="s">
        <v>147</v>
      </c>
      <c r="T283" s="30" t="s">
        <v>106</v>
      </c>
      <c r="U283" s="30" t="s">
        <v>234</v>
      </c>
      <c r="V283" s="30" t="s">
        <v>92</v>
      </c>
      <c r="W283" s="30" t="s">
        <v>116</v>
      </c>
      <c r="X283" s="30" t="s">
        <v>79</v>
      </c>
      <c r="Y283" s="30" t="s">
        <v>1065</v>
      </c>
      <c r="Z283" s="30" t="s">
        <v>64</v>
      </c>
      <c r="AA283" s="30" t="s">
        <v>812</v>
      </c>
      <c r="AB283" s="30" t="s">
        <v>812</v>
      </c>
      <c r="AC283" s="30" t="s">
        <v>1066</v>
      </c>
    </row>
    <row r="284" spans="1:29">
      <c r="A284" s="24" t="s">
        <v>1067</v>
      </c>
      <c r="B284" s="24" t="str">
        <f>IF(ISNUMBER(SEARCH(E284,A284)),A284,IF(OR(E284="",E284=""),A284,A284&amp;" - "&amp;E284))</f>
        <v>Green Karat RO 30/1 - Runtz OG</v>
      </c>
      <c r="C284" s="24" t="s">
        <v>564</v>
      </c>
      <c r="D284" s="24" t="s">
        <v>565</v>
      </c>
      <c r="E284" s="24" t="s">
        <v>1068</v>
      </c>
      <c r="F284" s="24" t="s">
        <v>86</v>
      </c>
      <c r="G284" s="27">
        <v>30</v>
      </c>
      <c r="H284" s="28">
        <v>1</v>
      </c>
      <c r="I284" s="24"/>
      <c r="J284" s="24"/>
      <c r="K284" s="24" t="s">
        <v>52</v>
      </c>
      <c r="L284" s="24" t="s">
        <v>53</v>
      </c>
      <c r="M284" s="24" t="s">
        <v>55</v>
      </c>
      <c r="N284" s="24" t="s">
        <v>72</v>
      </c>
      <c r="O284" s="24" t="s">
        <v>56</v>
      </c>
      <c r="P284" s="24" t="s">
        <v>89</v>
      </c>
      <c r="Q284" s="24" t="s">
        <v>58</v>
      </c>
      <c r="R284" s="24" t="s">
        <v>59</v>
      </c>
      <c r="S284" s="24" t="s">
        <v>147</v>
      </c>
      <c r="T284" s="24" t="s">
        <v>123</v>
      </c>
      <c r="U284" s="24" t="s">
        <v>106</v>
      </c>
      <c r="V284" s="24" t="s">
        <v>92</v>
      </c>
      <c r="W284" s="24" t="s">
        <v>77</v>
      </c>
      <c r="X284" s="24" t="s">
        <v>107</v>
      </c>
      <c r="Y284" s="24" t="s">
        <v>1069</v>
      </c>
      <c r="Z284" s="24" t="s">
        <v>64</v>
      </c>
      <c r="AA284" s="24" t="s">
        <v>565</v>
      </c>
      <c r="AB284" s="24" t="s">
        <v>699</v>
      </c>
      <c r="AC284" s="24" t="s">
        <v>1070</v>
      </c>
    </row>
    <row r="285" spans="1:29">
      <c r="A285" s="30" t="s">
        <v>1071</v>
      </c>
      <c r="B285" s="30" t="str">
        <f>IF(ISNUMBER(SEARCH(E285,A285)),A285,IF(OR(E285="",E285=""),A285,A285&amp;" - "&amp;E285))</f>
        <v>Pedanios 31/1 COS-CA - Cosmic Cream</v>
      </c>
      <c r="C285" s="30" t="s">
        <v>511</v>
      </c>
      <c r="D285" s="30" t="s">
        <v>512</v>
      </c>
      <c r="E285" s="30" t="s">
        <v>1072</v>
      </c>
      <c r="F285" s="30" t="s">
        <v>177</v>
      </c>
      <c r="G285" s="34">
        <v>31</v>
      </c>
      <c r="H285" s="35">
        <v>1</v>
      </c>
      <c r="I285" s="30"/>
      <c r="J285" s="30"/>
      <c r="K285" s="30" t="s">
        <v>17</v>
      </c>
      <c r="L285" s="30" t="s">
        <v>53</v>
      </c>
      <c r="M285" s="30" t="s">
        <v>88</v>
      </c>
      <c r="N285" s="30" t="s">
        <v>71</v>
      </c>
      <c r="O285" s="30" t="s">
        <v>121</v>
      </c>
      <c r="P285" s="30" t="s">
        <v>74</v>
      </c>
      <c r="Q285" s="30" t="s">
        <v>58</v>
      </c>
      <c r="R285" s="30" t="s">
        <v>56</v>
      </c>
      <c r="S285" s="30" t="s">
        <v>123</v>
      </c>
      <c r="T285" s="30" t="s">
        <v>106</v>
      </c>
      <c r="U285" s="30" t="s">
        <v>62</v>
      </c>
      <c r="V285" s="30" t="s">
        <v>92</v>
      </c>
      <c r="W285" s="30" t="s">
        <v>225</v>
      </c>
      <c r="X285" s="30" t="s">
        <v>116</v>
      </c>
      <c r="Y285" s="30" t="s">
        <v>1073</v>
      </c>
      <c r="Z285" s="30" t="s">
        <v>64</v>
      </c>
      <c r="AA285" s="30" t="s">
        <v>512</v>
      </c>
      <c r="AB285" s="30" t="s">
        <v>56</v>
      </c>
      <c r="AC285" s="30" t="s">
        <v>1074</v>
      </c>
    </row>
    <row r="286" spans="1:29">
      <c r="A286" s="24" t="s">
        <v>1075</v>
      </c>
      <c r="B286" s="24" t="str">
        <f>IF(ISNUMBER(SEARCH(E286,A286)),A286,IF(OR(E286="",E286=""),A286,A286&amp;" - "&amp;E286))</f>
        <v>enua 25/1 GTH - Ghost Train Haze</v>
      </c>
      <c r="C286" s="24" t="s">
        <v>650</v>
      </c>
      <c r="D286" s="24" t="s">
        <v>651</v>
      </c>
      <c r="E286" s="24" t="s">
        <v>343</v>
      </c>
      <c r="F286" s="24" t="s">
        <v>69</v>
      </c>
      <c r="G286" s="27">
        <v>25</v>
      </c>
      <c r="H286" s="28">
        <v>1</v>
      </c>
      <c r="I286" s="24"/>
      <c r="J286" s="24"/>
      <c r="K286" s="24" t="s">
        <v>52</v>
      </c>
      <c r="L286" s="24" t="s">
        <v>53</v>
      </c>
      <c r="M286" s="24" t="s">
        <v>111</v>
      </c>
      <c r="N286" s="24" t="s">
        <v>88</v>
      </c>
      <c r="O286" s="24" t="s">
        <v>55</v>
      </c>
      <c r="P286" s="24" t="s">
        <v>146</v>
      </c>
      <c r="Q286" s="24" t="s">
        <v>75</v>
      </c>
      <c r="R286" s="24" t="s">
        <v>89</v>
      </c>
      <c r="S286" s="24" t="s">
        <v>90</v>
      </c>
      <c r="T286" s="24" t="s">
        <v>106</v>
      </c>
      <c r="U286" s="24" t="s">
        <v>61</v>
      </c>
      <c r="V286" s="24" t="s">
        <v>77</v>
      </c>
      <c r="W286" s="24" t="s">
        <v>225</v>
      </c>
      <c r="X286" s="24" t="s">
        <v>197</v>
      </c>
      <c r="Y286" s="24" t="s">
        <v>56</v>
      </c>
      <c r="Z286" s="24" t="s">
        <v>64</v>
      </c>
      <c r="AA286" s="24" t="s">
        <v>653</v>
      </c>
      <c r="AB286" s="24" t="s">
        <v>56</v>
      </c>
      <c r="AC286" s="37" t="s">
        <v>1076</v>
      </c>
    </row>
    <row r="287" spans="1:29">
      <c r="A287" s="30" t="s">
        <v>1077</v>
      </c>
      <c r="B287" s="30" t="str">
        <f>IF(ISNUMBER(SEARCH(E287,A287)),A287,IF(OR(E287="",E287=""),A287,A287&amp;" - "&amp;E287))</f>
        <v>Demecan CRAFT D-Jungle 31:01 - Purple Punch x Jungle Cake</v>
      </c>
      <c r="C287" s="30" t="s">
        <v>484</v>
      </c>
      <c r="D287" s="30" t="s">
        <v>485</v>
      </c>
      <c r="E287" s="30" t="s">
        <v>1078</v>
      </c>
      <c r="F287" s="30" t="s">
        <v>177</v>
      </c>
      <c r="G287" s="34">
        <v>31</v>
      </c>
      <c r="H287" s="35">
        <v>1</v>
      </c>
      <c r="I287" s="30"/>
      <c r="J287" s="30"/>
      <c r="K287" s="30" t="s">
        <v>52</v>
      </c>
      <c r="L287" s="30" t="s">
        <v>53</v>
      </c>
      <c r="M287" s="30" t="s">
        <v>88</v>
      </c>
      <c r="N287" s="30" t="s">
        <v>121</v>
      </c>
      <c r="O287" s="30" t="s">
        <v>72</v>
      </c>
      <c r="P287" s="30" t="s">
        <v>74</v>
      </c>
      <c r="Q287" s="30" t="s">
        <v>89</v>
      </c>
      <c r="R287" s="30" t="s">
        <v>58</v>
      </c>
      <c r="S287" s="30" t="s">
        <v>123</v>
      </c>
      <c r="T287" s="30" t="s">
        <v>106</v>
      </c>
      <c r="U287" s="30" t="s">
        <v>62</v>
      </c>
      <c r="V287" s="30" t="s">
        <v>77</v>
      </c>
      <c r="W287" s="30" t="s">
        <v>116</v>
      </c>
      <c r="X287" s="30" t="s">
        <v>180</v>
      </c>
      <c r="Y287" s="30" t="s">
        <v>487</v>
      </c>
      <c r="Z287" s="30" t="s">
        <v>64</v>
      </c>
      <c r="AA287" s="30" t="s">
        <v>485</v>
      </c>
      <c r="AB287" s="30" t="s">
        <v>56</v>
      </c>
      <c r="AC287" s="30" t="s">
        <v>1079</v>
      </c>
    </row>
    <row r="288" spans="1:29">
      <c r="A288" s="24" t="s">
        <v>1080</v>
      </c>
      <c r="B288" s="24" t="str">
        <f>IF(ISNUMBER(SEARCH(E288,A288)),A288,IF(OR(E288="",E288=""),A288,A288&amp;" - "&amp;E288))</f>
        <v>420 Evolution 30/1 CA MMI - Miracle Mint</v>
      </c>
      <c r="C288" s="24" t="s">
        <v>463</v>
      </c>
      <c r="D288" s="24" t="s">
        <v>464</v>
      </c>
      <c r="E288" s="24" t="s">
        <v>1081</v>
      </c>
      <c r="F288" s="24" t="s">
        <v>120</v>
      </c>
      <c r="G288" s="27">
        <v>30</v>
      </c>
      <c r="H288" s="28">
        <v>1</v>
      </c>
      <c r="I288" s="24"/>
      <c r="J288" s="24"/>
      <c r="K288" s="24" t="s">
        <v>52</v>
      </c>
      <c r="L288" s="24" t="s">
        <v>53</v>
      </c>
      <c r="M288" s="24" t="s">
        <v>54</v>
      </c>
      <c r="N288" s="24" t="s">
        <v>88</v>
      </c>
      <c r="O288" s="24" t="s">
        <v>178</v>
      </c>
      <c r="P288" s="24" t="s">
        <v>157</v>
      </c>
      <c r="Q288" s="24" t="s">
        <v>74</v>
      </c>
      <c r="R288" s="24" t="s">
        <v>113</v>
      </c>
      <c r="S288" s="24" t="s">
        <v>192</v>
      </c>
      <c r="T288" s="24" t="s">
        <v>147</v>
      </c>
      <c r="U288" s="24" t="s">
        <v>123</v>
      </c>
      <c r="V288" s="24" t="s">
        <v>138</v>
      </c>
      <c r="W288" s="24" t="s">
        <v>79</v>
      </c>
      <c r="X288" s="24" t="s">
        <v>107</v>
      </c>
      <c r="Y288" s="24" t="s">
        <v>508</v>
      </c>
      <c r="Z288" s="24" t="s">
        <v>64</v>
      </c>
      <c r="AA288" s="24" t="s">
        <v>468</v>
      </c>
      <c r="AB288" s="24" t="s">
        <v>56</v>
      </c>
      <c r="AC288" s="24" t="s">
        <v>1082</v>
      </c>
    </row>
    <row r="289" spans="1:29">
      <c r="A289" s="30" t="s">
        <v>1083</v>
      </c>
      <c r="B289" s="30" t="str">
        <f>IF(ISNUMBER(SEARCH(E289,A289)),A289,IF(OR(E289="",E289=""),A289,A289&amp;" - "&amp;E289))</f>
        <v>Pedanios 27/1 PND-CA - Pink Diesel</v>
      </c>
      <c r="C289" s="30" t="s">
        <v>511</v>
      </c>
      <c r="D289" s="30" t="s">
        <v>512</v>
      </c>
      <c r="E289" s="30" t="s">
        <v>1084</v>
      </c>
      <c r="F289" s="30" t="s">
        <v>177</v>
      </c>
      <c r="G289" s="34">
        <v>27</v>
      </c>
      <c r="H289" s="35">
        <v>1</v>
      </c>
      <c r="I289" s="30"/>
      <c r="J289" s="30"/>
      <c r="K289" s="30" t="s">
        <v>17</v>
      </c>
      <c r="L289" s="30" t="s">
        <v>53</v>
      </c>
      <c r="M289" s="30" t="s">
        <v>54</v>
      </c>
      <c r="N289" s="30" t="s">
        <v>111</v>
      </c>
      <c r="O289" s="30" t="s">
        <v>88</v>
      </c>
      <c r="P289" s="30" t="s">
        <v>73</v>
      </c>
      <c r="Q289" s="30" t="s">
        <v>59</v>
      </c>
      <c r="R289" s="30" t="s">
        <v>56</v>
      </c>
      <c r="S289" s="30" t="s">
        <v>106</v>
      </c>
      <c r="T289" s="30" t="s">
        <v>76</v>
      </c>
      <c r="U289" s="30" t="s">
        <v>62</v>
      </c>
      <c r="V289" s="30" t="s">
        <v>92</v>
      </c>
      <c r="W289" s="30" t="s">
        <v>77</v>
      </c>
      <c r="X289" s="30" t="s">
        <v>225</v>
      </c>
      <c r="Y289" s="30" t="s">
        <v>286</v>
      </c>
      <c r="Z289" s="30" t="s">
        <v>64</v>
      </c>
      <c r="AA289" s="30" t="s">
        <v>512</v>
      </c>
      <c r="AB289" s="30" t="s">
        <v>56</v>
      </c>
      <c r="AC289" s="30" t="s">
        <v>1085</v>
      </c>
    </row>
    <row r="290" spans="1:29">
      <c r="A290" s="24" t="s">
        <v>1086</v>
      </c>
      <c r="B290" s="24" t="str">
        <f>IF(ISNUMBER(SEARCH(E290,A290)),A290,IF(OR(E290="",E290=""),A290,A290&amp;" - "&amp;E290))</f>
        <v>madrecan 18/1 - Punch Cake</v>
      </c>
      <c r="C290" s="24" t="s">
        <v>83</v>
      </c>
      <c r="D290" s="24" t="s">
        <v>84</v>
      </c>
      <c r="E290" s="24" t="s">
        <v>451</v>
      </c>
      <c r="F290" s="24" t="s">
        <v>177</v>
      </c>
      <c r="G290" s="27">
        <v>18</v>
      </c>
      <c r="H290" s="28">
        <v>1</v>
      </c>
      <c r="I290" s="24"/>
      <c r="J290" s="24"/>
      <c r="K290" s="24" t="s">
        <v>17</v>
      </c>
      <c r="L290" s="24" t="s">
        <v>102</v>
      </c>
      <c r="M290" s="24" t="s">
        <v>71</v>
      </c>
      <c r="N290" s="24" t="s">
        <v>121</v>
      </c>
      <c r="O290" s="24" t="s">
        <v>72</v>
      </c>
      <c r="P290" s="24" t="s">
        <v>73</v>
      </c>
      <c r="Q290" s="24" t="s">
        <v>89</v>
      </c>
      <c r="R290" s="24" t="s">
        <v>58</v>
      </c>
      <c r="S290" s="24" t="s">
        <v>90</v>
      </c>
      <c r="T290" s="24" t="s">
        <v>147</v>
      </c>
      <c r="U290" s="24" t="s">
        <v>62</v>
      </c>
      <c r="V290" s="24" t="s">
        <v>77</v>
      </c>
      <c r="W290" s="24" t="s">
        <v>116</v>
      </c>
      <c r="X290" s="24" t="s">
        <v>107</v>
      </c>
      <c r="Y290" s="24" t="s">
        <v>1087</v>
      </c>
      <c r="Z290" s="24" t="s">
        <v>64</v>
      </c>
      <c r="AA290" s="24" t="s">
        <v>95</v>
      </c>
      <c r="AB290" s="24" t="s">
        <v>56</v>
      </c>
      <c r="AC290" s="24" t="s">
        <v>1088</v>
      </c>
    </row>
    <row r="291" spans="1:29">
      <c r="A291" s="30" t="s">
        <v>1089</v>
      </c>
      <c r="B291" s="30" t="str">
        <f>IF(ISNUMBER(SEARCH(E291,A291)),A291,IF(OR(E291="",E291=""),A291,A291&amp;" - "&amp;E291))</f>
        <v>madrecan 18/1 Mac 2.0</v>
      </c>
      <c r="C291" s="30" t="s">
        <v>83</v>
      </c>
      <c r="D291" s="30" t="s">
        <v>84</v>
      </c>
      <c r="E291" s="30" t="s">
        <v>417</v>
      </c>
      <c r="F291" s="30" t="s">
        <v>86</v>
      </c>
      <c r="G291" s="34">
        <v>18</v>
      </c>
      <c r="H291" s="35">
        <v>1</v>
      </c>
      <c r="I291" s="30"/>
      <c r="J291" s="30"/>
      <c r="K291" s="30" t="s">
        <v>17</v>
      </c>
      <c r="L291" s="30" t="s">
        <v>102</v>
      </c>
      <c r="M291" s="30" t="s">
        <v>111</v>
      </c>
      <c r="N291" s="30" t="s">
        <v>88</v>
      </c>
      <c r="O291" s="30" t="s">
        <v>71</v>
      </c>
      <c r="P291" s="30" t="s">
        <v>73</v>
      </c>
      <c r="Q291" s="30" t="s">
        <v>74</v>
      </c>
      <c r="R291" s="30" t="s">
        <v>75</v>
      </c>
      <c r="S291" s="30" t="s">
        <v>62</v>
      </c>
      <c r="T291" s="30" t="s">
        <v>56</v>
      </c>
      <c r="U291" s="30" t="s">
        <v>56</v>
      </c>
      <c r="V291" s="30" t="s">
        <v>77</v>
      </c>
      <c r="W291" s="30" t="s">
        <v>79</v>
      </c>
      <c r="X291" s="30" t="s">
        <v>107</v>
      </c>
      <c r="Y291" s="30" t="s">
        <v>1090</v>
      </c>
      <c r="Z291" s="30" t="s">
        <v>64</v>
      </c>
      <c r="AA291" s="30" t="s">
        <v>95</v>
      </c>
      <c r="AB291" s="30" t="s">
        <v>56</v>
      </c>
      <c r="AC291" s="30" t="s">
        <v>1091</v>
      </c>
    </row>
    <row r="292" spans="1:29">
      <c r="A292" s="24" t="s">
        <v>1092</v>
      </c>
      <c r="B292" s="24" t="str">
        <f>IF(ISNUMBER(SEARCH(E292,A292)),A292,IF(OR(E292="",E292=""),A292,A292&amp;" - "&amp;E292))</f>
        <v>Bathera 24/1 ZS - Z Splitter</v>
      </c>
      <c r="C292" s="24" t="s">
        <v>153</v>
      </c>
      <c r="D292" s="24" t="s">
        <v>154</v>
      </c>
      <c r="E292" s="24" t="s">
        <v>1093</v>
      </c>
      <c r="F292" s="24" t="s">
        <v>177</v>
      </c>
      <c r="G292" s="27">
        <v>23</v>
      </c>
      <c r="H292" s="28">
        <v>1</v>
      </c>
      <c r="I292" s="24"/>
      <c r="J292" s="24"/>
      <c r="K292" s="24" t="s">
        <v>52</v>
      </c>
      <c r="L292" s="24" t="s">
        <v>102</v>
      </c>
      <c r="M292" s="24" t="s">
        <v>54</v>
      </c>
      <c r="N292" s="24" t="s">
        <v>111</v>
      </c>
      <c r="O292" s="24" t="s">
        <v>71</v>
      </c>
      <c r="P292" s="24" t="s">
        <v>75</v>
      </c>
      <c r="Q292" s="24" t="s">
        <v>89</v>
      </c>
      <c r="R292" s="24" t="s">
        <v>58</v>
      </c>
      <c r="S292" s="24" t="s">
        <v>60</v>
      </c>
      <c r="T292" s="24" t="s">
        <v>147</v>
      </c>
      <c r="U292" s="24" t="s">
        <v>123</v>
      </c>
      <c r="V292" s="24" t="s">
        <v>77</v>
      </c>
      <c r="W292" s="24" t="s">
        <v>116</v>
      </c>
      <c r="X292" s="24" t="s">
        <v>138</v>
      </c>
      <c r="Y292" s="24" t="s">
        <v>1094</v>
      </c>
      <c r="Z292" s="24" t="s">
        <v>64</v>
      </c>
      <c r="AA292" s="24" t="s">
        <v>154</v>
      </c>
      <c r="AB292" s="24" t="s">
        <v>160</v>
      </c>
      <c r="AC292" s="24" t="s">
        <v>1095</v>
      </c>
    </row>
    <row r="293" spans="1:29">
      <c r="A293" s="30" t="s">
        <v>1096</v>
      </c>
      <c r="B293" s="30" t="str">
        <f>IF(ISNUMBER(SEARCH(E293,A293)),A293,IF(OR(E293="",E293=""),A293,A293&amp;" - "&amp;E293))</f>
        <v>Bathera 28/1 - Velvet Glove</v>
      </c>
      <c r="C293" s="30" t="s">
        <v>153</v>
      </c>
      <c r="D293" s="30" t="s">
        <v>154</v>
      </c>
      <c r="E293" s="30" t="s">
        <v>155</v>
      </c>
      <c r="F293" s="30" t="s">
        <v>144</v>
      </c>
      <c r="G293" s="34">
        <v>28</v>
      </c>
      <c r="H293" s="35">
        <v>1</v>
      </c>
      <c r="I293" s="30"/>
      <c r="J293" s="30"/>
      <c r="K293" s="30" t="s">
        <v>52</v>
      </c>
      <c r="L293" s="30" t="s">
        <v>102</v>
      </c>
      <c r="M293" s="30" t="s">
        <v>156</v>
      </c>
      <c r="N293" s="30" t="s">
        <v>88</v>
      </c>
      <c r="O293" s="30" t="s">
        <v>72</v>
      </c>
      <c r="P293" s="30" t="s">
        <v>73</v>
      </c>
      <c r="Q293" s="30" t="s">
        <v>157</v>
      </c>
      <c r="R293" s="30" t="s">
        <v>75</v>
      </c>
      <c r="S293" s="30" t="s">
        <v>158</v>
      </c>
      <c r="T293" s="30" t="s">
        <v>61</v>
      </c>
      <c r="U293" s="30" t="s">
        <v>62</v>
      </c>
      <c r="V293" s="30" t="s">
        <v>77</v>
      </c>
      <c r="W293" s="30" t="s">
        <v>116</v>
      </c>
      <c r="X293" s="30" t="s">
        <v>107</v>
      </c>
      <c r="Y293" s="30" t="s">
        <v>1006</v>
      </c>
      <c r="Z293" s="30" t="s">
        <v>64</v>
      </c>
      <c r="AA293" s="30" t="s">
        <v>154</v>
      </c>
      <c r="AB293" s="30" t="s">
        <v>160</v>
      </c>
      <c r="AC293" s="30" t="s">
        <v>1097</v>
      </c>
    </row>
    <row r="294" spans="1:29">
      <c r="A294" s="24" t="s">
        <v>1098</v>
      </c>
      <c r="B294" s="24" t="str">
        <f>IF(ISNUMBER(SEARCH(E294,A294)),A294,IF(OR(E294="",E294=""),A294,A294&amp;" - "&amp;E294))</f>
        <v>avaay Signature 28/1 PG - Platinum Garlic</v>
      </c>
      <c r="C294" s="24" t="s">
        <v>569</v>
      </c>
      <c r="D294" s="24" t="s">
        <v>570</v>
      </c>
      <c r="E294" s="24" t="s">
        <v>1099</v>
      </c>
      <c r="F294" s="24" t="s">
        <v>86</v>
      </c>
      <c r="G294" s="27">
        <v>28</v>
      </c>
      <c r="H294" s="28">
        <v>1</v>
      </c>
      <c r="I294" s="24"/>
      <c r="J294" s="24"/>
      <c r="K294" s="24" t="s">
        <v>52</v>
      </c>
      <c r="L294" s="24" t="s">
        <v>53</v>
      </c>
      <c r="M294" s="24" t="s">
        <v>88</v>
      </c>
      <c r="N294" s="24" t="s">
        <v>71</v>
      </c>
      <c r="O294" s="24" t="s">
        <v>55</v>
      </c>
      <c r="P294" s="24" t="s">
        <v>1100</v>
      </c>
      <c r="Q294" s="24" t="s">
        <v>157</v>
      </c>
      <c r="R294" s="24" t="s">
        <v>59</v>
      </c>
      <c r="S294" s="24" t="s">
        <v>466</v>
      </c>
      <c r="T294" s="24" t="s">
        <v>106</v>
      </c>
      <c r="U294" s="24" t="s">
        <v>493</v>
      </c>
      <c r="V294" s="24" t="s">
        <v>165</v>
      </c>
      <c r="W294" s="24" t="s">
        <v>129</v>
      </c>
      <c r="X294" s="24" t="s">
        <v>79</v>
      </c>
      <c r="Y294" s="24" t="s">
        <v>581</v>
      </c>
      <c r="Z294" s="24" t="s">
        <v>64</v>
      </c>
      <c r="AA294" s="24" t="s">
        <v>572</v>
      </c>
      <c r="AB294" s="24" t="s">
        <v>56</v>
      </c>
      <c r="AC294" s="24" t="s">
        <v>1101</v>
      </c>
    </row>
    <row r="295" spans="1:29">
      <c r="A295" s="30" t="s">
        <v>1102</v>
      </c>
      <c r="B295" s="30" t="str">
        <f>IF(ISNUMBER(SEARCH(E295,A295)),A295,IF(OR(E295="",E295=""),A295,A295&amp;" - "&amp;E295))</f>
        <v>RE:CANNIS 1/17 CBD</v>
      </c>
      <c r="C295" s="30" t="s">
        <v>628</v>
      </c>
      <c r="D295" s="30" t="s">
        <v>629</v>
      </c>
      <c r="E295" s="30"/>
      <c r="F295" s="30" t="s">
        <v>86</v>
      </c>
      <c r="G295" s="34">
        <v>1</v>
      </c>
      <c r="H295" s="35">
        <v>17</v>
      </c>
      <c r="I295" s="30"/>
      <c r="J295" s="30"/>
      <c r="K295" s="30" t="s">
        <v>52</v>
      </c>
      <c r="L295" s="30" t="s">
        <v>630</v>
      </c>
      <c r="M295" s="30" t="s">
        <v>111</v>
      </c>
      <c r="N295" s="30" t="s">
        <v>55</v>
      </c>
      <c r="O295" s="30" t="s">
        <v>56</v>
      </c>
      <c r="P295" s="30" t="s">
        <v>56</v>
      </c>
      <c r="Q295" s="30" t="s">
        <v>56</v>
      </c>
      <c r="R295" s="30" t="s">
        <v>56</v>
      </c>
      <c r="S295" s="30" t="s">
        <v>106</v>
      </c>
      <c r="T295" s="30" t="s">
        <v>76</v>
      </c>
      <c r="U295" s="30" t="s">
        <v>128</v>
      </c>
      <c r="V295" s="30" t="s">
        <v>77</v>
      </c>
      <c r="W295" s="30" t="s">
        <v>635</v>
      </c>
      <c r="X295" s="30" t="s">
        <v>180</v>
      </c>
      <c r="Y295" s="30" t="s">
        <v>307</v>
      </c>
      <c r="Z295" s="30" t="s">
        <v>64</v>
      </c>
      <c r="AA295" s="30" t="s">
        <v>632</v>
      </c>
      <c r="AB295" s="30" t="s">
        <v>56</v>
      </c>
      <c r="AC295" s="30" t="s">
        <v>1103</v>
      </c>
    </row>
    <row r="296" spans="1:29">
      <c r="A296" s="24" t="s">
        <v>1104</v>
      </c>
      <c r="B296" s="24" t="str">
        <f>IF(ISNUMBER(SEARCH(E296,A296)),A296,IF(OR(E296="",E296=""),A296,A296&amp;" - "&amp;E296))</f>
        <v>420 Compound 25/1 PT TGY - Tigerz Eye</v>
      </c>
      <c r="C296" s="24" t="s">
        <v>463</v>
      </c>
      <c r="D296" s="24" t="s">
        <v>464</v>
      </c>
      <c r="E296" s="24" t="s">
        <v>1105</v>
      </c>
      <c r="F296" s="24" t="s">
        <v>177</v>
      </c>
      <c r="G296" s="27">
        <v>24</v>
      </c>
      <c r="H296" s="28">
        <v>1</v>
      </c>
      <c r="I296" s="24"/>
      <c r="J296" s="24"/>
      <c r="K296" s="24" t="s">
        <v>52</v>
      </c>
      <c r="L296" s="24" t="s">
        <v>102</v>
      </c>
      <c r="M296" s="24" t="s">
        <v>54</v>
      </c>
      <c r="N296" s="24" t="s">
        <v>88</v>
      </c>
      <c r="O296" s="24" t="s">
        <v>72</v>
      </c>
      <c r="P296" s="24" t="s">
        <v>73</v>
      </c>
      <c r="Q296" s="24" t="s">
        <v>104</v>
      </c>
      <c r="R296" s="24" t="s">
        <v>74</v>
      </c>
      <c r="S296" s="24" t="s">
        <v>147</v>
      </c>
      <c r="T296" s="24" t="s">
        <v>123</v>
      </c>
      <c r="U296" s="24" t="s">
        <v>62</v>
      </c>
      <c r="V296" s="24" t="s">
        <v>77</v>
      </c>
      <c r="W296" s="24" t="s">
        <v>116</v>
      </c>
      <c r="X296" s="24" t="s">
        <v>107</v>
      </c>
      <c r="Y296" s="24" t="s">
        <v>1106</v>
      </c>
      <c r="Z296" s="24" t="s">
        <v>64</v>
      </c>
      <c r="AA296" s="24" t="s">
        <v>468</v>
      </c>
      <c r="AB296" s="24" t="s">
        <v>56</v>
      </c>
      <c r="AC296" s="24" t="s">
        <v>1107</v>
      </c>
    </row>
    <row r="297" spans="1:29">
      <c r="A297" s="30" t="s">
        <v>1108</v>
      </c>
      <c r="B297" s="30" t="str">
        <f>IF(ISNUMBER(SEARCH(E297,A297)),A297,IF(OR(E297="",E297=""),A297,A297&amp;" - "&amp;E297))</f>
        <v>madrecan 18/1 WOP - Wonder Punch</v>
      </c>
      <c r="C297" s="30" t="s">
        <v>83</v>
      </c>
      <c r="D297" s="30" t="s">
        <v>84</v>
      </c>
      <c r="E297" s="30" t="s">
        <v>1001</v>
      </c>
      <c r="F297" s="30" t="s">
        <v>120</v>
      </c>
      <c r="G297" s="34">
        <v>18</v>
      </c>
      <c r="H297" s="35">
        <v>1</v>
      </c>
      <c r="I297" s="30"/>
      <c r="J297" s="30"/>
      <c r="K297" s="30" t="s">
        <v>17</v>
      </c>
      <c r="L297" s="30" t="s">
        <v>102</v>
      </c>
      <c r="M297" s="30" t="s">
        <v>88</v>
      </c>
      <c r="N297" s="30" t="s">
        <v>103</v>
      </c>
      <c r="O297" s="30" t="s">
        <v>72</v>
      </c>
      <c r="P297" s="30" t="s">
        <v>157</v>
      </c>
      <c r="Q297" s="30" t="s">
        <v>146</v>
      </c>
      <c r="R297" s="30" t="s">
        <v>74</v>
      </c>
      <c r="S297" s="30" t="s">
        <v>62</v>
      </c>
      <c r="T297" s="30" t="s">
        <v>164</v>
      </c>
      <c r="U297" s="30" t="s">
        <v>56</v>
      </c>
      <c r="V297" s="30" t="s">
        <v>92</v>
      </c>
      <c r="W297" s="30" t="s">
        <v>77</v>
      </c>
      <c r="X297" s="30" t="s">
        <v>165</v>
      </c>
      <c r="Y297" s="30" t="s">
        <v>1090</v>
      </c>
      <c r="Z297" s="30" t="s">
        <v>64</v>
      </c>
      <c r="AA297" s="30" t="s">
        <v>95</v>
      </c>
      <c r="AB297" s="30" t="s">
        <v>56</v>
      </c>
      <c r="AC297" s="30" t="s">
        <v>1109</v>
      </c>
    </row>
    <row r="298" spans="1:29">
      <c r="A298" s="24" t="s">
        <v>1110</v>
      </c>
      <c r="B298" s="24" t="str">
        <f>IF(ISNUMBER(SEARCH(E298,A298)),A298,IF(OR(E298="",E298=""),A298,A298&amp;" - "&amp;E298))</f>
        <v>avaay Signature 28/1 GPM - Gun Powder Milkshake</v>
      </c>
      <c r="C298" s="24" t="s">
        <v>569</v>
      </c>
      <c r="D298" s="24" t="s">
        <v>570</v>
      </c>
      <c r="E298" s="24" t="s">
        <v>1111</v>
      </c>
      <c r="F298" s="24" t="s">
        <v>177</v>
      </c>
      <c r="G298" s="27">
        <v>28</v>
      </c>
      <c r="H298" s="28">
        <v>1</v>
      </c>
      <c r="I298" s="24"/>
      <c r="J298" s="24"/>
      <c r="K298" s="24" t="s">
        <v>52</v>
      </c>
      <c r="L298" s="24"/>
      <c r="M298" s="24" t="s">
        <v>212</v>
      </c>
      <c r="N298" s="24" t="s">
        <v>88</v>
      </c>
      <c r="O298" s="24" t="s">
        <v>121</v>
      </c>
      <c r="P298" s="24" t="s">
        <v>604</v>
      </c>
      <c r="Q298" s="24" t="s">
        <v>73</v>
      </c>
      <c r="R298" s="24" t="s">
        <v>113</v>
      </c>
      <c r="S298" s="24" t="s">
        <v>147</v>
      </c>
      <c r="T298" s="24" t="s">
        <v>106</v>
      </c>
      <c r="U298" s="24" t="s">
        <v>62</v>
      </c>
      <c r="V298" s="24" t="s">
        <v>77</v>
      </c>
      <c r="W298" s="24" t="s">
        <v>116</v>
      </c>
      <c r="X298" s="24" t="s">
        <v>107</v>
      </c>
      <c r="Y298" s="24" t="s">
        <v>1112</v>
      </c>
      <c r="Z298" s="24" t="s">
        <v>64</v>
      </c>
      <c r="AA298" s="24" t="s">
        <v>572</v>
      </c>
      <c r="AB298" s="24" t="s">
        <v>56</v>
      </c>
      <c r="AC298" s="24" t="s">
        <v>1113</v>
      </c>
    </row>
    <row r="299" spans="1:29">
      <c r="A299" s="30" t="s">
        <v>1114</v>
      </c>
      <c r="B299" s="30" t="str">
        <f>IF(ISNUMBER(SEARCH(E299,A299)),A299,IF(OR(E299="",E299=""),A299,A299&amp;" - "&amp;E299))</f>
        <v>420 Evolution 25/1 CA MAC - MAC 1</v>
      </c>
      <c r="C299" s="30" t="s">
        <v>463</v>
      </c>
      <c r="D299" s="30" t="s">
        <v>464</v>
      </c>
      <c r="E299" s="30" t="s">
        <v>661</v>
      </c>
      <c r="F299" s="30" t="s">
        <v>120</v>
      </c>
      <c r="G299" s="34">
        <v>25</v>
      </c>
      <c r="H299" s="35">
        <v>1</v>
      </c>
      <c r="I299" s="30"/>
      <c r="J299" s="30"/>
      <c r="K299" s="30" t="s">
        <v>52</v>
      </c>
      <c r="L299" s="30" t="s">
        <v>53</v>
      </c>
      <c r="M299" s="30" t="s">
        <v>54</v>
      </c>
      <c r="N299" s="30" t="s">
        <v>88</v>
      </c>
      <c r="O299" s="30" t="s">
        <v>71</v>
      </c>
      <c r="P299" s="30" t="s">
        <v>57</v>
      </c>
      <c r="Q299" s="30" t="s">
        <v>74</v>
      </c>
      <c r="R299" s="30" t="s">
        <v>75</v>
      </c>
      <c r="S299" s="30" t="s">
        <v>466</v>
      </c>
      <c r="T299" s="30" t="s">
        <v>123</v>
      </c>
      <c r="U299" s="30" t="s">
        <v>106</v>
      </c>
      <c r="V299" s="30" t="s">
        <v>77</v>
      </c>
      <c r="W299" s="30" t="s">
        <v>79</v>
      </c>
      <c r="X299" s="30" t="s">
        <v>173</v>
      </c>
      <c r="Y299" s="30" t="s">
        <v>1069</v>
      </c>
      <c r="Z299" s="30" t="s">
        <v>64</v>
      </c>
      <c r="AA299" s="30" t="s">
        <v>468</v>
      </c>
      <c r="AB299" s="30" t="s">
        <v>56</v>
      </c>
      <c r="AC299" s="30" t="s">
        <v>1115</v>
      </c>
    </row>
    <row r="300" spans="1:29">
      <c r="A300" s="24" t="s">
        <v>1116</v>
      </c>
      <c r="B300" s="24" t="str">
        <f>IF(ISNUMBER(SEARCH(E300,A300)),A300,IF(OR(E300="",E300=""),A300,A300&amp;" - "&amp;E300))</f>
        <v>420 Evolution 27/1 CA BUL - Bucket List</v>
      </c>
      <c r="C300" s="24" t="s">
        <v>463</v>
      </c>
      <c r="D300" s="24" t="s">
        <v>464</v>
      </c>
      <c r="E300" s="24" t="s">
        <v>848</v>
      </c>
      <c r="F300" s="24" t="s">
        <v>86</v>
      </c>
      <c r="G300" s="27">
        <v>27</v>
      </c>
      <c r="H300" s="28">
        <v>1</v>
      </c>
      <c r="I300" s="24"/>
      <c r="J300" s="24"/>
      <c r="K300" s="24" t="s">
        <v>52</v>
      </c>
      <c r="L300" s="24" t="s">
        <v>53</v>
      </c>
      <c r="M300" s="24" t="s">
        <v>156</v>
      </c>
      <c r="N300" s="24" t="s">
        <v>54</v>
      </c>
      <c r="O300" s="24" t="s">
        <v>111</v>
      </c>
      <c r="P300" s="24" t="s">
        <v>73</v>
      </c>
      <c r="Q300" s="24" t="s">
        <v>75</v>
      </c>
      <c r="R300" s="24" t="s">
        <v>89</v>
      </c>
      <c r="S300" s="24" t="s">
        <v>106</v>
      </c>
      <c r="T300" s="24" t="s">
        <v>76</v>
      </c>
      <c r="U300" s="24" t="s">
        <v>62</v>
      </c>
      <c r="V300" s="24" t="s">
        <v>116</v>
      </c>
      <c r="W300" s="24" t="s">
        <v>79</v>
      </c>
      <c r="X300" s="24" t="s">
        <v>107</v>
      </c>
      <c r="Y300" s="24" t="s">
        <v>1117</v>
      </c>
      <c r="Z300" s="24" t="s">
        <v>64</v>
      </c>
      <c r="AA300" s="24" t="s">
        <v>468</v>
      </c>
      <c r="AB300" s="24" t="s">
        <v>56</v>
      </c>
      <c r="AC300" s="24" t="s">
        <v>1118</v>
      </c>
    </row>
    <row r="301" spans="1:29">
      <c r="A301" s="30" t="s">
        <v>1119</v>
      </c>
      <c r="B301" s="30" t="str">
        <f>IF(ISNUMBER(SEARCH(E301,A301)),A301,IF(OR(E301="",E301=""),A301,A301&amp;" - "&amp;E301))</f>
        <v>Cookies 22/1 A&amp;B - Apples &amp; Bananas</v>
      </c>
      <c r="C301" s="30" t="s">
        <v>996</v>
      </c>
      <c r="D301" s="30" t="s">
        <v>997</v>
      </c>
      <c r="E301" s="30" t="s">
        <v>1120</v>
      </c>
      <c r="F301" s="30" t="s">
        <v>177</v>
      </c>
      <c r="G301" s="34">
        <v>22</v>
      </c>
      <c r="H301" s="35">
        <v>1</v>
      </c>
      <c r="I301" s="30"/>
      <c r="J301" s="30"/>
      <c r="K301" s="30" t="s">
        <v>52</v>
      </c>
      <c r="L301" s="30" t="s">
        <v>102</v>
      </c>
      <c r="M301" s="30" t="s">
        <v>54</v>
      </c>
      <c r="N301" s="30" t="s">
        <v>71</v>
      </c>
      <c r="O301" s="30" t="s">
        <v>55</v>
      </c>
      <c r="P301" s="30" t="s">
        <v>58</v>
      </c>
      <c r="Q301" s="30" t="s">
        <v>56</v>
      </c>
      <c r="R301" s="30" t="s">
        <v>56</v>
      </c>
      <c r="S301" s="30" t="s">
        <v>56</v>
      </c>
      <c r="T301" s="30" t="s">
        <v>56</v>
      </c>
      <c r="U301" s="30" t="s">
        <v>56</v>
      </c>
      <c r="V301" s="30" t="s">
        <v>92</v>
      </c>
      <c r="W301" s="30" t="s">
        <v>77</v>
      </c>
      <c r="X301" s="30" t="s">
        <v>129</v>
      </c>
      <c r="Y301" s="30" t="s">
        <v>1036</v>
      </c>
      <c r="Z301" s="30" t="s">
        <v>64</v>
      </c>
      <c r="AA301" s="30" t="s">
        <v>997</v>
      </c>
      <c r="AB301" s="30" t="s">
        <v>56</v>
      </c>
      <c r="AC301" s="30" t="s">
        <v>1121</v>
      </c>
    </row>
    <row r="302" spans="1:29">
      <c r="A302" s="24" t="s">
        <v>1122</v>
      </c>
      <c r="B302" s="24" t="str">
        <f>IF(ISNUMBER(SEARCH(E302,A302)),A302,IF(OR(E302="",E302=""),A302,A302&amp;" - "&amp;E302))</f>
        <v>420 Sungrown 25/1 CA ZRP - Zour Apple</v>
      </c>
      <c r="C302" s="24" t="s">
        <v>463</v>
      </c>
      <c r="D302" s="24" t="s">
        <v>464</v>
      </c>
      <c r="E302" s="24" t="s">
        <v>590</v>
      </c>
      <c r="F302" s="24" t="s">
        <v>177</v>
      </c>
      <c r="G302" s="27">
        <v>25</v>
      </c>
      <c r="H302" s="28">
        <v>1</v>
      </c>
      <c r="I302" s="24"/>
      <c r="J302" s="24"/>
      <c r="K302" s="24" t="s">
        <v>52</v>
      </c>
      <c r="L302" s="24" t="s">
        <v>53</v>
      </c>
      <c r="M302" s="24" t="s">
        <v>111</v>
      </c>
      <c r="N302" s="24" t="s">
        <v>55</v>
      </c>
      <c r="O302" s="24" t="s">
        <v>178</v>
      </c>
      <c r="P302" s="24" t="s">
        <v>591</v>
      </c>
      <c r="Q302" s="24" t="s">
        <v>58</v>
      </c>
      <c r="R302" s="24" t="s">
        <v>56</v>
      </c>
      <c r="S302" s="24" t="s">
        <v>90</v>
      </c>
      <c r="T302" s="24" t="s">
        <v>114</v>
      </c>
      <c r="U302" s="24" t="s">
        <v>62</v>
      </c>
      <c r="V302" s="24" t="s">
        <v>92</v>
      </c>
      <c r="W302" s="24" t="s">
        <v>129</v>
      </c>
      <c r="X302" s="24" t="s">
        <v>107</v>
      </c>
      <c r="Y302" s="24" t="s">
        <v>625</v>
      </c>
      <c r="Z302" s="24" t="s">
        <v>64</v>
      </c>
      <c r="AA302" s="24" t="s">
        <v>468</v>
      </c>
      <c r="AB302" s="24" t="s">
        <v>56</v>
      </c>
      <c r="AC302" s="24" t="s">
        <v>1123</v>
      </c>
    </row>
    <row r="303" spans="1:29">
      <c r="A303" s="30" t="s">
        <v>1124</v>
      </c>
      <c r="B303" s="30" t="str">
        <f>IF(ISNUMBER(SEARCH(E303,A303)),A303,IF(OR(E303="",E303=""),A303,A303&amp;" - "&amp;E303))</f>
        <v>420 Evolution 25/1 CA PLD - Plum Driver</v>
      </c>
      <c r="C303" s="30" t="s">
        <v>463</v>
      </c>
      <c r="D303" s="30" t="s">
        <v>464</v>
      </c>
      <c r="E303" s="30" t="s">
        <v>731</v>
      </c>
      <c r="F303" s="30" t="s">
        <v>177</v>
      </c>
      <c r="G303" s="34">
        <v>25</v>
      </c>
      <c r="H303" s="35">
        <v>1</v>
      </c>
      <c r="I303" s="30"/>
      <c r="J303" s="30"/>
      <c r="K303" s="30" t="s">
        <v>52</v>
      </c>
      <c r="L303" s="30" t="s">
        <v>53</v>
      </c>
      <c r="M303" s="30" t="s">
        <v>71</v>
      </c>
      <c r="N303" s="30" t="s">
        <v>178</v>
      </c>
      <c r="O303" s="30"/>
      <c r="P303" s="30" t="s">
        <v>57</v>
      </c>
      <c r="Q303" s="30" t="s">
        <v>89</v>
      </c>
      <c r="R303" s="30" t="s">
        <v>58</v>
      </c>
      <c r="S303" s="30" t="s">
        <v>147</v>
      </c>
      <c r="T303" s="30" t="s">
        <v>123</v>
      </c>
      <c r="U303" s="30" t="s">
        <v>106</v>
      </c>
      <c r="V303" s="30" t="s">
        <v>79</v>
      </c>
      <c r="W303" s="30" t="s">
        <v>107</v>
      </c>
      <c r="X303" s="30" t="s">
        <v>56</v>
      </c>
      <c r="Y303" s="30" t="s">
        <v>513</v>
      </c>
      <c r="Z303" s="30" t="s">
        <v>64</v>
      </c>
      <c r="AA303" s="30" t="s">
        <v>468</v>
      </c>
      <c r="AB303" s="30" t="s">
        <v>56</v>
      </c>
      <c r="AC303" s="30" t="s">
        <v>1125</v>
      </c>
    </row>
    <row r="304" spans="1:29">
      <c r="A304" s="24" t="s">
        <v>1126</v>
      </c>
      <c r="B304" s="24" t="str">
        <f>IF(ISNUMBER(SEARCH(E304,A304)),A304,IF(OR(E304="",E304=""),A304,A304&amp;" - "&amp;E304))</f>
        <v>Remexian 28/1 GFR - Godfather OG x Schroll Medical</v>
      </c>
      <c r="C304" s="24" t="s">
        <v>83</v>
      </c>
      <c r="D304" s="24" t="s">
        <v>84</v>
      </c>
      <c r="E304" s="24" t="s">
        <v>1127</v>
      </c>
      <c r="F304" s="24" t="s">
        <v>177</v>
      </c>
      <c r="G304" s="27">
        <v>28</v>
      </c>
      <c r="H304" s="28">
        <v>1</v>
      </c>
      <c r="I304" s="24"/>
      <c r="J304" s="24"/>
      <c r="K304" s="24" t="s">
        <v>17</v>
      </c>
      <c r="L304" s="24" t="s">
        <v>87</v>
      </c>
      <c r="M304" s="24" t="s">
        <v>121</v>
      </c>
      <c r="N304" s="24"/>
      <c r="O304" s="24" t="s">
        <v>56</v>
      </c>
      <c r="P304" s="24" t="s">
        <v>146</v>
      </c>
      <c r="Q304" s="24" t="s">
        <v>113</v>
      </c>
      <c r="R304" s="24" t="s">
        <v>75</v>
      </c>
      <c r="S304" s="24" t="s">
        <v>90</v>
      </c>
      <c r="T304" s="24" t="s">
        <v>123</v>
      </c>
      <c r="U304" s="24" t="s">
        <v>106</v>
      </c>
      <c r="V304" s="24" t="s">
        <v>116</v>
      </c>
      <c r="W304" s="24" t="s">
        <v>107</v>
      </c>
      <c r="X304" s="24" t="s">
        <v>56</v>
      </c>
      <c r="Y304" s="24" t="s">
        <v>1128</v>
      </c>
      <c r="Z304" s="24" t="s">
        <v>64</v>
      </c>
      <c r="AA304" s="24" t="s">
        <v>95</v>
      </c>
      <c r="AB304" s="24" t="s">
        <v>56</v>
      </c>
      <c r="AC304" s="24" t="s">
        <v>1129</v>
      </c>
    </row>
    <row r="305" spans="1:29">
      <c r="A305" s="30" t="s">
        <v>1130</v>
      </c>
      <c r="B305" s="30" t="str">
        <f>IF(ISNUMBER(SEARCH(E305,A305)),A305,IF(OR(E305="",E305=""),A305,A305&amp;" - "&amp;E305))</f>
        <v>Drapalin 30/1 Kukis - Animal Cookies</v>
      </c>
      <c r="C305" s="30" t="s">
        <v>668</v>
      </c>
      <c r="D305" s="30" t="s">
        <v>669</v>
      </c>
      <c r="E305" s="30" t="s">
        <v>1131</v>
      </c>
      <c r="F305" s="30" t="s">
        <v>177</v>
      </c>
      <c r="G305" s="34">
        <v>29</v>
      </c>
      <c r="H305" s="35">
        <v>1</v>
      </c>
      <c r="I305" s="30"/>
      <c r="J305" s="30"/>
      <c r="K305" s="30" t="s">
        <v>52</v>
      </c>
      <c r="L305" s="30" t="s">
        <v>965</v>
      </c>
      <c r="M305" s="30" t="s">
        <v>54</v>
      </c>
      <c r="N305" s="30" t="s">
        <v>71</v>
      </c>
      <c r="O305" s="30" t="s">
        <v>72</v>
      </c>
      <c r="P305" s="30" t="s">
        <v>74</v>
      </c>
      <c r="Q305" s="30" t="s">
        <v>113</v>
      </c>
      <c r="R305" s="30" t="s">
        <v>75</v>
      </c>
      <c r="S305" s="30" t="s">
        <v>61</v>
      </c>
      <c r="T305" s="30" t="s">
        <v>62</v>
      </c>
      <c r="U305" s="30" t="s">
        <v>128</v>
      </c>
      <c r="V305" s="30" t="s">
        <v>77</v>
      </c>
      <c r="W305" s="30" t="s">
        <v>116</v>
      </c>
      <c r="X305" s="30" t="s">
        <v>79</v>
      </c>
      <c r="Y305" s="30" t="s">
        <v>1132</v>
      </c>
      <c r="Z305" s="30" t="s">
        <v>64</v>
      </c>
      <c r="AA305" s="30" t="s">
        <v>671</v>
      </c>
      <c r="AB305" s="30" t="s">
        <v>56</v>
      </c>
      <c r="AC305" s="30" t="s">
        <v>1133</v>
      </c>
    </row>
    <row r="306" spans="1:29">
      <c r="A306" s="24" t="s">
        <v>1134</v>
      </c>
      <c r="B306" s="24" t="str">
        <f>IF(ISNUMBER(SEARCH(E306,A306)),A306,IF(OR(E306="",E306=""),A306,A306&amp;" - "&amp;E306))</f>
        <v>Bathera 21/1 ZS - Z Splitter</v>
      </c>
      <c r="C306" s="24" t="s">
        <v>153</v>
      </c>
      <c r="D306" s="24" t="s">
        <v>154</v>
      </c>
      <c r="E306" s="24" t="s">
        <v>1093</v>
      </c>
      <c r="F306" s="24" t="s">
        <v>177</v>
      </c>
      <c r="G306" s="27">
        <v>21</v>
      </c>
      <c r="H306" s="28">
        <v>1</v>
      </c>
      <c r="I306" s="24"/>
      <c r="J306" s="24"/>
      <c r="K306" s="24" t="s">
        <v>52</v>
      </c>
      <c r="L306" s="24" t="s">
        <v>102</v>
      </c>
      <c r="M306" s="24" t="s">
        <v>54</v>
      </c>
      <c r="N306" s="24" t="s">
        <v>111</v>
      </c>
      <c r="O306" s="24" t="s">
        <v>71</v>
      </c>
      <c r="P306" s="24" t="s">
        <v>75</v>
      </c>
      <c r="Q306" s="24" t="s">
        <v>89</v>
      </c>
      <c r="R306" s="24" t="s">
        <v>58</v>
      </c>
      <c r="S306" s="24" t="s">
        <v>60</v>
      </c>
      <c r="T306" s="24" t="s">
        <v>147</v>
      </c>
      <c r="U306" s="24" t="s">
        <v>123</v>
      </c>
      <c r="V306" s="24" t="s">
        <v>77</v>
      </c>
      <c r="W306" s="24" t="s">
        <v>116</v>
      </c>
      <c r="X306" s="24" t="s">
        <v>138</v>
      </c>
      <c r="Y306" s="24" t="s">
        <v>1135</v>
      </c>
      <c r="Z306" s="24" t="s">
        <v>64</v>
      </c>
      <c r="AA306" s="24" t="s">
        <v>154</v>
      </c>
      <c r="AB306" s="24" t="s">
        <v>160</v>
      </c>
      <c r="AC306" s="24" t="s">
        <v>1136</v>
      </c>
    </row>
    <row r="307" spans="1:29">
      <c r="A307" s="30" t="s">
        <v>1137</v>
      </c>
      <c r="B307" s="30" t="str">
        <f>IF(ISNUMBER(SEARCH(E307,A307)),A307,IF(OR(E307="",E307=""),A307,A307&amp;" - "&amp;E307))</f>
        <v>Peace Naturals 29/1 GC - GMO Cookies</v>
      </c>
      <c r="C307" s="30" t="s">
        <v>811</v>
      </c>
      <c r="D307" s="30" t="s">
        <v>812</v>
      </c>
      <c r="E307" s="30" t="s">
        <v>816</v>
      </c>
      <c r="F307" s="30" t="s">
        <v>120</v>
      </c>
      <c r="G307" s="34">
        <v>29</v>
      </c>
      <c r="H307" s="35">
        <v>1</v>
      </c>
      <c r="I307" s="30"/>
      <c r="J307" s="30"/>
      <c r="K307" s="30" t="s">
        <v>52</v>
      </c>
      <c r="L307" s="30" t="s">
        <v>53</v>
      </c>
      <c r="M307" s="30" t="s">
        <v>88</v>
      </c>
      <c r="N307" s="30" t="s">
        <v>121</v>
      </c>
      <c r="O307" s="30" t="s">
        <v>72</v>
      </c>
      <c r="P307" s="30" t="s">
        <v>73</v>
      </c>
      <c r="Q307" s="30" t="s">
        <v>56</v>
      </c>
      <c r="R307" s="30" t="s">
        <v>56</v>
      </c>
      <c r="S307" s="30" t="s">
        <v>147</v>
      </c>
      <c r="T307" s="30" t="s">
        <v>106</v>
      </c>
      <c r="U307" s="30" t="s">
        <v>234</v>
      </c>
      <c r="V307" s="30" t="s">
        <v>92</v>
      </c>
      <c r="W307" s="30" t="s">
        <v>116</v>
      </c>
      <c r="X307" s="30" t="s">
        <v>79</v>
      </c>
      <c r="Y307" s="30" t="s">
        <v>80</v>
      </c>
      <c r="Z307" s="30" t="s">
        <v>64</v>
      </c>
      <c r="AA307" s="30" t="s">
        <v>812</v>
      </c>
      <c r="AB307" s="30" t="s">
        <v>812</v>
      </c>
      <c r="AC307" s="30" t="s">
        <v>1138</v>
      </c>
    </row>
    <row r="308" spans="1:29">
      <c r="A308" s="24" t="s">
        <v>607</v>
      </c>
      <c r="B308" s="24" t="str">
        <f>IF(ISNUMBER(SEARCH(E308,A308)),A308,IF(OR(E308="",E308=""),A308,A308&amp;" - "&amp;E308))</f>
        <v>Canify Cannabis flos 18/1 UY Ku. - Big Buddha</v>
      </c>
      <c r="C308" s="24" t="s">
        <v>99</v>
      </c>
      <c r="D308" s="24" t="s">
        <v>100</v>
      </c>
      <c r="E308" s="24" t="s">
        <v>184</v>
      </c>
      <c r="F308" s="24" t="s">
        <v>177</v>
      </c>
      <c r="G308" s="27">
        <v>18</v>
      </c>
      <c r="H308" s="28">
        <v>1</v>
      </c>
      <c r="I308" s="24"/>
      <c r="J308" s="24"/>
      <c r="K308" s="24" t="s">
        <v>52</v>
      </c>
      <c r="L308" s="24" t="s">
        <v>185</v>
      </c>
      <c r="M308" s="24" t="s">
        <v>71</v>
      </c>
      <c r="N308" s="24" t="s">
        <v>103</v>
      </c>
      <c r="O308" s="24" t="s">
        <v>121</v>
      </c>
      <c r="P308" s="24" t="s">
        <v>186</v>
      </c>
      <c r="Q308" s="24" t="s">
        <v>74</v>
      </c>
      <c r="R308" s="24" t="s">
        <v>56</v>
      </c>
      <c r="S308" s="24" t="s">
        <v>187</v>
      </c>
      <c r="T308" s="24" t="s">
        <v>90</v>
      </c>
      <c r="U308" s="24" t="s">
        <v>106</v>
      </c>
      <c r="V308" s="24" t="s">
        <v>116</v>
      </c>
      <c r="W308" s="24" t="s">
        <v>79</v>
      </c>
      <c r="X308" s="24" t="s">
        <v>107</v>
      </c>
      <c r="Y308" s="24" t="s">
        <v>1139</v>
      </c>
      <c r="Z308" s="24" t="s">
        <v>64</v>
      </c>
      <c r="AA308" s="24" t="s">
        <v>100</v>
      </c>
      <c r="AB308" s="24" t="s">
        <v>56</v>
      </c>
      <c r="AC308" s="24" t="s">
        <v>1140</v>
      </c>
    </row>
    <row r="309" spans="1:29">
      <c r="A309" s="30" t="s">
        <v>1141</v>
      </c>
      <c r="B309" s="30" t="str">
        <f>IF(ISNUMBER(SEARCH(E309,A309)),A309,IF(OR(E309="",E309=""),A309,A309&amp;" - "&amp;E309))</f>
        <v>Curaleaf Natural 22/1 PT WPT - Wedding Pop Triangle</v>
      </c>
      <c r="C309" s="30" t="s">
        <v>463</v>
      </c>
      <c r="D309" s="30" t="s">
        <v>464</v>
      </c>
      <c r="E309" s="30" t="s">
        <v>1142</v>
      </c>
      <c r="F309" s="30" t="s">
        <v>144</v>
      </c>
      <c r="G309" s="34">
        <v>22</v>
      </c>
      <c r="H309" s="35">
        <v>1</v>
      </c>
      <c r="I309" s="30"/>
      <c r="J309" s="30"/>
      <c r="K309" s="30" t="s">
        <v>52</v>
      </c>
      <c r="L309" s="30" t="s">
        <v>102</v>
      </c>
      <c r="M309" s="30" t="s">
        <v>54</v>
      </c>
      <c r="N309" s="30" t="s">
        <v>111</v>
      </c>
      <c r="O309" s="30" t="s">
        <v>88</v>
      </c>
      <c r="P309" s="30" t="s">
        <v>57</v>
      </c>
      <c r="Q309" s="30" t="s">
        <v>74</v>
      </c>
      <c r="R309" s="30" t="s">
        <v>75</v>
      </c>
      <c r="S309" s="30" t="s">
        <v>147</v>
      </c>
      <c r="T309" s="30" t="s">
        <v>106</v>
      </c>
      <c r="U309" s="30" t="s">
        <v>62</v>
      </c>
      <c r="V309" s="30" t="s">
        <v>77</v>
      </c>
      <c r="W309" s="30" t="s">
        <v>79</v>
      </c>
      <c r="X309" s="30" t="s">
        <v>107</v>
      </c>
      <c r="Y309" s="30" t="s">
        <v>268</v>
      </c>
      <c r="Z309" s="30" t="s">
        <v>64</v>
      </c>
      <c r="AA309" s="30" t="s">
        <v>468</v>
      </c>
      <c r="AB309" s="30" t="s">
        <v>56</v>
      </c>
      <c r="AC309" s="30" t="s">
        <v>1143</v>
      </c>
    </row>
    <row r="310" spans="1:29">
      <c r="A310" s="24" t="s">
        <v>1144</v>
      </c>
      <c r="B310" s="24" t="str">
        <f>IF(ISNUMBER(SEARCH(E310,A310)),A310,IF(OR(E310="",E310=""),A310,A310&amp;" - "&amp;E310))</f>
        <v>Cookies 22/1 - Hawaiian Rain</v>
      </c>
      <c r="C310" s="24" t="s">
        <v>996</v>
      </c>
      <c r="D310" s="24" t="s">
        <v>997</v>
      </c>
      <c r="E310" s="24" t="s">
        <v>1145</v>
      </c>
      <c r="F310" s="24" t="s">
        <v>177</v>
      </c>
      <c r="G310" s="27">
        <v>22</v>
      </c>
      <c r="H310" s="28">
        <v>1</v>
      </c>
      <c r="I310" s="24"/>
      <c r="J310" s="24"/>
      <c r="K310" s="24" t="s">
        <v>52</v>
      </c>
      <c r="L310" s="24"/>
      <c r="M310" s="24" t="s">
        <v>54</v>
      </c>
      <c r="N310" s="24" t="s">
        <v>111</v>
      </c>
      <c r="O310" s="24" t="s">
        <v>88</v>
      </c>
      <c r="P310" s="24" t="s">
        <v>136</v>
      </c>
      <c r="Q310" s="24" t="s">
        <v>112</v>
      </c>
      <c r="R310" s="24" t="s">
        <v>57</v>
      </c>
      <c r="S310" s="24" t="s">
        <v>147</v>
      </c>
      <c r="T310" s="24" t="s">
        <v>123</v>
      </c>
      <c r="U310" s="24" t="s">
        <v>91</v>
      </c>
      <c r="V310" s="24" t="s">
        <v>77</v>
      </c>
      <c r="W310" s="24" t="s">
        <v>116</v>
      </c>
      <c r="X310" s="24" t="s">
        <v>79</v>
      </c>
      <c r="Y310" s="24" t="s">
        <v>437</v>
      </c>
      <c r="Z310" s="24" t="s">
        <v>64</v>
      </c>
      <c r="AA310" s="24" t="s">
        <v>997</v>
      </c>
      <c r="AB310" s="24" t="s">
        <v>56</v>
      </c>
      <c r="AC310" s="24" t="s">
        <v>1146</v>
      </c>
    </row>
    <row r="311" spans="1:29">
      <c r="A311" s="30" t="s">
        <v>1147</v>
      </c>
      <c r="B311" s="30" t="str">
        <f>IF(ISNUMBER(SEARCH(E311,A311)),A311,IF(OR(E311="",E311=""),A311,A311&amp;" - "&amp;E311))</f>
        <v>Bathera 28/1 FA - Facetz</v>
      </c>
      <c r="C311" s="30" t="s">
        <v>153</v>
      </c>
      <c r="D311" s="30" t="s">
        <v>154</v>
      </c>
      <c r="E311" s="30" t="s">
        <v>1148</v>
      </c>
      <c r="F311" s="30" t="s">
        <v>120</v>
      </c>
      <c r="G311" s="34">
        <v>29</v>
      </c>
      <c r="H311" s="35">
        <v>1</v>
      </c>
      <c r="I311" s="30"/>
      <c r="J311" s="30"/>
      <c r="K311" s="30" t="s">
        <v>52</v>
      </c>
      <c r="L311" s="30" t="s">
        <v>102</v>
      </c>
      <c r="M311" s="30" t="s">
        <v>54</v>
      </c>
      <c r="N311" s="30" t="s">
        <v>111</v>
      </c>
      <c r="O311" s="30" t="s">
        <v>178</v>
      </c>
      <c r="P311" s="30" t="s">
        <v>73</v>
      </c>
      <c r="Q311" s="30" t="s">
        <v>74</v>
      </c>
      <c r="R311" s="30" t="s">
        <v>89</v>
      </c>
      <c r="S311" s="30" t="s">
        <v>147</v>
      </c>
      <c r="T311" s="30" t="s">
        <v>123</v>
      </c>
      <c r="U311" s="30" t="s">
        <v>61</v>
      </c>
      <c r="V311" s="30" t="s">
        <v>77</v>
      </c>
      <c r="W311" s="30" t="s">
        <v>79</v>
      </c>
      <c r="X311" s="30" t="s">
        <v>107</v>
      </c>
      <c r="Y311" s="30" t="s">
        <v>539</v>
      </c>
      <c r="Z311" s="30" t="s">
        <v>64</v>
      </c>
      <c r="AA311" s="30" t="s">
        <v>154</v>
      </c>
      <c r="AB311" s="30" t="s">
        <v>160</v>
      </c>
      <c r="AC311" s="30" t="s">
        <v>1149</v>
      </c>
    </row>
    <row r="312" spans="1:29">
      <c r="A312" s="24" t="s">
        <v>1150</v>
      </c>
      <c r="B312" s="24" t="str">
        <f>IF(ISNUMBER(SEARCH(E312,A312)),A312,IF(OR(E312="",E312=""),A312,A312&amp;" - "&amp;E312))</f>
        <v>Remexian 30/1 HMA CDC - Chem de la Chem</v>
      </c>
      <c r="C312" s="24" t="s">
        <v>83</v>
      </c>
      <c r="D312" s="24" t="s">
        <v>84</v>
      </c>
      <c r="E312" s="24" t="s">
        <v>1151</v>
      </c>
      <c r="F312" s="24" t="s">
        <v>144</v>
      </c>
      <c r="G312" s="27">
        <v>30</v>
      </c>
      <c r="H312" s="28">
        <v>1</v>
      </c>
      <c r="I312" s="24"/>
      <c r="J312" s="24"/>
      <c r="K312" s="24" t="s">
        <v>52</v>
      </c>
      <c r="L312" s="24"/>
      <c r="M312" s="24" t="s">
        <v>54</v>
      </c>
      <c r="N312" s="24" t="s">
        <v>111</v>
      </c>
      <c r="O312" s="24" t="s">
        <v>88</v>
      </c>
      <c r="P312" s="24" t="s">
        <v>73</v>
      </c>
      <c r="Q312" s="24" t="s">
        <v>146</v>
      </c>
      <c r="R312" s="24" t="s">
        <v>74</v>
      </c>
      <c r="S312" s="24" t="s">
        <v>147</v>
      </c>
      <c r="T312" s="24" t="s">
        <v>493</v>
      </c>
      <c r="U312" s="24" t="s">
        <v>62</v>
      </c>
      <c r="V312" s="24" t="s">
        <v>77</v>
      </c>
      <c r="W312" s="24" t="s">
        <v>79</v>
      </c>
      <c r="X312" s="24" t="s">
        <v>107</v>
      </c>
      <c r="Y312" s="24" t="s">
        <v>1152</v>
      </c>
      <c r="Z312" s="24" t="s">
        <v>64</v>
      </c>
      <c r="AA312" s="24" t="s">
        <v>95</v>
      </c>
      <c r="AB312" s="24" t="s">
        <v>56</v>
      </c>
      <c r="AC312" s="24" t="s">
        <v>1153</v>
      </c>
    </row>
    <row r="313" spans="1:29">
      <c r="A313" s="42" t="s">
        <v>1154</v>
      </c>
      <c r="B313" s="42" t="str">
        <f>IF(ISNUMBER(SEARCH(E313,A313)),A313,IF(OR(E313="",E313=""),A313,A313&amp;" - "&amp;E313))</f>
        <v>madrecan 18/1 SHA - Shark Attack</v>
      </c>
      <c r="C313" s="30" t="s">
        <v>83</v>
      </c>
      <c r="D313" s="30" t="s">
        <v>84</v>
      </c>
      <c r="E313" s="30" t="s">
        <v>1155</v>
      </c>
      <c r="F313" s="30" t="s">
        <v>120</v>
      </c>
      <c r="G313" s="34">
        <v>18</v>
      </c>
      <c r="H313" s="35">
        <v>1</v>
      </c>
      <c r="I313" s="30"/>
      <c r="J313" s="30"/>
      <c r="K313" s="30" t="s">
        <v>17</v>
      </c>
      <c r="L313" s="30" t="s">
        <v>102</v>
      </c>
      <c r="M313" s="30" t="s">
        <v>55</v>
      </c>
      <c r="N313" s="30" t="s">
        <v>178</v>
      </c>
      <c r="O313" s="30" t="s">
        <v>121</v>
      </c>
      <c r="P313" s="30" t="s">
        <v>104</v>
      </c>
      <c r="Q313" s="30" t="s">
        <v>74</v>
      </c>
      <c r="R313" s="30" t="s">
        <v>75</v>
      </c>
      <c r="S313" s="30" t="s">
        <v>60</v>
      </c>
      <c r="T313" s="30" t="s">
        <v>147</v>
      </c>
      <c r="U313" s="30" t="s">
        <v>62</v>
      </c>
      <c r="V313" s="30" t="s">
        <v>77</v>
      </c>
      <c r="W313" s="30" t="s">
        <v>116</v>
      </c>
      <c r="X313" s="30" t="s">
        <v>292</v>
      </c>
      <c r="Y313" s="30" t="s">
        <v>1090</v>
      </c>
      <c r="Z313" s="30" t="s">
        <v>64</v>
      </c>
      <c r="AA313" s="30" t="s">
        <v>95</v>
      </c>
      <c r="AB313" s="30" t="s">
        <v>56</v>
      </c>
      <c r="AC313" s="30" t="s">
        <v>1156</v>
      </c>
    </row>
    <row r="314" spans="1:29">
      <c r="A314" s="24" t="s">
        <v>1157</v>
      </c>
      <c r="B314" s="24" t="str">
        <f>IF(ISNUMBER(SEARCH(E314,A314)),A314,IF(OR(E314="",E314=""),A314,A314&amp;" - "&amp;E314))</f>
        <v>CNBS Gelo 25/1 - Gelonade</v>
      </c>
      <c r="C314" s="24" t="s">
        <v>822</v>
      </c>
      <c r="D314" s="24" t="s">
        <v>823</v>
      </c>
      <c r="E314" s="24" t="s">
        <v>869</v>
      </c>
      <c r="F314" s="24" t="s">
        <v>86</v>
      </c>
      <c r="G314" s="27">
        <v>25</v>
      </c>
      <c r="H314" s="28">
        <v>1</v>
      </c>
      <c r="I314" s="24"/>
      <c r="J314" s="24"/>
      <c r="K314" s="24" t="s">
        <v>52</v>
      </c>
      <c r="L314" s="24" t="s">
        <v>53</v>
      </c>
      <c r="M314" s="24" t="s">
        <v>156</v>
      </c>
      <c r="N314" s="24" t="s">
        <v>88</v>
      </c>
      <c r="O314" s="24" t="s">
        <v>55</v>
      </c>
      <c r="P314" s="24" t="s">
        <v>57</v>
      </c>
      <c r="Q314" s="24" t="s">
        <v>113</v>
      </c>
      <c r="R314" s="24" t="s">
        <v>75</v>
      </c>
      <c r="S314" s="24" t="s">
        <v>106</v>
      </c>
      <c r="T314" s="24" t="s">
        <v>62</v>
      </c>
      <c r="U314" s="24" t="s">
        <v>56</v>
      </c>
      <c r="V314" s="24" t="s">
        <v>77</v>
      </c>
      <c r="W314" s="24" t="s">
        <v>116</v>
      </c>
      <c r="X314" s="24" t="s">
        <v>129</v>
      </c>
      <c r="Y314" s="24" t="s">
        <v>293</v>
      </c>
      <c r="Z314" s="24" t="s">
        <v>64</v>
      </c>
      <c r="AA314" s="24" t="s">
        <v>826</v>
      </c>
      <c r="AB314" s="24" t="s">
        <v>56</v>
      </c>
      <c r="AC314" s="24" t="s">
        <v>1158</v>
      </c>
    </row>
    <row r="315" spans="1:29">
      <c r="A315" s="30" t="s">
        <v>1159</v>
      </c>
      <c r="B315" s="30" t="str">
        <f>IF(ISNUMBER(SEARCH(E315,A315)),A315,IF(OR(E315="",E315=""),A315,A315&amp;" - "&amp;E315))</f>
        <v>Remexian 27/1 SNM - Strawberry n' Mintz</v>
      </c>
      <c r="C315" s="30" t="s">
        <v>83</v>
      </c>
      <c r="D315" s="30" t="s">
        <v>84</v>
      </c>
      <c r="E315" s="30" t="s">
        <v>1160</v>
      </c>
      <c r="F315" s="30" t="s">
        <v>86</v>
      </c>
      <c r="G315" s="34">
        <v>27</v>
      </c>
      <c r="H315" s="35">
        <v>1</v>
      </c>
      <c r="I315" s="30"/>
      <c r="J315" s="30"/>
      <c r="K315" s="30" t="s">
        <v>52</v>
      </c>
      <c r="L315" s="30" t="s">
        <v>53</v>
      </c>
      <c r="M315" s="30" t="s">
        <v>54</v>
      </c>
      <c r="N315" s="30" t="s">
        <v>111</v>
      </c>
      <c r="O315" s="30" t="s">
        <v>88</v>
      </c>
      <c r="P315" s="30" t="s">
        <v>112</v>
      </c>
      <c r="Q315" s="30" t="s">
        <v>74</v>
      </c>
      <c r="R315" s="30" t="s">
        <v>89</v>
      </c>
      <c r="S315" s="30" t="s">
        <v>147</v>
      </c>
      <c r="T315" s="30" t="s">
        <v>106</v>
      </c>
      <c r="U315" s="30" t="s">
        <v>62</v>
      </c>
      <c r="V315" s="30" t="s">
        <v>77</v>
      </c>
      <c r="W315" s="30" t="s">
        <v>79</v>
      </c>
      <c r="X315" s="30" t="s">
        <v>107</v>
      </c>
      <c r="Y315" s="30" t="s">
        <v>159</v>
      </c>
      <c r="Z315" s="30" t="s">
        <v>64</v>
      </c>
      <c r="AA315" s="30" t="s">
        <v>95</v>
      </c>
      <c r="AB315" s="30" t="s">
        <v>56</v>
      </c>
      <c r="AC315" s="30" t="s">
        <v>1161</v>
      </c>
    </row>
    <row r="316" spans="1:29">
      <c r="A316" s="24" t="s">
        <v>1162</v>
      </c>
      <c r="B316" s="24" t="str">
        <f>IF(ISNUMBER(SEARCH(E316,A316)),A316,IF(OR(E316="",E316=""),A316,A316&amp;" - "&amp;E316))</f>
        <v>Remexian 30/1 PRT MTP - Mokum's Tulip</v>
      </c>
      <c r="C316" s="24" t="s">
        <v>83</v>
      </c>
      <c r="D316" s="24" t="s">
        <v>84</v>
      </c>
      <c r="E316" s="24" t="s">
        <v>1163</v>
      </c>
      <c r="F316" s="24" t="s">
        <v>144</v>
      </c>
      <c r="G316" s="27">
        <v>30</v>
      </c>
      <c r="H316" s="28">
        <v>1</v>
      </c>
      <c r="I316" s="24"/>
      <c r="J316" s="24"/>
      <c r="K316" s="24" t="s">
        <v>52</v>
      </c>
      <c r="L316" s="24"/>
      <c r="M316" s="24" t="s">
        <v>54</v>
      </c>
      <c r="N316" s="24" t="s">
        <v>111</v>
      </c>
      <c r="O316" s="24" t="s">
        <v>88</v>
      </c>
      <c r="P316" s="24" t="s">
        <v>57</v>
      </c>
      <c r="Q316" s="24" t="s">
        <v>104</v>
      </c>
      <c r="R316" s="24" t="s">
        <v>74</v>
      </c>
      <c r="S316" s="24" t="s">
        <v>147</v>
      </c>
      <c r="T316" s="24" t="s">
        <v>123</v>
      </c>
      <c r="U316" s="24" t="s">
        <v>106</v>
      </c>
      <c r="V316" s="24" t="s">
        <v>77</v>
      </c>
      <c r="W316" s="24" t="s">
        <v>116</v>
      </c>
      <c r="X316" s="24" t="s">
        <v>79</v>
      </c>
      <c r="Y316" s="24" t="s">
        <v>1152</v>
      </c>
      <c r="Z316" s="24" t="s">
        <v>64</v>
      </c>
      <c r="AA316" s="24" t="s">
        <v>95</v>
      </c>
      <c r="AB316" s="24" t="s">
        <v>56</v>
      </c>
      <c r="AC316" s="24" t="s">
        <v>1164</v>
      </c>
    </row>
    <row r="317" spans="1:29">
      <c r="A317" s="30" t="s">
        <v>1165</v>
      </c>
      <c r="B317" s="30" t="str">
        <f>IF(ISNUMBER(SEARCH(E317,A317)),A317,IF(OR(E317="",E317=""),A317,A317&amp;" - "&amp;E317))</f>
        <v>enua 25/1 GGZ - Gogurtz</v>
      </c>
      <c r="C317" s="30" t="s">
        <v>650</v>
      </c>
      <c r="D317" s="30" t="s">
        <v>651</v>
      </c>
      <c r="E317" s="30" t="s">
        <v>1166</v>
      </c>
      <c r="F317" s="30" t="s">
        <v>177</v>
      </c>
      <c r="G317" s="34">
        <v>25</v>
      </c>
      <c r="H317" s="35">
        <v>1</v>
      </c>
      <c r="I317" s="30"/>
      <c r="J317" s="30"/>
      <c r="K317" s="30" t="s">
        <v>52</v>
      </c>
      <c r="L317" s="30" t="s">
        <v>53</v>
      </c>
      <c r="M317" s="30" t="s">
        <v>54</v>
      </c>
      <c r="N317" s="30" t="s">
        <v>88</v>
      </c>
      <c r="O317" s="30" t="s">
        <v>178</v>
      </c>
      <c r="P317" s="30" t="s">
        <v>136</v>
      </c>
      <c r="Q317" s="30" t="s">
        <v>74</v>
      </c>
      <c r="R317" s="30" t="s">
        <v>89</v>
      </c>
      <c r="S317" s="30" t="s">
        <v>147</v>
      </c>
      <c r="T317" s="30" t="s">
        <v>106</v>
      </c>
      <c r="U317" s="30" t="s">
        <v>62</v>
      </c>
      <c r="V317" s="30" t="s">
        <v>77</v>
      </c>
      <c r="W317" s="30" t="s">
        <v>116</v>
      </c>
      <c r="X317" s="30" t="s">
        <v>107</v>
      </c>
      <c r="Y317" s="30" t="s">
        <v>1167</v>
      </c>
      <c r="Z317" s="30" t="s">
        <v>64</v>
      </c>
      <c r="AA317" s="30" t="s">
        <v>653</v>
      </c>
      <c r="AB317" s="30" t="s">
        <v>56</v>
      </c>
      <c r="AC317" s="30" t="s">
        <v>1168</v>
      </c>
    </row>
    <row r="318" spans="1:29">
      <c r="A318" s="24" t="s">
        <v>1169</v>
      </c>
      <c r="B318" s="24" t="str">
        <f>IF(ISNUMBER(SEARCH(E318,A318)),A318,IF(OR(E318="",E318=""),A318,A318&amp;" - "&amp;E318))</f>
        <v>KEjF. SPZ 25/1 - Spritzer</v>
      </c>
      <c r="C318" s="24" t="s">
        <v>822</v>
      </c>
      <c r="D318" s="24" t="s">
        <v>823</v>
      </c>
      <c r="E318" s="24" t="s">
        <v>944</v>
      </c>
      <c r="F318" s="24" t="s">
        <v>86</v>
      </c>
      <c r="G318" s="27">
        <v>25</v>
      </c>
      <c r="H318" s="28">
        <v>1</v>
      </c>
      <c r="I318" s="24"/>
      <c r="J318" s="24"/>
      <c r="K318" s="24" t="s">
        <v>52</v>
      </c>
      <c r="L318" s="24" t="s">
        <v>53</v>
      </c>
      <c r="M318" s="24" t="s">
        <v>111</v>
      </c>
      <c r="N318" s="24" t="s">
        <v>88</v>
      </c>
      <c r="O318" s="24" t="s">
        <v>71</v>
      </c>
      <c r="P318" s="24" t="s">
        <v>74</v>
      </c>
      <c r="Q318" s="24" t="s">
        <v>75</v>
      </c>
      <c r="R318" s="24" t="s">
        <v>89</v>
      </c>
      <c r="S318" s="24" t="s">
        <v>147</v>
      </c>
      <c r="T318" s="24" t="s">
        <v>123</v>
      </c>
      <c r="U318" s="24" t="s">
        <v>106</v>
      </c>
      <c r="V318" s="24" t="s">
        <v>77</v>
      </c>
      <c r="W318" s="24" t="s">
        <v>79</v>
      </c>
      <c r="X318" s="24" t="s">
        <v>173</v>
      </c>
      <c r="Y318" s="24" t="s">
        <v>286</v>
      </c>
      <c r="Z318" s="24" t="s">
        <v>64</v>
      </c>
      <c r="AA318" s="24" t="s">
        <v>826</v>
      </c>
      <c r="AB318" s="24" t="s">
        <v>56</v>
      </c>
      <c r="AC318" s="24" t="s">
        <v>1170</v>
      </c>
    </row>
    <row r="319" spans="1:29">
      <c r="A319" s="30" t="s">
        <v>1171</v>
      </c>
      <c r="B319" s="30" t="str">
        <f>IF(ISNUMBER(SEARCH(E319,A319)),A319,IF(OR(E319="",E319=""),A319,A319&amp;" - "&amp;E319))</f>
        <v>madrecan 24/1 - HiFi 4G</v>
      </c>
      <c r="C319" s="30" t="s">
        <v>83</v>
      </c>
      <c r="D319" s="30" t="s">
        <v>84</v>
      </c>
      <c r="E319" s="30" t="s">
        <v>313</v>
      </c>
      <c r="F319" s="30" t="s">
        <v>86</v>
      </c>
      <c r="G319" s="34">
        <v>24</v>
      </c>
      <c r="H319" s="35">
        <v>1</v>
      </c>
      <c r="I319" s="30"/>
      <c r="J319" s="30"/>
      <c r="K319" s="30" t="s">
        <v>17</v>
      </c>
      <c r="L319" s="30" t="s">
        <v>102</v>
      </c>
      <c r="M319" s="30" t="s">
        <v>54</v>
      </c>
      <c r="N319" s="30" t="s">
        <v>71</v>
      </c>
      <c r="O319" s="30" t="s">
        <v>72</v>
      </c>
      <c r="P319" s="30" t="s">
        <v>74</v>
      </c>
      <c r="Q319" s="30" t="s">
        <v>75</v>
      </c>
      <c r="R319" s="30" t="s">
        <v>59</v>
      </c>
      <c r="S319" s="30" t="s">
        <v>147</v>
      </c>
      <c r="T319" s="30" t="s">
        <v>106</v>
      </c>
      <c r="U319" s="30" t="s">
        <v>76</v>
      </c>
      <c r="V319" s="30" t="s">
        <v>77</v>
      </c>
      <c r="W319" s="30" t="s">
        <v>79</v>
      </c>
      <c r="X319" s="30" t="s">
        <v>107</v>
      </c>
      <c r="Y319" s="30" t="s">
        <v>877</v>
      </c>
      <c r="Z319" s="30" t="s">
        <v>64</v>
      </c>
      <c r="AA319" s="30" t="s">
        <v>95</v>
      </c>
      <c r="AB319" s="30" t="s">
        <v>56</v>
      </c>
      <c r="AC319" s="30" t="s">
        <v>1172</v>
      </c>
    </row>
    <row r="320" spans="1:29">
      <c r="A320" s="24" t="s">
        <v>1173</v>
      </c>
      <c r="B320" s="24" t="str">
        <f>IF(ISNUMBER(SEARCH(E320,A320)),A320,IF(OR(E320="",E320=""),A320,A320&amp;" - "&amp;E320))</f>
        <v>madrecan 24/1 - Skywalker</v>
      </c>
      <c r="C320" s="24" t="s">
        <v>83</v>
      </c>
      <c r="D320" s="24" t="s">
        <v>84</v>
      </c>
      <c r="E320" s="24" t="s">
        <v>1174</v>
      </c>
      <c r="F320" s="24" t="s">
        <v>86</v>
      </c>
      <c r="G320" s="27">
        <v>24</v>
      </c>
      <c r="H320" s="28">
        <v>1</v>
      </c>
      <c r="I320" s="24"/>
      <c r="J320" s="24"/>
      <c r="K320" s="24" t="s">
        <v>52</v>
      </c>
      <c r="L320" s="24" t="s">
        <v>102</v>
      </c>
      <c r="M320" s="24" t="s">
        <v>71</v>
      </c>
      <c r="N320" s="24" t="s">
        <v>103</v>
      </c>
      <c r="O320" s="24" t="s">
        <v>55</v>
      </c>
      <c r="P320" s="24" t="s">
        <v>56</v>
      </c>
      <c r="Q320" s="24" t="s">
        <v>56</v>
      </c>
      <c r="R320" s="24" t="s">
        <v>56</v>
      </c>
      <c r="S320" s="24" t="s">
        <v>60</v>
      </c>
      <c r="T320" s="24" t="s">
        <v>147</v>
      </c>
      <c r="U320" s="24" t="s">
        <v>61</v>
      </c>
      <c r="V320" s="24" t="s">
        <v>77</v>
      </c>
      <c r="W320" s="24" t="s">
        <v>116</v>
      </c>
      <c r="X320" s="24" t="s">
        <v>93</v>
      </c>
      <c r="Y320" s="24" t="s">
        <v>1175</v>
      </c>
      <c r="Z320" s="24" t="s">
        <v>64</v>
      </c>
      <c r="AA320" s="24" t="s">
        <v>95</v>
      </c>
      <c r="AB320" s="24" t="s">
        <v>56</v>
      </c>
      <c r="AC320" s="24" t="s">
        <v>1176</v>
      </c>
    </row>
    <row r="321" spans="1:29">
      <c r="A321" s="30" t="s">
        <v>1177</v>
      </c>
      <c r="B321" s="30" t="str">
        <f>IF(ISNUMBER(SEARCH(E321,A321)),A321,IF(OR(E321="",E321=""),A321,A321&amp;" - "&amp;E321))</f>
        <v>Social Choice 18/1 FLX MTS - Manantiales</v>
      </c>
      <c r="C321" s="30" t="s">
        <v>83</v>
      </c>
      <c r="D321" s="30" t="s">
        <v>84</v>
      </c>
      <c r="E321" s="30" t="s">
        <v>1178</v>
      </c>
      <c r="F321" s="30" t="s">
        <v>177</v>
      </c>
      <c r="G321" s="34">
        <v>18</v>
      </c>
      <c r="H321" s="35">
        <v>1</v>
      </c>
      <c r="I321" s="30"/>
      <c r="J321" s="30"/>
      <c r="K321" s="30" t="s">
        <v>52</v>
      </c>
      <c r="L321" s="30" t="s">
        <v>185</v>
      </c>
      <c r="M321" s="30" t="s">
        <v>71</v>
      </c>
      <c r="N321" s="30" t="s">
        <v>103</v>
      </c>
      <c r="O321" s="30" t="s">
        <v>72</v>
      </c>
      <c r="P321" s="30" t="s">
        <v>73</v>
      </c>
      <c r="Q321" s="30" t="s">
        <v>104</v>
      </c>
      <c r="R321" s="30" t="s">
        <v>74</v>
      </c>
      <c r="S321" s="30" t="s">
        <v>147</v>
      </c>
      <c r="T321" s="30" t="s">
        <v>123</v>
      </c>
      <c r="U321" s="30" t="s">
        <v>106</v>
      </c>
      <c r="V321" s="30" t="s">
        <v>180</v>
      </c>
      <c r="W321" s="30" t="s">
        <v>138</v>
      </c>
      <c r="X321" s="30" t="s">
        <v>107</v>
      </c>
      <c r="Y321" s="30" t="s">
        <v>413</v>
      </c>
      <c r="Z321" s="30" t="s">
        <v>64</v>
      </c>
      <c r="AA321" s="30" t="s">
        <v>95</v>
      </c>
      <c r="AB321" s="30" t="s">
        <v>56</v>
      </c>
      <c r="AC321" s="30" t="s">
        <v>1179</v>
      </c>
    </row>
    <row r="322" spans="1:29">
      <c r="A322" s="24" t="s">
        <v>1180</v>
      </c>
      <c r="B322" s="24" t="str">
        <f>IF(ISNUMBER(SEARCH(E322,A322)),A322,IF(OR(E322="",E322=""),A322,A322&amp;" - "&amp;E322))</f>
        <v>Remexian 24/1 C3 - Black Amber</v>
      </c>
      <c r="C322" s="24" t="s">
        <v>83</v>
      </c>
      <c r="D322" s="24" t="s">
        <v>84</v>
      </c>
      <c r="E322" s="24" t="s">
        <v>1181</v>
      </c>
      <c r="F322" s="24" t="s">
        <v>86</v>
      </c>
      <c r="G322" s="27">
        <v>24</v>
      </c>
      <c r="H322" s="28">
        <v>1</v>
      </c>
      <c r="I322" s="24"/>
      <c r="J322" s="24"/>
      <c r="K322" s="24" t="s">
        <v>52</v>
      </c>
      <c r="L322" s="24" t="s">
        <v>53</v>
      </c>
      <c r="M322" s="24" t="s">
        <v>88</v>
      </c>
      <c r="N322" s="24" t="s">
        <v>72</v>
      </c>
      <c r="O322" s="24" t="s">
        <v>56</v>
      </c>
      <c r="P322" s="24" t="s">
        <v>73</v>
      </c>
      <c r="Q322" s="24" t="s">
        <v>136</v>
      </c>
      <c r="R322" s="24" t="s">
        <v>74</v>
      </c>
      <c r="S322" s="24" t="s">
        <v>466</v>
      </c>
      <c r="T322" s="24" t="s">
        <v>123</v>
      </c>
      <c r="U322" s="24" t="s">
        <v>106</v>
      </c>
      <c r="V322" s="24" t="s">
        <v>77</v>
      </c>
      <c r="W322" s="24" t="s">
        <v>116</v>
      </c>
      <c r="X322" s="24" t="s">
        <v>79</v>
      </c>
      <c r="Y322" s="24" t="s">
        <v>1182</v>
      </c>
      <c r="Z322" s="24" t="s">
        <v>64</v>
      </c>
      <c r="AA322" s="24" t="s">
        <v>95</v>
      </c>
      <c r="AB322" s="24" t="s">
        <v>56</v>
      </c>
      <c r="AC322" s="24" t="s">
        <v>1183</v>
      </c>
    </row>
    <row r="323" spans="1:29">
      <c r="A323" s="30" t="s">
        <v>1184</v>
      </c>
      <c r="B323" s="30" t="str">
        <f>IF(ISNUMBER(SEARCH(E323,A323)),A323,IF(OR(E323="",E323=""),A323,A323&amp;" - "&amp;E323))</f>
        <v>Top Shelf Medical S1E2 30/1 - Oasis OG</v>
      </c>
      <c r="C323" s="23" t="s">
        <v>1185</v>
      </c>
      <c r="D323" s="24" t="s">
        <v>1186</v>
      </c>
      <c r="E323" s="30" t="s">
        <v>1187</v>
      </c>
      <c r="F323" s="30" t="s">
        <v>177</v>
      </c>
      <c r="G323" s="34">
        <v>30</v>
      </c>
      <c r="H323" s="35">
        <v>1</v>
      </c>
      <c r="I323" s="30"/>
      <c r="J323" s="30"/>
      <c r="K323" s="30" t="s">
        <v>52</v>
      </c>
      <c r="L323" s="30" t="s">
        <v>53</v>
      </c>
      <c r="M323" s="30" t="s">
        <v>72</v>
      </c>
      <c r="N323" s="30"/>
      <c r="O323" s="30" t="s">
        <v>56</v>
      </c>
      <c r="P323" s="30" t="s">
        <v>146</v>
      </c>
      <c r="Q323" s="30" t="s">
        <v>104</v>
      </c>
      <c r="R323" s="30" t="s">
        <v>74</v>
      </c>
      <c r="S323" s="30" t="s">
        <v>147</v>
      </c>
      <c r="T323" s="30" t="s">
        <v>106</v>
      </c>
      <c r="U323" s="30" t="s">
        <v>62</v>
      </c>
      <c r="V323" s="30" t="s">
        <v>107</v>
      </c>
      <c r="W323" s="30" t="s">
        <v>93</v>
      </c>
      <c r="X323" s="30" t="s">
        <v>56</v>
      </c>
      <c r="Y323" s="30" t="s">
        <v>1188</v>
      </c>
      <c r="Z323" s="30" t="s">
        <v>64</v>
      </c>
      <c r="AA323" s="30" t="s">
        <v>1186</v>
      </c>
      <c r="AB323" s="30" t="s">
        <v>56</v>
      </c>
      <c r="AC323" s="30" t="s">
        <v>1189</v>
      </c>
    </row>
    <row r="324" spans="1:29">
      <c r="A324" s="24" t="s">
        <v>1190</v>
      </c>
      <c r="B324" s="24" t="str">
        <f>IF(ISNUMBER(SEARCH(E324,A324)),A324,IF(OR(E324="",E324=""),A324,A324&amp;" - "&amp;E324))</f>
        <v>madrecan 18/1 RCH - Remo Chemo</v>
      </c>
      <c r="C324" s="24" t="s">
        <v>83</v>
      </c>
      <c r="D324" s="24" t="s">
        <v>84</v>
      </c>
      <c r="E324" s="24" t="s">
        <v>1191</v>
      </c>
      <c r="F324" s="24" t="s">
        <v>177</v>
      </c>
      <c r="G324" s="27">
        <v>18</v>
      </c>
      <c r="H324" s="28">
        <v>1</v>
      </c>
      <c r="I324" s="24"/>
      <c r="J324" s="24"/>
      <c r="K324" s="24" t="s">
        <v>17</v>
      </c>
      <c r="L324" s="24" t="s">
        <v>102</v>
      </c>
      <c r="M324" s="24" t="s">
        <v>103</v>
      </c>
      <c r="N324" s="24" t="s">
        <v>72</v>
      </c>
      <c r="O324" s="24" t="s">
        <v>56</v>
      </c>
      <c r="P324" s="24" t="s">
        <v>73</v>
      </c>
      <c r="Q324" s="24" t="s">
        <v>74</v>
      </c>
      <c r="R324" s="24" t="s">
        <v>59</v>
      </c>
      <c r="S324" s="24" t="s">
        <v>147</v>
      </c>
      <c r="T324" s="24" t="s">
        <v>123</v>
      </c>
      <c r="U324" s="24" t="s">
        <v>106</v>
      </c>
      <c r="V324" s="24" t="s">
        <v>92</v>
      </c>
      <c r="W324" s="24" t="s">
        <v>77</v>
      </c>
      <c r="X324" s="24" t="s">
        <v>107</v>
      </c>
      <c r="Y324" s="24" t="s">
        <v>1192</v>
      </c>
      <c r="Z324" s="24" t="s">
        <v>64</v>
      </c>
      <c r="AA324" s="24" t="s">
        <v>95</v>
      </c>
      <c r="AB324" s="24" t="s">
        <v>56</v>
      </c>
      <c r="AC324" s="24" t="s">
        <v>1193</v>
      </c>
    </row>
    <row r="325" spans="1:29">
      <c r="A325" s="30" t="s">
        <v>1194</v>
      </c>
      <c r="B325" s="30" t="str">
        <f>IF(ISNUMBER(SEARCH(E325,A325)),A325,IF(OR(E325="",E325=""),A325,A325&amp;" - "&amp;E325))</f>
        <v>Remexian 27/1 PRT WEC - Wedding Cake</v>
      </c>
      <c r="C325" s="30" t="s">
        <v>83</v>
      </c>
      <c r="D325" s="30" t="s">
        <v>84</v>
      </c>
      <c r="E325" s="30" t="s">
        <v>1195</v>
      </c>
      <c r="F325" s="30" t="s">
        <v>86</v>
      </c>
      <c r="G325" s="34">
        <v>27</v>
      </c>
      <c r="H325" s="35">
        <v>1</v>
      </c>
      <c r="I325" s="30"/>
      <c r="J325" s="30"/>
      <c r="K325" s="30" t="s">
        <v>52</v>
      </c>
      <c r="L325" s="30" t="s">
        <v>102</v>
      </c>
      <c r="M325" s="30" t="s">
        <v>156</v>
      </c>
      <c r="N325" s="30" t="s">
        <v>72</v>
      </c>
      <c r="O325" s="30" t="s">
        <v>56</v>
      </c>
      <c r="P325" s="30" t="s">
        <v>57</v>
      </c>
      <c r="Q325" s="30" t="s">
        <v>104</v>
      </c>
      <c r="R325" s="30" t="s">
        <v>74</v>
      </c>
      <c r="S325" s="30" t="s">
        <v>147</v>
      </c>
      <c r="T325" s="30" t="s">
        <v>106</v>
      </c>
      <c r="U325" s="30" t="s">
        <v>234</v>
      </c>
      <c r="V325" s="30" t="s">
        <v>116</v>
      </c>
      <c r="W325" s="30" t="s">
        <v>107</v>
      </c>
      <c r="X325" s="30" t="s">
        <v>93</v>
      </c>
      <c r="Y325" s="30" t="s">
        <v>437</v>
      </c>
      <c r="Z325" s="30" t="s">
        <v>64</v>
      </c>
      <c r="AA325" s="30" t="s">
        <v>95</v>
      </c>
      <c r="AB325" s="30" t="s">
        <v>56</v>
      </c>
      <c r="AC325" s="30" t="s">
        <v>1196</v>
      </c>
    </row>
    <row r="326" spans="1:29">
      <c r="A326" s="24" t="s">
        <v>1197</v>
      </c>
      <c r="B326" s="24" t="str">
        <f>IF(ISNUMBER(SEARCH(E326,A326)),A326,IF(OR(E326="",E326=""),A326,A326&amp;" - "&amp;E326))</f>
        <v>Remexian 30/1  JUC - Jungle Cake</v>
      </c>
      <c r="C326" s="24" t="s">
        <v>83</v>
      </c>
      <c r="D326" s="24" t="s">
        <v>84</v>
      </c>
      <c r="E326" s="24" t="s">
        <v>1198</v>
      </c>
      <c r="F326" s="24" t="s">
        <v>86</v>
      </c>
      <c r="G326" s="27">
        <v>30</v>
      </c>
      <c r="H326" s="28">
        <v>1</v>
      </c>
      <c r="I326" s="24"/>
      <c r="J326" s="24"/>
      <c r="K326" s="24" t="s">
        <v>52</v>
      </c>
      <c r="L326" s="24" t="s">
        <v>53</v>
      </c>
      <c r="M326" s="24" t="s">
        <v>54</v>
      </c>
      <c r="N326" s="24" t="s">
        <v>88</v>
      </c>
      <c r="O326" s="24" t="s">
        <v>71</v>
      </c>
      <c r="P326" s="24" t="s">
        <v>73</v>
      </c>
      <c r="Q326" s="24" t="s">
        <v>57</v>
      </c>
      <c r="R326" s="24" t="s">
        <v>74</v>
      </c>
      <c r="S326" s="24" t="s">
        <v>147</v>
      </c>
      <c r="T326" s="24" t="s">
        <v>106</v>
      </c>
      <c r="U326" s="24" t="s">
        <v>234</v>
      </c>
      <c r="V326" s="24" t="s">
        <v>77</v>
      </c>
      <c r="W326" s="24" t="s">
        <v>116</v>
      </c>
      <c r="X326" s="24" t="s">
        <v>79</v>
      </c>
      <c r="Y326" s="24" t="s">
        <v>297</v>
      </c>
      <c r="Z326" s="24" t="s">
        <v>64</v>
      </c>
      <c r="AA326" s="24" t="s">
        <v>95</v>
      </c>
      <c r="AB326" s="24" t="s">
        <v>56</v>
      </c>
      <c r="AC326" s="24" t="s">
        <v>1199</v>
      </c>
    </row>
    <row r="327" spans="1:29">
      <c r="A327" s="30" t="s">
        <v>1200</v>
      </c>
      <c r="B327" s="30" t="str">
        <f>IF(ISNUMBER(SEARCH(E327,A327)),A327,IF(OR(E327="",E327=""),A327,A327&amp;" - "&amp;E327))</f>
        <v>Remexian 18/1 - White Widow</v>
      </c>
      <c r="C327" s="30" t="s">
        <v>83</v>
      </c>
      <c r="D327" s="30" t="s">
        <v>84</v>
      </c>
      <c r="E327" s="30" t="s">
        <v>251</v>
      </c>
      <c r="F327" s="30" t="s">
        <v>69</v>
      </c>
      <c r="G327" s="34">
        <v>18</v>
      </c>
      <c r="H327" s="35">
        <v>1</v>
      </c>
      <c r="I327" s="30"/>
      <c r="J327" s="30"/>
      <c r="K327" s="30" t="s">
        <v>17</v>
      </c>
      <c r="L327" s="30" t="s">
        <v>87</v>
      </c>
      <c r="M327" s="30" t="s">
        <v>54</v>
      </c>
      <c r="N327" s="30" t="s">
        <v>111</v>
      </c>
      <c r="O327" s="30" t="s">
        <v>88</v>
      </c>
      <c r="P327" s="30" t="s">
        <v>146</v>
      </c>
      <c r="Q327" s="30" t="s">
        <v>74</v>
      </c>
      <c r="R327" s="30" t="s">
        <v>113</v>
      </c>
      <c r="S327" s="30" t="s">
        <v>128</v>
      </c>
      <c r="T327" s="30" t="s">
        <v>62</v>
      </c>
      <c r="U327" s="30" t="s">
        <v>179</v>
      </c>
      <c r="V327" s="30" t="s">
        <v>252</v>
      </c>
      <c r="W327" s="30" t="s">
        <v>77</v>
      </c>
      <c r="X327" s="30" t="s">
        <v>253</v>
      </c>
      <c r="Y327" s="30" t="s">
        <v>1201</v>
      </c>
      <c r="Z327" s="30" t="s">
        <v>64</v>
      </c>
      <c r="AA327" s="30" t="s">
        <v>95</v>
      </c>
      <c r="AB327" s="30" t="s">
        <v>56</v>
      </c>
      <c r="AC327" s="30" t="s">
        <v>1202</v>
      </c>
    </row>
    <row r="328" spans="1:29">
      <c r="A328" s="24" t="s">
        <v>1203</v>
      </c>
      <c r="B328" s="24" t="str">
        <f>IF(ISNUMBER(SEARCH(E328,A328)),A328,IF(OR(E328="",E328=""),A328,A328&amp;" - "&amp;E328))</f>
        <v>Remexian 30/1 HCC BMS - Black Mountain Side</v>
      </c>
      <c r="C328" s="24" t="s">
        <v>83</v>
      </c>
      <c r="D328" s="24" t="s">
        <v>84</v>
      </c>
      <c r="E328" s="24" t="s">
        <v>1204</v>
      </c>
      <c r="F328" s="24" t="s">
        <v>144</v>
      </c>
      <c r="G328" s="27">
        <v>31</v>
      </c>
      <c r="H328" s="28">
        <v>1</v>
      </c>
      <c r="I328" s="24"/>
      <c r="J328" s="24"/>
      <c r="K328" s="24" t="s">
        <v>52</v>
      </c>
      <c r="L328" s="24" t="s">
        <v>53</v>
      </c>
      <c r="M328" s="24" t="s">
        <v>54</v>
      </c>
      <c r="N328" s="24" t="s">
        <v>55</v>
      </c>
      <c r="O328" s="24" t="s">
        <v>178</v>
      </c>
      <c r="P328" s="24" t="s">
        <v>73</v>
      </c>
      <c r="Q328" s="24" t="s">
        <v>146</v>
      </c>
      <c r="R328" s="24" t="s">
        <v>74</v>
      </c>
      <c r="S328" s="24" t="s">
        <v>90</v>
      </c>
      <c r="T328" s="24" t="s">
        <v>192</v>
      </c>
      <c r="U328" s="24" t="s">
        <v>105</v>
      </c>
      <c r="V328" s="24" t="s">
        <v>77</v>
      </c>
      <c r="W328" s="24" t="s">
        <v>292</v>
      </c>
      <c r="X328" s="24" t="s">
        <v>79</v>
      </c>
      <c r="Y328" s="24" t="s">
        <v>555</v>
      </c>
      <c r="Z328" s="24" t="s">
        <v>64</v>
      </c>
      <c r="AA328" s="24" t="s">
        <v>95</v>
      </c>
      <c r="AB328" s="24" t="s">
        <v>56</v>
      </c>
      <c r="AC328" s="24" t="s">
        <v>1205</v>
      </c>
    </row>
    <row r="329" spans="1:29">
      <c r="A329" s="30" t="s">
        <v>1206</v>
      </c>
      <c r="B329" s="30" t="str">
        <f>IF(ISNUMBER(SEARCH(E329,A329)),A329,IF(OR(E329="",E329=""),A329,A329&amp;" - "&amp;E329))</f>
        <v>Remexian 27/1 LNL - Purple Octane</v>
      </c>
      <c r="C329" s="30" t="s">
        <v>83</v>
      </c>
      <c r="D329" s="30" t="s">
        <v>84</v>
      </c>
      <c r="E329" s="30" t="s">
        <v>1207</v>
      </c>
      <c r="F329" s="30" t="s">
        <v>177</v>
      </c>
      <c r="G329" s="34">
        <v>26</v>
      </c>
      <c r="H329" s="35">
        <v>1</v>
      </c>
      <c r="I329" s="30"/>
      <c r="J329" s="30"/>
      <c r="K329" s="30" t="s">
        <v>52</v>
      </c>
      <c r="L329" s="30" t="s">
        <v>53</v>
      </c>
      <c r="M329" s="30" t="s">
        <v>88</v>
      </c>
      <c r="N329" s="30" t="s">
        <v>121</v>
      </c>
      <c r="O329" s="30" t="s">
        <v>72</v>
      </c>
      <c r="P329" s="30" t="s">
        <v>73</v>
      </c>
      <c r="Q329" s="30" t="s">
        <v>74</v>
      </c>
      <c r="R329" s="30" t="s">
        <v>89</v>
      </c>
      <c r="S329" s="30" t="s">
        <v>192</v>
      </c>
      <c r="T329" s="30" t="s">
        <v>123</v>
      </c>
      <c r="U329" s="30" t="s">
        <v>62</v>
      </c>
      <c r="V329" s="30" t="s">
        <v>77</v>
      </c>
      <c r="W329" s="30" t="s">
        <v>116</v>
      </c>
      <c r="X329" s="30" t="s">
        <v>79</v>
      </c>
      <c r="Y329" s="30" t="s">
        <v>1208</v>
      </c>
      <c r="Z329" s="30" t="s">
        <v>64</v>
      </c>
      <c r="AA329" s="30" t="s">
        <v>95</v>
      </c>
      <c r="AB329" s="30" t="s">
        <v>56</v>
      </c>
      <c r="AC329" s="30" t="s">
        <v>1209</v>
      </c>
    </row>
    <row r="330" spans="1:29">
      <c r="A330" s="24" t="s">
        <v>1210</v>
      </c>
      <c r="B330" s="24" t="str">
        <f>IF(ISNUMBER(SEARCH(E330,A330)),A330,IF(OR(E330="",E330=""),A330,A330&amp;" - "&amp;E330))</f>
        <v>Remexian 30/1 PRT TFT - Think Fast</v>
      </c>
      <c r="C330" s="24" t="s">
        <v>83</v>
      </c>
      <c r="D330" s="24" t="s">
        <v>84</v>
      </c>
      <c r="E330" s="24" t="s">
        <v>1211</v>
      </c>
      <c r="F330" s="24" t="s">
        <v>69</v>
      </c>
      <c r="G330" s="27">
        <v>30</v>
      </c>
      <c r="H330" s="28">
        <v>1</v>
      </c>
      <c r="I330" s="24"/>
      <c r="J330" s="24"/>
      <c r="K330" s="24" t="s">
        <v>52</v>
      </c>
      <c r="L330" s="24" t="s">
        <v>102</v>
      </c>
      <c r="M330" s="24" t="s">
        <v>54</v>
      </c>
      <c r="N330" s="24" t="s">
        <v>111</v>
      </c>
      <c r="O330" s="24" t="s">
        <v>88</v>
      </c>
      <c r="P330" s="24" t="s">
        <v>157</v>
      </c>
      <c r="Q330" s="24" t="s">
        <v>146</v>
      </c>
      <c r="R330" s="24" t="s">
        <v>74</v>
      </c>
      <c r="S330" s="24" t="s">
        <v>56</v>
      </c>
      <c r="T330" s="24" t="s">
        <v>56</v>
      </c>
      <c r="U330" s="24" t="s">
        <v>56</v>
      </c>
      <c r="V330" s="24" t="s">
        <v>77</v>
      </c>
      <c r="W330" s="24" t="s">
        <v>116</v>
      </c>
      <c r="X330" s="24" t="s">
        <v>107</v>
      </c>
      <c r="Y330" s="24" t="s">
        <v>437</v>
      </c>
      <c r="Z330" s="24" t="s">
        <v>64</v>
      </c>
      <c r="AA330" s="24" t="s">
        <v>95</v>
      </c>
      <c r="AB330" s="24" t="s">
        <v>56</v>
      </c>
      <c r="AC330" s="24" t="s">
        <v>1212</v>
      </c>
    </row>
    <row r="331" spans="1:29">
      <c r="A331" s="30" t="s">
        <v>1213</v>
      </c>
      <c r="B331" s="30" t="str">
        <f>IF(ISNUMBER(SEARCH(E331,A331)),A331,IF(OR(E331="",E331=""),A331,A331&amp;" - "&amp;E331))</f>
        <v>Big Dreams 21/1 MIC ICC - Ice Cream Cake</v>
      </c>
      <c r="C331" s="30" t="s">
        <v>83</v>
      </c>
      <c r="D331" s="30" t="s">
        <v>84</v>
      </c>
      <c r="E331" s="40" t="s">
        <v>1214</v>
      </c>
      <c r="F331" s="30" t="s">
        <v>177</v>
      </c>
      <c r="G331" s="34">
        <v>21</v>
      </c>
      <c r="H331" s="35">
        <v>1</v>
      </c>
      <c r="I331" s="30"/>
      <c r="J331" s="30"/>
      <c r="K331" s="30" t="s">
        <v>52</v>
      </c>
      <c r="L331" s="30" t="s">
        <v>53</v>
      </c>
      <c r="M331" s="30" t="s">
        <v>54</v>
      </c>
      <c r="N331" s="30" t="s">
        <v>88</v>
      </c>
      <c r="O331" s="30" t="s">
        <v>103</v>
      </c>
      <c r="P331" s="30" t="s">
        <v>57</v>
      </c>
      <c r="Q331" s="30" t="s">
        <v>89</v>
      </c>
      <c r="R331" s="30"/>
      <c r="S331" s="30" t="s">
        <v>147</v>
      </c>
      <c r="T331" s="30" t="s">
        <v>123</v>
      </c>
      <c r="U331" s="30" t="s">
        <v>106</v>
      </c>
      <c r="V331" s="30" t="s">
        <v>77</v>
      </c>
      <c r="W331" s="30" t="s">
        <v>116</v>
      </c>
      <c r="X331" s="30" t="s">
        <v>165</v>
      </c>
      <c r="Y331" s="30" t="s">
        <v>427</v>
      </c>
      <c r="Z331" s="30" t="s">
        <v>64</v>
      </c>
      <c r="AA331" s="30" t="s">
        <v>95</v>
      </c>
      <c r="AB331" s="30"/>
      <c r="AC331" s="30" t="s">
        <v>1215</v>
      </c>
    </row>
    <row r="332" spans="1:29">
      <c r="A332" s="24" t="s">
        <v>1216</v>
      </c>
      <c r="B332" s="24" t="str">
        <f>IF(ISNUMBER(SEARCH(E332,A332)),A332,IF(OR(E332="",E332=""),A332,A332&amp;" - "&amp;E332))</f>
        <v>Social Choice 15/1 GRO FBD - Forbidden Dream</v>
      </c>
      <c r="C332" s="24" t="s">
        <v>83</v>
      </c>
      <c r="D332" s="24" t="s">
        <v>84</v>
      </c>
      <c r="E332" s="41" t="s">
        <v>1217</v>
      </c>
      <c r="F332" s="24" t="s">
        <v>177</v>
      </c>
      <c r="G332" s="27">
        <v>15</v>
      </c>
      <c r="H332" s="28">
        <v>1</v>
      </c>
      <c r="I332" s="24"/>
      <c r="J332" s="24"/>
      <c r="K332" s="24" t="s">
        <v>52</v>
      </c>
      <c r="L332" s="24" t="s">
        <v>102</v>
      </c>
      <c r="M332" s="24" t="s">
        <v>54</v>
      </c>
      <c r="N332" s="24" t="s">
        <v>88</v>
      </c>
      <c r="O332" s="24" t="s">
        <v>55</v>
      </c>
      <c r="P332" s="24" t="s">
        <v>73</v>
      </c>
      <c r="Q332" s="24" t="s">
        <v>146</v>
      </c>
      <c r="R332" s="24" t="s">
        <v>75</v>
      </c>
      <c r="S332" s="24" t="s">
        <v>192</v>
      </c>
      <c r="T332" s="24" t="s">
        <v>147</v>
      </c>
      <c r="U332" s="24" t="s">
        <v>106</v>
      </c>
      <c r="V332" s="24" t="s">
        <v>77</v>
      </c>
      <c r="W332" s="24" t="s">
        <v>79</v>
      </c>
      <c r="X332" s="24" t="s">
        <v>107</v>
      </c>
      <c r="Y332" s="24" t="s">
        <v>1218</v>
      </c>
      <c r="Z332" s="24" t="s">
        <v>64</v>
      </c>
      <c r="AA332" s="24" t="s">
        <v>95</v>
      </c>
      <c r="AB332" s="24"/>
      <c r="AC332" s="24" t="s">
        <v>1219</v>
      </c>
    </row>
    <row r="333" spans="1:29">
      <c r="A333" s="30" t="s">
        <v>1220</v>
      </c>
      <c r="B333" s="30" t="str">
        <f>IF(ISNUMBER(SEARCH(E333,A333)),A333,IF(OR(E333="",E333=""),A333,A333&amp;" - "&amp;E333))</f>
        <v>Remexian 27/1 FLV - Flawless Victory</v>
      </c>
      <c r="C333" s="30" t="s">
        <v>83</v>
      </c>
      <c r="D333" s="30" t="s">
        <v>84</v>
      </c>
      <c r="E333" s="40" t="s">
        <v>1221</v>
      </c>
      <c r="F333" s="30" t="s">
        <v>177</v>
      </c>
      <c r="G333" s="34">
        <v>27</v>
      </c>
      <c r="H333" s="35">
        <v>1</v>
      </c>
      <c r="I333" s="30"/>
      <c r="J333" s="30"/>
      <c r="K333" s="30" t="s">
        <v>52</v>
      </c>
      <c r="L333" s="30" t="s">
        <v>53</v>
      </c>
      <c r="M333" s="30" t="s">
        <v>88</v>
      </c>
      <c r="N333" s="30" t="s">
        <v>121</v>
      </c>
      <c r="O333" s="30" t="s">
        <v>72</v>
      </c>
      <c r="P333" s="30" t="s">
        <v>73</v>
      </c>
      <c r="Q333" s="30" t="s">
        <v>59</v>
      </c>
      <c r="R333" s="30"/>
      <c r="S333" s="30" t="s">
        <v>106</v>
      </c>
      <c r="T333" s="30" t="s">
        <v>493</v>
      </c>
      <c r="U333" s="30" t="s">
        <v>62</v>
      </c>
      <c r="V333" s="30" t="s">
        <v>116</v>
      </c>
      <c r="W333" s="30" t="s">
        <v>138</v>
      </c>
      <c r="X333" s="30" t="s">
        <v>107</v>
      </c>
      <c r="Y333" s="30" t="s">
        <v>625</v>
      </c>
      <c r="Z333" s="30" t="s">
        <v>64</v>
      </c>
      <c r="AA333" s="30" t="s">
        <v>95</v>
      </c>
      <c r="AB333" s="30"/>
      <c r="AC333" s="30" t="s">
        <v>1222</v>
      </c>
    </row>
    <row r="334" spans="1:29">
      <c r="A334" s="24" t="s">
        <v>1223</v>
      </c>
      <c r="B334" s="24" t="str">
        <f>IF(ISNUMBER(SEARCH(E334,A334)),A334,IF(OR(E334="",E334=""),A334,A334&amp;" - "&amp;E334))</f>
        <v>420 Compound 22/1 CA MWZ - Mellowz</v>
      </c>
      <c r="C334" s="24" t="s">
        <v>463</v>
      </c>
      <c r="D334" s="24" t="s">
        <v>464</v>
      </c>
      <c r="E334" s="24" t="s">
        <v>1224</v>
      </c>
      <c r="F334" s="24" t="s">
        <v>177</v>
      </c>
      <c r="G334" s="27">
        <v>22</v>
      </c>
      <c r="H334" s="28">
        <v>1</v>
      </c>
      <c r="I334" s="24"/>
      <c r="J334" s="24"/>
      <c r="K334" s="24" t="s">
        <v>52</v>
      </c>
      <c r="L334" s="24"/>
      <c r="M334" s="24" t="s">
        <v>54</v>
      </c>
      <c r="N334" s="24" t="s">
        <v>111</v>
      </c>
      <c r="O334" s="24" t="s">
        <v>88</v>
      </c>
      <c r="P334" s="24" t="s">
        <v>75</v>
      </c>
      <c r="Q334" s="24" t="s">
        <v>89</v>
      </c>
      <c r="R334" s="24" t="s">
        <v>58</v>
      </c>
      <c r="S334" s="24" t="s">
        <v>801</v>
      </c>
      <c r="T334" s="24" t="s">
        <v>123</v>
      </c>
      <c r="U334" s="24" t="s">
        <v>128</v>
      </c>
      <c r="V334" s="24" t="s">
        <v>116</v>
      </c>
      <c r="W334" s="24" t="s">
        <v>129</v>
      </c>
      <c r="X334" s="24" t="s">
        <v>79</v>
      </c>
      <c r="Y334" s="24" t="s">
        <v>870</v>
      </c>
      <c r="Z334" s="24" t="s">
        <v>64</v>
      </c>
      <c r="AA334" s="24" t="s">
        <v>468</v>
      </c>
      <c r="AB334" s="24" t="s">
        <v>56</v>
      </c>
      <c r="AC334" s="24" t="s">
        <v>1225</v>
      </c>
    </row>
    <row r="335" spans="1:29">
      <c r="A335" s="30" t="s">
        <v>1226</v>
      </c>
      <c r="B335" s="30" t="str">
        <f>IF(ISNUMBER(SEARCH(E335,A335)),A335,IF(OR(E335="",E335=""),A335,A335&amp;" - "&amp;E335))</f>
        <v>420 Evolution 27/1 FLM CA - Frozen Lemon Mints</v>
      </c>
      <c r="C335" s="30" t="s">
        <v>463</v>
      </c>
      <c r="D335" s="30" t="s">
        <v>464</v>
      </c>
      <c r="E335" s="30" t="s">
        <v>1227</v>
      </c>
      <c r="F335" s="30" t="s">
        <v>69</v>
      </c>
      <c r="G335" s="34">
        <v>27</v>
      </c>
      <c r="H335" s="35">
        <v>1</v>
      </c>
      <c r="I335" s="30"/>
      <c r="J335" s="30"/>
      <c r="K335" s="30" t="s">
        <v>52</v>
      </c>
      <c r="L335" s="30" t="s">
        <v>53</v>
      </c>
      <c r="M335" s="30" t="s">
        <v>111</v>
      </c>
      <c r="N335" s="30" t="s">
        <v>72</v>
      </c>
      <c r="O335" s="30"/>
      <c r="P335" s="30" t="s">
        <v>112</v>
      </c>
      <c r="Q335" s="30" t="s">
        <v>75</v>
      </c>
      <c r="R335" s="30" t="s">
        <v>89</v>
      </c>
      <c r="S335" s="30" t="s">
        <v>90</v>
      </c>
      <c r="T335" s="30" t="s">
        <v>105</v>
      </c>
      <c r="U335" s="30" t="s">
        <v>61</v>
      </c>
      <c r="V335" s="30" t="s">
        <v>77</v>
      </c>
      <c r="W335" s="30" t="s">
        <v>79</v>
      </c>
      <c r="X335" s="30" t="s">
        <v>93</v>
      </c>
      <c r="Y335" s="30" t="s">
        <v>293</v>
      </c>
      <c r="Z335" s="30" t="s">
        <v>64</v>
      </c>
      <c r="AA335" s="30" t="s">
        <v>468</v>
      </c>
      <c r="AB335" s="30" t="s">
        <v>56</v>
      </c>
      <c r="AC335" s="30" t="s">
        <v>1228</v>
      </c>
    </row>
    <row r="336" spans="1:29">
      <c r="A336" s="24" t="s">
        <v>1229</v>
      </c>
      <c r="B336" s="24" t="str">
        <f>IF(ISNUMBER(SEARCH(E336,A336)),A336,IF(OR(E336="",E336=""),A336,A336&amp;" - "&amp;E336))</f>
        <v>All Nations GM PT - Mac Doughnut</v>
      </c>
      <c r="C336" s="24" t="s">
        <v>564</v>
      </c>
      <c r="D336" s="24" t="s">
        <v>565</v>
      </c>
      <c r="E336" s="24" t="s">
        <v>1230</v>
      </c>
      <c r="F336" s="24" t="s">
        <v>86</v>
      </c>
      <c r="G336" s="27">
        <v>27</v>
      </c>
      <c r="H336" s="28">
        <v>1</v>
      </c>
      <c r="I336" s="24"/>
      <c r="J336" s="24"/>
      <c r="K336" s="24" t="s">
        <v>52</v>
      </c>
      <c r="L336" s="24" t="s">
        <v>102</v>
      </c>
      <c r="M336" s="24" t="s">
        <v>121</v>
      </c>
      <c r="N336" s="24" t="s">
        <v>72</v>
      </c>
      <c r="O336" s="24" t="s">
        <v>56</v>
      </c>
      <c r="P336" s="24" t="s">
        <v>89</v>
      </c>
      <c r="Q336" s="24" t="s">
        <v>58</v>
      </c>
      <c r="R336" s="24" t="s">
        <v>56</v>
      </c>
      <c r="S336" s="24" t="s">
        <v>147</v>
      </c>
      <c r="T336" s="24" t="s">
        <v>123</v>
      </c>
      <c r="U336" s="24" t="s">
        <v>106</v>
      </c>
      <c r="V336" s="24" t="s">
        <v>77</v>
      </c>
      <c r="W336" s="24" t="s">
        <v>116</v>
      </c>
      <c r="X336" s="24" t="s">
        <v>79</v>
      </c>
      <c r="Y336" s="24" t="s">
        <v>1231</v>
      </c>
      <c r="Z336" s="24" t="s">
        <v>64</v>
      </c>
      <c r="AA336" s="24" t="s">
        <v>565</v>
      </c>
      <c r="AB336" s="24" t="s">
        <v>1232</v>
      </c>
      <c r="AC336" s="24" t="s">
        <v>1233</v>
      </c>
    </row>
    <row r="337" spans="1:29">
      <c r="A337" s="30" t="s">
        <v>1234</v>
      </c>
      <c r="B337" s="30" t="str">
        <f>IF(ISNUMBER(SEARCH(E337,A337)),A337,IF(OR(E337="",E337=""),A337,A337&amp;" - "&amp;E337))</f>
        <v>All Nations LT 21/1 - Lemon Tartz</v>
      </c>
      <c r="C337" s="30" t="s">
        <v>564</v>
      </c>
      <c r="D337" s="30" t="s">
        <v>565</v>
      </c>
      <c r="E337" s="30" t="s">
        <v>1235</v>
      </c>
      <c r="F337" s="30" t="s">
        <v>144</v>
      </c>
      <c r="G337" s="34">
        <v>22</v>
      </c>
      <c r="H337" s="35">
        <v>1</v>
      </c>
      <c r="I337" s="30"/>
      <c r="J337" s="30"/>
      <c r="K337" s="30" t="s">
        <v>52</v>
      </c>
      <c r="L337" s="30" t="s">
        <v>102</v>
      </c>
      <c r="M337" s="30" t="s">
        <v>54</v>
      </c>
      <c r="N337" s="30" t="s">
        <v>111</v>
      </c>
      <c r="O337" s="30" t="s">
        <v>55</v>
      </c>
      <c r="P337" s="30" t="s">
        <v>73</v>
      </c>
      <c r="Q337" s="30" t="s">
        <v>74</v>
      </c>
      <c r="R337" s="30" t="s">
        <v>75</v>
      </c>
      <c r="S337" s="30" t="s">
        <v>60</v>
      </c>
      <c r="T337" s="30" t="s">
        <v>123</v>
      </c>
      <c r="U337" s="30" t="s">
        <v>106</v>
      </c>
      <c r="V337" s="30" t="s">
        <v>77</v>
      </c>
      <c r="W337" s="30" t="s">
        <v>180</v>
      </c>
      <c r="X337" s="30" t="s">
        <v>79</v>
      </c>
      <c r="Y337" s="30" t="s">
        <v>240</v>
      </c>
      <c r="Z337" s="30" t="s">
        <v>64</v>
      </c>
      <c r="AA337" s="30" t="s">
        <v>565</v>
      </c>
      <c r="AB337" s="30" t="s">
        <v>1232</v>
      </c>
      <c r="AC337" s="30" t="s">
        <v>1236</v>
      </c>
    </row>
    <row r="338" spans="1:29">
      <c r="A338" s="24" t="s">
        <v>1237</v>
      </c>
      <c r="B338" s="24" t="str">
        <f>IF(ISNUMBER(SEARCH(E338,A338)),A338,IF(OR(E338="",E338=""),A338,A338&amp;" - "&amp;E338))</f>
        <v>avaay 12/8 CAN - Cannatonic</v>
      </c>
      <c r="C338" s="24" t="s">
        <v>569</v>
      </c>
      <c r="D338" s="24" t="s">
        <v>570</v>
      </c>
      <c r="E338" s="24" t="s">
        <v>558</v>
      </c>
      <c r="F338" s="24" t="s">
        <v>86</v>
      </c>
      <c r="G338" s="27">
        <v>12</v>
      </c>
      <c r="H338" s="28">
        <v>8</v>
      </c>
      <c r="I338" s="24"/>
      <c r="J338" s="24"/>
      <c r="K338" s="24" t="s">
        <v>52</v>
      </c>
      <c r="L338" s="24" t="s">
        <v>53</v>
      </c>
      <c r="M338" s="24" t="s">
        <v>111</v>
      </c>
      <c r="N338" s="24" t="s">
        <v>121</v>
      </c>
      <c r="O338" s="24" t="s">
        <v>72</v>
      </c>
      <c r="P338" s="24" t="s">
        <v>146</v>
      </c>
      <c r="Q338" s="24" t="s">
        <v>113</v>
      </c>
      <c r="R338" s="24" t="s">
        <v>59</v>
      </c>
      <c r="S338" s="24" t="s">
        <v>192</v>
      </c>
      <c r="T338" s="24" t="s">
        <v>147</v>
      </c>
      <c r="U338" s="24" t="s">
        <v>56</v>
      </c>
      <c r="V338" s="24" t="s">
        <v>77</v>
      </c>
      <c r="W338" s="24" t="s">
        <v>129</v>
      </c>
      <c r="X338" s="24" t="s">
        <v>107</v>
      </c>
      <c r="Y338" s="24" t="s">
        <v>400</v>
      </c>
      <c r="Z338" s="24" t="s">
        <v>64</v>
      </c>
      <c r="AA338" s="24" t="s">
        <v>572</v>
      </c>
      <c r="AB338" s="24" t="s">
        <v>56</v>
      </c>
      <c r="AC338" s="24" t="s">
        <v>1238</v>
      </c>
    </row>
    <row r="339" spans="1:29">
      <c r="A339" s="30" t="s">
        <v>1239</v>
      </c>
      <c r="B339" s="30" t="str">
        <f>IF(ISNUMBER(SEARCH(E339,A339)),A339,IF(OR(E339="",E339=""),A339,A339&amp;" - "&amp;E339))</f>
        <v>avaay Simple 20/1 TNG - Tangie</v>
      </c>
      <c r="C339" s="30" t="s">
        <v>569</v>
      </c>
      <c r="D339" s="30" t="s">
        <v>570</v>
      </c>
      <c r="E339" s="30" t="s">
        <v>1240</v>
      </c>
      <c r="F339" s="30" t="s">
        <v>144</v>
      </c>
      <c r="G339" s="34">
        <v>20</v>
      </c>
      <c r="H339" s="35">
        <v>1</v>
      </c>
      <c r="I339" s="30"/>
      <c r="J339" s="30"/>
      <c r="K339" s="30" t="s">
        <v>52</v>
      </c>
      <c r="L339" s="30" t="s">
        <v>102</v>
      </c>
      <c r="M339" s="30" t="s">
        <v>111</v>
      </c>
      <c r="N339" s="30" t="s">
        <v>88</v>
      </c>
      <c r="O339" s="30" t="s">
        <v>71</v>
      </c>
      <c r="P339" s="30" t="s">
        <v>74</v>
      </c>
      <c r="Q339" s="30" t="s">
        <v>75</v>
      </c>
      <c r="R339" s="30" t="s">
        <v>58</v>
      </c>
      <c r="S339" s="30" t="s">
        <v>123</v>
      </c>
      <c r="T339" s="30" t="s">
        <v>106</v>
      </c>
      <c r="U339" s="30" t="s">
        <v>1241</v>
      </c>
      <c r="V339" s="30" t="s">
        <v>292</v>
      </c>
      <c r="W339" s="30" t="s">
        <v>79</v>
      </c>
      <c r="X339" s="30" t="s">
        <v>1242</v>
      </c>
      <c r="Y339" s="30" t="s">
        <v>311</v>
      </c>
      <c r="Z339" s="30" t="s">
        <v>64</v>
      </c>
      <c r="AA339" s="30" t="s">
        <v>572</v>
      </c>
      <c r="AB339" s="30" t="s">
        <v>56</v>
      </c>
      <c r="AC339" s="30" t="s">
        <v>1243</v>
      </c>
    </row>
    <row r="340" spans="1:29">
      <c r="A340" s="24" t="s">
        <v>1244</v>
      </c>
      <c r="B340" s="24" t="str">
        <f>IF(ISNUMBER(SEARCH(E340,A340)),A340,IF(OR(E340="",E340=""),A340,A340&amp;" - "&amp;E340))</f>
        <v>avaay 23/1 BKR - Black Krush</v>
      </c>
      <c r="C340" s="24" t="s">
        <v>569</v>
      </c>
      <c r="D340" s="24" t="s">
        <v>570</v>
      </c>
      <c r="E340" s="24" t="s">
        <v>1245</v>
      </c>
      <c r="F340" s="24" t="s">
        <v>120</v>
      </c>
      <c r="G340" s="27">
        <v>23</v>
      </c>
      <c r="H340" s="28">
        <v>1</v>
      </c>
      <c r="I340" s="24"/>
      <c r="J340" s="24"/>
      <c r="K340" s="24" t="s">
        <v>52</v>
      </c>
      <c r="L340" s="24" t="s">
        <v>53</v>
      </c>
      <c r="M340" s="24" t="s">
        <v>54</v>
      </c>
      <c r="N340" s="24" t="s">
        <v>88</v>
      </c>
      <c r="O340" s="24" t="s">
        <v>121</v>
      </c>
      <c r="P340" s="24" t="s">
        <v>74</v>
      </c>
      <c r="Q340" s="24" t="s">
        <v>89</v>
      </c>
      <c r="R340" s="24" t="s">
        <v>56</v>
      </c>
      <c r="S340" s="24" t="s">
        <v>493</v>
      </c>
      <c r="T340" s="24" t="s">
        <v>128</v>
      </c>
      <c r="U340" s="24" t="s">
        <v>62</v>
      </c>
      <c r="V340" s="24" t="s">
        <v>77</v>
      </c>
      <c r="W340" s="24" t="s">
        <v>116</v>
      </c>
      <c r="X340" s="24" t="s">
        <v>107</v>
      </c>
      <c r="Y340" s="24" t="s">
        <v>331</v>
      </c>
      <c r="Z340" s="24" t="s">
        <v>64</v>
      </c>
      <c r="AA340" s="24" t="s">
        <v>572</v>
      </c>
      <c r="AB340" s="24" t="s">
        <v>56</v>
      </c>
      <c r="AC340" s="24" t="s">
        <v>1246</v>
      </c>
    </row>
    <row r="341" spans="1:29">
      <c r="A341" s="30" t="s">
        <v>1247</v>
      </c>
      <c r="B341" s="30" t="str">
        <f>IF(ISNUMBER(SEARCH(E341,A341)),A341,IF(OR(E341="",E341=""),A341,A341&amp;" - "&amp;E341))</f>
        <v>avaay 21/1 PYC - Peyote Critical</v>
      </c>
      <c r="C341" s="30" t="s">
        <v>569</v>
      </c>
      <c r="D341" s="30" t="s">
        <v>570</v>
      </c>
      <c r="E341" s="30" t="s">
        <v>1248</v>
      </c>
      <c r="F341" s="30" t="s">
        <v>120</v>
      </c>
      <c r="G341" s="34">
        <v>21</v>
      </c>
      <c r="H341" s="35">
        <v>1</v>
      </c>
      <c r="I341" s="30"/>
      <c r="J341" s="30"/>
      <c r="K341" s="30" t="s">
        <v>52</v>
      </c>
      <c r="L341" s="30" t="s">
        <v>102</v>
      </c>
      <c r="M341" s="30" t="s">
        <v>55</v>
      </c>
      <c r="N341" s="30" t="s">
        <v>121</v>
      </c>
      <c r="O341" s="30" t="s">
        <v>72</v>
      </c>
      <c r="P341" s="30" t="s">
        <v>591</v>
      </c>
      <c r="Q341" s="30" t="s">
        <v>157</v>
      </c>
      <c r="R341" s="30" t="s">
        <v>57</v>
      </c>
      <c r="S341" s="30" t="s">
        <v>147</v>
      </c>
      <c r="T341" s="30" t="s">
        <v>106</v>
      </c>
      <c r="U341" s="30" t="s">
        <v>76</v>
      </c>
      <c r="V341" s="30" t="s">
        <v>77</v>
      </c>
      <c r="W341" s="30" t="s">
        <v>116</v>
      </c>
      <c r="X341" s="30" t="s">
        <v>165</v>
      </c>
      <c r="Y341" s="30" t="s">
        <v>286</v>
      </c>
      <c r="Z341" s="30" t="s">
        <v>64</v>
      </c>
      <c r="AA341" s="30" t="s">
        <v>572</v>
      </c>
      <c r="AB341" s="30" t="s">
        <v>56</v>
      </c>
      <c r="AC341" s="30" t="s">
        <v>1249</v>
      </c>
    </row>
    <row r="342" spans="1:29">
      <c r="A342" s="24" t="s">
        <v>1250</v>
      </c>
      <c r="B342" s="24" t="str">
        <f>IF(ISNUMBER(SEARCH(E342,A342)),A342,IF(OR(E342="",E342=""),A342,A342&amp;" - "&amp;E342))</f>
        <v>avaay 27/1 SCG - Super Citra G</v>
      </c>
      <c r="C342" s="24" t="s">
        <v>569</v>
      </c>
      <c r="D342" s="24" t="s">
        <v>570</v>
      </c>
      <c r="E342" s="24" t="s">
        <v>1251</v>
      </c>
      <c r="F342" s="24" t="s">
        <v>86</v>
      </c>
      <c r="G342" s="27">
        <v>27</v>
      </c>
      <c r="H342" s="28">
        <v>1</v>
      </c>
      <c r="I342" s="24"/>
      <c r="J342" s="24"/>
      <c r="K342" s="24" t="s">
        <v>52</v>
      </c>
      <c r="L342" s="24" t="s">
        <v>53</v>
      </c>
      <c r="M342" s="24" t="s">
        <v>54</v>
      </c>
      <c r="N342" s="24" t="s">
        <v>88</v>
      </c>
      <c r="O342" s="24" t="s">
        <v>71</v>
      </c>
      <c r="P342" s="24" t="s">
        <v>157</v>
      </c>
      <c r="Q342" s="24" t="s">
        <v>146</v>
      </c>
      <c r="R342" s="24" t="s">
        <v>75</v>
      </c>
      <c r="S342" s="24" t="s">
        <v>192</v>
      </c>
      <c r="T342" s="24" t="s">
        <v>105</v>
      </c>
      <c r="U342" s="24" t="s">
        <v>123</v>
      </c>
      <c r="V342" s="24" t="s">
        <v>77</v>
      </c>
      <c r="W342" s="24" t="s">
        <v>292</v>
      </c>
      <c r="X342" s="24" t="s">
        <v>79</v>
      </c>
      <c r="Y342" s="24" t="s">
        <v>56</v>
      </c>
      <c r="Z342" s="24" t="s">
        <v>64</v>
      </c>
      <c r="AA342" s="24" t="s">
        <v>572</v>
      </c>
      <c r="AB342" s="24" t="s">
        <v>1252</v>
      </c>
      <c r="AC342" s="24" t="s">
        <v>1253</v>
      </c>
    </row>
    <row r="343" spans="1:29">
      <c r="A343" s="30" t="s">
        <v>1254</v>
      </c>
      <c r="B343" s="30" t="str">
        <f>IF(ISNUMBER(SEARCH(E343,A343)),A343,IF(OR(E343="",E343=""),A343,A343&amp;" - "&amp;E343))</f>
        <v>avaay 28/1 AHC - Amnesia Haze Cake</v>
      </c>
      <c r="C343" s="30" t="s">
        <v>569</v>
      </c>
      <c r="D343" s="30" t="s">
        <v>570</v>
      </c>
      <c r="E343" s="30" t="s">
        <v>1255</v>
      </c>
      <c r="F343" s="30" t="s">
        <v>144</v>
      </c>
      <c r="G343" s="34">
        <v>28</v>
      </c>
      <c r="H343" s="35">
        <v>1</v>
      </c>
      <c r="I343" s="30"/>
      <c r="J343" s="30"/>
      <c r="K343" s="30" t="s">
        <v>52</v>
      </c>
      <c r="L343" s="30"/>
      <c r="M343" s="30" t="s">
        <v>88</v>
      </c>
      <c r="N343" s="30" t="s">
        <v>121</v>
      </c>
      <c r="O343" s="30" t="s">
        <v>72</v>
      </c>
      <c r="P343" s="30" t="s">
        <v>73</v>
      </c>
      <c r="Q343" s="30" t="s">
        <v>59</v>
      </c>
      <c r="R343" s="30" t="s">
        <v>56</v>
      </c>
      <c r="S343" s="30" t="s">
        <v>782</v>
      </c>
      <c r="T343" s="30" t="s">
        <v>801</v>
      </c>
      <c r="U343" s="30" t="s">
        <v>192</v>
      </c>
      <c r="V343" s="30" t="s">
        <v>116</v>
      </c>
      <c r="W343" s="30" t="s">
        <v>138</v>
      </c>
      <c r="X343" s="30" t="s">
        <v>107</v>
      </c>
      <c r="Y343" s="30" t="s">
        <v>487</v>
      </c>
      <c r="Z343" s="30" t="s">
        <v>64</v>
      </c>
      <c r="AA343" s="30" t="s">
        <v>572</v>
      </c>
      <c r="AB343" s="30" t="s">
        <v>56</v>
      </c>
      <c r="AC343" s="30" t="s">
        <v>1256</v>
      </c>
    </row>
    <row r="344" spans="1:29">
      <c r="A344" s="24" t="s">
        <v>1257</v>
      </c>
      <c r="B344" s="24" t="str">
        <f>IF(ISNUMBER(SEARCH(E344,A344)),A344,IF(OR(E344="",E344=""),A344,A344&amp;" - "&amp;E344))</f>
        <v>avaay 28/1 KH - Karel's Haze</v>
      </c>
      <c r="C344" s="24" t="s">
        <v>569</v>
      </c>
      <c r="D344" s="24" t="s">
        <v>570</v>
      </c>
      <c r="E344" s="24" t="s">
        <v>501</v>
      </c>
      <c r="F344" s="24" t="s">
        <v>86</v>
      </c>
      <c r="G344" s="27">
        <v>28</v>
      </c>
      <c r="H344" s="28">
        <v>1</v>
      </c>
      <c r="I344" s="24"/>
      <c r="J344" s="24"/>
      <c r="K344" s="24" t="s">
        <v>52</v>
      </c>
      <c r="L344" s="24" t="s">
        <v>102</v>
      </c>
      <c r="M344" s="24" t="s">
        <v>54</v>
      </c>
      <c r="N344" s="24" t="s">
        <v>111</v>
      </c>
      <c r="O344" s="24" t="s">
        <v>55</v>
      </c>
      <c r="P344" s="24" t="s">
        <v>75</v>
      </c>
      <c r="Q344" s="24" t="s">
        <v>89</v>
      </c>
      <c r="R344" s="24" t="s">
        <v>58</v>
      </c>
      <c r="S344" s="24" t="s">
        <v>106</v>
      </c>
      <c r="T344" s="24" t="s">
        <v>128</v>
      </c>
      <c r="U344" s="24" t="s">
        <v>62</v>
      </c>
      <c r="V344" s="24" t="s">
        <v>77</v>
      </c>
      <c r="W344" s="24" t="s">
        <v>79</v>
      </c>
      <c r="X344" s="24" t="s">
        <v>173</v>
      </c>
      <c r="Y344" s="24" t="s">
        <v>400</v>
      </c>
      <c r="Z344" s="24" t="s">
        <v>64</v>
      </c>
      <c r="AA344" s="24" t="s">
        <v>572</v>
      </c>
      <c r="AB344" s="24" t="s">
        <v>56</v>
      </c>
      <c r="AC344" s="24" t="s">
        <v>1258</v>
      </c>
    </row>
    <row r="345" spans="1:29">
      <c r="A345" s="30" t="s">
        <v>1259</v>
      </c>
      <c r="B345" s="30" t="str">
        <f>IF(ISNUMBER(SEARCH(E345,A345)),A345,IF(OR(E345="",E345=""),A345,A345&amp;" - "&amp;E345))</f>
        <v>Barongo 24/1 Banjo - Tangelo Boost</v>
      </c>
      <c r="C345" s="30" t="s">
        <v>641</v>
      </c>
      <c r="D345" s="30" t="s">
        <v>642</v>
      </c>
      <c r="E345" s="30" t="s">
        <v>789</v>
      </c>
      <c r="F345" s="30" t="s">
        <v>144</v>
      </c>
      <c r="G345" s="34">
        <v>24</v>
      </c>
      <c r="H345" s="35">
        <v>1</v>
      </c>
      <c r="I345" s="30"/>
      <c r="J345" s="30"/>
      <c r="K345" s="30" t="s">
        <v>52</v>
      </c>
      <c r="L345" s="30" t="s">
        <v>53</v>
      </c>
      <c r="M345" s="30" t="s">
        <v>88</v>
      </c>
      <c r="N345" s="30" t="s">
        <v>72</v>
      </c>
      <c r="O345" s="30" t="s">
        <v>56</v>
      </c>
      <c r="P345" s="30" t="s">
        <v>186</v>
      </c>
      <c r="Q345" s="30" t="s">
        <v>146</v>
      </c>
      <c r="R345" s="30" t="s">
        <v>89</v>
      </c>
      <c r="S345" s="30" t="s">
        <v>466</v>
      </c>
      <c r="T345" s="30" t="s">
        <v>105</v>
      </c>
      <c r="U345" s="30" t="s">
        <v>106</v>
      </c>
      <c r="V345" s="30" t="s">
        <v>116</v>
      </c>
      <c r="W345" s="30" t="s">
        <v>79</v>
      </c>
      <c r="X345" s="30" t="s">
        <v>107</v>
      </c>
      <c r="Y345" s="30" t="s">
        <v>1094</v>
      </c>
      <c r="Z345" s="30" t="s">
        <v>64</v>
      </c>
      <c r="AA345" s="30" t="s">
        <v>642</v>
      </c>
      <c r="AB345" s="30" t="s">
        <v>56</v>
      </c>
      <c r="AC345" s="36" t="s">
        <v>1260</v>
      </c>
    </row>
    <row r="346" spans="1:29">
      <c r="A346" s="24" t="s">
        <v>1261</v>
      </c>
      <c r="B346" s="24" t="str">
        <f>IF(ISNUMBER(SEARCH(E346,A346)),A346,IF(OR(E346="",E346=""),A346,A346&amp;" - "&amp;E346))</f>
        <v>Blackrose 14 PT - Garlic Sherbert</v>
      </c>
      <c r="C346" s="24" t="s">
        <v>564</v>
      </c>
      <c r="D346" s="24" t="s">
        <v>565</v>
      </c>
      <c r="E346" s="24" t="s">
        <v>1262</v>
      </c>
      <c r="F346" s="24" t="s">
        <v>177</v>
      </c>
      <c r="G346" s="27">
        <v>22</v>
      </c>
      <c r="H346" s="28">
        <v>1</v>
      </c>
      <c r="I346" s="24"/>
      <c r="J346" s="24"/>
      <c r="K346" s="24" t="s">
        <v>52</v>
      </c>
      <c r="L346" s="24" t="s">
        <v>53</v>
      </c>
      <c r="M346" s="24" t="s">
        <v>111</v>
      </c>
      <c r="N346" s="24" t="s">
        <v>88</v>
      </c>
      <c r="O346" s="24" t="s">
        <v>55</v>
      </c>
      <c r="P346" s="24" t="s">
        <v>604</v>
      </c>
      <c r="Q346" s="24" t="s">
        <v>104</v>
      </c>
      <c r="R346" s="24" t="s">
        <v>74</v>
      </c>
      <c r="S346" s="24" t="s">
        <v>466</v>
      </c>
      <c r="T346" s="24" t="s">
        <v>123</v>
      </c>
      <c r="U346" s="24" t="s">
        <v>106</v>
      </c>
      <c r="V346" s="24" t="s">
        <v>116</v>
      </c>
      <c r="W346" s="24" t="s">
        <v>79</v>
      </c>
      <c r="X346" s="24" t="s">
        <v>107</v>
      </c>
      <c r="Y346" s="24" t="s">
        <v>768</v>
      </c>
      <c r="Z346" s="24" t="s">
        <v>64</v>
      </c>
      <c r="AA346" s="24" t="s">
        <v>565</v>
      </c>
      <c r="AB346" s="24" t="s">
        <v>56</v>
      </c>
      <c r="AC346" s="24" t="s">
        <v>1263</v>
      </c>
    </row>
    <row r="347" spans="1:29">
      <c r="A347" s="30" t="s">
        <v>1264</v>
      </c>
      <c r="B347" s="30" t="str">
        <f>IF(ISNUMBER(SEARCH(E347,A347)),A347,IF(OR(E347="",E347=""),A347,A347&amp;" - "&amp;E347))</f>
        <v>BOTANICS Tonic Fuel 22/1 - Gary Payton</v>
      </c>
      <c r="C347" s="30" t="s">
        <v>141</v>
      </c>
      <c r="D347" s="30" t="s">
        <v>142</v>
      </c>
      <c r="E347" s="30" t="s">
        <v>1265</v>
      </c>
      <c r="F347" s="30" t="s">
        <v>86</v>
      </c>
      <c r="G347" s="34">
        <v>22</v>
      </c>
      <c r="H347" s="35">
        <v>1</v>
      </c>
      <c r="I347" s="30"/>
      <c r="J347" s="30"/>
      <c r="K347" s="30" t="s">
        <v>52</v>
      </c>
      <c r="L347" s="30"/>
      <c r="M347" s="30" t="s">
        <v>54</v>
      </c>
      <c r="N347" s="30" t="s">
        <v>111</v>
      </c>
      <c r="O347" s="30" t="s">
        <v>212</v>
      </c>
      <c r="P347" s="30" t="s">
        <v>73</v>
      </c>
      <c r="Q347" s="30" t="s">
        <v>157</v>
      </c>
      <c r="R347" s="30" t="s">
        <v>74</v>
      </c>
      <c r="S347" s="30" t="s">
        <v>56</v>
      </c>
      <c r="T347" s="30" t="s">
        <v>56</v>
      </c>
      <c r="U347" s="30" t="s">
        <v>56</v>
      </c>
      <c r="V347" s="30" t="s">
        <v>77</v>
      </c>
      <c r="W347" s="30" t="s">
        <v>79</v>
      </c>
      <c r="X347" s="30" t="s">
        <v>107</v>
      </c>
      <c r="Y347" s="30" t="s">
        <v>1266</v>
      </c>
      <c r="Z347" s="30" t="s">
        <v>64</v>
      </c>
      <c r="AA347" s="30" t="s">
        <v>149</v>
      </c>
      <c r="AB347" s="30" t="s">
        <v>56</v>
      </c>
      <c r="AC347" s="30" t="s">
        <v>1267</v>
      </c>
    </row>
    <row r="348" spans="1:29">
      <c r="A348" s="24" t="s">
        <v>1268</v>
      </c>
      <c r="B348" s="24" t="str">
        <f>IF(ISNUMBER(SEARCH(E348,A348)),A348,IF(OR(E348="",E348=""),A348,A348&amp;" - "&amp;E348))</f>
        <v>Can Hydro PPC - Purple Punch Cookies</v>
      </c>
      <c r="C348" s="24" t="s">
        <v>564</v>
      </c>
      <c r="D348" s="24" t="s">
        <v>565</v>
      </c>
      <c r="E348" s="24" t="s">
        <v>1269</v>
      </c>
      <c r="F348" s="24" t="s">
        <v>86</v>
      </c>
      <c r="G348" s="27">
        <v>24</v>
      </c>
      <c r="H348" s="28">
        <v>1</v>
      </c>
      <c r="I348" s="24"/>
      <c r="J348" s="24"/>
      <c r="K348" s="24" t="s">
        <v>52</v>
      </c>
      <c r="L348" s="24" t="s">
        <v>53</v>
      </c>
      <c r="M348" s="24" t="s">
        <v>54</v>
      </c>
      <c r="N348" s="24" t="s">
        <v>121</v>
      </c>
      <c r="O348" s="24" t="s">
        <v>72</v>
      </c>
      <c r="P348" s="24" t="s">
        <v>73</v>
      </c>
      <c r="Q348" s="24" t="s">
        <v>74</v>
      </c>
      <c r="R348" s="24" t="s">
        <v>89</v>
      </c>
      <c r="S348" s="24" t="s">
        <v>466</v>
      </c>
      <c r="T348" s="24" t="s">
        <v>123</v>
      </c>
      <c r="U348" s="24" t="s">
        <v>106</v>
      </c>
      <c r="V348" s="24" t="s">
        <v>77</v>
      </c>
      <c r="W348" s="24" t="s">
        <v>116</v>
      </c>
      <c r="X348" s="24" t="s">
        <v>129</v>
      </c>
      <c r="Y348" s="24" t="s">
        <v>516</v>
      </c>
      <c r="Z348" s="24" t="s">
        <v>64</v>
      </c>
      <c r="AA348" s="24" t="s">
        <v>565</v>
      </c>
      <c r="AB348" s="24" t="s">
        <v>1270</v>
      </c>
      <c r="AC348" s="24" t="s">
        <v>1271</v>
      </c>
    </row>
    <row r="349" spans="1:29">
      <c r="A349" s="30" t="s">
        <v>607</v>
      </c>
      <c r="B349" s="30" t="str">
        <f>IF(ISNUMBER(SEARCH(E349,A349)),A349,IF(OR(E349="",E349=""),A349,A349&amp;" - "&amp;E349))</f>
        <v>Canify Cannabis flos 18/1 UY Ku. - Gorilla Glue</v>
      </c>
      <c r="C349" s="30" t="s">
        <v>99</v>
      </c>
      <c r="D349" s="30" t="s">
        <v>100</v>
      </c>
      <c r="E349" s="30" t="s">
        <v>363</v>
      </c>
      <c r="F349" s="30" t="s">
        <v>86</v>
      </c>
      <c r="G349" s="34">
        <v>18</v>
      </c>
      <c r="H349" s="35">
        <v>1</v>
      </c>
      <c r="I349" s="30"/>
      <c r="J349" s="30"/>
      <c r="K349" s="30" t="s">
        <v>52</v>
      </c>
      <c r="L349" s="30" t="s">
        <v>185</v>
      </c>
      <c r="M349" s="30" t="s">
        <v>103</v>
      </c>
      <c r="N349" s="30" t="s">
        <v>121</v>
      </c>
      <c r="O349" s="30" t="s">
        <v>72</v>
      </c>
      <c r="P349" s="30" t="s">
        <v>146</v>
      </c>
      <c r="Q349" s="30" t="s">
        <v>74</v>
      </c>
      <c r="R349" s="30" t="s">
        <v>59</v>
      </c>
      <c r="S349" s="30" t="s">
        <v>147</v>
      </c>
      <c r="T349" s="30" t="s">
        <v>106</v>
      </c>
      <c r="U349" s="30" t="s">
        <v>62</v>
      </c>
      <c r="V349" s="30" t="s">
        <v>257</v>
      </c>
      <c r="W349" s="30" t="s">
        <v>252</v>
      </c>
      <c r="X349" s="30" t="s">
        <v>77</v>
      </c>
      <c r="Y349" s="30" t="s">
        <v>413</v>
      </c>
      <c r="Z349" s="30" t="s">
        <v>64</v>
      </c>
      <c r="AA349" s="30" t="s">
        <v>100</v>
      </c>
      <c r="AB349" s="30" t="s">
        <v>332</v>
      </c>
      <c r="AC349" s="30" t="s">
        <v>1272</v>
      </c>
    </row>
    <row r="350" spans="1:29">
      <c r="A350" s="24" t="s">
        <v>1273</v>
      </c>
      <c r="B350" s="24" t="str">
        <f>IF(ISNUMBER(SEARCH(E350,A350)),A350,IF(OR(E350="",E350=""),A350,A350&amp;" - "&amp;E350))</f>
        <v>Canify 22/1 - Purple Dog Bud</v>
      </c>
      <c r="C350" s="24" t="s">
        <v>99</v>
      </c>
      <c r="D350" s="24" t="s">
        <v>100</v>
      </c>
      <c r="E350" s="24" t="s">
        <v>330</v>
      </c>
      <c r="F350" s="24" t="s">
        <v>86</v>
      </c>
      <c r="G350" s="27">
        <v>22</v>
      </c>
      <c r="H350" s="28">
        <v>1</v>
      </c>
      <c r="I350" s="24"/>
      <c r="J350" s="24"/>
      <c r="K350" s="24" t="s">
        <v>52</v>
      </c>
      <c r="L350" s="24" t="s">
        <v>185</v>
      </c>
      <c r="M350" s="24" t="s">
        <v>212</v>
      </c>
      <c r="N350" s="24" t="s">
        <v>88</v>
      </c>
      <c r="O350" s="24" t="s">
        <v>71</v>
      </c>
      <c r="P350" s="24" t="s">
        <v>104</v>
      </c>
      <c r="Q350" s="24" t="s">
        <v>58</v>
      </c>
      <c r="R350" s="24" t="s">
        <v>56</v>
      </c>
      <c r="S350" s="24" t="s">
        <v>147</v>
      </c>
      <c r="T350" s="24" t="s">
        <v>123</v>
      </c>
      <c r="U350" s="24" t="s">
        <v>76</v>
      </c>
      <c r="V350" s="24" t="s">
        <v>77</v>
      </c>
      <c r="W350" s="24" t="s">
        <v>93</v>
      </c>
      <c r="X350" s="24" t="s">
        <v>56</v>
      </c>
      <c r="Y350" s="24" t="s">
        <v>1274</v>
      </c>
      <c r="Z350" s="24" t="s">
        <v>64</v>
      </c>
      <c r="AA350" s="24" t="s">
        <v>100</v>
      </c>
      <c r="AB350" s="24" t="s">
        <v>332</v>
      </c>
      <c r="AC350" s="24" t="s">
        <v>1275</v>
      </c>
    </row>
    <row r="351" spans="1:29">
      <c r="A351" s="30" t="s">
        <v>98</v>
      </c>
      <c r="B351" s="30" t="str">
        <f>IF(ISNUMBER(SEARCH(E351,A351)),A351,IF(OR(E351="",E351=""),A351,A351&amp;" - "&amp;E351))</f>
        <v>Canify Cannabis flos 22/1 PT Ku. - Master Kush</v>
      </c>
      <c r="C351" s="30" t="s">
        <v>99</v>
      </c>
      <c r="D351" s="30" t="s">
        <v>100</v>
      </c>
      <c r="E351" s="30" t="s">
        <v>237</v>
      </c>
      <c r="F351" s="30" t="s">
        <v>120</v>
      </c>
      <c r="G351" s="34">
        <v>22</v>
      </c>
      <c r="H351" s="35">
        <v>1</v>
      </c>
      <c r="I351" s="30"/>
      <c r="J351" s="30"/>
      <c r="K351" s="30" t="s">
        <v>52</v>
      </c>
      <c r="L351" s="30" t="s">
        <v>102</v>
      </c>
      <c r="M351" s="30" t="s">
        <v>103</v>
      </c>
      <c r="N351" s="30" t="s">
        <v>121</v>
      </c>
      <c r="O351" s="30" t="s">
        <v>72</v>
      </c>
      <c r="P351" s="30" t="s">
        <v>74</v>
      </c>
      <c r="Q351" s="30" t="s">
        <v>59</v>
      </c>
      <c r="R351" s="30" t="s">
        <v>56</v>
      </c>
      <c r="S351" s="30" t="s">
        <v>786</v>
      </c>
      <c r="T351" s="30" t="s">
        <v>147</v>
      </c>
      <c r="U351" s="30" t="s">
        <v>106</v>
      </c>
      <c r="V351" s="30" t="s">
        <v>77</v>
      </c>
      <c r="W351" s="30" t="s">
        <v>78</v>
      </c>
      <c r="X351" s="30" t="s">
        <v>107</v>
      </c>
      <c r="Y351" s="30" t="s">
        <v>56</v>
      </c>
      <c r="Z351" s="30" t="s">
        <v>64</v>
      </c>
      <c r="AA351" s="30" t="s">
        <v>100</v>
      </c>
      <c r="AB351" s="30" t="s">
        <v>56</v>
      </c>
      <c r="AC351" s="30" t="s">
        <v>1276</v>
      </c>
    </row>
    <row r="352" spans="1:29">
      <c r="A352" s="24" t="s">
        <v>1277</v>
      </c>
      <c r="B352" s="24" t="str">
        <f>IF(ISNUMBER(SEARCH(E352,A352)),A352,IF(OR(E352="",E352=""),A352,A352&amp;" - "&amp;E352))</f>
        <v>Canify Cannabis flos 23/1 CO Ku. - Kush Mints</v>
      </c>
      <c r="C352" s="24" t="s">
        <v>99</v>
      </c>
      <c r="D352" s="24" t="s">
        <v>100</v>
      </c>
      <c r="E352" s="24" t="s">
        <v>954</v>
      </c>
      <c r="F352" s="24" t="s">
        <v>86</v>
      </c>
      <c r="G352" s="27">
        <v>23</v>
      </c>
      <c r="H352" s="28">
        <v>1</v>
      </c>
      <c r="I352" s="24"/>
      <c r="J352" s="24"/>
      <c r="K352" s="24" t="s">
        <v>52</v>
      </c>
      <c r="L352" s="24" t="s">
        <v>202</v>
      </c>
      <c r="M352" s="24" t="s">
        <v>88</v>
      </c>
      <c r="N352" s="24" t="s">
        <v>55</v>
      </c>
      <c r="O352" s="24" t="s">
        <v>72</v>
      </c>
      <c r="P352" s="24" t="s">
        <v>591</v>
      </c>
      <c r="Q352" s="24" t="s">
        <v>112</v>
      </c>
      <c r="R352" s="24" t="s">
        <v>146</v>
      </c>
      <c r="S352" s="24" t="s">
        <v>123</v>
      </c>
      <c r="T352" s="24" t="s">
        <v>106</v>
      </c>
      <c r="U352" s="24" t="s">
        <v>62</v>
      </c>
      <c r="V352" s="24" t="s">
        <v>92</v>
      </c>
      <c r="W352" s="24" t="s">
        <v>77</v>
      </c>
      <c r="X352" s="24" t="s">
        <v>116</v>
      </c>
      <c r="Y352" s="24" t="s">
        <v>56</v>
      </c>
      <c r="Z352" s="24" t="s">
        <v>64</v>
      </c>
      <c r="AA352" s="24" t="s">
        <v>100</v>
      </c>
      <c r="AB352" s="24" t="s">
        <v>56</v>
      </c>
      <c r="AC352" s="24" t="s">
        <v>1278</v>
      </c>
    </row>
    <row r="353" spans="1:29">
      <c r="A353" s="30" t="s">
        <v>1279</v>
      </c>
      <c r="B353" s="30" t="str">
        <f>IF(ISNUMBER(SEARCH(E353,A353)),A353,IF(OR(E353="",E353=""),A353,A353&amp;" - "&amp;E353))</f>
        <v>Canify Cannabis flos 25/1 CO Ku. - Kush Mints</v>
      </c>
      <c r="C353" s="30" t="s">
        <v>99</v>
      </c>
      <c r="D353" s="30" t="s">
        <v>100</v>
      </c>
      <c r="E353" s="30" t="s">
        <v>954</v>
      </c>
      <c r="F353" s="30" t="s">
        <v>86</v>
      </c>
      <c r="G353" s="34">
        <v>25</v>
      </c>
      <c r="H353" s="35">
        <v>1</v>
      </c>
      <c r="I353" s="30"/>
      <c r="J353" s="30"/>
      <c r="K353" s="30" t="s">
        <v>52</v>
      </c>
      <c r="L353" s="30" t="s">
        <v>202</v>
      </c>
      <c r="M353" s="30" t="s">
        <v>88</v>
      </c>
      <c r="N353" s="30" t="s">
        <v>55</v>
      </c>
      <c r="O353" s="30" t="s">
        <v>72</v>
      </c>
      <c r="P353" s="30" t="s">
        <v>591</v>
      </c>
      <c r="Q353" s="30" t="s">
        <v>112</v>
      </c>
      <c r="R353" s="30" t="s">
        <v>146</v>
      </c>
      <c r="S353" s="30" t="s">
        <v>123</v>
      </c>
      <c r="T353" s="30" t="s">
        <v>106</v>
      </c>
      <c r="U353" s="30" t="s">
        <v>62</v>
      </c>
      <c r="V353" s="30" t="s">
        <v>92</v>
      </c>
      <c r="W353" s="30" t="s">
        <v>77</v>
      </c>
      <c r="X353" s="30" t="s">
        <v>116</v>
      </c>
      <c r="Y353" s="30" t="s">
        <v>56</v>
      </c>
      <c r="Z353" s="30" t="s">
        <v>64</v>
      </c>
      <c r="AA353" s="30" t="s">
        <v>100</v>
      </c>
      <c r="AB353" s="30" t="s">
        <v>56</v>
      </c>
      <c r="AC353" s="30" t="s">
        <v>1280</v>
      </c>
    </row>
    <row r="354" spans="1:29">
      <c r="A354" s="24" t="s">
        <v>1281</v>
      </c>
      <c r="B354" s="24" t="str">
        <f>IF(ISNUMBER(SEARCH(E354,A354)),A354,IF(OR(E354="",E354=""),A354,A354&amp;" - "&amp;E354))</f>
        <v>CannabiStada GAB 30 - Garlic Breath</v>
      </c>
      <c r="C354" s="24" t="s">
        <v>478</v>
      </c>
      <c r="D354" s="24" t="s">
        <v>479</v>
      </c>
      <c r="E354" s="24" t="s">
        <v>480</v>
      </c>
      <c r="F354" s="24" t="s">
        <v>86</v>
      </c>
      <c r="G354" s="27">
        <v>30</v>
      </c>
      <c r="H354" s="28">
        <v>1</v>
      </c>
      <c r="I354" s="24"/>
      <c r="J354" s="24"/>
      <c r="K354" s="24" t="s">
        <v>52</v>
      </c>
      <c r="L354" s="24" t="s">
        <v>53</v>
      </c>
      <c r="M354" s="24" t="s">
        <v>178</v>
      </c>
      <c r="N354" s="24" t="s">
        <v>121</v>
      </c>
      <c r="O354" s="24" t="s">
        <v>72</v>
      </c>
      <c r="P354" s="24" t="s">
        <v>186</v>
      </c>
      <c r="Q354" s="24" t="s">
        <v>59</v>
      </c>
      <c r="R354" s="24" t="s">
        <v>56</v>
      </c>
      <c r="S354" s="24" t="s">
        <v>106</v>
      </c>
      <c r="T354" s="24" t="s">
        <v>128</v>
      </c>
      <c r="U354" s="24" t="s">
        <v>62</v>
      </c>
      <c r="V354" s="24" t="s">
        <v>77</v>
      </c>
      <c r="W354" s="24" t="s">
        <v>129</v>
      </c>
      <c r="X354" s="24" t="s">
        <v>107</v>
      </c>
      <c r="Y354" s="24" t="s">
        <v>130</v>
      </c>
      <c r="Z354" s="24" t="s">
        <v>64</v>
      </c>
      <c r="AA354" s="24" t="s">
        <v>481</v>
      </c>
      <c r="AB354" s="24" t="s">
        <v>56</v>
      </c>
      <c r="AC354" s="24" t="s">
        <v>1282</v>
      </c>
    </row>
    <row r="355" spans="1:29">
      <c r="A355" s="30" t="s">
        <v>1283</v>
      </c>
      <c r="B355" s="30" t="str">
        <f>IF(ISNUMBER(SEARCH(E355,A355)),A355,IF(OR(E355="",E355=""),A355,A355&amp;" - "&amp;E355))</f>
        <v>Cannamedical CM 16/1 GRP - Grapefruit Gift</v>
      </c>
      <c r="C355" s="30" t="s">
        <v>48</v>
      </c>
      <c r="D355" s="30" t="s">
        <v>49</v>
      </c>
      <c r="E355" s="30" t="s">
        <v>1284</v>
      </c>
      <c r="F355" s="30" t="s">
        <v>120</v>
      </c>
      <c r="G355" s="34">
        <v>17</v>
      </c>
      <c r="H355" s="35">
        <v>1</v>
      </c>
      <c r="I355" s="30"/>
      <c r="J355" s="30"/>
      <c r="K355" s="30" t="s">
        <v>52</v>
      </c>
      <c r="L355" s="30" t="s">
        <v>497</v>
      </c>
      <c r="M355" s="30" t="s">
        <v>55</v>
      </c>
      <c r="N355" s="30" t="s">
        <v>72</v>
      </c>
      <c r="O355" s="30" t="s">
        <v>56</v>
      </c>
      <c r="P355" s="30" t="s">
        <v>73</v>
      </c>
      <c r="Q355" s="30" t="s">
        <v>74</v>
      </c>
      <c r="R355" s="30" t="s">
        <v>75</v>
      </c>
      <c r="S355" s="30" t="s">
        <v>90</v>
      </c>
      <c r="T355" s="30" t="s">
        <v>123</v>
      </c>
      <c r="U355" s="30" t="s">
        <v>106</v>
      </c>
      <c r="V355" s="30" t="s">
        <v>180</v>
      </c>
      <c r="W355" s="30" t="s">
        <v>79</v>
      </c>
      <c r="X355" s="30" t="s">
        <v>107</v>
      </c>
      <c r="Y355" s="30" t="s">
        <v>80</v>
      </c>
      <c r="Z355" s="30" t="s">
        <v>64</v>
      </c>
      <c r="AA355" s="30" t="s">
        <v>49</v>
      </c>
      <c r="AB355" s="30" t="s">
        <v>498</v>
      </c>
      <c r="AC355" s="30" t="s">
        <v>1285</v>
      </c>
    </row>
    <row r="356" spans="1:29">
      <c r="A356" s="24" t="s">
        <v>1286</v>
      </c>
      <c r="B356" s="24" t="str">
        <f>IF(ISNUMBER(SEARCH(E356,A356)),A356,IF(OR(E356="",E356=""),A356,A356&amp;" - "&amp;E356))</f>
        <v>Cannamedical CM 28/1 - Koko Cookies</v>
      </c>
      <c r="C356" s="24" t="s">
        <v>48</v>
      </c>
      <c r="D356" s="24" t="s">
        <v>49</v>
      </c>
      <c r="E356" s="24" t="s">
        <v>277</v>
      </c>
      <c r="F356" s="24" t="s">
        <v>177</v>
      </c>
      <c r="G356" s="27">
        <v>28</v>
      </c>
      <c r="H356" s="28">
        <v>1</v>
      </c>
      <c r="I356" s="24"/>
      <c r="J356" s="24"/>
      <c r="K356" s="24" t="s">
        <v>52</v>
      </c>
      <c r="L356" s="24" t="s">
        <v>53</v>
      </c>
      <c r="M356" s="24" t="s">
        <v>71</v>
      </c>
      <c r="N356" s="24" t="s">
        <v>72</v>
      </c>
      <c r="O356" s="24" t="s">
        <v>56</v>
      </c>
      <c r="P356" s="24" t="s">
        <v>74</v>
      </c>
      <c r="Q356" s="24" t="s">
        <v>89</v>
      </c>
      <c r="R356" s="24" t="s">
        <v>59</v>
      </c>
      <c r="S356" s="24" t="s">
        <v>123</v>
      </c>
      <c r="T356" s="24" t="s">
        <v>61</v>
      </c>
      <c r="U356" s="24" t="s">
        <v>62</v>
      </c>
      <c r="V356" s="24" t="s">
        <v>77</v>
      </c>
      <c r="W356" s="24" t="s">
        <v>116</v>
      </c>
      <c r="X356" s="24" t="s">
        <v>180</v>
      </c>
      <c r="Y356" s="24" t="s">
        <v>344</v>
      </c>
      <c r="Z356" s="24" t="s">
        <v>64</v>
      </c>
      <c r="AA356" s="24" t="s">
        <v>49</v>
      </c>
      <c r="AB356" s="24" t="s">
        <v>56</v>
      </c>
      <c r="AC356" s="24" t="s">
        <v>1287</v>
      </c>
    </row>
    <row r="357" spans="1:29">
      <c r="A357" s="30" t="s">
        <v>957</v>
      </c>
      <c r="B357" s="30" t="str">
        <f>IF(ISNUMBER(SEARCH(E357,A357)),A357,IF(OR(E357="",E357=""),A357,A357&amp;" - "&amp;E357))</f>
        <v>Cannamedical Sativa forte NM - Gelato</v>
      </c>
      <c r="C357" s="30" t="s">
        <v>48</v>
      </c>
      <c r="D357" s="30" t="s">
        <v>49</v>
      </c>
      <c r="E357" s="30" t="s">
        <v>273</v>
      </c>
      <c r="F357" s="30" t="s">
        <v>51</v>
      </c>
      <c r="G357" s="34">
        <v>22</v>
      </c>
      <c r="H357" s="35">
        <v>1</v>
      </c>
      <c r="I357" s="30"/>
      <c r="J357" s="30"/>
      <c r="K357" s="30" t="s">
        <v>52</v>
      </c>
      <c r="L357" s="30" t="s">
        <v>145</v>
      </c>
      <c r="M357" s="30" t="s">
        <v>156</v>
      </c>
      <c r="N357" s="30" t="s">
        <v>54</v>
      </c>
      <c r="O357" s="30" t="s">
        <v>111</v>
      </c>
      <c r="P357" s="30" t="s">
        <v>112</v>
      </c>
      <c r="Q357" s="30" t="s">
        <v>57</v>
      </c>
      <c r="R357" s="30" t="s">
        <v>89</v>
      </c>
      <c r="S357" s="30" t="s">
        <v>90</v>
      </c>
      <c r="T357" s="30" t="s">
        <v>123</v>
      </c>
      <c r="U357" s="30" t="s">
        <v>106</v>
      </c>
      <c r="V357" s="30" t="s">
        <v>257</v>
      </c>
      <c r="W357" s="30" t="s">
        <v>252</v>
      </c>
      <c r="X357" s="30" t="s">
        <v>77</v>
      </c>
      <c r="Y357" s="30" t="s">
        <v>1288</v>
      </c>
      <c r="Z357" s="30" t="s">
        <v>64</v>
      </c>
      <c r="AA357" s="30" t="s">
        <v>49</v>
      </c>
      <c r="AB357" s="30" t="s">
        <v>298</v>
      </c>
      <c r="AC357" s="36" t="s">
        <v>1289</v>
      </c>
    </row>
    <row r="358" spans="1:29">
      <c r="A358" s="24" t="s">
        <v>1290</v>
      </c>
      <c r="B358" s="24" t="str">
        <f>IF(ISNUMBER(SEARCH(E358,A358)),A358,IF(OR(E358="",E358=""),A358,A358&amp;" - "&amp;E358))</f>
        <v>Cannamedical Sativa Ultra NM - Polar Cookies</v>
      </c>
      <c r="C358" s="24" t="s">
        <v>48</v>
      </c>
      <c r="D358" s="24" t="s">
        <v>49</v>
      </c>
      <c r="E358" s="24" t="s">
        <v>1291</v>
      </c>
      <c r="F358" s="24" t="s">
        <v>144</v>
      </c>
      <c r="G358" s="27">
        <v>30</v>
      </c>
      <c r="H358" s="28">
        <v>1</v>
      </c>
      <c r="I358" s="24"/>
      <c r="J358" s="24"/>
      <c r="K358" s="24" t="s">
        <v>52</v>
      </c>
      <c r="L358" s="24" t="s">
        <v>145</v>
      </c>
      <c r="M358" s="24" t="s">
        <v>54</v>
      </c>
      <c r="N358" s="24" t="s">
        <v>111</v>
      </c>
      <c r="O358" s="24" t="s">
        <v>88</v>
      </c>
      <c r="P358" s="24" t="s">
        <v>73</v>
      </c>
      <c r="Q358" s="24" t="s">
        <v>74</v>
      </c>
      <c r="R358" s="24" t="s">
        <v>75</v>
      </c>
      <c r="S358" s="24" t="s">
        <v>123</v>
      </c>
      <c r="T358" s="24" t="s">
        <v>91</v>
      </c>
      <c r="U358" s="24" t="s">
        <v>61</v>
      </c>
      <c r="V358" s="24" t="s">
        <v>77</v>
      </c>
      <c r="W358" s="24" t="s">
        <v>116</v>
      </c>
      <c r="X358" s="24" t="s">
        <v>197</v>
      </c>
      <c r="Y358" s="24" t="s">
        <v>1292</v>
      </c>
      <c r="Z358" s="24" t="s">
        <v>64</v>
      </c>
      <c r="AA358" s="24" t="s">
        <v>49</v>
      </c>
      <c r="AB358" s="24" t="s">
        <v>298</v>
      </c>
      <c r="AC358" s="24" t="s">
        <v>1293</v>
      </c>
    </row>
    <row r="359" spans="1:29">
      <c r="A359" s="30" t="s">
        <v>1294</v>
      </c>
      <c r="B359" s="30" t="str">
        <f>IF(ISNUMBER(SEARCH(E359,A359)),A359,IF(OR(E359="",E359=""),A359,A359&amp;" - "&amp;E359))</f>
        <v>Canopy Bakerstreet 22/1 - Hindu Kush</v>
      </c>
      <c r="C359" s="30" t="s">
        <v>547</v>
      </c>
      <c r="D359" s="30" t="s">
        <v>548</v>
      </c>
      <c r="E359" s="30" t="s">
        <v>456</v>
      </c>
      <c r="F359" s="30" t="s">
        <v>51</v>
      </c>
      <c r="G359" s="34">
        <v>22</v>
      </c>
      <c r="H359" s="35">
        <v>1</v>
      </c>
      <c r="I359" s="30"/>
      <c r="J359" s="30"/>
      <c r="K359" s="30" t="s">
        <v>17</v>
      </c>
      <c r="L359" s="30" t="s">
        <v>53</v>
      </c>
      <c r="M359" s="30" t="s">
        <v>103</v>
      </c>
      <c r="N359" s="30" t="s">
        <v>121</v>
      </c>
      <c r="O359" s="30" t="s">
        <v>72</v>
      </c>
      <c r="P359" s="30" t="s">
        <v>74</v>
      </c>
      <c r="Q359" s="30" t="s">
        <v>113</v>
      </c>
      <c r="R359" s="30" t="s">
        <v>59</v>
      </c>
      <c r="S359" s="30" t="s">
        <v>90</v>
      </c>
      <c r="T359" s="30" t="s">
        <v>105</v>
      </c>
      <c r="U359" s="30" t="s">
        <v>147</v>
      </c>
      <c r="V359" s="30" t="s">
        <v>77</v>
      </c>
      <c r="W359" s="30" t="s">
        <v>395</v>
      </c>
      <c r="X359" s="30" t="s">
        <v>107</v>
      </c>
      <c r="Y359" s="30" t="s">
        <v>130</v>
      </c>
      <c r="Z359" s="30" t="s">
        <v>64</v>
      </c>
      <c r="AA359" s="30" t="s">
        <v>551</v>
      </c>
      <c r="AB359" s="30" t="s">
        <v>56</v>
      </c>
      <c r="AC359" s="30" t="s">
        <v>1295</v>
      </c>
    </row>
    <row r="360" spans="1:29">
      <c r="A360" s="24" t="s">
        <v>1296</v>
      </c>
      <c r="B360" s="24" t="str">
        <f>IF(ISNUMBER(SEARCH(E360,A360)),A360,IF(OR(E360="",E360=""),A360,A360&amp;" - "&amp;E360))</f>
        <v>Canopy Krypton 23/1</v>
      </c>
      <c r="C360" s="24" t="s">
        <v>547</v>
      </c>
      <c r="D360" s="24" t="s">
        <v>548</v>
      </c>
      <c r="E360" s="24" t="s">
        <v>1297</v>
      </c>
      <c r="F360" s="24" t="s">
        <v>120</v>
      </c>
      <c r="G360" s="27">
        <v>21</v>
      </c>
      <c r="H360" s="28">
        <v>1</v>
      </c>
      <c r="I360" s="24"/>
      <c r="J360" s="24"/>
      <c r="K360" s="24" t="s">
        <v>17</v>
      </c>
      <c r="L360" s="24" t="s">
        <v>53</v>
      </c>
      <c r="M360" s="24" t="s">
        <v>111</v>
      </c>
      <c r="N360" s="24" t="s">
        <v>88</v>
      </c>
      <c r="O360" s="24" t="s">
        <v>178</v>
      </c>
      <c r="P360" s="24" t="s">
        <v>73</v>
      </c>
      <c r="Q360" s="24" t="s">
        <v>136</v>
      </c>
      <c r="R360" s="24" t="s">
        <v>74</v>
      </c>
      <c r="S360" s="24" t="s">
        <v>123</v>
      </c>
      <c r="T360" s="24" t="s">
        <v>106</v>
      </c>
      <c r="U360" s="24" t="s">
        <v>62</v>
      </c>
      <c r="V360" s="24" t="s">
        <v>77</v>
      </c>
      <c r="W360" s="24" t="s">
        <v>165</v>
      </c>
      <c r="X360" s="24" t="s">
        <v>79</v>
      </c>
      <c r="Y360" s="24" t="s">
        <v>240</v>
      </c>
      <c r="Z360" s="24" t="s">
        <v>64</v>
      </c>
      <c r="AA360" s="24" t="s">
        <v>551</v>
      </c>
      <c r="AB360" s="24" t="s">
        <v>56</v>
      </c>
      <c r="AC360" s="24" t="s">
        <v>1298</v>
      </c>
    </row>
    <row r="361" spans="1:29">
      <c r="A361" s="30" t="s">
        <v>1299</v>
      </c>
      <c r="B361" s="30" t="str">
        <f>IF(ISNUMBER(SEARCH(E361,A361)),A361,IF(OR(E361="",E361=""),A361,A361&amp;" - "&amp;E361))</f>
        <v>Canopy OGD 25/1 - OG Deluxe</v>
      </c>
      <c r="C361" s="30" t="s">
        <v>547</v>
      </c>
      <c r="D361" s="30" t="s">
        <v>548</v>
      </c>
      <c r="E361" s="30" t="s">
        <v>1300</v>
      </c>
      <c r="F361" s="30" t="s">
        <v>86</v>
      </c>
      <c r="G361" s="34">
        <v>25</v>
      </c>
      <c r="H361" s="35">
        <v>1</v>
      </c>
      <c r="I361" s="30"/>
      <c r="J361" s="30"/>
      <c r="K361" s="30" t="s">
        <v>17</v>
      </c>
      <c r="L361" s="30" t="s">
        <v>53</v>
      </c>
      <c r="M361" s="30" t="s">
        <v>88</v>
      </c>
      <c r="N361" s="30" t="s">
        <v>71</v>
      </c>
      <c r="O361" s="30" t="s">
        <v>72</v>
      </c>
      <c r="P361" s="30" t="s">
        <v>74</v>
      </c>
      <c r="Q361" s="30" t="s">
        <v>58</v>
      </c>
      <c r="R361" s="30" t="s">
        <v>59</v>
      </c>
      <c r="S361" s="30" t="s">
        <v>90</v>
      </c>
      <c r="T361" s="30" t="s">
        <v>62</v>
      </c>
      <c r="U361" s="30" t="s">
        <v>56</v>
      </c>
      <c r="V361" s="30" t="s">
        <v>77</v>
      </c>
      <c r="W361" s="30" t="s">
        <v>116</v>
      </c>
      <c r="X361" s="30" t="s">
        <v>107</v>
      </c>
      <c r="Y361" s="30" t="s">
        <v>427</v>
      </c>
      <c r="Z361" s="30" t="s">
        <v>64</v>
      </c>
      <c r="AA361" s="30" t="s">
        <v>551</v>
      </c>
      <c r="AB361" s="30" t="s">
        <v>56</v>
      </c>
      <c r="AC361" s="30" t="s">
        <v>1301</v>
      </c>
    </row>
    <row r="362" spans="1:29">
      <c r="A362" s="24" t="s">
        <v>1302</v>
      </c>
      <c r="B362" s="24" t="str">
        <f>IF(ISNUMBER(SEARCH(E362,A362)),A362,IF(OR(E362="",E362=""),A362,A362&amp;" - "&amp;E362))</f>
        <v>Canopy TCK 27/1 - Tiger Cake</v>
      </c>
      <c r="C362" s="24" t="s">
        <v>547</v>
      </c>
      <c r="D362" s="24" t="s">
        <v>548</v>
      </c>
      <c r="E362" s="24" t="s">
        <v>1303</v>
      </c>
      <c r="F362" s="24" t="s">
        <v>86</v>
      </c>
      <c r="G362" s="27">
        <v>27</v>
      </c>
      <c r="H362" s="28">
        <v>1</v>
      </c>
      <c r="I362" s="24"/>
      <c r="J362" s="24"/>
      <c r="K362" s="24" t="s">
        <v>17</v>
      </c>
      <c r="L362" s="24" t="s">
        <v>53</v>
      </c>
      <c r="M362" s="24" t="s">
        <v>88</v>
      </c>
      <c r="N362" s="24" t="s">
        <v>71</v>
      </c>
      <c r="O362" s="24" t="s">
        <v>103</v>
      </c>
      <c r="P362" s="24" t="s">
        <v>73</v>
      </c>
      <c r="Q362" s="24" t="s">
        <v>57</v>
      </c>
      <c r="R362" s="24" t="s">
        <v>56</v>
      </c>
      <c r="S362" s="24" t="s">
        <v>105</v>
      </c>
      <c r="T362" s="24" t="s">
        <v>106</v>
      </c>
      <c r="U362" s="24" t="s">
        <v>62</v>
      </c>
      <c r="V362" s="24" t="s">
        <v>77</v>
      </c>
      <c r="W362" s="24" t="s">
        <v>116</v>
      </c>
      <c r="X362" s="24" t="s">
        <v>107</v>
      </c>
      <c r="Y362" s="24" t="s">
        <v>311</v>
      </c>
      <c r="Z362" s="24" t="s">
        <v>64</v>
      </c>
      <c r="AA362" s="24" t="s">
        <v>551</v>
      </c>
      <c r="AB362" s="24" t="s">
        <v>56</v>
      </c>
      <c r="AC362" s="24" t="s">
        <v>1304</v>
      </c>
    </row>
    <row r="363" spans="1:29">
      <c r="A363" s="30" t="s">
        <v>1305</v>
      </c>
      <c r="B363" s="30" t="str">
        <f>IF(ISNUMBER(SEARCH(E363,A363)),A363,IF(OR(E363="",E363=""),A363,A363&amp;" - "&amp;E363))</f>
        <v>Ceres No. 2 25/1 - Slurricane Mint</v>
      </c>
      <c r="C363" s="30" t="s">
        <v>564</v>
      </c>
      <c r="D363" s="30" t="s">
        <v>565</v>
      </c>
      <c r="E363" s="30" t="s">
        <v>1306</v>
      </c>
      <c r="F363" s="30" t="s">
        <v>86</v>
      </c>
      <c r="G363" s="34">
        <v>23</v>
      </c>
      <c r="H363" s="35">
        <v>1</v>
      </c>
      <c r="I363" s="30"/>
      <c r="J363" s="30"/>
      <c r="K363" s="30" t="s">
        <v>52</v>
      </c>
      <c r="L363" s="30" t="s">
        <v>53</v>
      </c>
      <c r="M363" s="30" t="s">
        <v>88</v>
      </c>
      <c r="N363" s="30" t="s">
        <v>71</v>
      </c>
      <c r="O363" s="30" t="s">
        <v>103</v>
      </c>
      <c r="P363" s="30" t="s">
        <v>1100</v>
      </c>
      <c r="Q363" s="30" t="s">
        <v>146</v>
      </c>
      <c r="R363" s="30" t="s">
        <v>112</v>
      </c>
      <c r="S363" s="30" t="s">
        <v>106</v>
      </c>
      <c r="T363" s="30" t="s">
        <v>76</v>
      </c>
      <c r="U363" s="30" t="s">
        <v>62</v>
      </c>
      <c r="V363" s="30" t="s">
        <v>77</v>
      </c>
      <c r="W363" s="30" t="s">
        <v>116</v>
      </c>
      <c r="X363" s="30" t="s">
        <v>79</v>
      </c>
      <c r="Y363" s="30" t="s">
        <v>1094</v>
      </c>
      <c r="Z363" s="30" t="s">
        <v>64</v>
      </c>
      <c r="AA363" s="30" t="s">
        <v>565</v>
      </c>
      <c r="AB363" s="30" t="s">
        <v>1307</v>
      </c>
      <c r="AC363" s="30" t="s">
        <v>1308</v>
      </c>
    </row>
    <row r="364" spans="1:29">
      <c r="A364" s="24" t="s">
        <v>1309</v>
      </c>
      <c r="B364" s="24" t="str">
        <f>IF(ISNUMBER(SEARCH(E364,A364)),A364,IF(OR(E364="",E364=""),A364,A364&amp;" - "&amp;E364))</f>
        <v>Ceres No. 3 - Space Dust</v>
      </c>
      <c r="C364" s="24" t="s">
        <v>564</v>
      </c>
      <c r="D364" s="24" t="s">
        <v>565</v>
      </c>
      <c r="E364" s="24" t="s">
        <v>1310</v>
      </c>
      <c r="F364" s="24" t="s">
        <v>177</v>
      </c>
      <c r="G364" s="27">
        <v>26</v>
      </c>
      <c r="H364" s="28">
        <v>1</v>
      </c>
      <c r="I364" s="24"/>
      <c r="J364" s="24"/>
      <c r="K364" s="24" t="s">
        <v>52</v>
      </c>
      <c r="L364" s="24" t="s">
        <v>53</v>
      </c>
      <c r="M364" s="24" t="s">
        <v>88</v>
      </c>
      <c r="N364" s="24" t="s">
        <v>72</v>
      </c>
      <c r="O364" s="24" t="s">
        <v>56</v>
      </c>
      <c r="P364" s="24" t="s">
        <v>591</v>
      </c>
      <c r="Q364" s="24" t="s">
        <v>58</v>
      </c>
      <c r="R364" s="24" t="s">
        <v>59</v>
      </c>
      <c r="S364" s="24" t="s">
        <v>147</v>
      </c>
      <c r="T364" s="24" t="s">
        <v>106</v>
      </c>
      <c r="U364" s="24" t="s">
        <v>91</v>
      </c>
      <c r="V364" s="24" t="s">
        <v>77</v>
      </c>
      <c r="W364" s="24" t="s">
        <v>116</v>
      </c>
      <c r="X364" s="24" t="s">
        <v>56</v>
      </c>
      <c r="Y364" s="24" t="s">
        <v>1311</v>
      </c>
      <c r="Z364" s="24" t="s">
        <v>64</v>
      </c>
      <c r="AA364" s="24" t="s">
        <v>565</v>
      </c>
      <c r="AB364" s="24" t="s">
        <v>1307</v>
      </c>
      <c r="AC364" s="24" t="s">
        <v>1312</v>
      </c>
    </row>
    <row r="365" spans="1:29">
      <c r="A365" s="30" t="s">
        <v>1313</v>
      </c>
      <c r="B365" s="30" t="str">
        <f>IF(ISNUMBER(SEARCH(E365,A365)),A365,IF(OR(E365="",E365=""),A365,A365&amp;" - "&amp;E365))</f>
        <v>Ceres No. 4 - Top 5</v>
      </c>
      <c r="C365" s="30" t="s">
        <v>564</v>
      </c>
      <c r="D365" s="30" t="s">
        <v>565</v>
      </c>
      <c r="E365" s="30" t="s">
        <v>1314</v>
      </c>
      <c r="F365" s="30" t="s">
        <v>86</v>
      </c>
      <c r="G365" s="34">
        <v>24</v>
      </c>
      <c r="H365" s="35">
        <v>1</v>
      </c>
      <c r="I365" s="30"/>
      <c r="J365" s="30"/>
      <c r="K365" s="30" t="s">
        <v>52</v>
      </c>
      <c r="L365" s="30" t="s">
        <v>53</v>
      </c>
      <c r="M365" s="30" t="s">
        <v>88</v>
      </c>
      <c r="N365" s="30" t="s">
        <v>71</v>
      </c>
      <c r="O365" s="30" t="s">
        <v>55</v>
      </c>
      <c r="P365" s="30" t="s">
        <v>75</v>
      </c>
      <c r="Q365" s="30" t="s">
        <v>89</v>
      </c>
      <c r="R365" s="30" t="s">
        <v>58</v>
      </c>
      <c r="S365" s="30" t="s">
        <v>90</v>
      </c>
      <c r="T365" s="30" t="s">
        <v>192</v>
      </c>
      <c r="U365" s="30" t="s">
        <v>105</v>
      </c>
      <c r="V365" s="30" t="s">
        <v>77</v>
      </c>
      <c r="W365" s="30" t="s">
        <v>79</v>
      </c>
      <c r="X365" s="30" t="s">
        <v>173</v>
      </c>
      <c r="Y365" s="30" t="s">
        <v>311</v>
      </c>
      <c r="Z365" s="30" t="s">
        <v>64</v>
      </c>
      <c r="AA365" s="30" t="s">
        <v>565</v>
      </c>
      <c r="AB365" s="30" t="s">
        <v>1307</v>
      </c>
      <c r="AC365" s="36" t="s">
        <v>1315</v>
      </c>
    </row>
    <row r="366" spans="1:29">
      <c r="A366" s="24" t="s">
        <v>1316</v>
      </c>
      <c r="B366" s="24" t="str">
        <f>IF(ISNUMBER(SEARCH(E366,A366)),A366,IF(OR(E366="",E366=""),A366,A366&amp;" - "&amp;E366))</f>
        <v>Drapalin 26/1 Oreoz</v>
      </c>
      <c r="C366" s="24" t="s">
        <v>668</v>
      </c>
      <c r="D366" s="24" t="s">
        <v>669</v>
      </c>
      <c r="E366" s="24" t="s">
        <v>603</v>
      </c>
      <c r="F366" s="24" t="s">
        <v>86</v>
      </c>
      <c r="G366" s="27">
        <v>26</v>
      </c>
      <c r="H366" s="28">
        <v>1</v>
      </c>
      <c r="I366" s="24"/>
      <c r="J366" s="24"/>
      <c r="K366" s="24" t="s">
        <v>52</v>
      </c>
      <c r="L366" s="24" t="s">
        <v>965</v>
      </c>
      <c r="M366" s="24" t="s">
        <v>88</v>
      </c>
      <c r="N366" s="24" t="s">
        <v>71</v>
      </c>
      <c r="O366" s="24" t="s">
        <v>103</v>
      </c>
      <c r="P366" s="24" t="s">
        <v>604</v>
      </c>
      <c r="Q366" s="24" t="s">
        <v>591</v>
      </c>
      <c r="R366" s="24" t="s">
        <v>73</v>
      </c>
      <c r="S366" s="24" t="s">
        <v>147</v>
      </c>
      <c r="T366" s="24" t="s">
        <v>106</v>
      </c>
      <c r="U366" s="24" t="s">
        <v>62</v>
      </c>
      <c r="V366" s="24" t="s">
        <v>77</v>
      </c>
      <c r="W366" s="24" t="s">
        <v>116</v>
      </c>
      <c r="X366" s="24" t="s">
        <v>79</v>
      </c>
      <c r="Y366" s="24" t="s">
        <v>833</v>
      </c>
      <c r="Z366" s="24" t="s">
        <v>64</v>
      </c>
      <c r="AA366" s="24" t="s">
        <v>671</v>
      </c>
      <c r="AB366" s="24" t="s">
        <v>56</v>
      </c>
      <c r="AC366" s="24" t="s">
        <v>1317</v>
      </c>
    </row>
    <row r="367" spans="1:29">
      <c r="A367" s="30" t="s">
        <v>1318</v>
      </c>
      <c r="B367" s="30" t="str">
        <f>IF(ISNUMBER(SEARCH(E367,A367)),A367,IF(OR(E367="",E367=""),A367,A367&amp;" - "&amp;E367))</f>
        <v>Green Karat SD PT - Supreme Diesel</v>
      </c>
      <c r="C367" s="30" t="s">
        <v>564</v>
      </c>
      <c r="D367" s="30" t="s">
        <v>565</v>
      </c>
      <c r="E367" s="30" t="s">
        <v>1319</v>
      </c>
      <c r="F367" s="30" t="s">
        <v>86</v>
      </c>
      <c r="G367" s="34">
        <v>28</v>
      </c>
      <c r="H367" s="35">
        <v>1</v>
      </c>
      <c r="I367" s="30"/>
      <c r="J367" s="30"/>
      <c r="K367" s="30" t="s">
        <v>52</v>
      </c>
      <c r="L367" s="30" t="s">
        <v>102</v>
      </c>
      <c r="M367" s="30" t="s">
        <v>54</v>
      </c>
      <c r="N367" s="30" t="s">
        <v>88</v>
      </c>
      <c r="O367" s="30" t="s">
        <v>55</v>
      </c>
      <c r="P367" s="30" t="s">
        <v>73</v>
      </c>
      <c r="Q367" s="30" t="s">
        <v>146</v>
      </c>
      <c r="R367" s="30" t="s">
        <v>74</v>
      </c>
      <c r="S367" s="30" t="s">
        <v>90</v>
      </c>
      <c r="T367" s="30" t="s">
        <v>192</v>
      </c>
      <c r="U367" s="30" t="s">
        <v>106</v>
      </c>
      <c r="V367" s="30" t="s">
        <v>77</v>
      </c>
      <c r="W367" s="30" t="s">
        <v>292</v>
      </c>
      <c r="X367" s="30" t="s">
        <v>79</v>
      </c>
      <c r="Y367" s="30" t="s">
        <v>1320</v>
      </c>
      <c r="Z367" s="30" t="s">
        <v>64</v>
      </c>
      <c r="AA367" s="30" t="s">
        <v>565</v>
      </c>
      <c r="AB367" s="30" t="s">
        <v>56</v>
      </c>
      <c r="AC367" s="30" t="s">
        <v>1321</v>
      </c>
    </row>
    <row r="368" spans="1:29">
      <c r="A368" s="24" t="s">
        <v>1322</v>
      </c>
      <c r="B368" s="24" t="str">
        <f>IF(ISNUMBER(SEARCH(E368,A368)),A368,IF(OR(E368="",E368=""),A368,A368&amp;" - "&amp;E368))</f>
        <v>GROW 27 DC - Dosi Cookies</v>
      </c>
      <c r="C368" s="24" t="s">
        <v>1323</v>
      </c>
      <c r="D368" s="24" t="s">
        <v>1324</v>
      </c>
      <c r="E368" s="24" t="s">
        <v>1325</v>
      </c>
      <c r="F368" s="24" t="s">
        <v>177</v>
      </c>
      <c r="G368" s="27">
        <v>27</v>
      </c>
      <c r="H368" s="28">
        <v>1</v>
      </c>
      <c r="I368" s="24"/>
      <c r="J368" s="24"/>
      <c r="K368" s="24" t="s">
        <v>52</v>
      </c>
      <c r="L368" s="24" t="s">
        <v>53</v>
      </c>
      <c r="M368" s="24" t="s">
        <v>88</v>
      </c>
      <c r="N368" s="24" t="s">
        <v>71</v>
      </c>
      <c r="O368" s="24" t="s">
        <v>103</v>
      </c>
      <c r="P368" s="24" t="s">
        <v>146</v>
      </c>
      <c r="Q368" s="24" t="s">
        <v>89</v>
      </c>
      <c r="R368" s="24" t="s">
        <v>58</v>
      </c>
      <c r="S368" s="24" t="s">
        <v>61</v>
      </c>
      <c r="T368" s="24" t="s">
        <v>62</v>
      </c>
      <c r="U368" s="24" t="s">
        <v>179</v>
      </c>
      <c r="V368" s="24" t="s">
        <v>77</v>
      </c>
      <c r="W368" s="24" t="s">
        <v>116</v>
      </c>
      <c r="X368" s="24" t="s">
        <v>79</v>
      </c>
      <c r="Y368" s="24" t="s">
        <v>278</v>
      </c>
      <c r="Z368" s="24" t="s">
        <v>64</v>
      </c>
      <c r="AA368" s="24" t="s">
        <v>1326</v>
      </c>
      <c r="AB368" s="24" t="s">
        <v>56</v>
      </c>
      <c r="AC368" s="24" t="s">
        <v>1327</v>
      </c>
    </row>
    <row r="369" spans="1:29">
      <c r="A369" s="30" t="s">
        <v>1328</v>
      </c>
      <c r="B369" s="30" t="str">
        <f>IF(ISNUMBER(SEARCH(E369,A369)),A369,IF(OR(E369="",E369=""),A369,A369&amp;" - "&amp;E369))</f>
        <v>GROW 27 PL - Pink Lilac</v>
      </c>
      <c r="C369" s="30" t="s">
        <v>1323</v>
      </c>
      <c r="D369" s="30" t="s">
        <v>1324</v>
      </c>
      <c r="E369" s="30" t="s">
        <v>1329</v>
      </c>
      <c r="F369" s="30" t="s">
        <v>144</v>
      </c>
      <c r="G369" s="34">
        <v>26</v>
      </c>
      <c r="H369" s="35">
        <v>1</v>
      </c>
      <c r="I369" s="30"/>
      <c r="J369" s="30"/>
      <c r="K369" s="30" t="s">
        <v>52</v>
      </c>
      <c r="L369" s="30" t="s">
        <v>53</v>
      </c>
      <c r="M369" s="30" t="s">
        <v>54</v>
      </c>
      <c r="N369" s="30" t="s">
        <v>111</v>
      </c>
      <c r="O369" s="30" t="s">
        <v>88</v>
      </c>
      <c r="P369" s="30" t="s">
        <v>58</v>
      </c>
      <c r="Q369" s="30" t="s">
        <v>59</v>
      </c>
      <c r="R369" s="30" t="s">
        <v>56</v>
      </c>
      <c r="S369" s="30" t="s">
        <v>187</v>
      </c>
      <c r="T369" s="30" t="s">
        <v>147</v>
      </c>
      <c r="U369" s="30" t="s">
        <v>106</v>
      </c>
      <c r="V369" s="30" t="s">
        <v>77</v>
      </c>
      <c r="W369" s="30" t="s">
        <v>292</v>
      </c>
      <c r="X369" s="30" t="s">
        <v>79</v>
      </c>
      <c r="Y369" s="30" t="s">
        <v>523</v>
      </c>
      <c r="Z369" s="30" t="s">
        <v>64</v>
      </c>
      <c r="AA369" s="30" t="s">
        <v>1326</v>
      </c>
      <c r="AB369" s="30" t="s">
        <v>56</v>
      </c>
      <c r="AC369" s="30" t="s">
        <v>1330</v>
      </c>
    </row>
    <row r="370" spans="1:29">
      <c r="A370" s="24" t="s">
        <v>1331</v>
      </c>
      <c r="B370" s="24" t="str">
        <f>IF(ISNUMBER(SEARCH(E370,A370)),A370,IF(OR(E370="",E370=""),A370,A370&amp;" - "&amp;E370))</f>
        <v>GROW 30 - Gelato Sherbert</v>
      </c>
      <c r="C370" s="24" t="s">
        <v>1323</v>
      </c>
      <c r="D370" s="24" t="s">
        <v>1324</v>
      </c>
      <c r="E370" s="24" t="s">
        <v>1332</v>
      </c>
      <c r="F370" s="24" t="s">
        <v>177</v>
      </c>
      <c r="G370" s="27">
        <v>27</v>
      </c>
      <c r="H370" s="28">
        <v>1</v>
      </c>
      <c r="I370" s="24"/>
      <c r="J370" s="24"/>
      <c r="K370" s="24" t="s">
        <v>52</v>
      </c>
      <c r="L370" s="24" t="s">
        <v>53</v>
      </c>
      <c r="M370" s="24" t="s">
        <v>54</v>
      </c>
      <c r="N370" s="24" t="s">
        <v>111</v>
      </c>
      <c r="O370" s="24" t="s">
        <v>103</v>
      </c>
      <c r="P370" s="24" t="s">
        <v>112</v>
      </c>
      <c r="Q370" s="24" t="s">
        <v>146</v>
      </c>
      <c r="R370" s="24" t="s">
        <v>89</v>
      </c>
      <c r="S370" s="24" t="s">
        <v>106</v>
      </c>
      <c r="T370" s="24" t="s">
        <v>493</v>
      </c>
      <c r="U370" s="24" t="s">
        <v>62</v>
      </c>
      <c r="V370" s="24" t="s">
        <v>77</v>
      </c>
      <c r="W370" s="24" t="s">
        <v>395</v>
      </c>
      <c r="X370" s="24" t="s">
        <v>79</v>
      </c>
      <c r="Y370" s="24" t="s">
        <v>1333</v>
      </c>
      <c r="Z370" s="24" t="s">
        <v>64</v>
      </c>
      <c r="AA370" s="24" t="s">
        <v>1326</v>
      </c>
      <c r="AB370" s="24" t="s">
        <v>56</v>
      </c>
      <c r="AC370" s="24" t="s">
        <v>1334</v>
      </c>
    </row>
    <row r="371" spans="1:29">
      <c r="A371" s="30" t="s">
        <v>1335</v>
      </c>
      <c r="B371" s="30" t="str">
        <f>IF(ISNUMBER(SEARCH(E371,A371)),A371,IF(OR(E371="",E371=""),A371,A371&amp;" - "&amp;E371))</f>
        <v>IMC CBD12 C01 - God Bud</v>
      </c>
      <c r="C371" s="30" t="s">
        <v>646</v>
      </c>
      <c r="D371" s="30" t="s">
        <v>646</v>
      </c>
      <c r="E371" s="30" t="s">
        <v>1336</v>
      </c>
      <c r="F371" s="30" t="s">
        <v>86</v>
      </c>
      <c r="G371" s="34">
        <v>1</v>
      </c>
      <c r="H371" s="35">
        <v>12</v>
      </c>
      <c r="I371" s="30"/>
      <c r="J371" s="30"/>
      <c r="K371" s="30" t="s">
        <v>17</v>
      </c>
      <c r="L371" s="30" t="s">
        <v>423</v>
      </c>
      <c r="M371" s="30" t="s">
        <v>103</v>
      </c>
      <c r="N371" s="30" t="s">
        <v>121</v>
      </c>
      <c r="O371" s="30" t="s">
        <v>72</v>
      </c>
      <c r="P371" s="30" t="s">
        <v>104</v>
      </c>
      <c r="Q371" s="30" t="s">
        <v>59</v>
      </c>
      <c r="R371" s="30" t="s">
        <v>56</v>
      </c>
      <c r="S371" s="30" t="s">
        <v>647</v>
      </c>
      <c r="T371" s="30" t="s">
        <v>147</v>
      </c>
      <c r="U371" s="30" t="s">
        <v>106</v>
      </c>
      <c r="V371" s="30" t="s">
        <v>77</v>
      </c>
      <c r="W371" s="30" t="s">
        <v>129</v>
      </c>
      <c r="X371" s="30" t="s">
        <v>107</v>
      </c>
      <c r="Y371" s="30" t="s">
        <v>213</v>
      </c>
      <c r="Z371" s="30" t="s">
        <v>64</v>
      </c>
      <c r="AA371" s="30" t="s">
        <v>646</v>
      </c>
      <c r="AB371" s="30" t="s">
        <v>56</v>
      </c>
      <c r="AC371" s="30" t="s">
        <v>1337</v>
      </c>
    </row>
    <row r="372" spans="1:29">
      <c r="A372" s="24" t="s">
        <v>1338</v>
      </c>
      <c r="B372" s="24" t="str">
        <f>IF(ISNUMBER(SEARCH(E372,A372)),A372,IF(OR(E372="",E372=""),A372,A372&amp;" - "&amp;E372))</f>
        <v>IMC Balanced 7/8 B01 - Blue Dream</v>
      </c>
      <c r="C372" s="24" t="s">
        <v>646</v>
      </c>
      <c r="D372" s="24" t="s">
        <v>646</v>
      </c>
      <c r="E372" s="24" t="s">
        <v>1339</v>
      </c>
      <c r="F372" s="24" t="s">
        <v>144</v>
      </c>
      <c r="G372" s="27">
        <v>7</v>
      </c>
      <c r="H372" s="28">
        <v>8</v>
      </c>
      <c r="I372" s="24"/>
      <c r="J372" s="24"/>
      <c r="K372" s="24" t="s">
        <v>17</v>
      </c>
      <c r="L372" s="24" t="s">
        <v>423</v>
      </c>
      <c r="M372" s="24" t="s">
        <v>54</v>
      </c>
      <c r="N372" s="24" t="s">
        <v>111</v>
      </c>
      <c r="O372" s="24" t="s">
        <v>103</v>
      </c>
      <c r="P372" s="24" t="s">
        <v>89</v>
      </c>
      <c r="Q372" s="24" t="s">
        <v>58</v>
      </c>
      <c r="R372" s="24" t="s">
        <v>56</v>
      </c>
      <c r="S372" s="24" t="s">
        <v>106</v>
      </c>
      <c r="T372" s="24" t="s">
        <v>76</v>
      </c>
      <c r="U372" s="24" t="s">
        <v>128</v>
      </c>
      <c r="V372" s="24" t="s">
        <v>208</v>
      </c>
      <c r="W372" s="24" t="s">
        <v>292</v>
      </c>
      <c r="X372" s="24" t="s">
        <v>79</v>
      </c>
      <c r="Y372" s="24" t="s">
        <v>1036</v>
      </c>
      <c r="Z372" s="24" t="s">
        <v>64</v>
      </c>
      <c r="AA372" s="24" t="s">
        <v>646</v>
      </c>
      <c r="AB372" s="24" t="s">
        <v>56</v>
      </c>
      <c r="AC372" s="24" t="s">
        <v>1340</v>
      </c>
    </row>
    <row r="373" spans="1:29">
      <c r="A373" s="30" t="s">
        <v>1341</v>
      </c>
      <c r="B373" s="30" t="str">
        <f>IF(ISNUMBER(SEARCH(E373,A373)),A373,IF(OR(E373="",E373=""),A373,A373&amp;" - "&amp;E373))</f>
        <v>IMC THC17 T01 HK - Hindu Kush</v>
      </c>
      <c r="C373" s="30" t="s">
        <v>646</v>
      </c>
      <c r="D373" s="30" t="s">
        <v>646</v>
      </c>
      <c r="E373" s="30" t="s">
        <v>456</v>
      </c>
      <c r="F373" s="30" t="s">
        <v>120</v>
      </c>
      <c r="G373" s="34">
        <v>17</v>
      </c>
      <c r="H373" s="35">
        <v>1</v>
      </c>
      <c r="I373" s="30"/>
      <c r="J373" s="30"/>
      <c r="K373" s="30" t="s">
        <v>17</v>
      </c>
      <c r="L373" s="30" t="s">
        <v>423</v>
      </c>
      <c r="M373" s="30" t="s">
        <v>103</v>
      </c>
      <c r="N373" s="30" t="s">
        <v>121</v>
      </c>
      <c r="O373" s="30" t="s">
        <v>72</v>
      </c>
      <c r="P373" s="30" t="s">
        <v>74</v>
      </c>
      <c r="Q373" s="30" t="s">
        <v>113</v>
      </c>
      <c r="R373" s="30" t="s">
        <v>59</v>
      </c>
      <c r="S373" s="30" t="s">
        <v>647</v>
      </c>
      <c r="T373" s="30" t="s">
        <v>90</v>
      </c>
      <c r="U373" s="30" t="s">
        <v>147</v>
      </c>
      <c r="V373" s="30" t="s">
        <v>77</v>
      </c>
      <c r="W373" s="30" t="s">
        <v>395</v>
      </c>
      <c r="X373" s="30" t="s">
        <v>107</v>
      </c>
      <c r="Y373" s="30" t="s">
        <v>1342</v>
      </c>
      <c r="Z373" s="30" t="s">
        <v>64</v>
      </c>
      <c r="AA373" s="30" t="s">
        <v>646</v>
      </c>
      <c r="AB373" s="30" t="s">
        <v>56</v>
      </c>
      <c r="AC373" s="30" t="s">
        <v>1343</v>
      </c>
    </row>
    <row r="374" spans="1:29">
      <c r="A374" s="24" t="s">
        <v>1344</v>
      </c>
      <c r="B374" s="24" t="str">
        <f>IF(ISNUMBER(SEARCH(E374,A374)),A374,IF(OR(E374="",E374=""),A374,A374&amp;" - "&amp;E374))</f>
        <v>IMC THC22 T02 - OG Kush</v>
      </c>
      <c r="C374" s="24" t="s">
        <v>646</v>
      </c>
      <c r="D374" s="24" t="s">
        <v>646</v>
      </c>
      <c r="E374" s="24" t="s">
        <v>337</v>
      </c>
      <c r="F374" s="24" t="s">
        <v>120</v>
      </c>
      <c r="G374" s="27">
        <v>22</v>
      </c>
      <c r="H374" s="28">
        <v>1</v>
      </c>
      <c r="I374" s="24"/>
      <c r="J374" s="24"/>
      <c r="K374" s="24" t="s">
        <v>17</v>
      </c>
      <c r="L374" s="24" t="s">
        <v>423</v>
      </c>
      <c r="M374" s="24" t="s">
        <v>88</v>
      </c>
      <c r="N374" s="24" t="s">
        <v>103</v>
      </c>
      <c r="O374" s="24" t="s">
        <v>178</v>
      </c>
      <c r="P374" s="24" t="s">
        <v>146</v>
      </c>
      <c r="Q374" s="24" t="s">
        <v>74</v>
      </c>
      <c r="R374" s="24" t="s">
        <v>75</v>
      </c>
      <c r="S374" s="24" t="s">
        <v>76</v>
      </c>
      <c r="T374" s="24" t="s">
        <v>128</v>
      </c>
      <c r="U374" s="24" t="s">
        <v>179</v>
      </c>
      <c r="V374" s="24" t="s">
        <v>257</v>
      </c>
      <c r="W374" s="24" t="s">
        <v>77</v>
      </c>
      <c r="X374" s="24" t="s">
        <v>225</v>
      </c>
      <c r="Y374" s="24" t="s">
        <v>908</v>
      </c>
      <c r="Z374" s="24" t="s">
        <v>64</v>
      </c>
      <c r="AA374" s="24" t="s">
        <v>646</v>
      </c>
      <c r="AB374" s="24" t="s">
        <v>56</v>
      </c>
      <c r="AC374" s="24" t="s">
        <v>1345</v>
      </c>
    </row>
    <row r="375" spans="1:29">
      <c r="A375" s="30" t="s">
        <v>1346</v>
      </c>
      <c r="B375" s="30" t="str">
        <f>IF(ISNUMBER(SEARCH(E375,A375)),A375,IF(OR(E375="",E375=""),A375,A375&amp;" - "&amp;E375))</f>
        <v>IMC THC22 T05 - Somango Skunk</v>
      </c>
      <c r="C375" s="30" t="s">
        <v>646</v>
      </c>
      <c r="D375" s="30" t="s">
        <v>646</v>
      </c>
      <c r="E375" s="30" t="s">
        <v>1347</v>
      </c>
      <c r="F375" s="30" t="s">
        <v>86</v>
      </c>
      <c r="G375" s="34">
        <v>22</v>
      </c>
      <c r="H375" s="35">
        <v>1</v>
      </c>
      <c r="I375" s="30"/>
      <c r="J375" s="30"/>
      <c r="K375" s="30" t="s">
        <v>17</v>
      </c>
      <c r="L375" s="30" t="s">
        <v>423</v>
      </c>
      <c r="M375" s="30" t="s">
        <v>111</v>
      </c>
      <c r="N375" s="30" t="s">
        <v>71</v>
      </c>
      <c r="O375" s="30" t="s">
        <v>121</v>
      </c>
      <c r="P375" s="30" t="s">
        <v>136</v>
      </c>
      <c r="Q375" s="30" t="s">
        <v>89</v>
      </c>
      <c r="R375" s="30" t="s">
        <v>56</v>
      </c>
      <c r="S375" s="30" t="s">
        <v>106</v>
      </c>
      <c r="T375" s="30" t="s">
        <v>91</v>
      </c>
      <c r="U375" s="30" t="s">
        <v>62</v>
      </c>
      <c r="V375" s="30" t="s">
        <v>77</v>
      </c>
      <c r="W375" s="30" t="s">
        <v>116</v>
      </c>
      <c r="X375" s="30" t="s">
        <v>107</v>
      </c>
      <c r="Y375" s="30" t="s">
        <v>437</v>
      </c>
      <c r="Z375" s="30" t="s">
        <v>64</v>
      </c>
      <c r="AA375" s="30" t="s">
        <v>646</v>
      </c>
      <c r="AB375" s="30" t="s">
        <v>56</v>
      </c>
      <c r="AC375" s="30" t="s">
        <v>1348</v>
      </c>
    </row>
    <row r="376" spans="1:29">
      <c r="A376" s="24" t="s">
        <v>1349</v>
      </c>
      <c r="B376" s="24" t="str">
        <f>IF(ISNUMBER(SEARCH(E376,A376)),A376,IF(OR(E376="",E376=""),A376,A376&amp;" - "&amp;E376))</f>
        <v>IMC THC22 T06 - Black Russian</v>
      </c>
      <c r="C376" s="24" t="s">
        <v>646</v>
      </c>
      <c r="D376" s="24" t="s">
        <v>646</v>
      </c>
      <c r="E376" s="24" t="s">
        <v>1350</v>
      </c>
      <c r="F376" s="24" t="s">
        <v>120</v>
      </c>
      <c r="G376" s="27">
        <v>22</v>
      </c>
      <c r="H376" s="28">
        <v>1</v>
      </c>
      <c r="I376" s="24"/>
      <c r="J376" s="24"/>
      <c r="K376" s="24" t="s">
        <v>17</v>
      </c>
      <c r="L376" s="24" t="s">
        <v>423</v>
      </c>
      <c r="M376" s="24" t="s">
        <v>121</v>
      </c>
      <c r="N376" s="24" t="s">
        <v>72</v>
      </c>
      <c r="O376" s="24" t="s">
        <v>56</v>
      </c>
      <c r="P376" s="24" t="s">
        <v>74</v>
      </c>
      <c r="Q376" s="24" t="s">
        <v>89</v>
      </c>
      <c r="R376" s="24" t="s">
        <v>58</v>
      </c>
      <c r="S376" s="24" t="s">
        <v>90</v>
      </c>
      <c r="T376" s="24" t="s">
        <v>147</v>
      </c>
      <c r="U376" s="24" t="s">
        <v>62</v>
      </c>
      <c r="V376" s="24" t="s">
        <v>77</v>
      </c>
      <c r="W376" s="24" t="s">
        <v>116</v>
      </c>
      <c r="X376" s="24" t="s">
        <v>107</v>
      </c>
      <c r="Y376" s="24" t="s">
        <v>1036</v>
      </c>
      <c r="Z376" s="24" t="s">
        <v>64</v>
      </c>
      <c r="AA376" s="24" t="s">
        <v>646</v>
      </c>
      <c r="AB376" s="24" t="s">
        <v>56</v>
      </c>
      <c r="AC376" s="24" t="s">
        <v>1351</v>
      </c>
    </row>
    <row r="377" spans="1:29">
      <c r="A377" s="30" t="s">
        <v>1352</v>
      </c>
      <c r="B377" s="30" t="str">
        <f>IF(ISNUMBER(SEARCH(E377,A377)),A377,IF(OR(E377="",E377=""),A377,A377&amp;" - "&amp;E377))</f>
        <v>IMC THC25 T04 - Strawberry OG</v>
      </c>
      <c r="C377" s="30" t="s">
        <v>646</v>
      </c>
      <c r="D377" s="30" t="s">
        <v>646</v>
      </c>
      <c r="E377" s="30" t="s">
        <v>1353</v>
      </c>
      <c r="F377" s="30" t="s">
        <v>120</v>
      </c>
      <c r="G377" s="34">
        <v>25</v>
      </c>
      <c r="H377" s="35">
        <v>1</v>
      </c>
      <c r="I377" s="30"/>
      <c r="J377" s="30"/>
      <c r="K377" s="30" t="s">
        <v>17</v>
      </c>
      <c r="L377" s="30" t="s">
        <v>423</v>
      </c>
      <c r="M377" s="30" t="s">
        <v>88</v>
      </c>
      <c r="N377" s="30" t="s">
        <v>71</v>
      </c>
      <c r="O377" s="30" t="s">
        <v>103</v>
      </c>
      <c r="P377" s="30" t="s">
        <v>89</v>
      </c>
      <c r="Q377" s="30" t="s">
        <v>58</v>
      </c>
      <c r="R377" s="30" t="s">
        <v>56</v>
      </c>
      <c r="S377" s="30" t="s">
        <v>60</v>
      </c>
      <c r="T377" s="30" t="s">
        <v>76</v>
      </c>
      <c r="U377" s="30" t="s">
        <v>164</v>
      </c>
      <c r="V377" s="30" t="s">
        <v>77</v>
      </c>
      <c r="W377" s="30" t="s">
        <v>116</v>
      </c>
      <c r="X377" s="30" t="s">
        <v>180</v>
      </c>
      <c r="Y377" s="30" t="s">
        <v>1354</v>
      </c>
      <c r="Z377" s="30" t="s">
        <v>64</v>
      </c>
      <c r="AA377" s="30" t="s">
        <v>646</v>
      </c>
      <c r="AB377" s="30" t="s">
        <v>56</v>
      </c>
      <c r="AC377" s="30" t="s">
        <v>1355</v>
      </c>
    </row>
    <row r="378" spans="1:29">
      <c r="A378" s="24" t="s">
        <v>1356</v>
      </c>
      <c r="B378" s="24" t="str">
        <f>IF(ISNUMBER(SEARCH(E378,A378)),A378,IF(OR(E378="",E378=""),A378,A378&amp;" - "&amp;E378))</f>
        <v>IMC THC22 T01 - Hindu Kush</v>
      </c>
      <c r="C378" s="24" t="s">
        <v>646</v>
      </c>
      <c r="D378" s="24" t="s">
        <v>646</v>
      </c>
      <c r="E378" s="24" t="s">
        <v>456</v>
      </c>
      <c r="F378" s="24" t="s">
        <v>120</v>
      </c>
      <c r="G378" s="27">
        <v>22</v>
      </c>
      <c r="H378" s="28">
        <v>1</v>
      </c>
      <c r="I378" s="24"/>
      <c r="J378" s="24"/>
      <c r="K378" s="24" t="s">
        <v>17</v>
      </c>
      <c r="L378" s="24" t="s">
        <v>423</v>
      </c>
      <c r="M378" s="24" t="s">
        <v>103</v>
      </c>
      <c r="N378" s="24" t="s">
        <v>121</v>
      </c>
      <c r="O378" s="24" t="s">
        <v>72</v>
      </c>
      <c r="P378" s="24" t="s">
        <v>74</v>
      </c>
      <c r="Q378" s="24" t="s">
        <v>113</v>
      </c>
      <c r="R378" s="24" t="s">
        <v>59</v>
      </c>
      <c r="S378" s="24" t="s">
        <v>90</v>
      </c>
      <c r="T378" s="24" t="s">
        <v>60</v>
      </c>
      <c r="U378" s="24" t="s">
        <v>114</v>
      </c>
      <c r="V378" s="24" t="s">
        <v>77</v>
      </c>
      <c r="W378" s="24" t="s">
        <v>395</v>
      </c>
      <c r="X378" s="24" t="s">
        <v>107</v>
      </c>
      <c r="Y378" s="24" t="s">
        <v>1357</v>
      </c>
      <c r="Z378" s="24" t="s">
        <v>64</v>
      </c>
      <c r="AA378" s="24" t="s">
        <v>646</v>
      </c>
      <c r="AB378" s="24" t="s">
        <v>56</v>
      </c>
      <c r="AC378" s="24" t="s">
        <v>1358</v>
      </c>
    </row>
    <row r="379" spans="1:29">
      <c r="A379" s="30" t="s">
        <v>1359</v>
      </c>
      <c r="B379" s="30" t="str">
        <f>IF(ISNUMBER(SEARCH(E379,A379)),A379,IF(OR(E379="",E379=""),A379,A379&amp;" - "&amp;E379))</f>
        <v>IMC OOG THC 25 Outdoor - OG Kush</v>
      </c>
      <c r="C379" s="30" t="s">
        <v>646</v>
      </c>
      <c r="D379" s="30" t="s">
        <v>646</v>
      </c>
      <c r="E379" s="30" t="s">
        <v>337</v>
      </c>
      <c r="F379" s="30" t="s">
        <v>120</v>
      </c>
      <c r="G379" s="34">
        <v>25</v>
      </c>
      <c r="H379" s="35">
        <v>1</v>
      </c>
      <c r="I379" s="30"/>
      <c r="J379" s="30"/>
      <c r="K379" s="30" t="s">
        <v>17</v>
      </c>
      <c r="L379" s="30" t="s">
        <v>423</v>
      </c>
      <c r="M379" s="30" t="s">
        <v>88</v>
      </c>
      <c r="N379" s="30" t="s">
        <v>103</v>
      </c>
      <c r="O379" s="30" t="s">
        <v>178</v>
      </c>
      <c r="P379" s="30" t="s">
        <v>146</v>
      </c>
      <c r="Q379" s="30" t="s">
        <v>74</v>
      </c>
      <c r="R379" s="30" t="s">
        <v>75</v>
      </c>
      <c r="S379" s="30" t="s">
        <v>76</v>
      </c>
      <c r="T379" s="30" t="s">
        <v>128</v>
      </c>
      <c r="U379" s="30" t="s">
        <v>179</v>
      </c>
      <c r="V379" s="30" t="s">
        <v>257</v>
      </c>
      <c r="W379" s="30" t="s">
        <v>77</v>
      </c>
      <c r="X379" s="30" t="s">
        <v>225</v>
      </c>
      <c r="Y379" s="30" t="s">
        <v>307</v>
      </c>
      <c r="Z379" s="30" t="s">
        <v>64</v>
      </c>
      <c r="AA379" s="30" t="s">
        <v>646</v>
      </c>
      <c r="AB379" s="30" t="s">
        <v>56</v>
      </c>
      <c r="AC379" s="30" t="s">
        <v>1360</v>
      </c>
    </row>
    <row r="380" spans="1:29">
      <c r="A380" s="24" t="s">
        <v>1361</v>
      </c>
      <c r="B380" s="24" t="str">
        <f>IF(ISNUMBER(SEARCH(E380,A380)),A380,IF(OR(E380="",E380=""),A380,A380&amp;" - "&amp;E380))</f>
        <v>IMC THC25 T03 GG4 - Gorilla Glue</v>
      </c>
      <c r="C380" s="24" t="s">
        <v>646</v>
      </c>
      <c r="D380" s="24" t="s">
        <v>646</v>
      </c>
      <c r="E380" s="24" t="s">
        <v>363</v>
      </c>
      <c r="F380" s="24" t="s">
        <v>120</v>
      </c>
      <c r="G380" s="27">
        <v>25</v>
      </c>
      <c r="H380" s="28">
        <v>1</v>
      </c>
      <c r="I380" s="24"/>
      <c r="J380" s="24"/>
      <c r="K380" s="24" t="s">
        <v>52</v>
      </c>
      <c r="L380" s="24" t="s">
        <v>53</v>
      </c>
      <c r="M380" s="24" t="s">
        <v>103</v>
      </c>
      <c r="N380" s="24" t="s">
        <v>121</v>
      </c>
      <c r="O380" s="24" t="s">
        <v>72</v>
      </c>
      <c r="P380" s="24" t="s">
        <v>146</v>
      </c>
      <c r="Q380" s="24" t="s">
        <v>74</v>
      </c>
      <c r="R380" s="24" t="s">
        <v>59</v>
      </c>
      <c r="S380" s="24" t="s">
        <v>60</v>
      </c>
      <c r="T380" s="24" t="s">
        <v>123</v>
      </c>
      <c r="U380" s="24" t="s">
        <v>106</v>
      </c>
      <c r="V380" s="24" t="s">
        <v>257</v>
      </c>
      <c r="W380" s="24" t="s">
        <v>252</v>
      </c>
      <c r="X380" s="24" t="s">
        <v>77</v>
      </c>
      <c r="Y380" s="24" t="s">
        <v>1132</v>
      </c>
      <c r="Z380" s="24" t="s">
        <v>64</v>
      </c>
      <c r="AA380" s="24" t="s">
        <v>646</v>
      </c>
      <c r="AB380" s="24" t="s">
        <v>56</v>
      </c>
      <c r="AC380" s="24" t="s">
        <v>1362</v>
      </c>
    </row>
    <row r="381" spans="1:29">
      <c r="A381" s="30" t="s">
        <v>1363</v>
      </c>
      <c r="B381" s="30" t="str">
        <f>IF(ISNUMBER(SEARCH(E381,A381)),A381,IF(OR(E381="",E381=""),A381,A381&amp;" - "&amp;E381))</f>
        <v>LOT 420 AB - Apples &amp; Bananas</v>
      </c>
      <c r="C381" s="30" t="s">
        <v>564</v>
      </c>
      <c r="D381" s="30" t="s">
        <v>565</v>
      </c>
      <c r="E381" s="30" t="s">
        <v>1120</v>
      </c>
      <c r="F381" s="30" t="s">
        <v>120</v>
      </c>
      <c r="G381" s="34">
        <v>27</v>
      </c>
      <c r="H381" s="35">
        <v>1</v>
      </c>
      <c r="I381" s="30"/>
      <c r="J381" s="30"/>
      <c r="K381" s="30" t="s">
        <v>52</v>
      </c>
      <c r="L381" s="30" t="s">
        <v>53</v>
      </c>
      <c r="M381" s="30" t="s">
        <v>54</v>
      </c>
      <c r="N381" s="30" t="s">
        <v>71</v>
      </c>
      <c r="O381" s="30" t="s">
        <v>55</v>
      </c>
      <c r="P381" s="30" t="s">
        <v>58</v>
      </c>
      <c r="Q381" s="30" t="s">
        <v>56</v>
      </c>
      <c r="R381" s="30" t="s">
        <v>56</v>
      </c>
      <c r="S381" s="30" t="s">
        <v>192</v>
      </c>
      <c r="T381" s="30" t="s">
        <v>105</v>
      </c>
      <c r="U381" s="30" t="s">
        <v>147</v>
      </c>
      <c r="V381" s="30" t="s">
        <v>92</v>
      </c>
      <c r="W381" s="30" t="s">
        <v>77</v>
      </c>
      <c r="X381" s="30" t="s">
        <v>129</v>
      </c>
      <c r="Y381" s="30" t="s">
        <v>204</v>
      </c>
      <c r="Z381" s="30" t="s">
        <v>64</v>
      </c>
      <c r="AA381" s="30" t="s">
        <v>565</v>
      </c>
      <c r="AB381" s="30" t="s">
        <v>658</v>
      </c>
      <c r="AC381" s="30" t="s">
        <v>1364</v>
      </c>
    </row>
    <row r="382" spans="1:29">
      <c r="A382" s="24" t="s">
        <v>1365</v>
      </c>
      <c r="B382" s="24" t="str">
        <f>IF(ISNUMBER(SEARCH(E382,A382)),A382,IF(OR(E382="",E382=""),A382,A382&amp;" - "&amp;E382))</f>
        <v>LOT 420 MLND PT - Melonade</v>
      </c>
      <c r="C382" s="24" t="s">
        <v>564</v>
      </c>
      <c r="D382" s="24" t="s">
        <v>565</v>
      </c>
      <c r="E382" s="24" t="s">
        <v>1366</v>
      </c>
      <c r="F382" s="24" t="s">
        <v>144</v>
      </c>
      <c r="G382" s="27">
        <v>21</v>
      </c>
      <c r="H382" s="28">
        <v>1</v>
      </c>
      <c r="I382" s="24"/>
      <c r="J382" s="24"/>
      <c r="K382" s="24" t="s">
        <v>52</v>
      </c>
      <c r="L382" s="24" t="s">
        <v>53</v>
      </c>
      <c r="M382" s="24" t="s">
        <v>54</v>
      </c>
      <c r="N382" s="24" t="s">
        <v>111</v>
      </c>
      <c r="O382" s="24" t="s">
        <v>88</v>
      </c>
      <c r="P382" s="24" t="s">
        <v>74</v>
      </c>
      <c r="Q382" s="24" t="s">
        <v>75</v>
      </c>
      <c r="R382" s="24" t="s">
        <v>89</v>
      </c>
      <c r="S382" s="24" t="s">
        <v>147</v>
      </c>
      <c r="T382" s="24" t="s">
        <v>493</v>
      </c>
      <c r="U382" s="24" t="s">
        <v>62</v>
      </c>
      <c r="V382" s="24" t="s">
        <v>77</v>
      </c>
      <c r="W382" s="24" t="s">
        <v>79</v>
      </c>
      <c r="X382" s="24" t="s">
        <v>56</v>
      </c>
      <c r="Y382" s="24" t="s">
        <v>978</v>
      </c>
      <c r="Z382" s="24" t="s">
        <v>64</v>
      </c>
      <c r="AA382" s="24" t="s">
        <v>565</v>
      </c>
      <c r="AB382" s="24" t="s">
        <v>658</v>
      </c>
      <c r="AC382" s="24" t="s">
        <v>1367</v>
      </c>
    </row>
    <row r="383" spans="1:29">
      <c r="A383" s="30" t="s">
        <v>1368</v>
      </c>
      <c r="B383" s="30" t="str">
        <f>IF(ISNUMBER(SEARCH(E383,A383)),A383,IF(OR(E383="",E383=""),A383,A383&amp;" - "&amp;E383))</f>
        <v>MAC 4+ - Detroit Runtz</v>
      </c>
      <c r="C383" s="30" t="s">
        <v>564</v>
      </c>
      <c r="D383" s="30" t="s">
        <v>565</v>
      </c>
      <c r="E383" s="30" t="s">
        <v>1369</v>
      </c>
      <c r="F383" s="30" t="s">
        <v>86</v>
      </c>
      <c r="G383" s="34">
        <v>21</v>
      </c>
      <c r="H383" s="35">
        <v>1</v>
      </c>
      <c r="I383" s="30"/>
      <c r="J383" s="30"/>
      <c r="K383" s="30" t="s">
        <v>52</v>
      </c>
      <c r="L383" s="30" t="s">
        <v>53</v>
      </c>
      <c r="M383" s="30" t="s">
        <v>54</v>
      </c>
      <c r="N383" s="30" t="s">
        <v>111</v>
      </c>
      <c r="O383" s="30" t="s">
        <v>88</v>
      </c>
      <c r="P383" s="30" t="s">
        <v>57</v>
      </c>
      <c r="Q383" s="30" t="s">
        <v>75</v>
      </c>
      <c r="R383" s="30" t="s">
        <v>89</v>
      </c>
      <c r="S383" s="30" t="s">
        <v>123</v>
      </c>
      <c r="T383" s="30" t="s">
        <v>61</v>
      </c>
      <c r="U383" s="30" t="s">
        <v>62</v>
      </c>
      <c r="V383" s="30" t="s">
        <v>138</v>
      </c>
      <c r="W383" s="30" t="s">
        <v>79</v>
      </c>
      <c r="X383" s="30" t="s">
        <v>107</v>
      </c>
      <c r="Y383" s="30" t="s">
        <v>335</v>
      </c>
      <c r="Z383" s="30" t="s">
        <v>64</v>
      </c>
      <c r="AA383" s="30" t="s">
        <v>565</v>
      </c>
      <c r="AB383" s="30" t="s">
        <v>56</v>
      </c>
      <c r="AC383" s="30" t="s">
        <v>1370</v>
      </c>
    </row>
    <row r="384" spans="1:29">
      <c r="A384" s="24" t="s">
        <v>1371</v>
      </c>
      <c r="B384" s="24" t="str">
        <f>IF(ISNUMBER(SEARCH(E384,A384)),A384,IF(OR(E384="",E384=""),A384,A384&amp;" - "&amp;E384))</f>
        <v>MCCN No. 8 - OG Kush</v>
      </c>
      <c r="C384" s="24" t="s">
        <v>564</v>
      </c>
      <c r="D384" s="24" t="s">
        <v>565</v>
      </c>
      <c r="E384" s="24" t="s">
        <v>337</v>
      </c>
      <c r="F384" s="24" t="s">
        <v>177</v>
      </c>
      <c r="G384" s="27">
        <v>23</v>
      </c>
      <c r="H384" s="28">
        <v>1</v>
      </c>
      <c r="I384" s="24"/>
      <c r="J384" s="24"/>
      <c r="K384" s="24" t="s">
        <v>52</v>
      </c>
      <c r="L384" s="24" t="s">
        <v>202</v>
      </c>
      <c r="M384" s="24" t="s">
        <v>88</v>
      </c>
      <c r="N384" s="24" t="s">
        <v>103</v>
      </c>
      <c r="O384" s="24" t="s">
        <v>178</v>
      </c>
      <c r="P384" s="24" t="s">
        <v>146</v>
      </c>
      <c r="Q384" s="24" t="s">
        <v>74</v>
      </c>
      <c r="R384" s="24" t="s">
        <v>75</v>
      </c>
      <c r="S384" s="24" t="s">
        <v>192</v>
      </c>
      <c r="T384" s="24" t="s">
        <v>147</v>
      </c>
      <c r="U384" s="24" t="s">
        <v>106</v>
      </c>
      <c r="V384" s="24" t="s">
        <v>257</v>
      </c>
      <c r="W384" s="24" t="s">
        <v>77</v>
      </c>
      <c r="X384" s="24" t="s">
        <v>225</v>
      </c>
      <c r="Y384" s="24" t="s">
        <v>1372</v>
      </c>
      <c r="Z384" s="24" t="s">
        <v>64</v>
      </c>
      <c r="AA384" s="24" t="s">
        <v>565</v>
      </c>
      <c r="AB384" s="24" t="s">
        <v>56</v>
      </c>
      <c r="AC384" s="24" t="s">
        <v>1373</v>
      </c>
    </row>
    <row r="385" spans="1:29">
      <c r="A385" s="30" t="s">
        <v>1374</v>
      </c>
      <c r="B385" s="30" t="str">
        <f>IF(ISNUMBER(SEARCH(E385,A385)),A385,IF(OR(E385="",E385=""),A385,A385&amp;" - "&amp;E385))</f>
        <v>Mediprocan 27/1 Mustique - Think Fast</v>
      </c>
      <c r="C385" s="30" t="s">
        <v>317</v>
      </c>
      <c r="D385" s="30" t="s">
        <v>318</v>
      </c>
      <c r="E385" s="30" t="s">
        <v>1211</v>
      </c>
      <c r="F385" s="30" t="s">
        <v>51</v>
      </c>
      <c r="G385" s="34">
        <v>27</v>
      </c>
      <c r="H385" s="35">
        <v>1</v>
      </c>
      <c r="I385" s="30"/>
      <c r="J385" s="30"/>
      <c r="K385" s="30" t="s">
        <v>52</v>
      </c>
      <c r="L385" s="30"/>
      <c r="M385" s="30" t="s">
        <v>54</v>
      </c>
      <c r="N385" s="30" t="s">
        <v>111</v>
      </c>
      <c r="O385" s="30" t="s">
        <v>88</v>
      </c>
      <c r="P385" s="30" t="s">
        <v>157</v>
      </c>
      <c r="Q385" s="30" t="s">
        <v>146</v>
      </c>
      <c r="R385" s="30" t="s">
        <v>74</v>
      </c>
      <c r="S385" s="30" t="s">
        <v>56</v>
      </c>
      <c r="T385" s="30" t="s">
        <v>56</v>
      </c>
      <c r="U385" s="30" t="s">
        <v>56</v>
      </c>
      <c r="V385" s="30" t="s">
        <v>77</v>
      </c>
      <c r="W385" s="30" t="s">
        <v>116</v>
      </c>
      <c r="X385" s="30" t="s">
        <v>107</v>
      </c>
      <c r="Y385" s="30" t="s">
        <v>307</v>
      </c>
      <c r="Z385" s="30" t="s">
        <v>64</v>
      </c>
      <c r="AA385" s="30" t="s">
        <v>320</v>
      </c>
      <c r="AB385" s="30" t="s">
        <v>56</v>
      </c>
      <c r="AC385" s="30" t="s">
        <v>1375</v>
      </c>
    </row>
    <row r="386" spans="1:29">
      <c r="A386" s="24" t="s">
        <v>1376</v>
      </c>
      <c r="B386" s="24" t="str">
        <f>IF(ISNUMBER(SEARCH(E386,A386)),A386,IF(OR(E386="",E386=""),A386,A386&amp;" - "&amp;E386))</f>
        <v>MV RBP - Rainbow Pie</v>
      </c>
      <c r="C386" s="24" t="s">
        <v>564</v>
      </c>
      <c r="D386" s="24" t="s">
        <v>565</v>
      </c>
      <c r="E386" s="24" t="s">
        <v>1377</v>
      </c>
      <c r="F386" s="24" t="s">
        <v>86</v>
      </c>
      <c r="G386" s="27">
        <v>27</v>
      </c>
      <c r="H386" s="28">
        <v>1</v>
      </c>
      <c r="I386" s="24"/>
      <c r="J386" s="24"/>
      <c r="K386" s="24" t="s">
        <v>52</v>
      </c>
      <c r="L386" s="24" t="s">
        <v>53</v>
      </c>
      <c r="M386" s="24" t="s">
        <v>54</v>
      </c>
      <c r="N386" s="24" t="s">
        <v>88</v>
      </c>
      <c r="O386" s="24" t="s">
        <v>178</v>
      </c>
      <c r="P386" s="24" t="s">
        <v>74</v>
      </c>
      <c r="Q386" s="24" t="s">
        <v>75</v>
      </c>
      <c r="R386" s="24" t="s">
        <v>89</v>
      </c>
      <c r="S386" s="24" t="s">
        <v>123</v>
      </c>
      <c r="T386" s="24" t="s">
        <v>61</v>
      </c>
      <c r="U386" s="24" t="s">
        <v>62</v>
      </c>
      <c r="V386" s="24" t="s">
        <v>77</v>
      </c>
      <c r="W386" s="24" t="s">
        <v>79</v>
      </c>
      <c r="X386" s="24" t="s">
        <v>107</v>
      </c>
      <c r="Y386" s="24" t="s">
        <v>987</v>
      </c>
      <c r="Z386" s="24" t="s">
        <v>64</v>
      </c>
      <c r="AA386" s="24" t="s">
        <v>565</v>
      </c>
      <c r="AB386" s="24" t="s">
        <v>663</v>
      </c>
      <c r="AC386" s="24" t="s">
        <v>1378</v>
      </c>
    </row>
    <row r="387" spans="1:29">
      <c r="A387" s="30" t="s">
        <v>1379</v>
      </c>
      <c r="B387" s="30" t="str">
        <f>IF(ISNUMBER(SEARCH(E387,A387)),A387,IF(OR(E387="",E387=""),A387,A387&amp;" - "&amp;E387))</f>
        <v>Oceanic BL 25/1 - Black Lavender</v>
      </c>
      <c r="C387" s="30" t="s">
        <v>564</v>
      </c>
      <c r="D387" s="30" t="s">
        <v>565</v>
      </c>
      <c r="E387" s="30" t="s">
        <v>1380</v>
      </c>
      <c r="F387" s="30" t="s">
        <v>177</v>
      </c>
      <c r="G387" s="34">
        <v>23</v>
      </c>
      <c r="H387" s="35">
        <v>1</v>
      </c>
      <c r="I387" s="30"/>
      <c r="J387" s="30"/>
      <c r="K387" s="30" t="s">
        <v>52</v>
      </c>
      <c r="L387" s="30" t="s">
        <v>53</v>
      </c>
      <c r="M387" s="30" t="s">
        <v>103</v>
      </c>
      <c r="N387" s="30" t="s">
        <v>55</v>
      </c>
      <c r="O387" s="30" t="s">
        <v>72</v>
      </c>
      <c r="P387" s="30" t="s">
        <v>73</v>
      </c>
      <c r="Q387" s="30" t="s">
        <v>74</v>
      </c>
      <c r="R387" s="30" t="s">
        <v>75</v>
      </c>
      <c r="S387" s="30" t="s">
        <v>106</v>
      </c>
      <c r="T387" s="30" t="s">
        <v>76</v>
      </c>
      <c r="U387" s="30" t="s">
        <v>62</v>
      </c>
      <c r="V387" s="30" t="s">
        <v>77</v>
      </c>
      <c r="W387" s="30" t="s">
        <v>79</v>
      </c>
      <c r="X387" s="30" t="s">
        <v>107</v>
      </c>
      <c r="Y387" s="30" t="s">
        <v>1333</v>
      </c>
      <c r="Z387" s="30" t="s">
        <v>64</v>
      </c>
      <c r="AA387" s="30" t="s">
        <v>565</v>
      </c>
      <c r="AB387" s="30" t="s">
        <v>56</v>
      </c>
      <c r="AC387" s="30" t="s">
        <v>1381</v>
      </c>
    </row>
    <row r="388" spans="1:29">
      <c r="A388" s="24" t="s">
        <v>1382</v>
      </c>
      <c r="B388" s="24" t="str">
        <f>IF(ISNUMBER(SEARCH(E388,A388)),A388,IF(OR(E388="",E388=""),A388,A388&amp;" - "&amp;E388))</f>
        <v>Cannabis Flos OHT CKZ 1 - RNTZ</v>
      </c>
      <c r="C388" s="24" t="s">
        <v>564</v>
      </c>
      <c r="D388" s="24" t="s">
        <v>565</v>
      </c>
      <c r="E388" s="24" t="s">
        <v>1383</v>
      </c>
      <c r="F388" s="24" t="s">
        <v>86</v>
      </c>
      <c r="G388" s="27">
        <v>23</v>
      </c>
      <c r="H388" s="28">
        <v>1</v>
      </c>
      <c r="I388" s="24"/>
      <c r="J388" s="24"/>
      <c r="K388" s="24" t="s">
        <v>52</v>
      </c>
      <c r="L388" s="24" t="s">
        <v>53</v>
      </c>
      <c r="M388" s="24" t="s">
        <v>88</v>
      </c>
      <c r="N388" s="24" t="s">
        <v>103</v>
      </c>
      <c r="O388" s="24" t="s">
        <v>55</v>
      </c>
      <c r="P388" s="24" t="s">
        <v>146</v>
      </c>
      <c r="Q388" s="24" t="s">
        <v>74</v>
      </c>
      <c r="R388" s="24" t="s">
        <v>89</v>
      </c>
      <c r="S388" s="24" t="s">
        <v>105</v>
      </c>
      <c r="T388" s="24" t="s">
        <v>493</v>
      </c>
      <c r="U388" s="24" t="s">
        <v>61</v>
      </c>
      <c r="V388" s="24" t="s">
        <v>77</v>
      </c>
      <c r="W388" s="24" t="s">
        <v>93</v>
      </c>
      <c r="X388" s="24" t="s">
        <v>173</v>
      </c>
      <c r="Y388" s="24" t="s">
        <v>240</v>
      </c>
      <c r="Z388" s="24" t="s">
        <v>64</v>
      </c>
      <c r="AA388" s="24" t="s">
        <v>565</v>
      </c>
      <c r="AB388" s="24" t="s">
        <v>1384</v>
      </c>
      <c r="AC388" s="24" t="s">
        <v>1385</v>
      </c>
    </row>
    <row r="389" spans="1:29">
      <c r="A389" s="30" t="s">
        <v>1386</v>
      </c>
      <c r="B389" s="30" t="str">
        <f>IF(ISNUMBER(SEARCH(E389,A389)),A389,IF(OR(E389="",E389=""),A389,A389&amp;" - "&amp;E389))</f>
        <v>Ostara DT - Dirty Taxi</v>
      </c>
      <c r="C389" s="30" t="s">
        <v>564</v>
      </c>
      <c r="D389" s="30" t="s">
        <v>565</v>
      </c>
      <c r="E389" s="30" t="s">
        <v>1387</v>
      </c>
      <c r="F389" s="30" t="s">
        <v>144</v>
      </c>
      <c r="G389" s="34">
        <v>27</v>
      </c>
      <c r="H389" s="35">
        <v>1</v>
      </c>
      <c r="I389" s="30"/>
      <c r="J389" s="30"/>
      <c r="K389" s="30" t="s">
        <v>52</v>
      </c>
      <c r="L389" s="30" t="s">
        <v>53</v>
      </c>
      <c r="M389" s="30" t="s">
        <v>111</v>
      </c>
      <c r="N389" s="30" t="s">
        <v>88</v>
      </c>
      <c r="O389" s="30" t="s">
        <v>71</v>
      </c>
      <c r="P389" s="30" t="s">
        <v>73</v>
      </c>
      <c r="Q389" s="30" t="s">
        <v>157</v>
      </c>
      <c r="R389" s="30" t="s">
        <v>74</v>
      </c>
      <c r="S389" s="30" t="s">
        <v>1388</v>
      </c>
      <c r="T389" s="30" t="s">
        <v>147</v>
      </c>
      <c r="U389" s="30" t="s">
        <v>106</v>
      </c>
      <c r="V389" s="30" t="s">
        <v>77</v>
      </c>
      <c r="W389" s="30" t="s">
        <v>116</v>
      </c>
      <c r="X389" s="30" t="s">
        <v>79</v>
      </c>
      <c r="Y389" s="30" t="s">
        <v>870</v>
      </c>
      <c r="Z389" s="30" t="s">
        <v>64</v>
      </c>
      <c r="AA389" s="30" t="s">
        <v>565</v>
      </c>
      <c r="AB389" s="30" t="s">
        <v>1389</v>
      </c>
      <c r="AC389" s="30" t="s">
        <v>1390</v>
      </c>
    </row>
    <row r="390" spans="1:29">
      <c r="A390" s="24" t="s">
        <v>1391</v>
      </c>
      <c r="B390" s="24" t="str">
        <f>IF(ISNUMBER(SEARCH(E390,A390)),A390,IF(OR(E390="",E390=""),A390,A390&amp;" - "&amp;E390))</f>
        <v>Ostara GC 25/1 - Gas Cake</v>
      </c>
      <c r="C390" s="24" t="s">
        <v>564</v>
      </c>
      <c r="D390" s="24" t="s">
        <v>565</v>
      </c>
      <c r="E390" s="24" t="s">
        <v>1392</v>
      </c>
      <c r="F390" s="24" t="s">
        <v>86</v>
      </c>
      <c r="G390" s="27">
        <v>24</v>
      </c>
      <c r="H390" s="28">
        <v>1</v>
      </c>
      <c r="I390" s="24"/>
      <c r="J390" s="24"/>
      <c r="K390" s="24" t="s">
        <v>52</v>
      </c>
      <c r="L390" s="24" t="s">
        <v>53</v>
      </c>
      <c r="M390" s="24" t="s">
        <v>88</v>
      </c>
      <c r="N390" s="24" t="s">
        <v>121</v>
      </c>
      <c r="O390" s="24" t="s">
        <v>72</v>
      </c>
      <c r="P390" s="24" t="s">
        <v>73</v>
      </c>
      <c r="Q390" s="24" t="s">
        <v>57</v>
      </c>
      <c r="R390" s="24" t="s">
        <v>74</v>
      </c>
      <c r="S390" s="24" t="s">
        <v>192</v>
      </c>
      <c r="T390" s="24" t="s">
        <v>147</v>
      </c>
      <c r="U390" s="24" t="s">
        <v>106</v>
      </c>
      <c r="V390" s="24" t="s">
        <v>77</v>
      </c>
      <c r="W390" s="24" t="s">
        <v>116</v>
      </c>
      <c r="X390" s="24" t="s">
        <v>79</v>
      </c>
      <c r="Y390" s="24" t="s">
        <v>555</v>
      </c>
      <c r="Z390" s="24" t="s">
        <v>64</v>
      </c>
      <c r="AA390" s="24" t="s">
        <v>565</v>
      </c>
      <c r="AB390" s="24" t="s">
        <v>56</v>
      </c>
      <c r="AC390" s="24" t="s">
        <v>1393</v>
      </c>
    </row>
    <row r="391" spans="1:29">
      <c r="A391" s="30" t="s">
        <v>1394</v>
      </c>
      <c r="B391" s="30" t="str">
        <f>IF(ISNUMBER(SEARCH(E391,A391)),A391,IF(OR(E391="",E391=""),A391,A391&amp;" - "&amp;E391))</f>
        <v>Patagonia Plus TN - The New</v>
      </c>
      <c r="C391" s="30" t="s">
        <v>564</v>
      </c>
      <c r="D391" s="30" t="s">
        <v>565</v>
      </c>
      <c r="E391" s="30" t="s">
        <v>1395</v>
      </c>
      <c r="F391" s="30" t="s">
        <v>86</v>
      </c>
      <c r="G391" s="34">
        <v>26</v>
      </c>
      <c r="H391" s="35">
        <v>1</v>
      </c>
      <c r="I391" s="30"/>
      <c r="J391" s="30"/>
      <c r="K391" s="30" t="s">
        <v>52</v>
      </c>
      <c r="L391" s="30" t="s">
        <v>53</v>
      </c>
      <c r="M391" s="30" t="s">
        <v>71</v>
      </c>
      <c r="N391" s="30" t="s">
        <v>72</v>
      </c>
      <c r="O391" s="30" t="s">
        <v>56</v>
      </c>
      <c r="P391" s="30" t="s">
        <v>73</v>
      </c>
      <c r="Q391" s="30" t="s">
        <v>74</v>
      </c>
      <c r="R391" s="30" t="s">
        <v>89</v>
      </c>
      <c r="S391" s="30" t="s">
        <v>782</v>
      </c>
      <c r="T391" s="30" t="s">
        <v>147</v>
      </c>
      <c r="U391" s="30" t="s">
        <v>123</v>
      </c>
      <c r="V391" s="30" t="s">
        <v>77</v>
      </c>
      <c r="W391" s="30" t="s">
        <v>79</v>
      </c>
      <c r="X391" s="30" t="s">
        <v>107</v>
      </c>
      <c r="Y391" s="30" t="s">
        <v>361</v>
      </c>
      <c r="Z391" s="30" t="s">
        <v>64</v>
      </c>
      <c r="AA391" s="30" t="s">
        <v>565</v>
      </c>
      <c r="AB391" s="30" t="s">
        <v>1396</v>
      </c>
      <c r="AC391" s="30" t="s">
        <v>1397</v>
      </c>
    </row>
    <row r="392" spans="1:29">
      <c r="A392" s="24" t="s">
        <v>1398</v>
      </c>
      <c r="B392" s="24" t="str">
        <f>IF(ISNUMBER(SEARCH(E392,A392)),A392,IF(OR(E392="",E392=""),A392,A392&amp;" - "&amp;E392))</f>
        <v>Pedanios 18/1 TNG CA - Tangerine Dream</v>
      </c>
      <c r="C392" s="24" t="s">
        <v>511</v>
      </c>
      <c r="D392" s="24" t="s">
        <v>512</v>
      </c>
      <c r="E392" s="24" t="s">
        <v>1399</v>
      </c>
      <c r="F392" s="24" t="s">
        <v>51</v>
      </c>
      <c r="G392" s="27">
        <v>17</v>
      </c>
      <c r="H392" s="28">
        <v>1</v>
      </c>
      <c r="I392" s="24"/>
      <c r="J392" s="24"/>
      <c r="K392" s="24" t="s">
        <v>17</v>
      </c>
      <c r="L392" s="24" t="s">
        <v>53</v>
      </c>
      <c r="M392" s="24" t="s">
        <v>88</v>
      </c>
      <c r="N392" s="24" t="s">
        <v>71</v>
      </c>
      <c r="O392" s="24" t="s">
        <v>55</v>
      </c>
      <c r="P392" s="24" t="s">
        <v>75</v>
      </c>
      <c r="Q392" s="24" t="s">
        <v>89</v>
      </c>
      <c r="R392" s="24" t="s">
        <v>56</v>
      </c>
      <c r="S392" s="24" t="s">
        <v>123</v>
      </c>
      <c r="T392" s="24" t="s">
        <v>106</v>
      </c>
      <c r="U392" s="24" t="s">
        <v>76</v>
      </c>
      <c r="V392" s="24" t="s">
        <v>77</v>
      </c>
      <c r="W392" s="24" t="s">
        <v>165</v>
      </c>
      <c r="X392" s="24" t="s">
        <v>79</v>
      </c>
      <c r="Y392" s="24" t="s">
        <v>311</v>
      </c>
      <c r="Z392" s="24" t="s">
        <v>64</v>
      </c>
      <c r="AA392" s="24" t="s">
        <v>512</v>
      </c>
      <c r="AB392" s="24" t="s">
        <v>56</v>
      </c>
      <c r="AC392" s="24" t="s">
        <v>1400</v>
      </c>
    </row>
    <row r="393" spans="1:29">
      <c r="A393" s="30" t="s">
        <v>1401</v>
      </c>
      <c r="B393" s="30" t="str">
        <f>IF(ISNUMBER(SEARCH(E393,A393)),A393,IF(OR(E393="",E393=""),A393,A393&amp;" - "&amp;E393))</f>
        <v>Aurora 24/1 PNK-CA - Pink Kush</v>
      </c>
      <c r="C393" s="30" t="s">
        <v>511</v>
      </c>
      <c r="D393" s="30" t="s">
        <v>512</v>
      </c>
      <c r="E393" s="30" t="s">
        <v>101</v>
      </c>
      <c r="F393" s="30" t="s">
        <v>120</v>
      </c>
      <c r="G393" s="34">
        <v>24</v>
      </c>
      <c r="H393" s="35">
        <v>1</v>
      </c>
      <c r="I393" s="30"/>
      <c r="J393" s="30"/>
      <c r="K393" s="30" t="s">
        <v>17</v>
      </c>
      <c r="L393" s="30" t="s">
        <v>53</v>
      </c>
      <c r="M393" s="30" t="s">
        <v>88</v>
      </c>
      <c r="N393" s="30" t="s">
        <v>71</v>
      </c>
      <c r="O393" s="30" t="s">
        <v>103</v>
      </c>
      <c r="P393" s="30" t="s">
        <v>57</v>
      </c>
      <c r="Q393" s="30" t="s">
        <v>104</v>
      </c>
      <c r="R393" s="30" t="s">
        <v>74</v>
      </c>
      <c r="S393" s="30" t="s">
        <v>106</v>
      </c>
      <c r="T393" s="30" t="s">
        <v>76</v>
      </c>
      <c r="U393" s="30" t="s">
        <v>128</v>
      </c>
      <c r="V393" s="30" t="s">
        <v>77</v>
      </c>
      <c r="W393" s="30" t="s">
        <v>79</v>
      </c>
      <c r="X393" s="30" t="s">
        <v>107</v>
      </c>
      <c r="Y393" s="30" t="s">
        <v>130</v>
      </c>
      <c r="Z393" s="30" t="s">
        <v>64</v>
      </c>
      <c r="AA393" s="30" t="s">
        <v>512</v>
      </c>
      <c r="AB393" s="30" t="s">
        <v>56</v>
      </c>
      <c r="AC393" s="30" t="s">
        <v>1402</v>
      </c>
    </row>
    <row r="394" spans="1:29">
      <c r="A394" s="24" t="s">
        <v>1403</v>
      </c>
      <c r="B394" s="24" t="str">
        <f>IF(ISNUMBER(SEARCH(E394,A394)),A394,IF(OR(E394="",E394=""),A394,A394&amp;" - "&amp;E394))</f>
        <v>Pedanios 26/1 EHD CA - Electric Honeydew</v>
      </c>
      <c r="C394" s="24" t="s">
        <v>511</v>
      </c>
      <c r="D394" s="24" t="s">
        <v>512</v>
      </c>
      <c r="E394" s="24" t="s">
        <v>1404</v>
      </c>
      <c r="F394" s="24" t="s">
        <v>51</v>
      </c>
      <c r="G394" s="27">
        <v>26</v>
      </c>
      <c r="H394" s="28">
        <v>1</v>
      </c>
      <c r="I394" s="24"/>
      <c r="J394" s="24"/>
      <c r="K394" s="24" t="s">
        <v>17</v>
      </c>
      <c r="L394" s="24" t="s">
        <v>53</v>
      </c>
      <c r="M394" s="24" t="s">
        <v>88</v>
      </c>
      <c r="N394" s="24" t="s">
        <v>71</v>
      </c>
      <c r="O394" s="24" t="s">
        <v>56</v>
      </c>
      <c r="P394" s="24" t="s">
        <v>73</v>
      </c>
      <c r="Q394" s="24" t="s">
        <v>146</v>
      </c>
      <c r="R394" s="24" t="s">
        <v>56</v>
      </c>
      <c r="S394" s="24" t="s">
        <v>147</v>
      </c>
      <c r="T394" s="24" t="s">
        <v>106</v>
      </c>
      <c r="U394" s="24" t="s">
        <v>91</v>
      </c>
      <c r="V394" s="24" t="s">
        <v>77</v>
      </c>
      <c r="W394" s="24" t="s">
        <v>79</v>
      </c>
      <c r="X394" s="24" t="s">
        <v>56</v>
      </c>
      <c r="Y394" s="24" t="s">
        <v>174</v>
      </c>
      <c r="Z394" s="24" t="s">
        <v>64</v>
      </c>
      <c r="AA394" s="24" t="s">
        <v>512</v>
      </c>
      <c r="AB394" s="24" t="s">
        <v>56</v>
      </c>
      <c r="AC394" s="24" t="s">
        <v>1405</v>
      </c>
    </row>
    <row r="395" spans="1:29">
      <c r="A395" s="30" t="s">
        <v>1406</v>
      </c>
      <c r="B395" s="30" t="str">
        <f>IF(ISNUMBER(SEARCH(E395,A395)),A395,IF(OR(E395="",E395=""),A395,A395&amp;" - "&amp;E395))</f>
        <v>Remexian 30/1 BAG - Banana Gas</v>
      </c>
      <c r="C395" s="30" t="s">
        <v>83</v>
      </c>
      <c r="D395" s="30" t="s">
        <v>84</v>
      </c>
      <c r="E395" s="30" t="s">
        <v>1407</v>
      </c>
      <c r="F395" s="30" t="s">
        <v>86</v>
      </c>
      <c r="G395" s="34">
        <v>30</v>
      </c>
      <c r="H395" s="35">
        <v>1</v>
      </c>
      <c r="I395" s="30"/>
      <c r="J395" s="30"/>
      <c r="K395" s="30" t="s">
        <v>52</v>
      </c>
      <c r="L395" s="30" t="s">
        <v>53</v>
      </c>
      <c r="M395" s="30" t="s">
        <v>121</v>
      </c>
      <c r="N395" s="30" t="s">
        <v>72</v>
      </c>
      <c r="O395" s="30" t="s">
        <v>56</v>
      </c>
      <c r="P395" s="30" t="s">
        <v>73</v>
      </c>
      <c r="Q395" s="30" t="s">
        <v>89</v>
      </c>
      <c r="R395" s="30" t="s">
        <v>58</v>
      </c>
      <c r="S395" s="30" t="s">
        <v>147</v>
      </c>
      <c r="T395" s="30" t="s">
        <v>123</v>
      </c>
      <c r="U395" s="30" t="s">
        <v>61</v>
      </c>
      <c r="V395" s="30" t="s">
        <v>116</v>
      </c>
      <c r="W395" s="30" t="s">
        <v>107</v>
      </c>
      <c r="X395" s="30" t="s">
        <v>93</v>
      </c>
      <c r="Y395" s="30" t="s">
        <v>56</v>
      </c>
      <c r="Z395" s="30" t="s">
        <v>64</v>
      </c>
      <c r="AA395" s="30" t="s">
        <v>95</v>
      </c>
      <c r="AB395" s="30" t="s">
        <v>56</v>
      </c>
      <c r="AC395" s="30" t="s">
        <v>1408</v>
      </c>
    </row>
    <row r="396" spans="1:29">
      <c r="A396" s="24" t="s">
        <v>1409</v>
      </c>
      <c r="B396" s="24" t="str">
        <f>IF(ISNUMBER(SEARCH(E396,A396)),A396,IF(OR(E396="",E396=""),A396,A396&amp;" - "&amp;E396))</f>
        <v>Roxton Air BS01 - Banana Sorbet</v>
      </c>
      <c r="C396" s="24" t="s">
        <v>564</v>
      </c>
      <c r="D396" s="24" t="s">
        <v>565</v>
      </c>
      <c r="E396" s="24" t="s">
        <v>1410</v>
      </c>
      <c r="F396" s="24" t="s">
        <v>86</v>
      </c>
      <c r="G396" s="27">
        <v>29</v>
      </c>
      <c r="H396" s="28">
        <v>1</v>
      </c>
      <c r="I396" s="24"/>
      <c r="J396" s="24"/>
      <c r="K396" s="24" t="s">
        <v>52</v>
      </c>
      <c r="L396" s="24" t="s">
        <v>53</v>
      </c>
      <c r="M396" s="24" t="s">
        <v>156</v>
      </c>
      <c r="N396" s="24" t="s">
        <v>88</v>
      </c>
      <c r="O396" s="24" t="s">
        <v>178</v>
      </c>
      <c r="P396" s="24" t="s">
        <v>157</v>
      </c>
      <c r="Q396" s="24" t="s">
        <v>74</v>
      </c>
      <c r="R396" s="24" t="s">
        <v>75</v>
      </c>
      <c r="S396" s="24" t="s">
        <v>123</v>
      </c>
      <c r="T396" s="24" t="s">
        <v>106</v>
      </c>
      <c r="U396" s="24" t="s">
        <v>493</v>
      </c>
      <c r="V396" s="24" t="s">
        <v>77</v>
      </c>
      <c r="W396" s="24" t="s">
        <v>107</v>
      </c>
      <c r="X396" s="24" t="s">
        <v>173</v>
      </c>
      <c r="Y396" s="24" t="s">
        <v>204</v>
      </c>
      <c r="Z396" s="24" t="s">
        <v>64</v>
      </c>
      <c r="AA396" s="24" t="s">
        <v>565</v>
      </c>
      <c r="AB396" s="24" t="s">
        <v>1411</v>
      </c>
      <c r="AC396" s="24" t="s">
        <v>1412</v>
      </c>
    </row>
    <row r="397" spans="1:29">
      <c r="A397" s="30" t="s">
        <v>1413</v>
      </c>
      <c r="B397" s="30" t="str">
        <f>IF(ISNUMBER(SEARCH(E397,A397)),A397,IF(OR(E397="",E397=""),A397,A397&amp;" - "&amp;E397))</f>
        <v>Roxton Air FC 25/1 - Frosted Cookies</v>
      </c>
      <c r="C397" s="30" t="s">
        <v>564</v>
      </c>
      <c r="D397" s="30" t="s">
        <v>565</v>
      </c>
      <c r="E397" s="30" t="s">
        <v>1414</v>
      </c>
      <c r="F397" s="30" t="s">
        <v>51</v>
      </c>
      <c r="G397" s="34">
        <v>25</v>
      </c>
      <c r="H397" s="35">
        <v>1</v>
      </c>
      <c r="I397" s="30"/>
      <c r="J397" s="30"/>
      <c r="K397" s="30" t="s">
        <v>52</v>
      </c>
      <c r="L397" s="30" t="s">
        <v>53</v>
      </c>
      <c r="M397" s="30" t="s">
        <v>71</v>
      </c>
      <c r="N397" s="30" t="s">
        <v>121</v>
      </c>
      <c r="O397" s="30" t="s">
        <v>72</v>
      </c>
      <c r="P397" s="30" t="s">
        <v>74</v>
      </c>
      <c r="Q397" s="30" t="s">
        <v>75</v>
      </c>
      <c r="R397" s="30" t="s">
        <v>56</v>
      </c>
      <c r="S397" s="30" t="s">
        <v>147</v>
      </c>
      <c r="T397" s="30" t="s">
        <v>106</v>
      </c>
      <c r="U397" s="30" t="s">
        <v>91</v>
      </c>
      <c r="V397" s="30" t="s">
        <v>116</v>
      </c>
      <c r="W397" s="30" t="s">
        <v>79</v>
      </c>
      <c r="X397" s="30" t="s">
        <v>107</v>
      </c>
      <c r="Y397" s="30" t="s">
        <v>130</v>
      </c>
      <c r="Z397" s="30" t="s">
        <v>64</v>
      </c>
      <c r="AA397" s="30" t="s">
        <v>565</v>
      </c>
      <c r="AB397" s="30" t="s">
        <v>1411</v>
      </c>
      <c r="AC397" s="30" t="s">
        <v>1415</v>
      </c>
    </row>
    <row r="398" spans="1:29">
      <c r="A398" s="24" t="s">
        <v>1416</v>
      </c>
      <c r="B398" s="24" t="str">
        <f>IF(ISNUMBER(SEARCH(E398,A398)),A398,IF(OR(E398="",E398=""),A398,A398&amp;" - "&amp;E398))</f>
        <v>Rua Hihiko 27/1 - Grape Haze</v>
      </c>
      <c r="C398" s="24" t="s">
        <v>141</v>
      </c>
      <c r="D398" s="24" t="s">
        <v>142</v>
      </c>
      <c r="E398" s="24" t="s">
        <v>1417</v>
      </c>
      <c r="F398" s="24" t="s">
        <v>86</v>
      </c>
      <c r="G398" s="27">
        <v>27</v>
      </c>
      <c r="H398" s="28">
        <v>1</v>
      </c>
      <c r="I398" s="24"/>
      <c r="J398" s="24"/>
      <c r="K398" s="24" t="s">
        <v>52</v>
      </c>
      <c r="L398" s="24" t="s">
        <v>1418</v>
      </c>
      <c r="M398" s="24" t="s">
        <v>88</v>
      </c>
      <c r="N398" s="24" t="s">
        <v>71</v>
      </c>
      <c r="O398" s="24" t="s">
        <v>55</v>
      </c>
      <c r="P398" s="24" t="s">
        <v>157</v>
      </c>
      <c r="Q398" s="24" t="s">
        <v>74</v>
      </c>
      <c r="R398" s="24" t="s">
        <v>75</v>
      </c>
      <c r="S398" s="24" t="s">
        <v>90</v>
      </c>
      <c r="T398" s="24" t="s">
        <v>147</v>
      </c>
      <c r="U398" s="24" t="s">
        <v>493</v>
      </c>
      <c r="V398" s="24" t="s">
        <v>77</v>
      </c>
      <c r="W398" s="24" t="s">
        <v>79</v>
      </c>
      <c r="X398" s="24" t="s">
        <v>107</v>
      </c>
      <c r="Y398" s="24" t="s">
        <v>1419</v>
      </c>
      <c r="Z398" s="24" t="s">
        <v>64</v>
      </c>
      <c r="AA398" s="24" t="s">
        <v>149</v>
      </c>
      <c r="AB398" s="24" t="s">
        <v>56</v>
      </c>
      <c r="AC398" s="24" t="s">
        <v>1420</v>
      </c>
    </row>
    <row r="399" spans="1:29">
      <c r="A399" s="30" t="s">
        <v>1421</v>
      </c>
      <c r="B399" s="30" t="str">
        <f>IF(ISNUMBER(SEARCH(E399,A399)),A399,IF(OR(E399="",E399=""),A399,A399&amp;" - "&amp;E399))</f>
        <v>Sumo Canada Craft No.3 27/1 - Garlic Chem</v>
      </c>
      <c r="C399" s="30" t="s">
        <v>564</v>
      </c>
      <c r="D399" s="30" t="s">
        <v>565</v>
      </c>
      <c r="E399" s="30" t="s">
        <v>1422</v>
      </c>
      <c r="F399" s="30" t="s">
        <v>177</v>
      </c>
      <c r="G399" s="34">
        <v>27</v>
      </c>
      <c r="H399" s="35">
        <v>1</v>
      </c>
      <c r="I399" s="30"/>
      <c r="J399" s="30"/>
      <c r="K399" s="30" t="s">
        <v>52</v>
      </c>
      <c r="L399" s="30" t="s">
        <v>53</v>
      </c>
      <c r="M399" s="30" t="s">
        <v>88</v>
      </c>
      <c r="N399" s="30" t="s">
        <v>71</v>
      </c>
      <c r="O399" s="30" t="s">
        <v>72</v>
      </c>
      <c r="P399" s="30" t="s">
        <v>73</v>
      </c>
      <c r="Q399" s="30" t="s">
        <v>74</v>
      </c>
      <c r="R399" s="30" t="s">
        <v>59</v>
      </c>
      <c r="S399" s="30" t="s">
        <v>782</v>
      </c>
      <c r="T399" s="30" t="s">
        <v>147</v>
      </c>
      <c r="U399" s="30" t="s">
        <v>106</v>
      </c>
      <c r="V399" s="30" t="s">
        <v>77</v>
      </c>
      <c r="W399" s="30" t="s">
        <v>116</v>
      </c>
      <c r="X399" s="30" t="s">
        <v>129</v>
      </c>
      <c r="Y399" s="30" t="s">
        <v>555</v>
      </c>
      <c r="Z399" s="30" t="s">
        <v>64</v>
      </c>
      <c r="AA399" s="30" t="s">
        <v>565</v>
      </c>
      <c r="AB399" s="30" t="s">
        <v>56</v>
      </c>
      <c r="AC399" s="36" t="s">
        <v>1423</v>
      </c>
    </row>
    <row r="400" spans="1:29">
      <c r="A400" s="24" t="s">
        <v>1424</v>
      </c>
      <c r="B400" s="24" t="str">
        <f>IF(ISNUMBER(SEARCH(E400,A400)),A400,IF(OR(E400="",E400=""),A400,A400&amp;" - "&amp;E400))</f>
        <v>Sumo Canada Craft No. 4 - Cement Shoes</v>
      </c>
      <c r="C400" s="24" t="s">
        <v>564</v>
      </c>
      <c r="D400" s="24" t="s">
        <v>565</v>
      </c>
      <c r="E400" s="24" t="s">
        <v>1425</v>
      </c>
      <c r="F400" s="24" t="s">
        <v>177</v>
      </c>
      <c r="G400" s="27">
        <v>23</v>
      </c>
      <c r="H400" s="28">
        <v>1</v>
      </c>
      <c r="I400" s="24"/>
      <c r="J400" s="24"/>
      <c r="K400" s="24" t="s">
        <v>52</v>
      </c>
      <c r="L400" s="24" t="s">
        <v>53</v>
      </c>
      <c r="M400" s="24" t="s">
        <v>156</v>
      </c>
      <c r="N400" s="24" t="s">
        <v>121</v>
      </c>
      <c r="O400" s="24" t="s">
        <v>72</v>
      </c>
      <c r="P400" s="24" t="s">
        <v>157</v>
      </c>
      <c r="Q400" s="24" t="s">
        <v>74</v>
      </c>
      <c r="R400" s="24" t="s">
        <v>75</v>
      </c>
      <c r="S400" s="24" t="s">
        <v>90</v>
      </c>
      <c r="T400" s="24" t="s">
        <v>147</v>
      </c>
      <c r="U400" s="24" t="s">
        <v>123</v>
      </c>
      <c r="V400" s="24" t="s">
        <v>77</v>
      </c>
      <c r="W400" s="24" t="s">
        <v>116</v>
      </c>
      <c r="X400" s="24" t="s">
        <v>180</v>
      </c>
      <c r="Y400" s="24" t="s">
        <v>437</v>
      </c>
      <c r="Z400" s="24" t="s">
        <v>64</v>
      </c>
      <c r="AA400" s="24" t="s">
        <v>565</v>
      </c>
      <c r="AB400" s="24" t="s">
        <v>56</v>
      </c>
      <c r="AC400" s="24" t="s">
        <v>1426</v>
      </c>
    </row>
    <row r="401" spans="1:29">
      <c r="A401" s="30" t="s">
        <v>1427</v>
      </c>
      <c r="B401" s="30" t="str">
        <f>IF(ISNUMBER(SEARCH(E401,A401)),A401,IF(OR(E401="",E401=""),A401,A401&amp;" - "&amp;E401))</f>
        <v>Therismos 23/1 JFG - Jet Fuel Gelato</v>
      </c>
      <c r="C401" s="30" t="s">
        <v>741</v>
      </c>
      <c r="D401" s="30" t="s">
        <v>742</v>
      </c>
      <c r="E401" s="30" t="s">
        <v>797</v>
      </c>
      <c r="F401" s="30" t="s">
        <v>69</v>
      </c>
      <c r="G401" s="34">
        <v>23</v>
      </c>
      <c r="H401" s="35">
        <v>1</v>
      </c>
      <c r="I401" s="30"/>
      <c r="J401" s="30"/>
      <c r="K401" s="30" t="s">
        <v>52</v>
      </c>
      <c r="L401" s="30" t="s">
        <v>202</v>
      </c>
      <c r="M401" s="30" t="s">
        <v>88</v>
      </c>
      <c r="N401" s="30" t="s">
        <v>71</v>
      </c>
      <c r="O401" s="30" t="s">
        <v>72</v>
      </c>
      <c r="P401" s="30" t="s">
        <v>75</v>
      </c>
      <c r="Q401" s="30" t="s">
        <v>89</v>
      </c>
      <c r="R401" s="30" t="s">
        <v>58</v>
      </c>
      <c r="S401" s="30" t="s">
        <v>786</v>
      </c>
      <c r="T401" s="30" t="s">
        <v>61</v>
      </c>
      <c r="U401" s="30" t="s">
        <v>62</v>
      </c>
      <c r="V401" s="30" t="s">
        <v>77</v>
      </c>
      <c r="W401" s="30" t="s">
        <v>116</v>
      </c>
      <c r="X401" s="30" t="s">
        <v>79</v>
      </c>
      <c r="Y401" s="30" t="s">
        <v>283</v>
      </c>
      <c r="Z401" s="30" t="s">
        <v>64</v>
      </c>
      <c r="AA401" s="30" t="s">
        <v>742</v>
      </c>
      <c r="AB401" s="30" t="s">
        <v>56</v>
      </c>
      <c r="AC401" s="30" t="s">
        <v>1428</v>
      </c>
    </row>
    <row r="402" spans="1:29">
      <c r="A402" s="24" t="s">
        <v>1429</v>
      </c>
      <c r="B402" s="24" t="str">
        <f>IF(ISNUMBER(SEARCH(E402,A402)),A402,IF(OR(E402="",E402=""),A402,A402&amp;" - "&amp;E402))</f>
        <v>Therismos 30/1 QSG - Queen SanG</v>
      </c>
      <c r="C402" s="24" t="s">
        <v>741</v>
      </c>
      <c r="D402" s="24" t="s">
        <v>742</v>
      </c>
      <c r="E402" s="24" t="s">
        <v>896</v>
      </c>
      <c r="F402" s="24" t="s">
        <v>69</v>
      </c>
      <c r="G402" s="27">
        <v>30</v>
      </c>
      <c r="H402" s="28">
        <v>1</v>
      </c>
      <c r="I402" s="24"/>
      <c r="J402" s="24"/>
      <c r="K402" s="24" t="s">
        <v>52</v>
      </c>
      <c r="L402" s="24" t="s">
        <v>53</v>
      </c>
      <c r="M402" s="24" t="s">
        <v>88</v>
      </c>
      <c r="N402" s="24" t="s">
        <v>71</v>
      </c>
      <c r="O402" s="24" t="s">
        <v>55</v>
      </c>
      <c r="P402" s="24" t="s">
        <v>73</v>
      </c>
      <c r="Q402" s="24" t="s">
        <v>75</v>
      </c>
      <c r="R402" s="24" t="s">
        <v>58</v>
      </c>
      <c r="S402" s="24" t="s">
        <v>123</v>
      </c>
      <c r="T402" s="24" t="s">
        <v>61</v>
      </c>
      <c r="U402" s="24" t="s">
        <v>76</v>
      </c>
      <c r="V402" s="24" t="s">
        <v>197</v>
      </c>
      <c r="W402" s="24" t="s">
        <v>79</v>
      </c>
      <c r="X402" s="24" t="s">
        <v>107</v>
      </c>
      <c r="Y402" s="24" t="s">
        <v>1430</v>
      </c>
      <c r="Z402" s="24" t="s">
        <v>64</v>
      </c>
      <c r="AA402" s="24" t="s">
        <v>742</v>
      </c>
      <c r="AB402" s="24" t="s">
        <v>56</v>
      </c>
      <c r="AC402" s="24" t="s">
        <v>1431</v>
      </c>
    </row>
    <row r="403" spans="1:29">
      <c r="A403" s="30" t="s">
        <v>228</v>
      </c>
      <c r="B403" s="30" t="str">
        <f>IF(ISNUMBER(SEARCH(E403,A403)),A403,IF(OR(E403="",E403=""),A403,A403&amp;" - "&amp;E403))</f>
        <v>Tilray THC15 Spotlight Porto - Blue Dream</v>
      </c>
      <c r="C403" s="30" t="s">
        <v>133</v>
      </c>
      <c r="D403" s="30" t="s">
        <v>134</v>
      </c>
      <c r="E403" s="30" t="s">
        <v>1339</v>
      </c>
      <c r="F403" s="30" t="s">
        <v>69</v>
      </c>
      <c r="G403" s="34">
        <v>15</v>
      </c>
      <c r="H403" s="35">
        <v>1</v>
      </c>
      <c r="I403" s="30"/>
      <c r="J403" s="30"/>
      <c r="K403" s="30" t="s">
        <v>17</v>
      </c>
      <c r="L403" s="30" t="s">
        <v>102</v>
      </c>
      <c r="M403" s="30" t="s">
        <v>54</v>
      </c>
      <c r="N403" s="30" t="s">
        <v>111</v>
      </c>
      <c r="O403" s="30" t="s">
        <v>103</v>
      </c>
      <c r="P403" s="30" t="s">
        <v>89</v>
      </c>
      <c r="Q403" s="30" t="s">
        <v>58</v>
      </c>
      <c r="R403" s="30" t="s">
        <v>56</v>
      </c>
      <c r="S403" s="30" t="s">
        <v>192</v>
      </c>
      <c r="T403" s="30" t="s">
        <v>147</v>
      </c>
      <c r="U403" s="30" t="s">
        <v>62</v>
      </c>
      <c r="V403" s="30" t="s">
        <v>208</v>
      </c>
      <c r="W403" s="30" t="s">
        <v>292</v>
      </c>
      <c r="X403" s="30" t="s">
        <v>79</v>
      </c>
      <c r="Y403" s="30" t="s">
        <v>348</v>
      </c>
      <c r="Z403" s="30" t="s">
        <v>64</v>
      </c>
      <c r="AA403" s="30" t="s">
        <v>134</v>
      </c>
      <c r="AB403" s="30" t="s">
        <v>56</v>
      </c>
      <c r="AC403" s="30" t="s">
        <v>1432</v>
      </c>
    </row>
    <row r="404" spans="1:29">
      <c r="A404" s="24" t="s">
        <v>1433</v>
      </c>
      <c r="B404" s="24" t="str">
        <f>IF(ISNUMBER(SEARCH(E404,A404)),A404,IF(OR(E404="",E404=""),A404,A404&amp;" - "&amp;E404))</f>
        <v>Tilray THC 22 Indica No. 2 - Master Kush</v>
      </c>
      <c r="C404" s="24" t="s">
        <v>133</v>
      </c>
      <c r="D404" s="24" t="s">
        <v>134</v>
      </c>
      <c r="E404" s="24" t="s">
        <v>237</v>
      </c>
      <c r="F404" s="24" t="s">
        <v>120</v>
      </c>
      <c r="G404" s="27">
        <v>22</v>
      </c>
      <c r="H404" s="28">
        <v>1</v>
      </c>
      <c r="I404" s="24"/>
      <c r="J404" s="24"/>
      <c r="K404" s="24" t="s">
        <v>17</v>
      </c>
      <c r="L404" s="24" t="s">
        <v>102</v>
      </c>
      <c r="M404" s="24" t="s">
        <v>103</v>
      </c>
      <c r="N404" s="24" t="s">
        <v>121</v>
      </c>
      <c r="O404" s="24" t="s">
        <v>72</v>
      </c>
      <c r="P404" s="24" t="s">
        <v>74</v>
      </c>
      <c r="Q404" s="24" t="s">
        <v>59</v>
      </c>
      <c r="R404" s="24" t="s">
        <v>56</v>
      </c>
      <c r="S404" s="24" t="s">
        <v>203</v>
      </c>
      <c r="T404" s="24" t="s">
        <v>62</v>
      </c>
      <c r="U404" s="24" t="s">
        <v>164</v>
      </c>
      <c r="V404" s="24" t="s">
        <v>77</v>
      </c>
      <c r="W404" s="24" t="s">
        <v>78</v>
      </c>
      <c r="X404" s="24" t="s">
        <v>107</v>
      </c>
      <c r="Y404" s="24" t="s">
        <v>56</v>
      </c>
      <c r="Z404" s="24" t="s">
        <v>64</v>
      </c>
      <c r="AA404" s="24" t="s">
        <v>134</v>
      </c>
      <c r="AB404" s="24" t="s">
        <v>56</v>
      </c>
      <c r="AC404" s="24" t="s">
        <v>1434</v>
      </c>
    </row>
    <row r="405" spans="1:29">
      <c r="A405" s="30" t="s">
        <v>132</v>
      </c>
      <c r="B405" s="30" t="str">
        <f>IF(ISNUMBER(SEARCH(E405,A405)),A405,IF(OR(E405="",E405=""),A405,A405&amp;" - "&amp;E405))</f>
        <v>Tilray THC 22 Spotlight Porto - Mango</v>
      </c>
      <c r="C405" s="30" t="s">
        <v>133</v>
      </c>
      <c r="D405" s="30" t="s">
        <v>134</v>
      </c>
      <c r="E405" s="30" t="s">
        <v>259</v>
      </c>
      <c r="F405" s="30" t="s">
        <v>120</v>
      </c>
      <c r="G405" s="34">
        <v>22</v>
      </c>
      <c r="H405" s="35">
        <v>1</v>
      </c>
      <c r="I405" s="30"/>
      <c r="J405" s="30"/>
      <c r="K405" s="30" t="s">
        <v>17</v>
      </c>
      <c r="L405" s="30" t="s">
        <v>102</v>
      </c>
      <c r="M405" s="30" t="s">
        <v>54</v>
      </c>
      <c r="N405" s="30" t="s">
        <v>212</v>
      </c>
      <c r="O405" s="30" t="s">
        <v>88</v>
      </c>
      <c r="P405" s="30" t="s">
        <v>136</v>
      </c>
      <c r="Q405" s="30" t="s">
        <v>89</v>
      </c>
      <c r="R405" s="30" t="s">
        <v>58</v>
      </c>
      <c r="S405" s="30" t="s">
        <v>106</v>
      </c>
      <c r="T405" s="30" t="s">
        <v>1435</v>
      </c>
      <c r="U405" s="30" t="s">
        <v>1436</v>
      </c>
      <c r="V405" s="30" t="s">
        <v>77</v>
      </c>
      <c r="W405" s="30" t="s">
        <v>129</v>
      </c>
      <c r="X405" s="30" t="s">
        <v>79</v>
      </c>
      <c r="Y405" s="30" t="s">
        <v>56</v>
      </c>
      <c r="Z405" s="30" t="s">
        <v>64</v>
      </c>
      <c r="AA405" s="30" t="s">
        <v>134</v>
      </c>
      <c r="AB405" s="30" t="s">
        <v>56</v>
      </c>
      <c r="AC405" s="30" t="s">
        <v>1437</v>
      </c>
    </row>
    <row r="406" spans="1:29">
      <c r="A406" s="24" t="s">
        <v>1438</v>
      </c>
      <c r="B406" s="24" t="str">
        <f>IF(ISNUMBER(SEARCH(E406,A406)),A406,IF(OR(E406="",E406=""),A406,A406&amp;" - "&amp;E406))</f>
        <v>Tilray THC 22 Sativa No 2 - Headband</v>
      </c>
      <c r="C406" s="24" t="s">
        <v>133</v>
      </c>
      <c r="D406" s="24" t="s">
        <v>134</v>
      </c>
      <c r="E406" s="24" t="s">
        <v>233</v>
      </c>
      <c r="F406" s="24" t="s">
        <v>69</v>
      </c>
      <c r="G406" s="27">
        <v>22</v>
      </c>
      <c r="H406" s="28">
        <v>1</v>
      </c>
      <c r="I406" s="24"/>
      <c r="J406" s="24"/>
      <c r="K406" s="24" t="s">
        <v>17</v>
      </c>
      <c r="L406" s="24" t="s">
        <v>102</v>
      </c>
      <c r="M406" s="24" t="s">
        <v>54</v>
      </c>
      <c r="N406" s="24" t="s">
        <v>88</v>
      </c>
      <c r="O406" s="24" t="s">
        <v>178</v>
      </c>
      <c r="P406" s="24" t="s">
        <v>73</v>
      </c>
      <c r="Q406" s="24" t="s">
        <v>57</v>
      </c>
      <c r="R406" s="24" t="s">
        <v>75</v>
      </c>
      <c r="S406" s="24" t="s">
        <v>106</v>
      </c>
      <c r="T406" s="24" t="s">
        <v>128</v>
      </c>
      <c r="U406" s="24" t="s">
        <v>62</v>
      </c>
      <c r="V406" s="24" t="s">
        <v>77</v>
      </c>
      <c r="W406" s="24" t="s">
        <v>129</v>
      </c>
      <c r="X406" s="24" t="s">
        <v>79</v>
      </c>
      <c r="Y406" s="24" t="s">
        <v>56</v>
      </c>
      <c r="Z406" s="24" t="s">
        <v>64</v>
      </c>
      <c r="AA406" s="24" t="s">
        <v>134</v>
      </c>
      <c r="AB406" s="24" t="s">
        <v>56</v>
      </c>
      <c r="AC406" s="24" t="s">
        <v>1439</v>
      </c>
    </row>
    <row r="407" spans="1:29">
      <c r="A407" s="30" t="s">
        <v>1440</v>
      </c>
      <c r="B407" s="30" t="str">
        <f>IF(ISNUMBER(SEARCH(E407,A407)),A407,IF(OR(E407="",E407=""),A407,A407&amp;" - "&amp;E407))</f>
        <v>Tilray THC 25 Indica No. 2 - Master Kush</v>
      </c>
      <c r="C407" s="30" t="s">
        <v>133</v>
      </c>
      <c r="D407" s="30" t="s">
        <v>134</v>
      </c>
      <c r="E407" s="30" t="s">
        <v>237</v>
      </c>
      <c r="F407" s="30" t="s">
        <v>120</v>
      </c>
      <c r="G407" s="34">
        <v>25</v>
      </c>
      <c r="H407" s="35">
        <v>1</v>
      </c>
      <c r="I407" s="30"/>
      <c r="J407" s="30"/>
      <c r="K407" s="30" t="s">
        <v>17</v>
      </c>
      <c r="L407" s="30" t="s">
        <v>102</v>
      </c>
      <c r="M407" s="30" t="s">
        <v>103</v>
      </c>
      <c r="N407" s="30" t="s">
        <v>121</v>
      </c>
      <c r="O407" s="30" t="s">
        <v>72</v>
      </c>
      <c r="P407" s="30" t="s">
        <v>74</v>
      </c>
      <c r="Q407" s="30" t="s">
        <v>59</v>
      </c>
      <c r="R407" s="30" t="s">
        <v>56</v>
      </c>
      <c r="S407" s="30" t="s">
        <v>786</v>
      </c>
      <c r="T407" s="30" t="s">
        <v>62</v>
      </c>
      <c r="U407" s="30" t="s">
        <v>164</v>
      </c>
      <c r="V407" s="30" t="s">
        <v>77</v>
      </c>
      <c r="W407" s="30" t="s">
        <v>78</v>
      </c>
      <c r="X407" s="30" t="s">
        <v>107</v>
      </c>
      <c r="Y407" s="30" t="s">
        <v>56</v>
      </c>
      <c r="Z407" s="30" t="s">
        <v>64</v>
      </c>
      <c r="AA407" s="30" t="s">
        <v>134</v>
      </c>
      <c r="AB407" s="30" t="s">
        <v>56</v>
      </c>
      <c r="AC407" s="30" t="s">
        <v>1441</v>
      </c>
    </row>
    <row r="408" spans="1:29">
      <c r="A408" s="24" t="s">
        <v>1442</v>
      </c>
      <c r="B408" s="24" t="str">
        <f>IF(ISNUMBER(SEARCH(E408,A408)),A408,IF(OR(E408="",E408=""),A408,A408&amp;" - "&amp;E408))</f>
        <v>Tilray THC 25 Spotlight Porto - Island Sweet Skunk</v>
      </c>
      <c r="C408" s="24" t="s">
        <v>133</v>
      </c>
      <c r="D408" s="24" t="s">
        <v>134</v>
      </c>
      <c r="E408" s="24" t="s">
        <v>135</v>
      </c>
      <c r="F408" s="24" t="s">
        <v>69</v>
      </c>
      <c r="G408" s="27">
        <v>25</v>
      </c>
      <c r="H408" s="28">
        <v>1</v>
      </c>
      <c r="I408" s="24"/>
      <c r="J408" s="24"/>
      <c r="K408" s="24" t="s">
        <v>17</v>
      </c>
      <c r="L408" s="24" t="s">
        <v>102</v>
      </c>
      <c r="M408" s="24" t="s">
        <v>54</v>
      </c>
      <c r="N408" s="24" t="s">
        <v>111</v>
      </c>
      <c r="O408" s="24" t="s">
        <v>88</v>
      </c>
      <c r="P408" s="24" t="s">
        <v>136</v>
      </c>
      <c r="Q408" s="24" t="s">
        <v>89</v>
      </c>
      <c r="R408" s="24" t="s">
        <v>58</v>
      </c>
      <c r="S408" s="24" t="s">
        <v>90</v>
      </c>
      <c r="T408" s="24" t="s">
        <v>60</v>
      </c>
      <c r="U408" s="24" t="s">
        <v>62</v>
      </c>
      <c r="V408" s="24" t="s">
        <v>77</v>
      </c>
      <c r="W408" s="24" t="s">
        <v>137</v>
      </c>
      <c r="X408" s="24" t="s">
        <v>138</v>
      </c>
      <c r="Y408" s="24" t="s">
        <v>130</v>
      </c>
      <c r="Z408" s="24" t="s">
        <v>64</v>
      </c>
      <c r="AA408" s="24" t="s">
        <v>134</v>
      </c>
      <c r="AB408" s="24" t="s">
        <v>56</v>
      </c>
      <c r="AC408" s="24" t="s">
        <v>1443</v>
      </c>
    </row>
    <row r="409" spans="1:29">
      <c r="A409" s="30" t="s">
        <v>1444</v>
      </c>
      <c r="B409" s="30" t="str">
        <f>IF(ISNUMBER(SEARCH(E409,A409)),A409,IF(OR(E409="",E409=""),A409,A409&amp;" - "&amp;E409))</f>
        <v>Tilray THC25 Spotlight Porto - Purps</v>
      </c>
      <c r="C409" s="30" t="s">
        <v>133</v>
      </c>
      <c r="D409" s="30" t="s">
        <v>134</v>
      </c>
      <c r="E409" s="30" t="s">
        <v>360</v>
      </c>
      <c r="F409" s="30" t="s">
        <v>177</v>
      </c>
      <c r="G409" s="34">
        <v>25</v>
      </c>
      <c r="H409" s="35">
        <v>1</v>
      </c>
      <c r="I409" s="30"/>
      <c r="J409" s="30"/>
      <c r="K409" s="30" t="s">
        <v>17</v>
      </c>
      <c r="L409" s="30" t="s">
        <v>102</v>
      </c>
      <c r="M409" s="30" t="s">
        <v>88</v>
      </c>
      <c r="N409" s="30" t="s">
        <v>55</v>
      </c>
      <c r="O409" s="30" t="s">
        <v>72</v>
      </c>
      <c r="P409" s="30" t="s">
        <v>136</v>
      </c>
      <c r="Q409" s="30" t="s">
        <v>58</v>
      </c>
      <c r="R409" s="30" t="s">
        <v>56</v>
      </c>
      <c r="S409" s="30" t="s">
        <v>192</v>
      </c>
      <c r="T409" s="30" t="s">
        <v>147</v>
      </c>
      <c r="U409" s="30" t="s">
        <v>123</v>
      </c>
      <c r="V409" s="30" t="s">
        <v>77</v>
      </c>
      <c r="W409" s="30" t="s">
        <v>116</v>
      </c>
      <c r="X409" s="30" t="s">
        <v>165</v>
      </c>
      <c r="Y409" s="30" t="s">
        <v>130</v>
      </c>
      <c r="Z409" s="30" t="s">
        <v>64</v>
      </c>
      <c r="AA409" s="30" t="s">
        <v>134</v>
      </c>
      <c r="AB409" s="30" t="s">
        <v>56</v>
      </c>
      <c r="AC409" s="30" t="s">
        <v>1445</v>
      </c>
    </row>
    <row r="410" spans="1:29">
      <c r="A410" s="24" t="s">
        <v>1446</v>
      </c>
      <c r="B410" s="24" t="str">
        <f>IF(ISNUMBER(SEARCH(E410,A410)),A410,IF(OR(E410="",E410=""),A410,A410&amp;" - "&amp;E410))</f>
        <v>Tilray THC 25 Sativa No 2 - Headband</v>
      </c>
      <c r="C410" s="24" t="s">
        <v>133</v>
      </c>
      <c r="D410" s="24" t="s">
        <v>134</v>
      </c>
      <c r="E410" s="24" t="s">
        <v>233</v>
      </c>
      <c r="F410" s="24" t="s">
        <v>69</v>
      </c>
      <c r="G410" s="27">
        <v>25</v>
      </c>
      <c r="H410" s="28">
        <v>1</v>
      </c>
      <c r="I410" s="24"/>
      <c r="J410" s="24"/>
      <c r="K410" s="24" t="s">
        <v>17</v>
      </c>
      <c r="L410" s="24" t="s">
        <v>102</v>
      </c>
      <c r="M410" s="24" t="s">
        <v>54</v>
      </c>
      <c r="N410" s="24" t="s">
        <v>88</v>
      </c>
      <c r="O410" s="24" t="s">
        <v>178</v>
      </c>
      <c r="P410" s="24" t="s">
        <v>73</v>
      </c>
      <c r="Q410" s="24" t="s">
        <v>57</v>
      </c>
      <c r="R410" s="24" t="s">
        <v>75</v>
      </c>
      <c r="S410" s="24" t="s">
        <v>106</v>
      </c>
      <c r="T410" s="24" t="s">
        <v>128</v>
      </c>
      <c r="U410" s="24" t="s">
        <v>62</v>
      </c>
      <c r="V410" s="24" t="s">
        <v>77</v>
      </c>
      <c r="W410" s="24" t="s">
        <v>129</v>
      </c>
      <c r="X410" s="24" t="s">
        <v>79</v>
      </c>
      <c r="Y410" s="24" t="s">
        <v>56</v>
      </c>
      <c r="Z410" s="24" t="s">
        <v>64</v>
      </c>
      <c r="AA410" s="24" t="s">
        <v>134</v>
      </c>
      <c r="AB410" s="24" t="s">
        <v>56</v>
      </c>
      <c r="AC410" s="24" t="s">
        <v>1447</v>
      </c>
    </row>
    <row r="411" spans="1:29">
      <c r="A411" s="30" t="s">
        <v>1448</v>
      </c>
      <c r="B411" s="30" t="str">
        <f>IF(ISNUMBER(SEARCH(E411,A411)),A411,IF(OR(E411="",E411=""),A411,A411&amp;" - "&amp;E411))</f>
        <v>Vasco PR PT - Pave Runtz</v>
      </c>
      <c r="C411" s="30" t="s">
        <v>564</v>
      </c>
      <c r="D411" s="30" t="s">
        <v>565</v>
      </c>
      <c r="E411" s="30" t="s">
        <v>1449</v>
      </c>
      <c r="F411" s="30" t="s">
        <v>177</v>
      </c>
      <c r="G411" s="34">
        <v>25</v>
      </c>
      <c r="H411" s="35">
        <v>1</v>
      </c>
      <c r="I411" s="30"/>
      <c r="J411" s="30"/>
      <c r="K411" s="30" t="s">
        <v>52</v>
      </c>
      <c r="L411" s="30" t="s">
        <v>53</v>
      </c>
      <c r="M411" s="30" t="s">
        <v>54</v>
      </c>
      <c r="N411" s="30" t="s">
        <v>121</v>
      </c>
      <c r="O411" s="30" t="s">
        <v>72</v>
      </c>
      <c r="P411" s="30" t="s">
        <v>73</v>
      </c>
      <c r="Q411" s="30" t="s">
        <v>74</v>
      </c>
      <c r="R411" s="30" t="s">
        <v>89</v>
      </c>
      <c r="S411" s="30" t="s">
        <v>782</v>
      </c>
      <c r="T411" s="30" t="s">
        <v>123</v>
      </c>
      <c r="U411" s="30" t="s">
        <v>106</v>
      </c>
      <c r="V411" s="30" t="s">
        <v>180</v>
      </c>
      <c r="W411" s="30" t="s">
        <v>138</v>
      </c>
      <c r="X411" s="30" t="s">
        <v>79</v>
      </c>
      <c r="Y411" s="30" t="s">
        <v>1419</v>
      </c>
      <c r="Z411" s="30" t="s">
        <v>64</v>
      </c>
      <c r="AA411" s="30" t="s">
        <v>565</v>
      </c>
      <c r="AB411" s="30" t="s">
        <v>56</v>
      </c>
      <c r="AC411" s="30" t="s">
        <v>1450</v>
      </c>
    </row>
    <row r="412" spans="1:29">
      <c r="A412" s="24" t="s">
        <v>1451</v>
      </c>
      <c r="B412" s="24" t="str">
        <f>IF(ISNUMBER(SEARCH(E412,A412)),A412,IF(OR(E412="",E412=""),A412,A412&amp;" - "&amp;E412))</f>
        <v>Vayamed 1A 18/1 - White Widow</v>
      </c>
      <c r="C412" s="24" t="s">
        <v>569</v>
      </c>
      <c r="D412" s="24" t="s">
        <v>570</v>
      </c>
      <c r="E412" s="24" t="s">
        <v>251</v>
      </c>
      <c r="F412" s="24" t="s">
        <v>86</v>
      </c>
      <c r="G412" s="27">
        <v>18</v>
      </c>
      <c r="H412" s="28">
        <v>1</v>
      </c>
      <c r="I412" s="24"/>
      <c r="J412" s="24"/>
      <c r="K412" s="24" t="s">
        <v>17</v>
      </c>
      <c r="L412" s="24" t="s">
        <v>87</v>
      </c>
      <c r="M412" s="24" t="s">
        <v>54</v>
      </c>
      <c r="N412" s="24" t="s">
        <v>111</v>
      </c>
      <c r="O412" s="24" t="s">
        <v>88</v>
      </c>
      <c r="P412" s="24" t="s">
        <v>146</v>
      </c>
      <c r="Q412" s="24" t="s">
        <v>74</v>
      </c>
      <c r="R412" s="24" t="s">
        <v>113</v>
      </c>
      <c r="S412" s="24" t="s">
        <v>62</v>
      </c>
      <c r="T412" s="24" t="s">
        <v>128</v>
      </c>
      <c r="U412" s="24" t="s">
        <v>179</v>
      </c>
      <c r="V412" s="24" t="s">
        <v>252</v>
      </c>
      <c r="W412" s="24" t="s">
        <v>77</v>
      </c>
      <c r="X412" s="24" t="s">
        <v>253</v>
      </c>
      <c r="Y412" s="24" t="s">
        <v>413</v>
      </c>
      <c r="Z412" s="24" t="s">
        <v>64</v>
      </c>
      <c r="AA412" s="24" t="s">
        <v>570</v>
      </c>
      <c r="AB412" s="24" t="s">
        <v>56</v>
      </c>
      <c r="AC412" s="24" t="s">
        <v>1452</v>
      </c>
    </row>
    <row r="413" spans="1:29">
      <c r="A413" s="30" t="s">
        <v>1453</v>
      </c>
      <c r="B413" s="30" t="str">
        <f>IF(ISNUMBER(SEARCH(E413,A413)),A413,IF(OR(E413="",E413=""),A413,A413&amp;" - "&amp;E413))</f>
        <v>enua 30/1 SLC CA - Slurricane</v>
      </c>
      <c r="C413" s="30" t="s">
        <v>650</v>
      </c>
      <c r="D413" s="30" t="s">
        <v>651</v>
      </c>
      <c r="E413" s="30" t="s">
        <v>718</v>
      </c>
      <c r="F413" s="30" t="s">
        <v>86</v>
      </c>
      <c r="G413" s="34">
        <v>32</v>
      </c>
      <c r="H413" s="35">
        <v>1</v>
      </c>
      <c r="I413" s="30"/>
      <c r="J413" s="30"/>
      <c r="K413" s="30" t="s">
        <v>52</v>
      </c>
      <c r="L413" s="30" t="s">
        <v>53</v>
      </c>
      <c r="M413" s="30" t="s">
        <v>54</v>
      </c>
      <c r="N413" s="30" t="s">
        <v>111</v>
      </c>
      <c r="O413" s="30" t="s">
        <v>103</v>
      </c>
      <c r="P413" s="30" t="s">
        <v>146</v>
      </c>
      <c r="Q413" s="30" t="s">
        <v>74</v>
      </c>
      <c r="R413" s="30" t="s">
        <v>58</v>
      </c>
      <c r="S413" s="30" t="s">
        <v>466</v>
      </c>
      <c r="T413" s="30" t="s">
        <v>123</v>
      </c>
      <c r="U413" s="30" t="s">
        <v>106</v>
      </c>
      <c r="V413" s="30" t="s">
        <v>77</v>
      </c>
      <c r="W413" s="30" t="s">
        <v>116</v>
      </c>
      <c r="X413" s="30" t="s">
        <v>173</v>
      </c>
      <c r="Y413" s="30" t="s">
        <v>1454</v>
      </c>
      <c r="Z413" s="30" t="s">
        <v>64</v>
      </c>
      <c r="AA413" s="30" t="s">
        <v>653</v>
      </c>
      <c r="AB413" s="30" t="s">
        <v>56</v>
      </c>
      <c r="AC413" s="30" t="s">
        <v>1455</v>
      </c>
    </row>
    <row r="414" spans="1:29">
      <c r="A414" s="24" t="s">
        <v>1456</v>
      </c>
      <c r="B414" s="24" t="str">
        <f>IF(ISNUMBER(SEARCH(E414,A414)),A414,IF(OR(E414="",E414=""),A414,A414&amp;" - "&amp;E414))</f>
        <v>avaay 24/1 Simple CRE - Creamy Kee's</v>
      </c>
      <c r="C414" s="24" t="s">
        <v>569</v>
      </c>
      <c r="D414" s="24" t="s">
        <v>570</v>
      </c>
      <c r="E414" s="24" t="s">
        <v>496</v>
      </c>
      <c r="F414" s="24" t="s">
        <v>177</v>
      </c>
      <c r="G414" s="27">
        <v>24</v>
      </c>
      <c r="H414" s="28">
        <v>1</v>
      </c>
      <c r="I414" s="24"/>
      <c r="J414" s="24"/>
      <c r="K414" s="24" t="s">
        <v>17</v>
      </c>
      <c r="L414" s="24"/>
      <c r="M414" s="24" t="s">
        <v>121</v>
      </c>
      <c r="N414" s="24" t="s">
        <v>72</v>
      </c>
      <c r="O414" s="24" t="s">
        <v>56</v>
      </c>
      <c r="P414" s="24" t="s">
        <v>57</v>
      </c>
      <c r="Q414" s="24" t="s">
        <v>89</v>
      </c>
      <c r="R414" s="24" t="s">
        <v>56</v>
      </c>
      <c r="S414" s="24" t="s">
        <v>60</v>
      </c>
      <c r="T414" s="24" t="s">
        <v>106</v>
      </c>
      <c r="U414" s="24" t="s">
        <v>128</v>
      </c>
      <c r="V414" s="24" t="s">
        <v>77</v>
      </c>
      <c r="W414" s="24" t="s">
        <v>116</v>
      </c>
      <c r="X414" s="24" t="s">
        <v>107</v>
      </c>
      <c r="Y414" s="24" t="s">
        <v>1457</v>
      </c>
      <c r="Z414" s="24" t="s">
        <v>64</v>
      </c>
      <c r="AA414" s="24" t="s">
        <v>572</v>
      </c>
      <c r="AB414" s="24" t="s">
        <v>56</v>
      </c>
      <c r="AC414" s="24" t="s">
        <v>1458</v>
      </c>
    </row>
    <row r="415" spans="1:29">
      <c r="A415" s="30" t="s">
        <v>1459</v>
      </c>
      <c r="B415" s="30" t="str">
        <f>IF(ISNUMBER(SEARCH(E415,A415)),A415,IF(OR(E415="",E415=""),A415,A415&amp;" - "&amp;E415))</f>
        <v>avaay Signature 7/11 GCO - Green Croc Orange</v>
      </c>
      <c r="C415" s="30" t="s">
        <v>569</v>
      </c>
      <c r="D415" s="30" t="s">
        <v>570</v>
      </c>
      <c r="E415" s="30" t="s">
        <v>1460</v>
      </c>
      <c r="F415" s="30" t="s">
        <v>86</v>
      </c>
      <c r="G415" s="34">
        <v>8</v>
      </c>
      <c r="H415" s="35">
        <v>11</v>
      </c>
      <c r="I415" s="30"/>
      <c r="J415" s="30"/>
      <c r="K415" s="30" t="s">
        <v>52</v>
      </c>
      <c r="L415" s="30" t="s">
        <v>53</v>
      </c>
      <c r="M415" s="30" t="s">
        <v>71</v>
      </c>
      <c r="N415" s="30" t="s">
        <v>72</v>
      </c>
      <c r="O415" s="30" t="s">
        <v>56</v>
      </c>
      <c r="P415" s="30" t="s">
        <v>146</v>
      </c>
      <c r="Q415" s="30" t="s">
        <v>59</v>
      </c>
      <c r="R415" s="30" t="s">
        <v>56</v>
      </c>
      <c r="S415" s="30" t="s">
        <v>123</v>
      </c>
      <c r="T415" s="30" t="s">
        <v>106</v>
      </c>
      <c r="U415" s="30" t="s">
        <v>91</v>
      </c>
      <c r="V415" s="30" t="s">
        <v>77</v>
      </c>
      <c r="W415" s="30" t="s">
        <v>129</v>
      </c>
      <c r="X415" s="30" t="s">
        <v>138</v>
      </c>
      <c r="Y415" s="30" t="s">
        <v>1117</v>
      </c>
      <c r="Z415" s="30" t="s">
        <v>64</v>
      </c>
      <c r="AA415" s="30" t="s">
        <v>572</v>
      </c>
      <c r="AB415" s="30" t="s">
        <v>802</v>
      </c>
      <c r="AC415" s="30" t="s">
        <v>1461</v>
      </c>
    </row>
    <row r="416" spans="1:29">
      <c r="A416" s="24" t="s">
        <v>1462</v>
      </c>
      <c r="B416" s="24" t="str">
        <f>IF(ISNUMBER(SEARCH(E416,A416)),A416,IF(OR(E416="",E416=""),A416,A416&amp;" - "&amp;E416))</f>
        <v>enua 22/1 ABG CA - Sweets</v>
      </c>
      <c r="C416" s="24" t="s">
        <v>650</v>
      </c>
      <c r="D416" s="24" t="s">
        <v>651</v>
      </c>
      <c r="E416" s="24" t="s">
        <v>1463</v>
      </c>
      <c r="F416" s="24" t="s">
        <v>144</v>
      </c>
      <c r="G416" s="27">
        <v>22</v>
      </c>
      <c r="H416" s="28">
        <v>1</v>
      </c>
      <c r="I416" s="24"/>
      <c r="J416" s="24"/>
      <c r="K416" s="24" t="s">
        <v>52</v>
      </c>
      <c r="L416" s="24" t="s">
        <v>53</v>
      </c>
      <c r="M416" s="24" t="s">
        <v>54</v>
      </c>
      <c r="N416" s="24" t="s">
        <v>111</v>
      </c>
      <c r="O416" s="24" t="s">
        <v>88</v>
      </c>
      <c r="P416" s="24" t="s">
        <v>73</v>
      </c>
      <c r="Q416" s="24" t="s">
        <v>89</v>
      </c>
      <c r="R416" s="24" t="s">
        <v>59</v>
      </c>
      <c r="S416" s="24" t="s">
        <v>61</v>
      </c>
      <c r="T416" s="24" t="s">
        <v>115</v>
      </c>
      <c r="U416" s="24" t="s">
        <v>128</v>
      </c>
      <c r="V416" s="24" t="s">
        <v>129</v>
      </c>
      <c r="W416" s="24" t="s">
        <v>79</v>
      </c>
      <c r="X416" s="24" t="s">
        <v>107</v>
      </c>
      <c r="Y416" s="24" t="s">
        <v>1464</v>
      </c>
      <c r="Z416" s="24" t="s">
        <v>64</v>
      </c>
      <c r="AA416" s="24" t="s">
        <v>653</v>
      </c>
      <c r="AB416" s="24" t="s">
        <v>56</v>
      </c>
      <c r="AC416" s="24" t="s">
        <v>1465</v>
      </c>
    </row>
    <row r="417" spans="1:29">
      <c r="A417" s="30" t="s">
        <v>1466</v>
      </c>
      <c r="B417" s="30" t="str">
        <f>IF(ISNUMBER(SEARCH(E417,A417)),A417,IF(OR(E417="",E417=""),A417,A417&amp;" - "&amp;E417))</f>
        <v>All Nations MD PT - Mac Daddy</v>
      </c>
      <c r="C417" s="30" t="s">
        <v>564</v>
      </c>
      <c r="D417" s="30" t="s">
        <v>565</v>
      </c>
      <c r="E417" s="30" t="s">
        <v>1467</v>
      </c>
      <c r="F417" s="30" t="s">
        <v>177</v>
      </c>
      <c r="G417" s="34">
        <v>24</v>
      </c>
      <c r="H417" s="35">
        <v>1</v>
      </c>
      <c r="I417" s="30"/>
      <c r="J417" s="30"/>
      <c r="K417" s="30" t="s">
        <v>52</v>
      </c>
      <c r="L417" s="30" t="s">
        <v>53</v>
      </c>
      <c r="M417" s="30" t="s">
        <v>54</v>
      </c>
      <c r="N417" s="30" t="s">
        <v>111</v>
      </c>
      <c r="O417" s="30" t="s">
        <v>88</v>
      </c>
      <c r="P417" s="30" t="s">
        <v>73</v>
      </c>
      <c r="Q417" s="30" t="s">
        <v>74</v>
      </c>
      <c r="R417" s="30" t="s">
        <v>75</v>
      </c>
      <c r="S417" s="30" t="s">
        <v>147</v>
      </c>
      <c r="T417" s="30" t="s">
        <v>106</v>
      </c>
      <c r="U417" s="30" t="s">
        <v>91</v>
      </c>
      <c r="V417" s="30" t="s">
        <v>77</v>
      </c>
      <c r="W417" s="30" t="s">
        <v>116</v>
      </c>
      <c r="X417" s="30" t="s">
        <v>107</v>
      </c>
      <c r="Y417" s="30" t="s">
        <v>1457</v>
      </c>
      <c r="Z417" s="30" t="s">
        <v>64</v>
      </c>
      <c r="AA417" s="30" t="s">
        <v>565</v>
      </c>
      <c r="AB417" s="30" t="s">
        <v>1232</v>
      </c>
      <c r="AC417" s="30" t="s">
        <v>1468</v>
      </c>
    </row>
    <row r="418" spans="1:29">
      <c r="A418" s="24" t="s">
        <v>1469</v>
      </c>
      <c r="B418" s="24" t="str">
        <f>IF(ISNUMBER(SEARCH(E418,A418)),A418,IF(OR(E418="",E418=""),A418,A418&amp;" - "&amp;E418))</f>
        <v>aleph amber 20/1 - Mango Kush</v>
      </c>
      <c r="C418" s="24" t="s">
        <v>725</v>
      </c>
      <c r="D418" s="24" t="s">
        <v>726</v>
      </c>
      <c r="E418" s="24" t="s">
        <v>727</v>
      </c>
      <c r="F418" s="24" t="s">
        <v>120</v>
      </c>
      <c r="G418" s="27">
        <v>20</v>
      </c>
      <c r="H418" s="28">
        <v>1</v>
      </c>
      <c r="I418" s="24"/>
      <c r="J418" s="24"/>
      <c r="K418" s="24" t="s">
        <v>52</v>
      </c>
      <c r="L418" s="24" t="s">
        <v>102</v>
      </c>
      <c r="M418" s="24" t="s">
        <v>103</v>
      </c>
      <c r="N418" s="24" t="s">
        <v>178</v>
      </c>
      <c r="O418" s="24" t="s">
        <v>72</v>
      </c>
      <c r="P418" s="24" t="s">
        <v>136</v>
      </c>
      <c r="Q418" s="24" t="s">
        <v>146</v>
      </c>
      <c r="R418" s="24" t="s">
        <v>74</v>
      </c>
      <c r="S418" s="24" t="s">
        <v>106</v>
      </c>
      <c r="T418" s="24" t="s">
        <v>128</v>
      </c>
      <c r="U418" s="24" t="s">
        <v>62</v>
      </c>
      <c r="V418" s="24" t="s">
        <v>92</v>
      </c>
      <c r="W418" s="24" t="s">
        <v>77</v>
      </c>
      <c r="X418" s="24" t="s">
        <v>116</v>
      </c>
      <c r="Y418" s="24" t="s">
        <v>1470</v>
      </c>
      <c r="Z418" s="24" t="s">
        <v>64</v>
      </c>
      <c r="AA418" s="24" t="s">
        <v>726</v>
      </c>
      <c r="AB418" s="24" t="s">
        <v>56</v>
      </c>
      <c r="AC418" s="24" t="s">
        <v>1471</v>
      </c>
    </row>
    <row r="419" spans="1:29">
      <c r="A419" s="30" t="s">
        <v>1472</v>
      </c>
      <c r="B419" s="30" t="str">
        <f>IF(ISNUMBER(SEARCH(E419,A419)),A419,IF(OR(E419="",E419=""),A419,A419&amp;" - "&amp;E419))</f>
        <v>420 Evolution 30/1 CA GMO - GMO Cookies</v>
      </c>
      <c r="C419" s="30" t="s">
        <v>463</v>
      </c>
      <c r="D419" s="30" t="s">
        <v>464</v>
      </c>
      <c r="E419" s="30" t="s">
        <v>816</v>
      </c>
      <c r="F419" s="30" t="s">
        <v>120</v>
      </c>
      <c r="G419" s="34">
        <v>30</v>
      </c>
      <c r="H419" s="35">
        <v>1</v>
      </c>
      <c r="I419" s="30"/>
      <c r="J419" s="30"/>
      <c r="K419" s="30" t="s">
        <v>52</v>
      </c>
      <c r="L419" s="30" t="s">
        <v>53</v>
      </c>
      <c r="M419" s="30" t="s">
        <v>88</v>
      </c>
      <c r="N419" s="30" t="s">
        <v>121</v>
      </c>
      <c r="O419" s="30" t="s">
        <v>72</v>
      </c>
      <c r="P419" s="30" t="s">
        <v>73</v>
      </c>
      <c r="Q419" s="30" t="s">
        <v>56</v>
      </c>
      <c r="R419" s="30" t="s">
        <v>56</v>
      </c>
      <c r="S419" s="30" t="s">
        <v>466</v>
      </c>
      <c r="T419" s="30" t="s">
        <v>106</v>
      </c>
      <c r="U419" s="30" t="s">
        <v>493</v>
      </c>
      <c r="V419" s="30" t="s">
        <v>92</v>
      </c>
      <c r="W419" s="30" t="s">
        <v>116</v>
      </c>
      <c r="X419" s="30" t="s">
        <v>79</v>
      </c>
      <c r="Y419" s="30" t="s">
        <v>421</v>
      </c>
      <c r="Z419" s="30" t="s">
        <v>64</v>
      </c>
      <c r="AA419" s="30" t="s">
        <v>468</v>
      </c>
      <c r="AB419" s="30" t="s">
        <v>56</v>
      </c>
      <c r="AC419" s="30" t="s">
        <v>1473</v>
      </c>
    </row>
    <row r="420" spans="1:29">
      <c r="A420" s="24" t="s">
        <v>1474</v>
      </c>
      <c r="B420" s="24" t="str">
        <f>IF(ISNUMBER(SEARCH(E420,A420)),A420,IF(OR(E420="",E420=""),A420,A420&amp;" - "&amp;E420))</f>
        <v>Bathera 23/1 GF - Garlic Funk</v>
      </c>
      <c r="C420" s="24" t="s">
        <v>153</v>
      </c>
      <c r="D420" s="24" t="s">
        <v>154</v>
      </c>
      <c r="E420" s="24" t="s">
        <v>1475</v>
      </c>
      <c r="F420" s="24" t="s">
        <v>177</v>
      </c>
      <c r="G420" s="27">
        <v>23</v>
      </c>
      <c r="H420" s="28">
        <v>1</v>
      </c>
      <c r="I420" s="24"/>
      <c r="J420" s="24"/>
      <c r="K420" s="24" t="s">
        <v>52</v>
      </c>
      <c r="L420" s="24" t="s">
        <v>102</v>
      </c>
      <c r="M420" s="24" t="s">
        <v>212</v>
      </c>
      <c r="N420" s="24" t="s">
        <v>88</v>
      </c>
      <c r="O420" s="24" t="s">
        <v>178</v>
      </c>
      <c r="P420" s="24" t="s">
        <v>73</v>
      </c>
      <c r="Q420" s="24" t="s">
        <v>104</v>
      </c>
      <c r="R420" s="24" t="s">
        <v>89</v>
      </c>
      <c r="S420" s="24" t="s">
        <v>106</v>
      </c>
      <c r="T420" s="24" t="s">
        <v>62</v>
      </c>
      <c r="U420" s="24" t="s">
        <v>128</v>
      </c>
      <c r="V420" s="24" t="s">
        <v>77</v>
      </c>
      <c r="W420" s="24" t="s">
        <v>173</v>
      </c>
      <c r="X420" s="24" t="s">
        <v>711</v>
      </c>
      <c r="Y420" s="24" t="s">
        <v>213</v>
      </c>
      <c r="Z420" s="24" t="s">
        <v>64</v>
      </c>
      <c r="AA420" s="24" t="s">
        <v>154</v>
      </c>
      <c r="AB420" s="24" t="s">
        <v>160</v>
      </c>
      <c r="AC420" s="24" t="s">
        <v>1476</v>
      </c>
    </row>
    <row r="421" spans="1:29">
      <c r="A421" s="30" t="s">
        <v>1086</v>
      </c>
      <c r="B421" s="30" t="str">
        <f>IF(ISNUMBER(SEARCH(E421,A421)),A421,IF(OR(E421="",E421=""),A421,A421&amp;" - "&amp;E421))</f>
        <v>madrecan 18/1 - Granddaddy OG</v>
      </c>
      <c r="C421" s="30" t="s">
        <v>83</v>
      </c>
      <c r="D421" s="30" t="s">
        <v>84</v>
      </c>
      <c r="E421" s="30" t="s">
        <v>163</v>
      </c>
      <c r="F421" s="30" t="s">
        <v>120</v>
      </c>
      <c r="G421" s="34">
        <v>18</v>
      </c>
      <c r="H421" s="35">
        <v>1</v>
      </c>
      <c r="I421" s="30"/>
      <c r="J421" s="30"/>
      <c r="K421" s="30" t="s">
        <v>17</v>
      </c>
      <c r="L421" s="30" t="s">
        <v>102</v>
      </c>
      <c r="M421" s="30" t="s">
        <v>88</v>
      </c>
      <c r="N421" s="30" t="s">
        <v>103</v>
      </c>
      <c r="O421" s="30" t="s">
        <v>72</v>
      </c>
      <c r="P421" s="30" t="s">
        <v>157</v>
      </c>
      <c r="Q421" s="30" t="s">
        <v>146</v>
      </c>
      <c r="R421" s="30" t="s">
        <v>74</v>
      </c>
      <c r="S421" s="30" t="s">
        <v>61</v>
      </c>
      <c r="T421" s="30" t="s">
        <v>62</v>
      </c>
      <c r="U421" s="30" t="s">
        <v>164</v>
      </c>
      <c r="V421" s="30" t="s">
        <v>92</v>
      </c>
      <c r="W421" s="30" t="s">
        <v>77</v>
      </c>
      <c r="X421" s="30" t="s">
        <v>165</v>
      </c>
      <c r="Y421" s="30" t="s">
        <v>358</v>
      </c>
      <c r="Z421" s="30" t="s">
        <v>64</v>
      </c>
      <c r="AA421" s="30" t="s">
        <v>95</v>
      </c>
      <c r="AB421" s="30" t="s">
        <v>56</v>
      </c>
      <c r="AC421" s="30" t="s">
        <v>1477</v>
      </c>
    </row>
    <row r="422" spans="1:29">
      <c r="A422" s="24" t="s">
        <v>1478</v>
      </c>
      <c r="B422" s="24" t="str">
        <f>IF(ISNUMBER(SEARCH(E422,A422)),A422,IF(OR(E422="",E422=""),A422,A422&amp;" - "&amp;E422))</f>
        <v>enua 27/1 TIB CA - Tickle Burger</v>
      </c>
      <c r="C422" s="24" t="s">
        <v>650</v>
      </c>
      <c r="D422" s="24" t="s">
        <v>651</v>
      </c>
      <c r="E422" s="24" t="s">
        <v>1479</v>
      </c>
      <c r="F422" s="24" t="s">
        <v>86</v>
      </c>
      <c r="G422" s="27">
        <v>27</v>
      </c>
      <c r="H422" s="28">
        <v>1</v>
      </c>
      <c r="I422" s="24"/>
      <c r="J422" s="24"/>
      <c r="K422" s="24" t="s">
        <v>52</v>
      </c>
      <c r="L422" s="24" t="s">
        <v>53</v>
      </c>
      <c r="M422" s="24" t="s">
        <v>111</v>
      </c>
      <c r="N422" s="24" t="s">
        <v>88</v>
      </c>
      <c r="O422" s="24" t="s">
        <v>72</v>
      </c>
      <c r="P422" s="24" t="s">
        <v>73</v>
      </c>
      <c r="Q422" s="24" t="s">
        <v>74</v>
      </c>
      <c r="R422" s="24" t="s">
        <v>89</v>
      </c>
      <c r="S422" s="24" t="s">
        <v>56</v>
      </c>
      <c r="T422" s="24" t="s">
        <v>56</v>
      </c>
      <c r="U422" s="24" t="s">
        <v>56</v>
      </c>
      <c r="V422" s="24" t="s">
        <v>116</v>
      </c>
      <c r="W422" s="24" t="s">
        <v>79</v>
      </c>
      <c r="X422" s="24" t="s">
        <v>107</v>
      </c>
      <c r="Y422" s="24" t="s">
        <v>833</v>
      </c>
      <c r="Z422" s="24" t="s">
        <v>64</v>
      </c>
      <c r="AA422" s="24" t="s">
        <v>653</v>
      </c>
      <c r="AB422" s="24" t="s">
        <v>56</v>
      </c>
      <c r="AC422" s="24" t="s">
        <v>1480</v>
      </c>
    </row>
    <row r="423" spans="1:29">
      <c r="A423" s="30" t="s">
        <v>1481</v>
      </c>
      <c r="B423" s="30" t="str">
        <f>IF(ISNUMBER(SEARCH(E423,A423)),A423,IF(OR(E423="",E423=""),A423,A423&amp;" - "&amp;E423))</f>
        <v>Demecan Craft Marker 28/1 MM#2 - Magic Marker #2</v>
      </c>
      <c r="C423" s="30" t="s">
        <v>484</v>
      </c>
      <c r="D423" s="30" t="s">
        <v>485</v>
      </c>
      <c r="E423" s="30" t="s">
        <v>1018</v>
      </c>
      <c r="F423" s="30" t="s">
        <v>177</v>
      </c>
      <c r="G423" s="34">
        <v>29</v>
      </c>
      <c r="H423" s="35">
        <v>1</v>
      </c>
      <c r="I423" s="30"/>
      <c r="J423" s="30"/>
      <c r="K423" s="30" t="s">
        <v>52</v>
      </c>
      <c r="L423" s="30" t="s">
        <v>53</v>
      </c>
      <c r="M423" s="30" t="s">
        <v>72</v>
      </c>
      <c r="N423" s="30"/>
      <c r="O423" s="30" t="s">
        <v>56</v>
      </c>
      <c r="P423" s="30" t="s">
        <v>74</v>
      </c>
      <c r="Q423" s="30" t="s">
        <v>75</v>
      </c>
      <c r="R423" s="30" t="s">
        <v>89</v>
      </c>
      <c r="S423" s="30" t="s">
        <v>56</v>
      </c>
      <c r="T423" s="30" t="s">
        <v>56</v>
      </c>
      <c r="U423" s="30" t="s">
        <v>56</v>
      </c>
      <c r="V423" s="30" t="s">
        <v>77</v>
      </c>
      <c r="W423" s="30" t="s">
        <v>138</v>
      </c>
      <c r="X423" s="30" t="s">
        <v>107</v>
      </c>
      <c r="Y423" s="30" t="s">
        <v>1112</v>
      </c>
      <c r="Z423" s="30" t="s">
        <v>64</v>
      </c>
      <c r="AA423" s="30" t="s">
        <v>485</v>
      </c>
      <c r="AB423" s="30" t="s">
        <v>56</v>
      </c>
      <c r="AC423" s="30" t="s">
        <v>1482</v>
      </c>
    </row>
    <row r="424" spans="1:29">
      <c r="A424" s="24" t="s">
        <v>1483</v>
      </c>
      <c r="B424" s="24" t="str">
        <f>IF(ISNUMBER(SEARCH(E424,A424)),A424,IF(OR(E424="",E424=""),A424,A424&amp;" - "&amp;E424))</f>
        <v>Demecan MC Regular Drop 25/1 - Glitter Pop Bomb</v>
      </c>
      <c r="C424" s="24" t="s">
        <v>484</v>
      </c>
      <c r="D424" s="24" t="s">
        <v>485</v>
      </c>
      <c r="E424" s="24" t="s">
        <v>1484</v>
      </c>
      <c r="F424" s="24" t="s">
        <v>177</v>
      </c>
      <c r="G424" s="27">
        <v>25</v>
      </c>
      <c r="H424" s="28">
        <v>1</v>
      </c>
      <c r="I424" s="24"/>
      <c r="J424" s="24"/>
      <c r="K424" s="24" t="s">
        <v>52</v>
      </c>
      <c r="L424" s="24" t="s">
        <v>53</v>
      </c>
      <c r="M424" s="24" t="s">
        <v>111</v>
      </c>
      <c r="N424" s="24" t="s">
        <v>88</v>
      </c>
      <c r="O424" s="24" t="s">
        <v>71</v>
      </c>
      <c r="P424" s="24" t="s">
        <v>75</v>
      </c>
      <c r="Q424" s="24" t="s">
        <v>89</v>
      </c>
      <c r="R424" s="24" t="s">
        <v>58</v>
      </c>
      <c r="S424" s="24" t="s">
        <v>105</v>
      </c>
      <c r="T424" s="24" t="s">
        <v>123</v>
      </c>
      <c r="U424" s="24" t="s">
        <v>106</v>
      </c>
      <c r="V424" s="24" t="s">
        <v>79</v>
      </c>
      <c r="W424" s="24" t="s">
        <v>107</v>
      </c>
      <c r="X424" s="24" t="s">
        <v>711</v>
      </c>
      <c r="Y424" s="24" t="s">
        <v>56</v>
      </c>
      <c r="Z424" s="24" t="s">
        <v>64</v>
      </c>
      <c r="AA424" s="24" t="s">
        <v>485</v>
      </c>
      <c r="AB424" s="24" t="s">
        <v>56</v>
      </c>
      <c r="AC424" s="24" t="s">
        <v>1485</v>
      </c>
    </row>
    <row r="425" spans="1:29">
      <c r="A425" s="30" t="s">
        <v>1486</v>
      </c>
      <c r="B425" s="30" t="str">
        <f>IF(ISNUMBER(SEARCH(E425,A425)),A425,IF(OR(E425="",E425=""),A425,A425&amp;" - "&amp;E425))</f>
        <v>IMC CBD14 C01 - God Bud</v>
      </c>
      <c r="C425" s="30" t="s">
        <v>646</v>
      </c>
      <c r="D425" s="30" t="s">
        <v>646</v>
      </c>
      <c r="E425" s="30" t="s">
        <v>1336</v>
      </c>
      <c r="F425" s="30" t="s">
        <v>86</v>
      </c>
      <c r="G425" s="34">
        <v>1</v>
      </c>
      <c r="H425" s="35">
        <v>14.000000000000002</v>
      </c>
      <c r="I425" s="30"/>
      <c r="J425" s="30"/>
      <c r="K425" s="30" t="s">
        <v>17</v>
      </c>
      <c r="L425" s="30" t="s">
        <v>423</v>
      </c>
      <c r="M425" s="30" t="s">
        <v>103</v>
      </c>
      <c r="N425" s="30" t="s">
        <v>121</v>
      </c>
      <c r="O425" s="30" t="s">
        <v>72</v>
      </c>
      <c r="P425" s="30" t="s">
        <v>104</v>
      </c>
      <c r="Q425" s="30" t="s">
        <v>59</v>
      </c>
      <c r="R425" s="30" t="s">
        <v>56</v>
      </c>
      <c r="S425" s="30" t="s">
        <v>647</v>
      </c>
      <c r="T425" s="30" t="s">
        <v>147</v>
      </c>
      <c r="U425" s="30" t="s">
        <v>106</v>
      </c>
      <c r="V425" s="30" t="s">
        <v>77</v>
      </c>
      <c r="W425" s="30" t="s">
        <v>129</v>
      </c>
      <c r="X425" s="30" t="s">
        <v>107</v>
      </c>
      <c r="Y425" s="30" t="s">
        <v>307</v>
      </c>
      <c r="Z425" s="30" t="s">
        <v>64</v>
      </c>
      <c r="AA425" s="30" t="s">
        <v>646</v>
      </c>
      <c r="AB425" s="30" t="s">
        <v>56</v>
      </c>
      <c r="AC425" s="30" t="s">
        <v>1487</v>
      </c>
    </row>
    <row r="426" spans="1:29">
      <c r="A426" s="24" t="s">
        <v>1488</v>
      </c>
      <c r="B426" s="24" t="str">
        <f>IF(ISNUMBER(SEARCH(E426,A426)),A426,IF(OR(E426="",E426=""),A426,A426&amp;" - "&amp;E426))</f>
        <v>LOT 420 LEM PT - Lemonatti</v>
      </c>
      <c r="C426" s="24" t="s">
        <v>564</v>
      </c>
      <c r="D426" s="24" t="s">
        <v>565</v>
      </c>
      <c r="E426" s="24" t="s">
        <v>1489</v>
      </c>
      <c r="F426" s="24" t="s">
        <v>86</v>
      </c>
      <c r="G426" s="27">
        <v>28</v>
      </c>
      <c r="H426" s="28">
        <v>1</v>
      </c>
      <c r="I426" s="24"/>
      <c r="J426" s="24"/>
      <c r="K426" s="24" t="s">
        <v>52</v>
      </c>
      <c r="L426" s="24" t="s">
        <v>102</v>
      </c>
      <c r="M426" s="24" t="s">
        <v>54</v>
      </c>
      <c r="N426" s="24" t="s">
        <v>111</v>
      </c>
      <c r="O426" s="24" t="s">
        <v>88</v>
      </c>
      <c r="P426" s="24" t="s">
        <v>104</v>
      </c>
      <c r="Q426" s="24" t="s">
        <v>74</v>
      </c>
      <c r="R426" s="24" t="s">
        <v>75</v>
      </c>
      <c r="S426" s="24" t="s">
        <v>147</v>
      </c>
      <c r="T426" s="24" t="s">
        <v>106</v>
      </c>
      <c r="U426" s="24" t="s">
        <v>62</v>
      </c>
      <c r="V426" s="24" t="s">
        <v>77</v>
      </c>
      <c r="W426" s="24" t="s">
        <v>79</v>
      </c>
      <c r="X426" s="24" t="s">
        <v>107</v>
      </c>
      <c r="Y426" s="24" t="s">
        <v>80</v>
      </c>
      <c r="Z426" s="24" t="s">
        <v>64</v>
      </c>
      <c r="AA426" s="24" t="s">
        <v>565</v>
      </c>
      <c r="AB426" s="24" t="s">
        <v>658</v>
      </c>
      <c r="AC426" s="24" t="s">
        <v>1490</v>
      </c>
    </row>
    <row r="427" spans="1:29">
      <c r="A427" s="30" t="s">
        <v>1491</v>
      </c>
      <c r="B427" s="30" t="str">
        <f>IF(ISNUMBER(SEARCH(E427,A427)),A427,IF(OR(E427="",E427=""),A427,A427&amp;" - "&amp;E427))</f>
        <v>CNBS VV 26/1 - Varnish Vapor</v>
      </c>
      <c r="C427" s="30" t="s">
        <v>822</v>
      </c>
      <c r="D427" s="30" t="s">
        <v>823</v>
      </c>
      <c r="E427" s="30" t="s">
        <v>1057</v>
      </c>
      <c r="F427" s="30" t="s">
        <v>86</v>
      </c>
      <c r="G427" s="34">
        <v>26</v>
      </c>
      <c r="H427" s="35">
        <v>1</v>
      </c>
      <c r="I427" s="30"/>
      <c r="J427" s="30"/>
      <c r="K427" s="30" t="s">
        <v>52</v>
      </c>
      <c r="L427" s="30" t="s">
        <v>53</v>
      </c>
      <c r="M427" s="30" t="s">
        <v>111</v>
      </c>
      <c r="N427" s="30" t="s">
        <v>72</v>
      </c>
      <c r="O427" s="30" t="s">
        <v>56</v>
      </c>
      <c r="P427" s="30" t="s">
        <v>89</v>
      </c>
      <c r="Q427" s="30" t="s">
        <v>58</v>
      </c>
      <c r="R427" s="30" t="s">
        <v>59</v>
      </c>
      <c r="S427" s="30" t="s">
        <v>147</v>
      </c>
      <c r="T427" s="30" t="s">
        <v>106</v>
      </c>
      <c r="U427" s="30" t="s">
        <v>62</v>
      </c>
      <c r="V427" s="30" t="s">
        <v>180</v>
      </c>
      <c r="W427" s="30" t="s">
        <v>129</v>
      </c>
      <c r="X427" s="30" t="s">
        <v>79</v>
      </c>
      <c r="Y427" s="30" t="s">
        <v>539</v>
      </c>
      <c r="Z427" s="30" t="s">
        <v>64</v>
      </c>
      <c r="AA427" s="30" t="s">
        <v>826</v>
      </c>
      <c r="AB427" s="30" t="s">
        <v>56</v>
      </c>
      <c r="AC427" s="30" t="s">
        <v>1492</v>
      </c>
    </row>
    <row r="428" spans="1:29">
      <c r="A428" s="24" t="s">
        <v>1493</v>
      </c>
      <c r="B428" s="24" t="str">
        <f>IF(ISNUMBER(SEARCH(E428,A428)),A428,IF(OR(E428="",E428=""),A428,A428&amp;" - "&amp;E428))</f>
        <v>CannabiStada VED 27 - Ventura Dawg</v>
      </c>
      <c r="C428" s="24" t="s">
        <v>478</v>
      </c>
      <c r="D428" s="24" t="s">
        <v>479</v>
      </c>
      <c r="E428" s="24" t="s">
        <v>1494</v>
      </c>
      <c r="F428" s="24" t="s">
        <v>86</v>
      </c>
      <c r="G428" s="27">
        <v>27</v>
      </c>
      <c r="H428" s="28">
        <v>1</v>
      </c>
      <c r="I428" s="24"/>
      <c r="J428" s="24"/>
      <c r="K428" s="24" t="s">
        <v>52</v>
      </c>
      <c r="L428" s="24" t="s">
        <v>53</v>
      </c>
      <c r="M428" s="24" t="s">
        <v>72</v>
      </c>
      <c r="N428" s="24"/>
      <c r="O428" s="24" t="s">
        <v>56</v>
      </c>
      <c r="P428" s="24" t="s">
        <v>73</v>
      </c>
      <c r="Q428" s="24" t="s">
        <v>74</v>
      </c>
      <c r="R428" s="24" t="s">
        <v>113</v>
      </c>
      <c r="S428" s="24" t="s">
        <v>147</v>
      </c>
      <c r="T428" s="24" t="s">
        <v>106</v>
      </c>
      <c r="U428" s="24" t="s">
        <v>493</v>
      </c>
      <c r="V428" s="24" t="s">
        <v>77</v>
      </c>
      <c r="W428" s="24" t="s">
        <v>107</v>
      </c>
      <c r="X428" s="24" t="s">
        <v>56</v>
      </c>
      <c r="Y428" s="24" t="s">
        <v>80</v>
      </c>
      <c r="Z428" s="24" t="s">
        <v>64</v>
      </c>
      <c r="AA428" s="24" t="s">
        <v>481</v>
      </c>
      <c r="AB428" s="24" t="s">
        <v>56</v>
      </c>
      <c r="AC428" s="24" t="s">
        <v>1495</v>
      </c>
    </row>
    <row r="429" spans="1:29">
      <c r="A429" s="30" t="s">
        <v>1496</v>
      </c>
      <c r="B429" s="30" t="str">
        <f>IF(ISNUMBER(SEARCH(E429,A429)),A429,IF(OR(E429="",E429=""),A429,A429&amp;" - "&amp;E429))</f>
        <v>Supreme 24/1 - Frosted Lemon Cake</v>
      </c>
      <c r="C429" s="30" t="s">
        <v>641</v>
      </c>
      <c r="D429" s="30" t="s">
        <v>642</v>
      </c>
      <c r="E429" s="30" t="s">
        <v>85</v>
      </c>
      <c r="F429" s="30" t="s">
        <v>86</v>
      </c>
      <c r="G429" s="34">
        <v>24</v>
      </c>
      <c r="H429" s="35">
        <v>1</v>
      </c>
      <c r="I429" s="30"/>
      <c r="J429" s="30"/>
      <c r="K429" s="30" t="s">
        <v>17</v>
      </c>
      <c r="L429" s="30" t="s">
        <v>87</v>
      </c>
      <c r="M429" s="30" t="s">
        <v>88</v>
      </c>
      <c r="N429" s="30" t="s">
        <v>72</v>
      </c>
      <c r="O429" s="30" t="s">
        <v>56</v>
      </c>
      <c r="P429" s="30" t="s">
        <v>75</v>
      </c>
      <c r="Q429" s="30" t="s">
        <v>89</v>
      </c>
      <c r="R429" s="30" t="s">
        <v>56</v>
      </c>
      <c r="S429" s="30" t="s">
        <v>90</v>
      </c>
      <c r="T429" s="30" t="s">
        <v>123</v>
      </c>
      <c r="U429" s="30" t="s">
        <v>106</v>
      </c>
      <c r="V429" s="30" t="s">
        <v>92</v>
      </c>
      <c r="W429" s="30" t="s">
        <v>77</v>
      </c>
      <c r="X429" s="30" t="s">
        <v>93</v>
      </c>
      <c r="Y429" s="30" t="s">
        <v>213</v>
      </c>
      <c r="Z429" s="30" t="s">
        <v>64</v>
      </c>
      <c r="AA429" s="30" t="s">
        <v>642</v>
      </c>
      <c r="AB429" s="30" t="s">
        <v>96</v>
      </c>
      <c r="AC429" s="30" t="s">
        <v>1497</v>
      </c>
    </row>
    <row r="430" spans="1:29">
      <c r="A430" s="24" t="s">
        <v>1498</v>
      </c>
      <c r="B430" s="24" t="str">
        <f>IF(ISNUMBER(SEARCH(E430,A430)),A430,IF(OR(E430="",E430=""),A430,A430&amp;" - "&amp;E430))</f>
        <v>IMC GL41 THC20 - Gelato 41</v>
      </c>
      <c r="C430" s="24" t="s">
        <v>646</v>
      </c>
      <c r="D430" s="24" t="s">
        <v>646</v>
      </c>
      <c r="E430" s="24" t="s">
        <v>1499</v>
      </c>
      <c r="F430" s="24" t="s">
        <v>177</v>
      </c>
      <c r="G430" s="27">
        <v>20</v>
      </c>
      <c r="H430" s="28">
        <v>1</v>
      </c>
      <c r="I430" s="24"/>
      <c r="J430" s="24"/>
      <c r="K430" s="24" t="s">
        <v>52</v>
      </c>
      <c r="L430" s="24"/>
      <c r="M430" s="24" t="s">
        <v>54</v>
      </c>
      <c r="N430" s="24" t="s">
        <v>111</v>
      </c>
      <c r="O430" s="24" t="s">
        <v>88</v>
      </c>
      <c r="P430" s="24" t="s">
        <v>112</v>
      </c>
      <c r="Q430" s="24" t="s">
        <v>74</v>
      </c>
      <c r="R430" s="24" t="s">
        <v>113</v>
      </c>
      <c r="S430" s="24" t="s">
        <v>106</v>
      </c>
      <c r="T430" s="24" t="s">
        <v>62</v>
      </c>
      <c r="U430" s="24" t="s">
        <v>164</v>
      </c>
      <c r="V430" s="24" t="s">
        <v>77</v>
      </c>
      <c r="W430" s="24" t="s">
        <v>79</v>
      </c>
      <c r="X430" s="24" t="s">
        <v>107</v>
      </c>
      <c r="Y430" s="24" t="s">
        <v>213</v>
      </c>
      <c r="Z430" s="24" t="s">
        <v>64</v>
      </c>
      <c r="AA430" s="24" t="s">
        <v>646</v>
      </c>
      <c r="AB430" s="24" t="s">
        <v>56</v>
      </c>
      <c r="AC430" s="24" t="s">
        <v>1500</v>
      </c>
    </row>
    <row r="431" spans="1:29">
      <c r="A431" s="30" t="s">
        <v>1501</v>
      </c>
      <c r="B431" s="30" t="str">
        <f>IF(ISNUMBER(SEARCH(E431,A431)),A431,IF(OR(E431="",E431=""),A431,A431&amp;" - "&amp;E431))</f>
        <v>IMC GO THC23 - Jokerz #53</v>
      </c>
      <c r="C431" s="30" t="s">
        <v>646</v>
      </c>
      <c r="D431" s="30" t="s">
        <v>646</v>
      </c>
      <c r="E431" s="30" t="s">
        <v>1502</v>
      </c>
      <c r="F431" s="30" t="s">
        <v>177</v>
      </c>
      <c r="G431" s="34">
        <v>23</v>
      </c>
      <c r="H431" s="35">
        <v>1</v>
      </c>
      <c r="I431" s="30"/>
      <c r="J431" s="30"/>
      <c r="K431" s="30" t="s">
        <v>52</v>
      </c>
      <c r="L431" s="30"/>
      <c r="M431" s="30" t="s">
        <v>54</v>
      </c>
      <c r="N431" s="30" t="s">
        <v>88</v>
      </c>
      <c r="O431" s="30" t="s">
        <v>72</v>
      </c>
      <c r="P431" s="30" t="s">
        <v>73</v>
      </c>
      <c r="Q431" s="30" t="s">
        <v>74</v>
      </c>
      <c r="R431" s="30" t="s">
        <v>89</v>
      </c>
      <c r="S431" s="30" t="s">
        <v>123</v>
      </c>
      <c r="T431" s="30" t="s">
        <v>106</v>
      </c>
      <c r="U431" s="30" t="s">
        <v>62</v>
      </c>
      <c r="V431" s="30" t="s">
        <v>77</v>
      </c>
      <c r="W431" s="30" t="s">
        <v>116</v>
      </c>
      <c r="X431" s="30" t="s">
        <v>107</v>
      </c>
      <c r="Y431" s="30" t="s">
        <v>213</v>
      </c>
      <c r="Z431" s="30" t="s">
        <v>64</v>
      </c>
      <c r="AA431" s="30" t="s">
        <v>646</v>
      </c>
      <c r="AB431" s="30" t="s">
        <v>56</v>
      </c>
      <c r="AC431" s="30" t="s">
        <v>1503</v>
      </c>
    </row>
    <row r="432" spans="1:29">
      <c r="A432" s="24" t="s">
        <v>1504</v>
      </c>
      <c r="B432" s="24" t="str">
        <f>IF(ISNUMBER(SEARCH(E432,A432)),A432,IF(OR(E432="",E432=""),A432,A432&amp;" - "&amp;E432))</f>
        <v>IMC TB THC24 - Tropicana Banana</v>
      </c>
      <c r="C432" s="24" t="s">
        <v>646</v>
      </c>
      <c r="D432" s="24" t="s">
        <v>646</v>
      </c>
      <c r="E432" s="24" t="s">
        <v>1505</v>
      </c>
      <c r="F432" s="24" t="s">
        <v>144</v>
      </c>
      <c r="G432" s="27">
        <v>23</v>
      </c>
      <c r="H432" s="28">
        <v>1</v>
      </c>
      <c r="I432" s="24"/>
      <c r="J432" s="24"/>
      <c r="K432" s="24" t="s">
        <v>52</v>
      </c>
      <c r="L432" s="24" t="s">
        <v>1506</v>
      </c>
      <c r="M432" s="24" t="s">
        <v>54</v>
      </c>
      <c r="N432" s="24" t="s">
        <v>111</v>
      </c>
      <c r="O432" s="24" t="s">
        <v>55</v>
      </c>
      <c r="P432" s="24" t="s">
        <v>136</v>
      </c>
      <c r="Q432" s="24" t="s">
        <v>74</v>
      </c>
      <c r="R432" s="24" t="s">
        <v>75</v>
      </c>
      <c r="S432" s="24" t="s">
        <v>192</v>
      </c>
      <c r="T432" s="24" t="s">
        <v>91</v>
      </c>
      <c r="U432" s="24" t="s">
        <v>62</v>
      </c>
      <c r="V432" s="24" t="s">
        <v>77</v>
      </c>
      <c r="W432" s="24" t="s">
        <v>107</v>
      </c>
      <c r="X432" s="24" t="s">
        <v>56</v>
      </c>
      <c r="Y432" s="24" t="s">
        <v>437</v>
      </c>
      <c r="Z432" s="24" t="s">
        <v>64</v>
      </c>
      <c r="AA432" s="24" t="s">
        <v>646</v>
      </c>
      <c r="AB432" s="24" t="s">
        <v>56</v>
      </c>
      <c r="AC432" s="24" t="s">
        <v>1507</v>
      </c>
    </row>
    <row r="433" spans="1:29">
      <c r="A433" s="30" t="s">
        <v>1508</v>
      </c>
      <c r="B433" s="30" t="str">
        <f>IF(ISNUMBER(SEARCH(E433,A433)),A433,IF(OR(E433="",E433=""),A433,A433&amp;" - "&amp;E433))</f>
        <v>Herbasana Colombiana 20:01 - Apple Soda</v>
      </c>
      <c r="C433" s="30" t="s">
        <v>1509</v>
      </c>
      <c r="D433" s="30" t="s">
        <v>1510</v>
      </c>
      <c r="E433" s="30" t="s">
        <v>1511</v>
      </c>
      <c r="F433" s="30" t="s">
        <v>86</v>
      </c>
      <c r="G433" s="34">
        <v>20</v>
      </c>
      <c r="H433" s="35">
        <v>1</v>
      </c>
      <c r="I433" s="30"/>
      <c r="J433" s="30"/>
      <c r="K433" s="30" t="s">
        <v>52</v>
      </c>
      <c r="L433" s="30" t="s">
        <v>202</v>
      </c>
      <c r="M433" s="30" t="s">
        <v>71</v>
      </c>
      <c r="N433" s="30" t="s">
        <v>178</v>
      </c>
      <c r="O433" s="30" t="s">
        <v>72</v>
      </c>
      <c r="P433" s="30" t="s">
        <v>104</v>
      </c>
      <c r="Q433" s="30" t="s">
        <v>75</v>
      </c>
      <c r="R433" s="30" t="s">
        <v>58</v>
      </c>
      <c r="S433" s="30" t="s">
        <v>91</v>
      </c>
      <c r="T433" s="30" t="s">
        <v>203</v>
      </c>
      <c r="U433" s="30" t="s">
        <v>62</v>
      </c>
      <c r="V433" s="30" t="s">
        <v>79</v>
      </c>
      <c r="W433" s="30" t="s">
        <v>107</v>
      </c>
      <c r="X433" s="30" t="s">
        <v>93</v>
      </c>
      <c r="Y433" s="30" t="s">
        <v>213</v>
      </c>
      <c r="Z433" s="30" t="s">
        <v>64</v>
      </c>
      <c r="AA433" s="30" t="s">
        <v>1512</v>
      </c>
      <c r="AB433" s="30" t="s">
        <v>56</v>
      </c>
      <c r="AC433" s="30" t="s">
        <v>1513</v>
      </c>
    </row>
    <row r="434" spans="1:29">
      <c r="A434" s="24" t="s">
        <v>1514</v>
      </c>
      <c r="B434" s="24" t="str">
        <f>IF(ISNUMBER(SEARCH(E434,A434)),A434,IF(OR(E434="",E434=""),A434,A434&amp;" - "&amp;E434))</f>
        <v>Herbasana La Santa 24:01 - Passion Soda</v>
      </c>
      <c r="C434" s="24" t="s">
        <v>1509</v>
      </c>
      <c r="D434" s="24" t="s">
        <v>1510</v>
      </c>
      <c r="E434" s="24" t="s">
        <v>1515</v>
      </c>
      <c r="F434" s="24" t="s">
        <v>86</v>
      </c>
      <c r="G434" s="27">
        <v>22</v>
      </c>
      <c r="H434" s="28">
        <v>1</v>
      </c>
      <c r="I434" s="24"/>
      <c r="J434" s="24"/>
      <c r="K434" s="24" t="s">
        <v>52</v>
      </c>
      <c r="L434" s="24" t="s">
        <v>202</v>
      </c>
      <c r="M434" s="24" t="s">
        <v>54</v>
      </c>
      <c r="N434" s="24" t="s">
        <v>111</v>
      </c>
      <c r="O434" s="24" t="s">
        <v>88</v>
      </c>
      <c r="P434" s="24" t="s">
        <v>157</v>
      </c>
      <c r="Q434" s="24" t="s">
        <v>74</v>
      </c>
      <c r="R434" s="24" t="s">
        <v>75</v>
      </c>
      <c r="S434" s="24" t="s">
        <v>106</v>
      </c>
      <c r="T434" s="24" t="s">
        <v>114</v>
      </c>
      <c r="U434" s="24" t="s">
        <v>128</v>
      </c>
      <c r="V434" s="24" t="s">
        <v>77</v>
      </c>
      <c r="W434" s="24" t="s">
        <v>107</v>
      </c>
      <c r="X434" s="24" t="s">
        <v>56</v>
      </c>
      <c r="Y434" s="24" t="s">
        <v>130</v>
      </c>
      <c r="Z434" s="24" t="s">
        <v>64</v>
      </c>
      <c r="AA434" s="24" t="s">
        <v>1512</v>
      </c>
      <c r="AB434" s="24" t="s">
        <v>56</v>
      </c>
      <c r="AC434" s="24" t="s">
        <v>1516</v>
      </c>
    </row>
    <row r="435" spans="1:29">
      <c r="A435" s="30" t="s">
        <v>1517</v>
      </c>
      <c r="B435" s="30" t="str">
        <f>IF(ISNUMBER(SEARCH(E435,A435)),A435,IF(OR(E435="",E435=""),A435,A435&amp;" - "&amp;E435))</f>
        <v>enua 22/1 GPP CA - Gelly Popper</v>
      </c>
      <c r="C435" s="30" t="s">
        <v>650</v>
      </c>
      <c r="D435" s="30" t="s">
        <v>651</v>
      </c>
      <c r="E435" s="30" t="s">
        <v>1518</v>
      </c>
      <c r="F435" s="30" t="s">
        <v>144</v>
      </c>
      <c r="G435" s="34">
        <v>22</v>
      </c>
      <c r="H435" s="35">
        <v>1</v>
      </c>
      <c r="I435" s="30"/>
      <c r="J435" s="30"/>
      <c r="K435" s="30" t="s">
        <v>52</v>
      </c>
      <c r="L435" s="30" t="s">
        <v>53</v>
      </c>
      <c r="M435" s="30" t="s">
        <v>54</v>
      </c>
      <c r="N435" s="30" t="s">
        <v>111</v>
      </c>
      <c r="O435" s="30" t="s">
        <v>88</v>
      </c>
      <c r="P435" s="30" t="s">
        <v>57</v>
      </c>
      <c r="Q435" s="30" t="s">
        <v>74</v>
      </c>
      <c r="R435" s="30" t="s">
        <v>89</v>
      </c>
      <c r="S435" s="30" t="s">
        <v>493</v>
      </c>
      <c r="T435" s="30" t="s">
        <v>128</v>
      </c>
      <c r="U435" s="30" t="s">
        <v>62</v>
      </c>
      <c r="V435" s="30" t="s">
        <v>77</v>
      </c>
      <c r="W435" s="30" t="s">
        <v>107</v>
      </c>
      <c r="X435" s="30" t="s">
        <v>56</v>
      </c>
      <c r="Y435" s="30" t="s">
        <v>1519</v>
      </c>
      <c r="Z435" s="30" t="s">
        <v>64</v>
      </c>
      <c r="AA435" s="30" t="s">
        <v>653</v>
      </c>
      <c r="AB435" s="30" t="s">
        <v>56</v>
      </c>
      <c r="AC435" s="30" t="s">
        <v>1520</v>
      </c>
    </row>
    <row r="436" spans="1:29">
      <c r="A436" s="24" t="s">
        <v>1521</v>
      </c>
      <c r="B436" s="24" t="str">
        <f>IF(ISNUMBER(SEARCH(E436,A436)),A436,IF(OR(E436="",E436=""),A436,A436&amp;" - "&amp;E436))</f>
        <v>Wellford Aquaponic 23/1 COP - Critical Orange Punch</v>
      </c>
      <c r="C436" s="24" t="s">
        <v>741</v>
      </c>
      <c r="D436" s="24" t="s">
        <v>742</v>
      </c>
      <c r="E436" s="24" t="s">
        <v>1522</v>
      </c>
      <c r="F436" s="24" t="s">
        <v>69</v>
      </c>
      <c r="G436" s="27">
        <v>23</v>
      </c>
      <c r="H436" s="28">
        <v>1</v>
      </c>
      <c r="I436" s="24"/>
      <c r="J436" s="24"/>
      <c r="K436" s="24" t="s">
        <v>52</v>
      </c>
      <c r="L436" s="24" t="s">
        <v>53</v>
      </c>
      <c r="M436" s="24" t="s">
        <v>54</v>
      </c>
      <c r="N436" s="24" t="s">
        <v>88</v>
      </c>
      <c r="O436" s="24" t="s">
        <v>56</v>
      </c>
      <c r="P436" s="24" t="s">
        <v>74</v>
      </c>
      <c r="Q436" s="24" t="s">
        <v>75</v>
      </c>
      <c r="R436" s="24" t="s">
        <v>89</v>
      </c>
      <c r="S436" s="24" t="s">
        <v>147</v>
      </c>
      <c r="T436" s="24" t="s">
        <v>106</v>
      </c>
      <c r="U436" s="24" t="s">
        <v>493</v>
      </c>
      <c r="V436" s="24" t="s">
        <v>77</v>
      </c>
      <c r="W436" s="24" t="s">
        <v>116</v>
      </c>
      <c r="X436" s="24" t="s">
        <v>180</v>
      </c>
      <c r="Y436" s="24" t="s">
        <v>311</v>
      </c>
      <c r="Z436" s="24" t="s">
        <v>64</v>
      </c>
      <c r="AA436" s="24" t="s">
        <v>742</v>
      </c>
      <c r="AB436" s="24" t="s">
        <v>979</v>
      </c>
      <c r="AC436" s="24" t="s">
        <v>1523</v>
      </c>
    </row>
    <row r="437" spans="1:29">
      <c r="A437" s="30" t="s">
        <v>1524</v>
      </c>
      <c r="B437" s="30" t="str">
        <f>IF(ISNUMBER(SEARCH(E437,A437)),A437,IF(OR(E437="",E437=""),A437,A437&amp;" - "&amp;E437))</f>
        <v>Wellford Aquaponic 23/1 PIK - Pink Kush</v>
      </c>
      <c r="C437" s="30" t="s">
        <v>741</v>
      </c>
      <c r="D437" s="30" t="s">
        <v>742</v>
      </c>
      <c r="E437" s="30" t="s">
        <v>101</v>
      </c>
      <c r="F437" s="30" t="s">
        <v>120</v>
      </c>
      <c r="G437" s="34">
        <v>23</v>
      </c>
      <c r="H437" s="35">
        <v>1</v>
      </c>
      <c r="I437" s="30"/>
      <c r="J437" s="30"/>
      <c r="K437" s="30" t="s">
        <v>52</v>
      </c>
      <c r="L437" s="30" t="s">
        <v>53</v>
      </c>
      <c r="M437" s="30" t="s">
        <v>88</v>
      </c>
      <c r="N437" s="30" t="s">
        <v>71</v>
      </c>
      <c r="O437" s="30" t="s">
        <v>103</v>
      </c>
      <c r="P437" s="30" t="s">
        <v>57</v>
      </c>
      <c r="Q437" s="30" t="s">
        <v>104</v>
      </c>
      <c r="R437" s="30" t="s">
        <v>74</v>
      </c>
      <c r="S437" s="30" t="s">
        <v>147</v>
      </c>
      <c r="T437" s="30" t="s">
        <v>123</v>
      </c>
      <c r="U437" s="30" t="s">
        <v>106</v>
      </c>
      <c r="V437" s="30" t="s">
        <v>77</v>
      </c>
      <c r="W437" s="30" t="s">
        <v>79</v>
      </c>
      <c r="X437" s="30" t="s">
        <v>107</v>
      </c>
      <c r="Y437" s="30" t="s">
        <v>1266</v>
      </c>
      <c r="Z437" s="30" t="s">
        <v>64</v>
      </c>
      <c r="AA437" s="30" t="s">
        <v>742</v>
      </c>
      <c r="AB437" s="30" t="s">
        <v>979</v>
      </c>
      <c r="AC437" s="30" t="s">
        <v>1525</v>
      </c>
    </row>
    <row r="438" spans="1:29">
      <c r="A438" s="24" t="s">
        <v>1526</v>
      </c>
      <c r="B438" s="24" t="str">
        <f>IF(ISNUMBER(SEARCH(E438,A438)),A438,IF(OR(E438="",E438=""),A438,A438&amp;" - "&amp;E438))</f>
        <v>Bathera 23/1 - Permanent Marker</v>
      </c>
      <c r="C438" s="24" t="s">
        <v>153</v>
      </c>
      <c r="D438" s="24" t="s">
        <v>154</v>
      </c>
      <c r="E438" s="24" t="s">
        <v>327</v>
      </c>
      <c r="F438" s="24" t="s">
        <v>144</v>
      </c>
      <c r="G438" s="27">
        <v>24</v>
      </c>
      <c r="H438" s="28">
        <v>1</v>
      </c>
      <c r="I438" s="24"/>
      <c r="J438" s="24"/>
      <c r="K438" s="24" t="s">
        <v>52</v>
      </c>
      <c r="L438" s="24" t="s">
        <v>102</v>
      </c>
      <c r="M438" s="24" t="s">
        <v>54</v>
      </c>
      <c r="N438" s="24" t="s">
        <v>111</v>
      </c>
      <c r="O438" s="24" t="s">
        <v>71</v>
      </c>
      <c r="P438" s="24" t="s">
        <v>104</v>
      </c>
      <c r="Q438" s="24" t="s">
        <v>89</v>
      </c>
      <c r="R438" s="24" t="s">
        <v>56</v>
      </c>
      <c r="S438" s="24" t="s">
        <v>123</v>
      </c>
      <c r="T438" s="24" t="s">
        <v>61</v>
      </c>
      <c r="U438" s="24" t="s">
        <v>62</v>
      </c>
      <c r="V438" s="24" t="s">
        <v>116</v>
      </c>
      <c r="W438" s="24" t="s">
        <v>107</v>
      </c>
      <c r="X438" s="24" t="s">
        <v>173</v>
      </c>
      <c r="Y438" s="24" t="s">
        <v>240</v>
      </c>
      <c r="Z438" s="24" t="s">
        <v>64</v>
      </c>
      <c r="AA438" s="24" t="s">
        <v>154</v>
      </c>
      <c r="AB438" s="24" t="s">
        <v>160</v>
      </c>
      <c r="AC438" s="24" t="s">
        <v>1527</v>
      </c>
    </row>
    <row r="439" spans="1:29">
      <c r="A439" s="30" t="s">
        <v>1528</v>
      </c>
      <c r="B439" s="30" t="str">
        <f>IF(ISNUMBER(SEARCH(E439,A439)),A439,IF(OR(E439="",E439=""),A439,A439&amp;" - "&amp;E439))</f>
        <v>enua 25/1 SBD CA - Strawberry Diesel</v>
      </c>
      <c r="C439" s="30" t="s">
        <v>650</v>
      </c>
      <c r="D439" s="30" t="s">
        <v>651</v>
      </c>
      <c r="E439" s="30" t="s">
        <v>1529</v>
      </c>
      <c r="F439" s="30" t="s">
        <v>144</v>
      </c>
      <c r="G439" s="34">
        <v>25</v>
      </c>
      <c r="H439" s="35">
        <v>1</v>
      </c>
      <c r="I439" s="30"/>
      <c r="J439" s="30"/>
      <c r="K439" s="30" t="s">
        <v>52</v>
      </c>
      <c r="L439" s="30" t="s">
        <v>53</v>
      </c>
      <c r="M439" s="30" t="s">
        <v>156</v>
      </c>
      <c r="N439" s="30" t="s">
        <v>88</v>
      </c>
      <c r="O439" s="30" t="s">
        <v>71</v>
      </c>
      <c r="P439" s="30" t="s">
        <v>73</v>
      </c>
      <c r="Q439" s="30" t="s">
        <v>75</v>
      </c>
      <c r="R439" s="30" t="s">
        <v>89</v>
      </c>
      <c r="S439" s="30" t="s">
        <v>466</v>
      </c>
      <c r="T439" s="30" t="s">
        <v>123</v>
      </c>
      <c r="U439" s="30" t="s">
        <v>61</v>
      </c>
      <c r="V439" s="30" t="s">
        <v>77</v>
      </c>
      <c r="W439" s="30" t="s">
        <v>79</v>
      </c>
      <c r="X439" s="30" t="s">
        <v>107</v>
      </c>
      <c r="Y439" s="30" t="s">
        <v>1036</v>
      </c>
      <c r="Z439" s="30" t="s">
        <v>64</v>
      </c>
      <c r="AA439" s="30" t="s">
        <v>653</v>
      </c>
      <c r="AB439" s="30" t="s">
        <v>56</v>
      </c>
      <c r="AC439" s="30" t="s">
        <v>1530</v>
      </c>
    </row>
    <row r="440" spans="1:29">
      <c r="A440" s="24" t="s">
        <v>1531</v>
      </c>
      <c r="B440" s="24" t="str">
        <f>IF(ISNUMBER(SEARCH(E440,A440)),A440,IF(OR(E440="",E440=""),A440,A440&amp;" - "&amp;E440))</f>
        <v>Cannabis 1A 16/1 - White Widow</v>
      </c>
      <c r="C440" s="24" t="s">
        <v>905</v>
      </c>
      <c r="D440" s="24" t="s">
        <v>906</v>
      </c>
      <c r="E440" s="24" t="s">
        <v>251</v>
      </c>
      <c r="F440" s="24" t="s">
        <v>86</v>
      </c>
      <c r="G440" s="27">
        <v>16</v>
      </c>
      <c r="H440" s="28">
        <v>1</v>
      </c>
      <c r="I440" s="24"/>
      <c r="J440" s="24"/>
      <c r="K440" s="24" t="s">
        <v>17</v>
      </c>
      <c r="L440" s="24" t="s">
        <v>87</v>
      </c>
      <c r="M440" s="24" t="s">
        <v>54</v>
      </c>
      <c r="N440" s="24" t="s">
        <v>111</v>
      </c>
      <c r="O440" s="24" t="s">
        <v>88</v>
      </c>
      <c r="P440" s="24" t="s">
        <v>146</v>
      </c>
      <c r="Q440" s="24" t="s">
        <v>74</v>
      </c>
      <c r="R440" s="24" t="s">
        <v>113</v>
      </c>
      <c r="S440" s="24" t="s">
        <v>76</v>
      </c>
      <c r="T440" s="24" t="s">
        <v>128</v>
      </c>
      <c r="U440" s="24" t="s">
        <v>62</v>
      </c>
      <c r="V440" s="24" t="s">
        <v>252</v>
      </c>
      <c r="W440" s="24" t="s">
        <v>77</v>
      </c>
      <c r="X440" s="24" t="s">
        <v>253</v>
      </c>
      <c r="Y440" s="24" t="s">
        <v>1532</v>
      </c>
      <c r="Z440" s="24" t="s">
        <v>64</v>
      </c>
      <c r="AA440" s="24" t="s">
        <v>906</v>
      </c>
      <c r="AB440" s="24" t="s">
        <v>56</v>
      </c>
      <c r="AC440" s="24" t="s">
        <v>1533</v>
      </c>
    </row>
    <row r="441" spans="1:29">
      <c r="A441" s="30" t="s">
        <v>1534</v>
      </c>
      <c r="B441" s="30" t="str">
        <f>IF(ISNUMBER(SEARCH(E441,A441)),A441,IF(OR(E441="",E441=""),A441,A441&amp;" - "&amp;E441))</f>
        <v>420 Evolution 30/1 FLM CA - Frozen Lemon Mints</v>
      </c>
      <c r="C441" s="30" t="s">
        <v>463</v>
      </c>
      <c r="D441" s="30" t="s">
        <v>464</v>
      </c>
      <c r="E441" s="30" t="s">
        <v>1227</v>
      </c>
      <c r="F441" s="30" t="s">
        <v>69</v>
      </c>
      <c r="G441" s="34">
        <v>30</v>
      </c>
      <c r="H441" s="35">
        <v>1</v>
      </c>
      <c r="I441" s="30"/>
      <c r="J441" s="30"/>
      <c r="K441" s="30" t="s">
        <v>52</v>
      </c>
      <c r="L441" s="30" t="s">
        <v>53</v>
      </c>
      <c r="M441" s="30" t="s">
        <v>111</v>
      </c>
      <c r="N441" s="30" t="s">
        <v>72</v>
      </c>
      <c r="O441" s="30"/>
      <c r="P441" s="30" t="s">
        <v>112</v>
      </c>
      <c r="Q441" s="30" t="s">
        <v>75</v>
      </c>
      <c r="R441" s="30" t="s">
        <v>89</v>
      </c>
      <c r="S441" s="30" t="s">
        <v>90</v>
      </c>
      <c r="T441" s="30" t="s">
        <v>105</v>
      </c>
      <c r="U441" s="30" t="s">
        <v>61</v>
      </c>
      <c r="V441" s="30" t="s">
        <v>77</v>
      </c>
      <c r="W441" s="30" t="s">
        <v>79</v>
      </c>
      <c r="X441" s="30" t="s">
        <v>93</v>
      </c>
      <c r="Y441" s="30" t="s">
        <v>675</v>
      </c>
      <c r="Z441" s="30" t="s">
        <v>64</v>
      </c>
      <c r="AA441" s="30" t="s">
        <v>468</v>
      </c>
      <c r="AB441" s="30" t="s">
        <v>56</v>
      </c>
      <c r="AC441" s="30" t="s">
        <v>1535</v>
      </c>
    </row>
    <row r="442" spans="1:29">
      <c r="A442" s="24" t="s">
        <v>1536</v>
      </c>
      <c r="B442" s="24" t="str">
        <f>IF(ISNUMBER(SEARCH(E442,A442)),A442,IF(OR(E442="",E442=""),A442,A442&amp;" - "&amp;E442))</f>
        <v>420 Evolution 30/1 CA WES - Wedding Singer</v>
      </c>
      <c r="C442" s="24" t="s">
        <v>463</v>
      </c>
      <c r="D442" s="24" t="s">
        <v>464</v>
      </c>
      <c r="E442" s="24" t="s">
        <v>832</v>
      </c>
      <c r="F442" s="24" t="s">
        <v>86</v>
      </c>
      <c r="G442" s="27">
        <v>30</v>
      </c>
      <c r="H442" s="28">
        <v>1</v>
      </c>
      <c r="I442" s="24"/>
      <c r="J442" s="24"/>
      <c r="K442" s="24" t="s">
        <v>52</v>
      </c>
      <c r="L442" s="24" t="s">
        <v>53</v>
      </c>
      <c r="M442" s="24" t="s">
        <v>88</v>
      </c>
      <c r="N442" s="24" t="s">
        <v>71</v>
      </c>
      <c r="O442" s="24" t="s">
        <v>55</v>
      </c>
      <c r="P442" s="24" t="s">
        <v>73</v>
      </c>
      <c r="Q442" s="24" t="s">
        <v>146</v>
      </c>
      <c r="R442" s="24" t="s">
        <v>104</v>
      </c>
      <c r="S442" s="24" t="s">
        <v>61</v>
      </c>
      <c r="T442" s="24" t="s">
        <v>62</v>
      </c>
      <c r="U442" s="24" t="s">
        <v>128</v>
      </c>
      <c r="V442" s="24" t="s">
        <v>77</v>
      </c>
      <c r="W442" s="24" t="s">
        <v>165</v>
      </c>
      <c r="X442" s="24" t="s">
        <v>129</v>
      </c>
      <c r="Y442" s="24" t="s">
        <v>1537</v>
      </c>
      <c r="Z442" s="24" t="s">
        <v>64</v>
      </c>
      <c r="AA442" s="24" t="s">
        <v>468</v>
      </c>
      <c r="AB442" s="24" t="s">
        <v>56</v>
      </c>
      <c r="AC442" s="24" t="s">
        <v>1538</v>
      </c>
    </row>
    <row r="443" spans="1:29">
      <c r="A443" s="30" t="s">
        <v>1539</v>
      </c>
      <c r="B443" s="30" t="str">
        <f>IF(ISNUMBER(SEARCH(E443,A443)),A443,IF(OR(E443="",E443=""),A443,A443&amp;" - "&amp;E443))</f>
        <v>Vasco WR - White Runtz</v>
      </c>
      <c r="C443" s="30" t="s">
        <v>564</v>
      </c>
      <c r="D443" s="30" t="s">
        <v>565</v>
      </c>
      <c r="E443" s="30" t="s">
        <v>445</v>
      </c>
      <c r="F443" s="30" t="s">
        <v>86</v>
      </c>
      <c r="G443" s="34">
        <v>23</v>
      </c>
      <c r="H443" s="35">
        <v>1</v>
      </c>
      <c r="I443" s="30"/>
      <c r="J443" s="30"/>
      <c r="K443" s="30" t="s">
        <v>52</v>
      </c>
      <c r="L443" s="30" t="s">
        <v>53</v>
      </c>
      <c r="M443" s="30" t="s">
        <v>156</v>
      </c>
      <c r="N443" s="30" t="s">
        <v>88</v>
      </c>
      <c r="O443" s="30" t="s">
        <v>55</v>
      </c>
      <c r="P443" s="30" t="s">
        <v>104</v>
      </c>
      <c r="Q443" s="30" t="s">
        <v>75</v>
      </c>
      <c r="R443" s="30" t="s">
        <v>89</v>
      </c>
      <c r="S443" s="30" t="s">
        <v>123</v>
      </c>
      <c r="T443" s="30" t="s">
        <v>106</v>
      </c>
      <c r="U443" s="30" t="s">
        <v>224</v>
      </c>
      <c r="V443" s="30" t="s">
        <v>77</v>
      </c>
      <c r="W443" s="30" t="s">
        <v>79</v>
      </c>
      <c r="X443" s="30" t="s">
        <v>107</v>
      </c>
      <c r="Y443" s="30" t="s">
        <v>130</v>
      </c>
      <c r="Z443" s="30" t="s">
        <v>64</v>
      </c>
      <c r="AA443" s="30" t="s">
        <v>565</v>
      </c>
      <c r="AB443" s="30" t="s">
        <v>56</v>
      </c>
      <c r="AC443" s="30" t="s">
        <v>1540</v>
      </c>
    </row>
    <row r="444" spans="1:29">
      <c r="A444" s="24" t="s">
        <v>1541</v>
      </c>
      <c r="B444" s="24" t="str">
        <f>IF(ISNUMBER(SEARCH(E444,A444)),A444,IF(OR(E444="",E444=""),A444,A444&amp;" - "&amp;E444))</f>
        <v>Tilray THC22 Spotlight Porto - Purps</v>
      </c>
      <c r="C444" s="24" t="s">
        <v>133</v>
      </c>
      <c r="D444" s="24" t="s">
        <v>134</v>
      </c>
      <c r="E444" s="24" t="s">
        <v>360</v>
      </c>
      <c r="F444" s="24" t="s">
        <v>177</v>
      </c>
      <c r="G444" s="27">
        <v>22</v>
      </c>
      <c r="H444" s="28">
        <v>1</v>
      </c>
      <c r="I444" s="24"/>
      <c r="J444" s="24"/>
      <c r="K444" s="24" t="s">
        <v>17</v>
      </c>
      <c r="L444" s="24" t="s">
        <v>102</v>
      </c>
      <c r="M444" s="24" t="s">
        <v>88</v>
      </c>
      <c r="N444" s="24" t="s">
        <v>55</v>
      </c>
      <c r="O444" s="24" t="s">
        <v>72</v>
      </c>
      <c r="P444" s="24" t="s">
        <v>136</v>
      </c>
      <c r="Q444" s="24" t="s">
        <v>58</v>
      </c>
      <c r="R444" s="24" t="s">
        <v>56</v>
      </c>
      <c r="S444" s="24" t="s">
        <v>192</v>
      </c>
      <c r="T444" s="24" t="s">
        <v>147</v>
      </c>
      <c r="U444" s="24" t="s">
        <v>123</v>
      </c>
      <c r="V444" s="24" t="s">
        <v>77</v>
      </c>
      <c r="W444" s="24" t="s">
        <v>116</v>
      </c>
      <c r="X444" s="24" t="s">
        <v>165</v>
      </c>
      <c r="Y444" s="24" t="s">
        <v>1542</v>
      </c>
      <c r="Z444" s="24" t="s">
        <v>64</v>
      </c>
      <c r="AA444" s="24" t="s">
        <v>134</v>
      </c>
      <c r="AB444" s="24" t="s">
        <v>56</v>
      </c>
      <c r="AC444" s="24" t="s">
        <v>1543</v>
      </c>
    </row>
    <row r="445" spans="1:29">
      <c r="A445" s="30" t="s">
        <v>1544</v>
      </c>
      <c r="B445" s="30" t="str">
        <f>IF(ISNUMBER(SEARCH(E445,A445)),A445,IF(OR(E445="",E445=""),A445,A445&amp;" - "&amp;E445))</f>
        <v>Tilray THC 22 Spotlight Montevideo - Gorilla Glue</v>
      </c>
      <c r="C445" s="30" t="s">
        <v>133</v>
      </c>
      <c r="D445" s="30" t="s">
        <v>134</v>
      </c>
      <c r="E445" s="30" t="s">
        <v>363</v>
      </c>
      <c r="F445" s="30" t="s">
        <v>86</v>
      </c>
      <c r="G445" s="34">
        <v>22</v>
      </c>
      <c r="H445" s="35">
        <v>1</v>
      </c>
      <c r="I445" s="30"/>
      <c r="J445" s="30"/>
      <c r="K445" s="30" t="s">
        <v>17</v>
      </c>
      <c r="L445" s="30" t="s">
        <v>185</v>
      </c>
      <c r="M445" s="30" t="s">
        <v>103</v>
      </c>
      <c r="N445" s="30" t="s">
        <v>121</v>
      </c>
      <c r="O445" s="30" t="s">
        <v>72</v>
      </c>
      <c r="P445" s="30" t="s">
        <v>146</v>
      </c>
      <c r="Q445" s="30" t="s">
        <v>74</v>
      </c>
      <c r="R445" s="30" t="s">
        <v>59</v>
      </c>
      <c r="S445" s="30" t="s">
        <v>60</v>
      </c>
      <c r="T445" s="30" t="s">
        <v>91</v>
      </c>
      <c r="U445" s="30" t="s">
        <v>62</v>
      </c>
      <c r="V445" s="30" t="s">
        <v>257</v>
      </c>
      <c r="W445" s="30" t="s">
        <v>252</v>
      </c>
      <c r="X445" s="30" t="s">
        <v>77</v>
      </c>
      <c r="Y445" s="30" t="s">
        <v>56</v>
      </c>
      <c r="Z445" s="30" t="s">
        <v>64</v>
      </c>
      <c r="AA445" s="30" t="s">
        <v>134</v>
      </c>
      <c r="AB445" s="30" t="s">
        <v>56</v>
      </c>
      <c r="AC445" s="30" t="s">
        <v>1545</v>
      </c>
    </row>
    <row r="446" spans="1:29">
      <c r="A446" s="24" t="s">
        <v>1546</v>
      </c>
      <c r="B446" s="24" t="str">
        <f>IF(ISNUMBER(SEARCH(E446,A446)),A446,IF(OR(E446="",E446=""),A446,A446&amp;" - "&amp;E446))</f>
        <v>enua 22/1 ICC CA - Ice Cream Cake</v>
      </c>
      <c r="C446" s="24" t="s">
        <v>650</v>
      </c>
      <c r="D446" s="24" t="s">
        <v>651</v>
      </c>
      <c r="E446" s="24" t="s">
        <v>1214</v>
      </c>
      <c r="F446" s="24" t="s">
        <v>177</v>
      </c>
      <c r="G446" s="27">
        <v>22</v>
      </c>
      <c r="H446" s="28">
        <v>1</v>
      </c>
      <c r="I446" s="24"/>
      <c r="J446" s="24"/>
      <c r="K446" s="24" t="s">
        <v>52</v>
      </c>
      <c r="L446" s="24" t="s">
        <v>53</v>
      </c>
      <c r="M446" s="24" t="s">
        <v>54</v>
      </c>
      <c r="N446" s="24" t="s">
        <v>88</v>
      </c>
      <c r="O446" s="24" t="s">
        <v>103</v>
      </c>
      <c r="P446" s="24" t="s">
        <v>57</v>
      </c>
      <c r="Q446" s="24" t="s">
        <v>89</v>
      </c>
      <c r="R446" s="24" t="s">
        <v>56</v>
      </c>
      <c r="S446" s="24" t="s">
        <v>123</v>
      </c>
      <c r="T446" s="24" t="s">
        <v>106</v>
      </c>
      <c r="U446" s="24" t="s">
        <v>62</v>
      </c>
      <c r="V446" s="24" t="s">
        <v>77</v>
      </c>
      <c r="W446" s="24" t="s">
        <v>116</v>
      </c>
      <c r="X446" s="24" t="s">
        <v>165</v>
      </c>
      <c r="Y446" s="24" t="s">
        <v>240</v>
      </c>
      <c r="Z446" s="24" t="s">
        <v>64</v>
      </c>
      <c r="AA446" s="24" t="s">
        <v>653</v>
      </c>
      <c r="AB446" s="24" t="s">
        <v>56</v>
      </c>
      <c r="AC446" s="24" t="s">
        <v>1547</v>
      </c>
    </row>
    <row r="447" spans="1:29">
      <c r="A447" s="30" t="s">
        <v>1548</v>
      </c>
      <c r="B447" s="30" t="str">
        <f>IF(ISNUMBER(SEARCH(E447,A447)),A447,IF(OR(E447="",E447=""),A447,A447&amp;" - "&amp;E447))</f>
        <v>Enua 22/1 WCK CA - La Kush Cake</v>
      </c>
      <c r="C447" s="30" t="s">
        <v>650</v>
      </c>
      <c r="D447" s="30" t="s">
        <v>651</v>
      </c>
      <c r="E447" s="30" t="s">
        <v>578</v>
      </c>
      <c r="F447" s="30" t="s">
        <v>177</v>
      </c>
      <c r="G447" s="34">
        <v>23</v>
      </c>
      <c r="H447" s="35">
        <v>1</v>
      </c>
      <c r="I447" s="30"/>
      <c r="J447" s="30"/>
      <c r="K447" s="30" t="s">
        <v>52</v>
      </c>
      <c r="L447" s="30" t="s">
        <v>53</v>
      </c>
      <c r="M447" s="30" t="s">
        <v>156</v>
      </c>
      <c r="N447" s="30" t="s">
        <v>121</v>
      </c>
      <c r="O447" s="30" t="s">
        <v>72</v>
      </c>
      <c r="P447" s="30" t="s">
        <v>112</v>
      </c>
      <c r="Q447" s="30" t="s">
        <v>57</v>
      </c>
      <c r="R447" s="30" t="s">
        <v>59</v>
      </c>
      <c r="S447" s="30" t="s">
        <v>466</v>
      </c>
      <c r="T447" s="30" t="s">
        <v>123</v>
      </c>
      <c r="U447" s="30" t="s">
        <v>106</v>
      </c>
      <c r="V447" s="30" t="s">
        <v>77</v>
      </c>
      <c r="W447" s="30" t="s">
        <v>79</v>
      </c>
      <c r="X447" s="30" t="s">
        <v>107</v>
      </c>
      <c r="Y447" s="30" t="s">
        <v>1128</v>
      </c>
      <c r="Z447" s="30" t="s">
        <v>64</v>
      </c>
      <c r="AA447" s="30" t="s">
        <v>653</v>
      </c>
      <c r="AB447" s="30" t="s">
        <v>56</v>
      </c>
      <c r="AC447" s="30" t="s">
        <v>1549</v>
      </c>
    </row>
    <row r="448" spans="1:29">
      <c r="A448" s="24" t="s">
        <v>1550</v>
      </c>
      <c r="B448" s="24" t="str">
        <f>IF(ISNUMBER(SEARCH(E448,A448)),A448,IF(OR(E448="",E448=""),A448,A448&amp;" - "&amp;E448))</f>
        <v>Blackbird Strong Sativa - Euforia</v>
      </c>
      <c r="C448" s="24" t="s">
        <v>564</v>
      </c>
      <c r="D448" s="24" t="s">
        <v>565</v>
      </c>
      <c r="E448" s="24" t="s">
        <v>1551</v>
      </c>
      <c r="F448" s="24" t="s">
        <v>69</v>
      </c>
      <c r="G448" s="27">
        <v>20</v>
      </c>
      <c r="H448" s="28">
        <v>1</v>
      </c>
      <c r="I448" s="24"/>
      <c r="J448" s="24"/>
      <c r="K448" s="24" t="s">
        <v>52</v>
      </c>
      <c r="L448" s="24" t="s">
        <v>145</v>
      </c>
      <c r="M448" s="24" t="s">
        <v>54</v>
      </c>
      <c r="N448" s="24" t="s">
        <v>111</v>
      </c>
      <c r="O448" s="24" t="s">
        <v>55</v>
      </c>
      <c r="P448" s="24" t="s">
        <v>74</v>
      </c>
      <c r="Q448" s="24" t="s">
        <v>75</v>
      </c>
      <c r="R448" s="24" t="s">
        <v>56</v>
      </c>
      <c r="S448" s="24" t="s">
        <v>123</v>
      </c>
      <c r="T448" s="24" t="s">
        <v>76</v>
      </c>
      <c r="U448" s="24" t="s">
        <v>115</v>
      </c>
      <c r="V448" s="24" t="s">
        <v>77</v>
      </c>
      <c r="W448" s="24" t="s">
        <v>56</v>
      </c>
      <c r="X448" s="24" t="s">
        <v>56</v>
      </c>
      <c r="Y448" s="24" t="s">
        <v>213</v>
      </c>
      <c r="Z448" s="24" t="s">
        <v>64</v>
      </c>
      <c r="AA448" s="24" t="s">
        <v>565</v>
      </c>
      <c r="AB448" s="24" t="s">
        <v>56</v>
      </c>
      <c r="AC448" s="24" t="s">
        <v>1552</v>
      </c>
    </row>
    <row r="449" spans="1:29">
      <c r="A449" s="30" t="s">
        <v>1553</v>
      </c>
      <c r="B449" s="30" t="str">
        <f>IF(ISNUMBER(SEARCH(E449,A449)),A449,IF(OR(E449="",E449=""),A449,A449&amp;" - "&amp;E449))</f>
        <v>Aurora Typ 1 - Island Sweet Skunk</v>
      </c>
      <c r="C449" s="30" t="s">
        <v>511</v>
      </c>
      <c r="D449" s="30" t="s">
        <v>512</v>
      </c>
      <c r="E449" s="30" t="s">
        <v>135</v>
      </c>
      <c r="F449" s="30" t="s">
        <v>69</v>
      </c>
      <c r="G449" s="34">
        <v>19</v>
      </c>
      <c r="H449" s="35">
        <v>1</v>
      </c>
      <c r="I449" s="30"/>
      <c r="J449" s="30"/>
      <c r="K449" s="30" t="s">
        <v>17</v>
      </c>
      <c r="L449" s="30" t="s">
        <v>527</v>
      </c>
      <c r="M449" s="30" t="s">
        <v>54</v>
      </c>
      <c r="N449" s="30" t="s">
        <v>111</v>
      </c>
      <c r="O449" s="30" t="s">
        <v>88</v>
      </c>
      <c r="P449" s="30" t="s">
        <v>136</v>
      </c>
      <c r="Q449" s="30" t="s">
        <v>89</v>
      </c>
      <c r="R449" s="30" t="s">
        <v>58</v>
      </c>
      <c r="S449" s="30" t="s">
        <v>60</v>
      </c>
      <c r="T449" s="30" t="s">
        <v>106</v>
      </c>
      <c r="U449" s="30" t="s">
        <v>128</v>
      </c>
      <c r="V449" s="30" t="s">
        <v>77</v>
      </c>
      <c r="W449" s="30" t="s">
        <v>137</v>
      </c>
      <c r="X449" s="30" t="s">
        <v>138</v>
      </c>
      <c r="Y449" s="30" t="s">
        <v>437</v>
      </c>
      <c r="Z449" s="30" t="s">
        <v>64</v>
      </c>
      <c r="AA449" s="30" t="s">
        <v>528</v>
      </c>
      <c r="AB449" s="30" t="s">
        <v>56</v>
      </c>
      <c r="AC449" s="30" t="s">
        <v>1554</v>
      </c>
    </row>
    <row r="450" spans="1:29">
      <c r="A450" s="24" t="s">
        <v>266</v>
      </c>
      <c r="B450" s="24" t="str">
        <f>IF(ISNUMBER(SEARCH(E450,A450)),A450,IF(OR(E450="",E450=""),A450,A450&amp;" - "&amp;E450))</f>
        <v>Tilray THC18 Spotlight Porto - Girl Scout Cookies</v>
      </c>
      <c r="C450" s="24" t="s">
        <v>133</v>
      </c>
      <c r="D450" s="24" t="s">
        <v>134</v>
      </c>
      <c r="E450" s="24" t="s">
        <v>229</v>
      </c>
      <c r="F450" s="24" t="s">
        <v>86</v>
      </c>
      <c r="G450" s="27">
        <v>18</v>
      </c>
      <c r="H450" s="28">
        <v>1</v>
      </c>
      <c r="I450" s="24"/>
      <c r="J450" s="24"/>
      <c r="K450" s="24" t="s">
        <v>17</v>
      </c>
      <c r="L450" s="24" t="s">
        <v>102</v>
      </c>
      <c r="M450" s="24" t="s">
        <v>88</v>
      </c>
      <c r="N450" s="24" t="s">
        <v>71</v>
      </c>
      <c r="O450" s="24" t="s">
        <v>103</v>
      </c>
      <c r="P450" s="24" t="s">
        <v>157</v>
      </c>
      <c r="Q450" s="24" t="s">
        <v>75</v>
      </c>
      <c r="R450" s="24" t="s">
        <v>89</v>
      </c>
      <c r="S450" s="24" t="s">
        <v>147</v>
      </c>
      <c r="T450" s="24" t="s">
        <v>106</v>
      </c>
      <c r="U450" s="24" t="s">
        <v>62</v>
      </c>
      <c r="V450" s="24" t="s">
        <v>92</v>
      </c>
      <c r="W450" s="24" t="s">
        <v>77</v>
      </c>
      <c r="X450" s="24" t="s">
        <v>79</v>
      </c>
      <c r="Y450" s="24" t="s">
        <v>293</v>
      </c>
      <c r="Z450" s="24" t="s">
        <v>64</v>
      </c>
      <c r="AA450" s="24" t="s">
        <v>134</v>
      </c>
      <c r="AB450" s="24" t="s">
        <v>56</v>
      </c>
      <c r="AC450" s="24" t="s">
        <v>1555</v>
      </c>
    </row>
    <row r="451" spans="1:29">
      <c r="A451" s="30" t="s">
        <v>1556</v>
      </c>
      <c r="B451" s="30" t="str">
        <f>IF(ISNUMBER(SEARCH(E451,A451)),A451,IF(OR(E451="",E451=""),A451,A451&amp;" - "&amp;E451))</f>
        <v>KEjF. SMNZ 27/1 - Siggis Minze</v>
      </c>
      <c r="C451" s="30" t="s">
        <v>822</v>
      </c>
      <c r="D451" s="30" t="s">
        <v>823</v>
      </c>
      <c r="E451" s="30" t="s">
        <v>824</v>
      </c>
      <c r="F451" s="30" t="s">
        <v>120</v>
      </c>
      <c r="G451" s="34">
        <v>27</v>
      </c>
      <c r="H451" s="35">
        <v>1</v>
      </c>
      <c r="I451" s="30"/>
      <c r="J451" s="30"/>
      <c r="K451" s="30" t="s">
        <v>52</v>
      </c>
      <c r="L451" s="30" t="s">
        <v>53</v>
      </c>
      <c r="M451" s="30" t="s">
        <v>88</v>
      </c>
      <c r="N451" s="30" t="s">
        <v>71</v>
      </c>
      <c r="O451" s="30" t="s">
        <v>72</v>
      </c>
      <c r="P451" s="30" t="s">
        <v>112</v>
      </c>
      <c r="Q451" s="30" t="s">
        <v>104</v>
      </c>
      <c r="R451" s="30" t="s">
        <v>113</v>
      </c>
      <c r="S451" s="30" t="s">
        <v>466</v>
      </c>
      <c r="T451" s="30" t="s">
        <v>106</v>
      </c>
      <c r="U451" s="30" t="s">
        <v>493</v>
      </c>
      <c r="V451" s="30" t="s">
        <v>77</v>
      </c>
      <c r="W451" s="30" t="s">
        <v>116</v>
      </c>
      <c r="X451" s="30" t="s">
        <v>197</v>
      </c>
      <c r="Y451" s="30" t="s">
        <v>56</v>
      </c>
      <c r="Z451" s="30" t="s">
        <v>64</v>
      </c>
      <c r="AA451" s="30" t="s">
        <v>826</v>
      </c>
      <c r="AB451" s="30" t="s">
        <v>56</v>
      </c>
      <c r="AC451" s="30" t="s">
        <v>1557</v>
      </c>
    </row>
    <row r="452" spans="1:29">
      <c r="A452" s="24" t="s">
        <v>1558</v>
      </c>
      <c r="B452" s="24" t="str">
        <f>IF(ISNUMBER(SEARCH(E452,A452)),A452,IF(OR(E452="",E452=""),A452,A452&amp;" - "&amp;E452))</f>
        <v>aleph amber 26/1 - Mango Kush</v>
      </c>
      <c r="C452" s="24" t="s">
        <v>725</v>
      </c>
      <c r="D452" s="24" t="s">
        <v>726</v>
      </c>
      <c r="E452" s="24" t="s">
        <v>727</v>
      </c>
      <c r="F452" s="24" t="s">
        <v>120</v>
      </c>
      <c r="G452" s="27">
        <v>28</v>
      </c>
      <c r="H452" s="28">
        <v>1</v>
      </c>
      <c r="I452" s="24"/>
      <c r="J452" s="24"/>
      <c r="K452" s="24" t="s">
        <v>52</v>
      </c>
      <c r="L452" s="24" t="s">
        <v>102</v>
      </c>
      <c r="M452" s="24" t="s">
        <v>103</v>
      </c>
      <c r="N452" s="24" t="s">
        <v>178</v>
      </c>
      <c r="O452" s="24" t="s">
        <v>72</v>
      </c>
      <c r="P452" s="24" t="s">
        <v>136</v>
      </c>
      <c r="Q452" s="24" t="s">
        <v>146</v>
      </c>
      <c r="R452" s="24" t="s">
        <v>74</v>
      </c>
      <c r="S452" s="24" t="s">
        <v>106</v>
      </c>
      <c r="T452" s="24" t="s">
        <v>203</v>
      </c>
      <c r="U452" s="24" t="s">
        <v>62</v>
      </c>
      <c r="V452" s="24" t="s">
        <v>92</v>
      </c>
      <c r="W452" s="24" t="s">
        <v>77</v>
      </c>
      <c r="X452" s="24" t="s">
        <v>116</v>
      </c>
      <c r="Y452" s="24" t="s">
        <v>56</v>
      </c>
      <c r="Z452" s="24" t="s">
        <v>64</v>
      </c>
      <c r="AA452" s="24" t="s">
        <v>726</v>
      </c>
      <c r="AB452" s="24" t="s">
        <v>56</v>
      </c>
      <c r="AC452" s="24" t="s">
        <v>1559</v>
      </c>
    </row>
    <row r="453" spans="1:29">
      <c r="A453" s="30" t="s">
        <v>1560</v>
      </c>
      <c r="B453" s="30" t="str">
        <f>IF(ISNUMBER(SEARCH(E453,A453)),A453,IF(OR(E453="",E453=""),A453,A453&amp;" - "&amp;E453))</f>
        <v>Origine Nature CHEM 25/1 - Chem OG</v>
      </c>
      <c r="C453" s="30" t="s">
        <v>564</v>
      </c>
      <c r="D453" s="30" t="s">
        <v>565</v>
      </c>
      <c r="E453" s="30" t="s">
        <v>808</v>
      </c>
      <c r="F453" s="30" t="s">
        <v>86</v>
      </c>
      <c r="G453" s="34">
        <v>25</v>
      </c>
      <c r="H453" s="35">
        <v>1</v>
      </c>
      <c r="I453" s="30"/>
      <c r="J453" s="30"/>
      <c r="K453" s="30" t="s">
        <v>52</v>
      </c>
      <c r="L453" s="30" t="s">
        <v>53</v>
      </c>
      <c r="M453" s="30" t="s">
        <v>54</v>
      </c>
      <c r="N453" s="30" t="s">
        <v>88</v>
      </c>
      <c r="O453" s="30" t="s">
        <v>71</v>
      </c>
      <c r="P453" s="30" t="s">
        <v>73</v>
      </c>
      <c r="Q453" s="30" t="s">
        <v>146</v>
      </c>
      <c r="R453" s="30" t="s">
        <v>74</v>
      </c>
      <c r="S453" s="30" t="s">
        <v>105</v>
      </c>
      <c r="T453" s="30" t="s">
        <v>147</v>
      </c>
      <c r="U453" s="30" t="s">
        <v>106</v>
      </c>
      <c r="V453" s="30" t="s">
        <v>77</v>
      </c>
      <c r="W453" s="30" t="s">
        <v>116</v>
      </c>
      <c r="X453" s="30" t="s">
        <v>79</v>
      </c>
      <c r="Y453" s="30" t="s">
        <v>1135</v>
      </c>
      <c r="Z453" s="30" t="s">
        <v>64</v>
      </c>
      <c r="AA453" s="30" t="s">
        <v>565</v>
      </c>
      <c r="AB453" s="30" t="s">
        <v>1561</v>
      </c>
      <c r="AC453" s="30" t="s">
        <v>1562</v>
      </c>
    </row>
    <row r="454" spans="1:29">
      <c r="A454" s="24" t="s">
        <v>1563</v>
      </c>
      <c r="B454" s="24" t="str">
        <f>IF(ISNUMBER(SEARCH(E454,A454)),A454,IF(OR(E454="",E454=""),A454,A454&amp;" - "&amp;E454))</f>
        <v>420 Compound 30/1 GAP - Gastro Pop</v>
      </c>
      <c r="C454" s="24" t="s">
        <v>463</v>
      </c>
      <c r="D454" s="24" t="s">
        <v>464</v>
      </c>
      <c r="E454" s="24" t="s">
        <v>1564</v>
      </c>
      <c r="F454" s="24" t="s">
        <v>177</v>
      </c>
      <c r="G454" s="27">
        <v>30</v>
      </c>
      <c r="H454" s="28">
        <v>1</v>
      </c>
      <c r="I454" s="24"/>
      <c r="J454" s="24"/>
      <c r="K454" s="24" t="s">
        <v>52</v>
      </c>
      <c r="L454" s="24" t="s">
        <v>53</v>
      </c>
      <c r="M454" s="24" t="s">
        <v>156</v>
      </c>
      <c r="N454" s="24" t="s">
        <v>103</v>
      </c>
      <c r="O454" s="24"/>
      <c r="P454" s="24" t="s">
        <v>89</v>
      </c>
      <c r="Q454" s="24" t="s">
        <v>58</v>
      </c>
      <c r="R454" s="24" t="s">
        <v>59</v>
      </c>
      <c r="S454" s="24" t="s">
        <v>105</v>
      </c>
      <c r="T454" s="24" t="s">
        <v>147</v>
      </c>
      <c r="U454" s="24" t="s">
        <v>123</v>
      </c>
      <c r="V454" s="24" t="s">
        <v>77</v>
      </c>
      <c r="W454" s="24" t="s">
        <v>107</v>
      </c>
      <c r="X454" s="24" t="s">
        <v>93</v>
      </c>
      <c r="Y454" s="24" t="s">
        <v>1565</v>
      </c>
      <c r="Z454" s="24" t="s">
        <v>64</v>
      </c>
      <c r="AA454" s="24" t="s">
        <v>468</v>
      </c>
      <c r="AB454" s="24" t="s">
        <v>56</v>
      </c>
      <c r="AC454" s="24" t="s">
        <v>1566</v>
      </c>
    </row>
    <row r="455" spans="1:29">
      <c r="A455" s="30" t="s">
        <v>1567</v>
      </c>
      <c r="B455" s="30" t="str">
        <f>IF(ISNUMBER(SEARCH(E455,A455)),A455,IF(OR(E455="",E455=""),A455,A455&amp;" - "&amp;E455))</f>
        <v>Demecan Craft Cali 29:01 - Hawaiian Rain X Permanent Marker</v>
      </c>
      <c r="C455" s="30" t="s">
        <v>484</v>
      </c>
      <c r="D455" s="30" t="s">
        <v>485</v>
      </c>
      <c r="E455" s="30" t="s">
        <v>1568</v>
      </c>
      <c r="F455" s="30" t="s">
        <v>177</v>
      </c>
      <c r="G455" s="34">
        <v>29</v>
      </c>
      <c r="H455" s="35">
        <v>1</v>
      </c>
      <c r="I455" s="30"/>
      <c r="J455" s="30"/>
      <c r="K455" s="30" t="s">
        <v>52</v>
      </c>
      <c r="L455" s="30" t="s">
        <v>53</v>
      </c>
      <c r="M455" s="30" t="s">
        <v>54</v>
      </c>
      <c r="N455" s="30" t="s">
        <v>71</v>
      </c>
      <c r="O455" s="30" t="s">
        <v>72</v>
      </c>
      <c r="P455" s="30" t="s">
        <v>73</v>
      </c>
      <c r="Q455" s="30" t="s">
        <v>89</v>
      </c>
      <c r="R455" s="30" t="s">
        <v>58</v>
      </c>
      <c r="S455" s="30" t="s">
        <v>782</v>
      </c>
      <c r="T455" s="30" t="s">
        <v>106</v>
      </c>
      <c r="U455" s="30" t="s">
        <v>62</v>
      </c>
      <c r="V455" s="30" t="s">
        <v>77</v>
      </c>
      <c r="W455" s="30" t="s">
        <v>116</v>
      </c>
      <c r="X455" s="30" t="s">
        <v>129</v>
      </c>
      <c r="Y455" s="30" t="s">
        <v>849</v>
      </c>
      <c r="Z455" s="30" t="s">
        <v>64</v>
      </c>
      <c r="AA455" s="30" t="s">
        <v>485</v>
      </c>
      <c r="AB455" s="30" t="s">
        <v>56</v>
      </c>
      <c r="AC455" s="30" t="s">
        <v>1569</v>
      </c>
    </row>
    <row r="456" spans="1:29">
      <c r="A456" s="24" t="s">
        <v>1570</v>
      </c>
      <c r="B456" s="24" t="str">
        <f>IF(ISNUMBER(SEARCH(E456,A456)),A456,IF(OR(E456="",E456=""),A456,A456&amp;" - "&amp;E456))</f>
        <v>RE:CANNIS 21/1 Indica - Erez</v>
      </c>
      <c r="C456" s="24" t="s">
        <v>628</v>
      </c>
      <c r="D456" s="24" t="s">
        <v>629</v>
      </c>
      <c r="E456" s="24" t="s">
        <v>1571</v>
      </c>
      <c r="F456" s="24" t="s">
        <v>120</v>
      </c>
      <c r="G456" s="27">
        <v>21</v>
      </c>
      <c r="H456" s="28">
        <v>1</v>
      </c>
      <c r="I456" s="24"/>
      <c r="J456" s="24"/>
      <c r="K456" s="24" t="s">
        <v>52</v>
      </c>
      <c r="L456" s="24" t="s">
        <v>630</v>
      </c>
      <c r="M456" s="24" t="s">
        <v>103</v>
      </c>
      <c r="N456" s="24" t="s">
        <v>121</v>
      </c>
      <c r="O456" s="24" t="s">
        <v>72</v>
      </c>
      <c r="P456" s="24" t="s">
        <v>186</v>
      </c>
      <c r="Q456" s="24" t="s">
        <v>58</v>
      </c>
      <c r="R456" s="24" t="s">
        <v>59</v>
      </c>
      <c r="S456" s="24" t="s">
        <v>128</v>
      </c>
      <c r="T456" s="24" t="s">
        <v>62</v>
      </c>
      <c r="U456" s="24" t="s">
        <v>1572</v>
      </c>
      <c r="V456" s="24" t="s">
        <v>165</v>
      </c>
      <c r="W456" s="24" t="s">
        <v>79</v>
      </c>
      <c r="X456" s="24" t="s">
        <v>107</v>
      </c>
      <c r="Y456" s="24" t="s">
        <v>358</v>
      </c>
      <c r="Z456" s="24" t="s">
        <v>64</v>
      </c>
      <c r="AA456" s="24" t="s">
        <v>632</v>
      </c>
      <c r="AB456" s="24" t="s">
        <v>56</v>
      </c>
      <c r="AC456" s="24" t="s">
        <v>1573</v>
      </c>
    </row>
    <row r="457" spans="1:29">
      <c r="A457" s="30" t="s">
        <v>1574</v>
      </c>
      <c r="B457" s="30" t="str">
        <f>IF(ISNUMBER(SEARCH(E457,A457)),A457,IF(OR(E457="",E457=""),A457,A457&amp;" - "&amp;E457))</f>
        <v>IMC 9PPA THC20 - Peppermint</v>
      </c>
      <c r="C457" s="30" t="s">
        <v>646</v>
      </c>
      <c r="D457" s="30" t="s">
        <v>646</v>
      </c>
      <c r="E457" s="30" t="s">
        <v>1575</v>
      </c>
      <c r="F457" s="30" t="s">
        <v>86</v>
      </c>
      <c r="G457" s="34">
        <v>20</v>
      </c>
      <c r="H457" s="35">
        <v>1</v>
      </c>
      <c r="I457" s="30"/>
      <c r="J457" s="30"/>
      <c r="K457" s="30" t="s">
        <v>52</v>
      </c>
      <c r="L457" s="30"/>
      <c r="M457" s="30" t="s">
        <v>54</v>
      </c>
      <c r="N457" s="30" t="s">
        <v>111</v>
      </c>
      <c r="O457" s="30" t="s">
        <v>55</v>
      </c>
      <c r="P457" s="30" t="s">
        <v>186</v>
      </c>
      <c r="Q457" s="30" t="s">
        <v>157</v>
      </c>
      <c r="R457" s="30" t="s">
        <v>112</v>
      </c>
      <c r="S457" s="30" t="s">
        <v>147</v>
      </c>
      <c r="T457" s="30" t="s">
        <v>106</v>
      </c>
      <c r="U457" s="30" t="s">
        <v>62</v>
      </c>
      <c r="V457" s="30" t="s">
        <v>77</v>
      </c>
      <c r="W457" s="30" t="s">
        <v>107</v>
      </c>
      <c r="X457" s="30" t="s">
        <v>56</v>
      </c>
      <c r="Y457" s="30" t="s">
        <v>1036</v>
      </c>
      <c r="Z457" s="30" t="s">
        <v>64</v>
      </c>
      <c r="AA457" s="30" t="s">
        <v>646</v>
      </c>
      <c r="AB457" s="30" t="s">
        <v>56</v>
      </c>
      <c r="AC457" s="30" t="s">
        <v>1576</v>
      </c>
    </row>
    <row r="458" spans="1:29">
      <c r="A458" s="24" t="s">
        <v>1577</v>
      </c>
      <c r="B458" s="24" t="str">
        <f>IF(ISNUMBER(SEARCH(E458,A458)),A458,IF(OR(E458="",E458=""),A458,A458&amp;" - "&amp;E458))</f>
        <v>IMC EC2 THC22 - El Chivo</v>
      </c>
      <c r="C458" s="24" t="s">
        <v>646</v>
      </c>
      <c r="D458" s="24" t="s">
        <v>646</v>
      </c>
      <c r="E458" s="24" t="s">
        <v>1578</v>
      </c>
      <c r="F458" s="24" t="s">
        <v>86</v>
      </c>
      <c r="G458" s="27">
        <v>22</v>
      </c>
      <c r="H458" s="28">
        <v>1</v>
      </c>
      <c r="I458" s="24"/>
      <c r="J458" s="24"/>
      <c r="K458" s="24" t="s">
        <v>52</v>
      </c>
      <c r="L458" s="24"/>
      <c r="M458" s="24" t="s">
        <v>54</v>
      </c>
      <c r="N458" s="24" t="s">
        <v>111</v>
      </c>
      <c r="O458" s="24" t="s">
        <v>88</v>
      </c>
      <c r="P458" s="24" t="s">
        <v>73</v>
      </c>
      <c r="Q458" s="24" t="s">
        <v>74</v>
      </c>
      <c r="R458" s="24" t="s">
        <v>89</v>
      </c>
      <c r="S458" s="24" t="s">
        <v>147</v>
      </c>
      <c r="T458" s="24" t="s">
        <v>106</v>
      </c>
      <c r="U458" s="24" t="s">
        <v>179</v>
      </c>
      <c r="V458" s="24" t="s">
        <v>77</v>
      </c>
      <c r="W458" s="24" t="s">
        <v>116</v>
      </c>
      <c r="X458" s="24" t="s">
        <v>107</v>
      </c>
      <c r="Y458" s="24" t="s">
        <v>1357</v>
      </c>
      <c r="Z458" s="24" t="s">
        <v>64</v>
      </c>
      <c r="AA458" s="24" t="s">
        <v>646</v>
      </c>
      <c r="AB458" s="24" t="s">
        <v>56</v>
      </c>
      <c r="AC458" s="24" t="s">
        <v>1579</v>
      </c>
    </row>
    <row r="459" spans="1:29">
      <c r="A459" s="30" t="s">
        <v>1580</v>
      </c>
      <c r="B459" s="30" t="str">
        <f>IF(ISNUMBER(SEARCH(E459,A459)),A459,IF(OR(E459="",E459=""),A459,A459&amp;" - "&amp;E459))</f>
        <v>IMC GPI THC26 - Grapple Pie</v>
      </c>
      <c r="C459" s="30" t="s">
        <v>646</v>
      </c>
      <c r="D459" s="30" t="s">
        <v>646</v>
      </c>
      <c r="E459" s="30" t="s">
        <v>1581</v>
      </c>
      <c r="F459" s="30" t="s">
        <v>51</v>
      </c>
      <c r="G459" s="34">
        <v>26</v>
      </c>
      <c r="H459" s="35">
        <v>1</v>
      </c>
      <c r="I459" s="30"/>
      <c r="J459" s="30"/>
      <c r="K459" s="30" t="s">
        <v>52</v>
      </c>
      <c r="L459" s="30"/>
      <c r="M459" s="30" t="s">
        <v>54</v>
      </c>
      <c r="N459" s="30" t="s">
        <v>111</v>
      </c>
      <c r="O459" s="30" t="s">
        <v>88</v>
      </c>
      <c r="P459" s="30" t="s">
        <v>73</v>
      </c>
      <c r="Q459" s="30" t="s">
        <v>74</v>
      </c>
      <c r="R459" s="30" t="s">
        <v>89</v>
      </c>
      <c r="S459" s="30" t="s">
        <v>105</v>
      </c>
      <c r="T459" s="30" t="s">
        <v>147</v>
      </c>
      <c r="U459" s="30" t="s">
        <v>123</v>
      </c>
      <c r="V459" s="30" t="s">
        <v>77</v>
      </c>
      <c r="W459" s="30" t="s">
        <v>116</v>
      </c>
      <c r="X459" s="30" t="s">
        <v>107</v>
      </c>
      <c r="Y459" s="30" t="s">
        <v>240</v>
      </c>
      <c r="Z459" s="30" t="s">
        <v>64</v>
      </c>
      <c r="AA459" s="30" t="s">
        <v>646</v>
      </c>
      <c r="AB459" s="30" t="s">
        <v>56</v>
      </c>
      <c r="AC459" s="30" t="s">
        <v>1582</v>
      </c>
    </row>
    <row r="460" spans="1:29">
      <c r="A460" s="24" t="s">
        <v>1583</v>
      </c>
      <c r="B460" s="24" t="str">
        <f>IF(ISNUMBER(SEARCH(E460,A460)),A460,IF(OR(E460="",E460=""),A460,A460&amp;" - "&amp;E460))</f>
        <v>IMC K4 THC27 - Coco No 4</v>
      </c>
      <c r="C460" s="24" t="s">
        <v>646</v>
      </c>
      <c r="D460" s="24" t="s">
        <v>646</v>
      </c>
      <c r="E460" s="24" t="s">
        <v>1584</v>
      </c>
      <c r="F460" s="24" t="s">
        <v>86</v>
      </c>
      <c r="G460" s="27">
        <v>27</v>
      </c>
      <c r="H460" s="28">
        <v>1</v>
      </c>
      <c r="I460" s="24"/>
      <c r="J460" s="24"/>
      <c r="K460" s="24" t="s">
        <v>52</v>
      </c>
      <c r="L460" s="24"/>
      <c r="M460" s="24" t="s">
        <v>54</v>
      </c>
      <c r="N460" s="24" t="s">
        <v>111</v>
      </c>
      <c r="O460" s="24" t="s">
        <v>88</v>
      </c>
      <c r="P460" s="24" t="s">
        <v>146</v>
      </c>
      <c r="Q460" s="24" t="s">
        <v>112</v>
      </c>
      <c r="R460" s="24" t="s">
        <v>74</v>
      </c>
      <c r="S460" s="24" t="s">
        <v>147</v>
      </c>
      <c r="T460" s="24" t="s">
        <v>123</v>
      </c>
      <c r="U460" s="24" t="s">
        <v>62</v>
      </c>
      <c r="V460" s="24" t="s">
        <v>116</v>
      </c>
      <c r="W460" s="24" t="s">
        <v>107</v>
      </c>
      <c r="X460" s="24" t="s">
        <v>56</v>
      </c>
      <c r="Y460" s="24" t="s">
        <v>213</v>
      </c>
      <c r="Z460" s="24" t="s">
        <v>64</v>
      </c>
      <c r="AA460" s="24" t="s">
        <v>646</v>
      </c>
      <c r="AB460" s="24" t="s">
        <v>56</v>
      </c>
      <c r="AC460" s="24" t="s">
        <v>1585</v>
      </c>
    </row>
    <row r="461" spans="1:29">
      <c r="A461" s="30" t="s">
        <v>1586</v>
      </c>
      <c r="B461" s="30" t="str">
        <f>IF(ISNUMBER(SEARCH(E461,A461)),A461,IF(OR(E461="",E461=""),A461,A461&amp;" - "&amp;E461))</f>
        <v>IMC RGR THC20 - Rose Gold Runtz</v>
      </c>
      <c r="C461" s="30" t="s">
        <v>646</v>
      </c>
      <c r="D461" s="30" t="s">
        <v>646</v>
      </c>
      <c r="E461" s="30" t="s">
        <v>1587</v>
      </c>
      <c r="F461" s="30" t="s">
        <v>177</v>
      </c>
      <c r="G461" s="34">
        <v>20</v>
      </c>
      <c r="H461" s="35">
        <v>1</v>
      </c>
      <c r="I461" s="30"/>
      <c r="J461" s="30"/>
      <c r="K461" s="30" t="s">
        <v>52</v>
      </c>
      <c r="L461" s="30"/>
      <c r="M461" s="30" t="s">
        <v>56</v>
      </c>
      <c r="N461" s="30"/>
      <c r="O461" s="30" t="s">
        <v>56</v>
      </c>
      <c r="P461" s="30" t="s">
        <v>56</v>
      </c>
      <c r="Q461" s="30" t="s">
        <v>56</v>
      </c>
      <c r="R461" s="30" t="s">
        <v>56</v>
      </c>
      <c r="S461" s="30" t="s">
        <v>192</v>
      </c>
      <c r="T461" s="30" t="s">
        <v>147</v>
      </c>
      <c r="U461" s="30" t="s">
        <v>62</v>
      </c>
      <c r="V461" s="30" t="s">
        <v>56</v>
      </c>
      <c r="W461" s="30"/>
      <c r="X461" s="30" t="s">
        <v>56</v>
      </c>
      <c r="Y461" s="30" t="s">
        <v>1588</v>
      </c>
      <c r="Z461" s="30" t="s">
        <v>64</v>
      </c>
      <c r="AA461" s="30" t="s">
        <v>646</v>
      </c>
      <c r="AB461" s="30" t="s">
        <v>56</v>
      </c>
      <c r="AC461" s="30" t="s">
        <v>1589</v>
      </c>
    </row>
    <row r="462" spans="1:29">
      <c r="A462" s="24" t="s">
        <v>1590</v>
      </c>
      <c r="B462" s="24" t="str">
        <f>IF(ISNUMBER(SEARCH(E462,A462)),A462,IF(OR(E462="",E462=""),A462,A462&amp;" - "&amp;E462))</f>
        <v>Mediprocan 23/1 Mykonoz - Sour Mango</v>
      </c>
      <c r="C462" s="24" t="s">
        <v>317</v>
      </c>
      <c r="D462" s="24" t="s">
        <v>318</v>
      </c>
      <c r="E462" s="24" t="s">
        <v>1591</v>
      </c>
      <c r="F462" s="24" t="s">
        <v>69</v>
      </c>
      <c r="G462" s="27">
        <v>23</v>
      </c>
      <c r="H462" s="28">
        <v>1</v>
      </c>
      <c r="I462" s="24"/>
      <c r="J462" s="24"/>
      <c r="K462" s="24" t="s">
        <v>52</v>
      </c>
      <c r="L462" s="24" t="s">
        <v>53</v>
      </c>
      <c r="M462" s="24" t="s">
        <v>54</v>
      </c>
      <c r="N462" s="24" t="s">
        <v>111</v>
      </c>
      <c r="O462" s="24" t="s">
        <v>88</v>
      </c>
      <c r="P462" s="24" t="s">
        <v>73</v>
      </c>
      <c r="Q462" s="24" t="s">
        <v>136</v>
      </c>
      <c r="R462" s="24" t="s">
        <v>58</v>
      </c>
      <c r="S462" s="24" t="s">
        <v>60</v>
      </c>
      <c r="T462" s="24" t="s">
        <v>147</v>
      </c>
      <c r="U462" s="24" t="s">
        <v>106</v>
      </c>
      <c r="V462" s="24" t="s">
        <v>77</v>
      </c>
      <c r="W462" s="24" t="s">
        <v>79</v>
      </c>
      <c r="X462" s="24" t="s">
        <v>107</v>
      </c>
      <c r="Y462" s="24" t="s">
        <v>124</v>
      </c>
      <c r="Z462" s="24" t="s">
        <v>64</v>
      </c>
      <c r="AA462" s="24" t="s">
        <v>320</v>
      </c>
      <c r="AB462" s="24" t="s">
        <v>56</v>
      </c>
      <c r="AC462" s="24" t="s">
        <v>1592</v>
      </c>
    </row>
    <row r="463" spans="1:29">
      <c r="A463" s="30" t="s">
        <v>1593</v>
      </c>
      <c r="B463" s="30" t="str">
        <f>IF(ISNUMBER(SEARCH(E463,A463)),A463,IF(OR(E463="",E463=""),A463,A463&amp;" - "&amp;E463))</f>
        <v>Demecan Epic Drop 30/1 - Cap Junky</v>
      </c>
      <c r="C463" s="30" t="s">
        <v>484</v>
      </c>
      <c r="D463" s="30" t="s">
        <v>485</v>
      </c>
      <c r="E463" s="30" t="s">
        <v>1594</v>
      </c>
      <c r="F463" s="30" t="s">
        <v>86</v>
      </c>
      <c r="G463" s="34">
        <v>29</v>
      </c>
      <c r="H463" s="35">
        <v>1</v>
      </c>
      <c r="I463" s="30"/>
      <c r="J463" s="30"/>
      <c r="K463" s="30" t="s">
        <v>52</v>
      </c>
      <c r="L463" s="30" t="s">
        <v>53</v>
      </c>
      <c r="M463" s="30" t="s">
        <v>54</v>
      </c>
      <c r="N463" s="30" t="s">
        <v>111</v>
      </c>
      <c r="O463" s="30" t="s">
        <v>88</v>
      </c>
      <c r="P463" s="30" t="s">
        <v>112</v>
      </c>
      <c r="Q463" s="30" t="s">
        <v>74</v>
      </c>
      <c r="R463" s="30" t="s">
        <v>89</v>
      </c>
      <c r="S463" s="30" t="s">
        <v>466</v>
      </c>
      <c r="T463" s="30" t="s">
        <v>106</v>
      </c>
      <c r="U463" s="30" t="s">
        <v>56</v>
      </c>
      <c r="V463" s="30" t="s">
        <v>77</v>
      </c>
      <c r="W463" s="30" t="s">
        <v>116</v>
      </c>
      <c r="X463" s="30" t="s">
        <v>107</v>
      </c>
      <c r="Y463" s="30" t="s">
        <v>1595</v>
      </c>
      <c r="Z463" s="30" t="s">
        <v>64</v>
      </c>
      <c r="AA463" s="30" t="s">
        <v>485</v>
      </c>
      <c r="AB463" s="30" t="s">
        <v>56</v>
      </c>
      <c r="AC463" s="30" t="s">
        <v>1596</v>
      </c>
    </row>
    <row r="464" spans="1:29">
      <c r="A464" s="24" t="s">
        <v>1597</v>
      </c>
      <c r="B464" s="24" t="str">
        <f>IF(ISNUMBER(SEARCH(E464,A464)),A464,IF(OR(E464="",E464=""),A464,A464&amp;" - "&amp;E464))</f>
        <v>Cannamedical Indica classic ZAF - Black Cherry Punch</v>
      </c>
      <c r="C464" s="24" t="s">
        <v>48</v>
      </c>
      <c r="D464" s="24" t="s">
        <v>49</v>
      </c>
      <c r="E464" s="24" t="s">
        <v>685</v>
      </c>
      <c r="F464" s="24" t="s">
        <v>120</v>
      </c>
      <c r="G464" s="27">
        <v>21</v>
      </c>
      <c r="H464" s="28">
        <v>1</v>
      </c>
      <c r="I464" s="24"/>
      <c r="J464" s="24"/>
      <c r="K464" s="24" t="s">
        <v>52</v>
      </c>
      <c r="L464" s="24" t="s">
        <v>497</v>
      </c>
      <c r="M464" s="24" t="s">
        <v>71</v>
      </c>
      <c r="N464" s="24" t="s">
        <v>103</v>
      </c>
      <c r="O464" s="24" t="s">
        <v>121</v>
      </c>
      <c r="P464" s="24" t="s">
        <v>104</v>
      </c>
      <c r="Q464" s="24" t="s">
        <v>89</v>
      </c>
      <c r="R464" s="24" t="s">
        <v>58</v>
      </c>
      <c r="S464" s="24" t="s">
        <v>123</v>
      </c>
      <c r="T464" s="24" t="s">
        <v>106</v>
      </c>
      <c r="U464" s="24" t="s">
        <v>62</v>
      </c>
      <c r="V464" s="24" t="s">
        <v>77</v>
      </c>
      <c r="W464" s="24" t="s">
        <v>116</v>
      </c>
      <c r="X464" s="24" t="s">
        <v>79</v>
      </c>
      <c r="Y464" s="24" t="s">
        <v>240</v>
      </c>
      <c r="Z464" s="24" t="s">
        <v>64</v>
      </c>
      <c r="AA464" s="24" t="s">
        <v>49</v>
      </c>
      <c r="AB464" s="24" t="s">
        <v>498</v>
      </c>
      <c r="AC464" s="24" t="s">
        <v>1598</v>
      </c>
    </row>
    <row r="465" spans="1:29">
      <c r="A465" s="30" t="s">
        <v>1599</v>
      </c>
      <c r="B465" s="30" t="str">
        <f>IF(ISNUMBER(SEARCH(E465,A465)),A465,IF(OR(E465="",E465=""),A465,A465&amp;" - "&amp;E465))</f>
        <v>Bathera 30/1 PP - Polar Pop</v>
      </c>
      <c r="C465" s="30" t="s">
        <v>153</v>
      </c>
      <c r="D465" s="30" t="s">
        <v>154</v>
      </c>
      <c r="E465" s="30" t="s">
        <v>1600</v>
      </c>
      <c r="F465" s="30" t="s">
        <v>144</v>
      </c>
      <c r="G465" s="34">
        <v>27</v>
      </c>
      <c r="H465" s="35">
        <v>1</v>
      </c>
      <c r="I465" s="30"/>
      <c r="J465" s="30"/>
      <c r="K465" s="30" t="s">
        <v>52</v>
      </c>
      <c r="L465" s="30" t="s">
        <v>102</v>
      </c>
      <c r="M465" s="30" t="s">
        <v>54</v>
      </c>
      <c r="N465" s="30" t="s">
        <v>88</v>
      </c>
      <c r="O465" s="30" t="s">
        <v>72</v>
      </c>
      <c r="P465" s="30" t="s">
        <v>73</v>
      </c>
      <c r="Q465" s="30" t="s">
        <v>112</v>
      </c>
      <c r="R465" s="30" t="s">
        <v>74</v>
      </c>
      <c r="S465" s="30" t="s">
        <v>61</v>
      </c>
      <c r="T465" s="30" t="s">
        <v>128</v>
      </c>
      <c r="U465" s="30" t="s">
        <v>62</v>
      </c>
      <c r="V465" s="30" t="s">
        <v>77</v>
      </c>
      <c r="W465" s="30" t="s">
        <v>79</v>
      </c>
      <c r="X465" s="30" t="s">
        <v>107</v>
      </c>
      <c r="Y465" s="30" t="s">
        <v>625</v>
      </c>
      <c r="Z465" s="30" t="s">
        <v>64</v>
      </c>
      <c r="AA465" s="30" t="s">
        <v>154</v>
      </c>
      <c r="AB465" s="30" t="s">
        <v>160</v>
      </c>
      <c r="AC465" s="30" t="s">
        <v>1601</v>
      </c>
    </row>
    <row r="466" spans="1:29">
      <c r="A466" s="24" t="s">
        <v>1602</v>
      </c>
      <c r="B466" s="24" t="str">
        <f>IF(ISNUMBER(SEARCH(E466,A466)),A466,IF(OR(E466="",E466=""),A466,A466&amp;" - "&amp;E466))</f>
        <v>420 Evolution 30/1 CA ICC - Ice Cream Cake x Kush Mints</v>
      </c>
      <c r="C466" s="24" t="s">
        <v>463</v>
      </c>
      <c r="D466" s="24" t="s">
        <v>464</v>
      </c>
      <c r="E466" s="24" t="s">
        <v>465</v>
      </c>
      <c r="F466" s="24" t="s">
        <v>86</v>
      </c>
      <c r="G466" s="27">
        <v>30</v>
      </c>
      <c r="H466" s="28">
        <v>1</v>
      </c>
      <c r="I466" s="24"/>
      <c r="J466" s="24"/>
      <c r="K466" s="24" t="s">
        <v>52</v>
      </c>
      <c r="L466" s="24" t="s">
        <v>53</v>
      </c>
      <c r="M466" s="24" t="s">
        <v>111</v>
      </c>
      <c r="N466" s="24" t="s">
        <v>88</v>
      </c>
      <c r="O466" s="24" t="s">
        <v>72</v>
      </c>
      <c r="P466" s="24" t="s">
        <v>112</v>
      </c>
      <c r="Q466" s="24" t="s">
        <v>146</v>
      </c>
      <c r="R466" s="24" t="s">
        <v>89</v>
      </c>
      <c r="S466" s="24" t="s">
        <v>466</v>
      </c>
      <c r="T466" s="24" t="s">
        <v>123</v>
      </c>
      <c r="U466" s="24" t="s">
        <v>106</v>
      </c>
      <c r="V466" s="24" t="s">
        <v>77</v>
      </c>
      <c r="W466" s="24" t="s">
        <v>116</v>
      </c>
      <c r="X466" s="24" t="s">
        <v>165</v>
      </c>
      <c r="Y466" s="24" t="s">
        <v>148</v>
      </c>
      <c r="Z466" s="24" t="s">
        <v>64</v>
      </c>
      <c r="AA466" s="24" t="s">
        <v>468</v>
      </c>
      <c r="AB466" s="24" t="s">
        <v>56</v>
      </c>
      <c r="AC466" s="24" t="s">
        <v>1603</v>
      </c>
    </row>
    <row r="467" spans="1:29">
      <c r="A467" s="30" t="s">
        <v>1604</v>
      </c>
      <c r="B467" s="30" t="str">
        <f>IF(ISNUMBER(SEARCH(E467,A467)),A467,IF(OR(E467="",E467=""),A467,A467&amp;" - "&amp;E467))</f>
        <v>avaay 24/1 BPM - Baby Pam</v>
      </c>
      <c r="C467" s="30" t="s">
        <v>569</v>
      </c>
      <c r="D467" s="30" t="s">
        <v>570</v>
      </c>
      <c r="E467" s="30" t="s">
        <v>1605</v>
      </c>
      <c r="F467" s="30" t="s">
        <v>86</v>
      </c>
      <c r="G467" s="34">
        <v>24</v>
      </c>
      <c r="H467" s="35">
        <v>1</v>
      </c>
      <c r="I467" s="30"/>
      <c r="J467" s="30"/>
      <c r="K467" s="30" t="s">
        <v>52</v>
      </c>
      <c r="L467" s="30" t="s">
        <v>497</v>
      </c>
      <c r="M467" s="30" t="s">
        <v>54</v>
      </c>
      <c r="N467" s="30" t="s">
        <v>111</v>
      </c>
      <c r="O467" s="30" t="s">
        <v>88</v>
      </c>
      <c r="P467" s="30" t="s">
        <v>136</v>
      </c>
      <c r="Q467" s="30" t="s">
        <v>146</v>
      </c>
      <c r="R467" s="30" t="s">
        <v>74</v>
      </c>
      <c r="S467" s="30" t="s">
        <v>60</v>
      </c>
      <c r="T467" s="30" t="s">
        <v>123</v>
      </c>
      <c r="U467" s="30" t="s">
        <v>106</v>
      </c>
      <c r="V467" s="30" t="s">
        <v>77</v>
      </c>
      <c r="W467" s="30" t="s">
        <v>56</v>
      </c>
      <c r="X467" s="30" t="s">
        <v>56</v>
      </c>
      <c r="Y467" s="30" t="s">
        <v>539</v>
      </c>
      <c r="Z467" s="30" t="s">
        <v>64</v>
      </c>
      <c r="AA467" s="30" t="s">
        <v>572</v>
      </c>
      <c r="AB467" s="30" t="s">
        <v>56</v>
      </c>
      <c r="AC467" s="30" t="s">
        <v>1606</v>
      </c>
    </row>
    <row r="468" spans="1:29">
      <c r="A468" s="24" t="s">
        <v>1607</v>
      </c>
      <c r="B468" s="24" t="str">
        <f>IF(ISNUMBER(SEARCH(E468,A468)),A468,IF(OR(E468="",E468=""),A468,A468&amp;" - "&amp;E468))</f>
        <v>avaay 31/1 SCG - Super Citra G</v>
      </c>
      <c r="C468" s="24" t="s">
        <v>569</v>
      </c>
      <c r="D468" s="24" t="s">
        <v>570</v>
      </c>
      <c r="E468" s="24" t="s">
        <v>1251</v>
      </c>
      <c r="F468" s="24" t="s">
        <v>86</v>
      </c>
      <c r="G468" s="27">
        <v>31</v>
      </c>
      <c r="H468" s="28">
        <v>1</v>
      </c>
      <c r="I468" s="24"/>
      <c r="J468" s="24"/>
      <c r="K468" s="24" t="s">
        <v>52</v>
      </c>
      <c r="L468" s="24" t="s">
        <v>53</v>
      </c>
      <c r="M468" s="24" t="s">
        <v>54</v>
      </c>
      <c r="N468" s="24" t="s">
        <v>88</v>
      </c>
      <c r="O468" s="24" t="s">
        <v>71</v>
      </c>
      <c r="P468" s="24" t="s">
        <v>157</v>
      </c>
      <c r="Q468" s="24" t="s">
        <v>146</v>
      </c>
      <c r="R468" s="24" t="s">
        <v>75</v>
      </c>
      <c r="S468" s="24" t="s">
        <v>192</v>
      </c>
      <c r="T468" s="24" t="s">
        <v>105</v>
      </c>
      <c r="U468" s="24" t="s">
        <v>123</v>
      </c>
      <c r="V468" s="24" t="s">
        <v>77</v>
      </c>
      <c r="W468" s="24" t="s">
        <v>292</v>
      </c>
      <c r="X468" s="24" t="s">
        <v>79</v>
      </c>
      <c r="Y468" s="24" t="s">
        <v>1608</v>
      </c>
      <c r="Z468" s="24" t="s">
        <v>64</v>
      </c>
      <c r="AA468" s="24" t="s">
        <v>572</v>
      </c>
      <c r="AB468" s="24" t="s">
        <v>1252</v>
      </c>
      <c r="AC468" s="24" t="s">
        <v>1609</v>
      </c>
    </row>
    <row r="469" spans="1:29">
      <c r="A469" s="30" t="s">
        <v>1610</v>
      </c>
      <c r="B469" s="30" t="str">
        <f>IF(ISNUMBER(SEARCH(E469,A469)),A469,IF(OR(E469="",E469=""),A469,A469&amp;" - "&amp;E469))</f>
        <v>Canify Cannabis flos 22/1 UY Ku. - Gorilla Glue</v>
      </c>
      <c r="C469" s="30" t="s">
        <v>99</v>
      </c>
      <c r="D469" s="30" t="s">
        <v>100</v>
      </c>
      <c r="E469" s="30" t="s">
        <v>363</v>
      </c>
      <c r="F469" s="30" t="s">
        <v>86</v>
      </c>
      <c r="G469" s="34">
        <v>22</v>
      </c>
      <c r="H469" s="35">
        <v>1</v>
      </c>
      <c r="I469" s="30"/>
      <c r="J469" s="30"/>
      <c r="K469" s="30" t="s">
        <v>52</v>
      </c>
      <c r="L469" s="30" t="s">
        <v>185</v>
      </c>
      <c r="M469" s="30" t="s">
        <v>103</v>
      </c>
      <c r="N469" s="30" t="s">
        <v>121</v>
      </c>
      <c r="O469" s="30" t="s">
        <v>72</v>
      </c>
      <c r="P469" s="30" t="s">
        <v>146</v>
      </c>
      <c r="Q469" s="30" t="s">
        <v>74</v>
      </c>
      <c r="R469" s="30" t="s">
        <v>59</v>
      </c>
      <c r="S469" s="30" t="s">
        <v>147</v>
      </c>
      <c r="T469" s="30" t="s">
        <v>106</v>
      </c>
      <c r="U469" s="30" t="s">
        <v>62</v>
      </c>
      <c r="V469" s="30" t="s">
        <v>257</v>
      </c>
      <c r="W469" s="30" t="s">
        <v>252</v>
      </c>
      <c r="X469" s="30" t="s">
        <v>77</v>
      </c>
      <c r="Y469" s="30" t="s">
        <v>188</v>
      </c>
      <c r="Z469" s="30" t="s">
        <v>64</v>
      </c>
      <c r="AA469" s="30" t="s">
        <v>100</v>
      </c>
      <c r="AB469" s="30" t="s">
        <v>332</v>
      </c>
      <c r="AC469" s="30" t="s">
        <v>1611</v>
      </c>
    </row>
    <row r="470" spans="1:29">
      <c r="A470" s="24" t="s">
        <v>1612</v>
      </c>
      <c r="B470" s="24" t="str">
        <f>IF(ISNUMBER(SEARCH(E470,A470)),A470,IF(OR(E470="",E470=""),A470,A470&amp;" - "&amp;E470))</f>
        <v>Cannamedical Sativa Forte MA - Lemon Slushie</v>
      </c>
      <c r="C470" s="24" t="s">
        <v>48</v>
      </c>
      <c r="D470" s="24" t="s">
        <v>49</v>
      </c>
      <c r="E470" s="24" t="s">
        <v>303</v>
      </c>
      <c r="F470" s="24" t="s">
        <v>69</v>
      </c>
      <c r="G470" s="27">
        <v>22</v>
      </c>
      <c r="H470" s="28">
        <v>1</v>
      </c>
      <c r="I470" s="24"/>
      <c r="J470" s="24"/>
      <c r="K470" s="24" t="s">
        <v>52</v>
      </c>
      <c r="L470" s="24" t="s">
        <v>304</v>
      </c>
      <c r="M470" s="24" t="s">
        <v>54</v>
      </c>
      <c r="N470" s="24" t="s">
        <v>111</v>
      </c>
      <c r="O470" s="24" t="s">
        <v>88</v>
      </c>
      <c r="P470" s="24" t="s">
        <v>73</v>
      </c>
      <c r="Q470" s="24" t="s">
        <v>74</v>
      </c>
      <c r="R470" s="24" t="s">
        <v>75</v>
      </c>
      <c r="S470" s="24" t="s">
        <v>123</v>
      </c>
      <c r="T470" s="24" t="s">
        <v>106</v>
      </c>
      <c r="U470" s="24" t="s">
        <v>62</v>
      </c>
      <c r="V470" s="24" t="s">
        <v>77</v>
      </c>
      <c r="W470" s="24" t="s">
        <v>107</v>
      </c>
      <c r="X470" s="24" t="s">
        <v>56</v>
      </c>
      <c r="Y470" s="24" t="s">
        <v>311</v>
      </c>
      <c r="Z470" s="24" t="s">
        <v>64</v>
      </c>
      <c r="AA470" s="24" t="s">
        <v>49</v>
      </c>
      <c r="AB470" s="24" t="s">
        <v>56</v>
      </c>
      <c r="AC470" s="37" t="s">
        <v>1613</v>
      </c>
    </row>
    <row r="471" spans="1:29">
      <c r="A471" s="30" t="s">
        <v>1614</v>
      </c>
      <c r="B471" s="30" t="str">
        <f>IF(ISNUMBER(SEARCH(E471,A471)),A471,IF(OR(E471="",E471=""),A471,A471&amp;" - "&amp;E471))</f>
        <v>Weeco 20/1 - White Widow</v>
      </c>
      <c r="C471" s="30" t="s">
        <v>905</v>
      </c>
      <c r="D471" s="30" t="s">
        <v>906</v>
      </c>
      <c r="E471" s="30" t="s">
        <v>251</v>
      </c>
      <c r="F471" s="30" t="s">
        <v>86</v>
      </c>
      <c r="G471" s="34">
        <v>20</v>
      </c>
      <c r="H471" s="35">
        <v>1</v>
      </c>
      <c r="I471" s="30"/>
      <c r="J471" s="30"/>
      <c r="K471" s="30" t="s">
        <v>17</v>
      </c>
      <c r="L471" s="30" t="s">
        <v>87</v>
      </c>
      <c r="M471" s="30" t="s">
        <v>54</v>
      </c>
      <c r="N471" s="30" t="s">
        <v>111</v>
      </c>
      <c r="O471" s="30" t="s">
        <v>88</v>
      </c>
      <c r="P471" s="30" t="s">
        <v>146</v>
      </c>
      <c r="Q471" s="30" t="s">
        <v>74</v>
      </c>
      <c r="R471" s="30" t="s">
        <v>113</v>
      </c>
      <c r="S471" s="30" t="s">
        <v>60</v>
      </c>
      <c r="T471" s="30" t="s">
        <v>147</v>
      </c>
      <c r="U471" s="30" t="s">
        <v>123</v>
      </c>
      <c r="V471" s="30" t="s">
        <v>252</v>
      </c>
      <c r="W471" s="30" t="s">
        <v>77</v>
      </c>
      <c r="X471" s="30" t="s">
        <v>253</v>
      </c>
      <c r="Y471" s="30" t="s">
        <v>1615</v>
      </c>
      <c r="Z471" s="30" t="s">
        <v>64</v>
      </c>
      <c r="AA471" s="30" t="s">
        <v>906</v>
      </c>
      <c r="AB471" s="30" t="s">
        <v>56</v>
      </c>
      <c r="AC471" s="30" t="s">
        <v>1616</v>
      </c>
    </row>
    <row r="472" spans="1:29">
      <c r="A472" s="24" t="s">
        <v>1617</v>
      </c>
      <c r="B472" s="24" t="str">
        <f>IF(ISNUMBER(SEARCH(E472,A472)),A472,IF(OR(E472="",E472=""),A472,A472&amp;" - "&amp;E472))</f>
        <v>Demecan Craft Dosidos 24/1 - Do-Si-Dos</v>
      </c>
      <c r="C472" s="24" t="s">
        <v>484</v>
      </c>
      <c r="D472" s="24" t="s">
        <v>485</v>
      </c>
      <c r="E472" s="24" t="s">
        <v>638</v>
      </c>
      <c r="F472" s="24" t="s">
        <v>86</v>
      </c>
      <c r="G472" s="27">
        <v>26</v>
      </c>
      <c r="H472" s="28">
        <v>1</v>
      </c>
      <c r="I472" s="24"/>
      <c r="J472" s="24"/>
      <c r="K472" s="24" t="s">
        <v>52</v>
      </c>
      <c r="L472" s="24" t="s">
        <v>53</v>
      </c>
      <c r="M472" s="24" t="s">
        <v>103</v>
      </c>
      <c r="N472" s="24" t="s">
        <v>121</v>
      </c>
      <c r="O472" s="24" t="s">
        <v>72</v>
      </c>
      <c r="P472" s="24" t="s">
        <v>56</v>
      </c>
      <c r="Q472" s="24" t="s">
        <v>56</v>
      </c>
      <c r="R472" s="24" t="s">
        <v>56</v>
      </c>
      <c r="S472" s="24" t="s">
        <v>466</v>
      </c>
      <c r="T472" s="24" t="s">
        <v>106</v>
      </c>
      <c r="U472" s="24" t="s">
        <v>493</v>
      </c>
      <c r="V472" s="24" t="s">
        <v>252</v>
      </c>
      <c r="W472" s="24" t="s">
        <v>77</v>
      </c>
      <c r="X472" s="24" t="s">
        <v>225</v>
      </c>
      <c r="Y472" s="24" t="s">
        <v>1618</v>
      </c>
      <c r="Z472" s="24" t="s">
        <v>64</v>
      </c>
      <c r="AA472" s="24" t="s">
        <v>485</v>
      </c>
      <c r="AB472" s="24" t="s">
        <v>56</v>
      </c>
      <c r="AC472" s="24" t="s">
        <v>1619</v>
      </c>
    </row>
    <row r="473" spans="1:29">
      <c r="A473" s="30" t="s">
        <v>1620</v>
      </c>
      <c r="B473" s="30" t="str">
        <f>IF(ISNUMBER(SEARCH(E473,A473)),A473,IF(OR(E473="",E473=""),A473,A473&amp;" - "&amp;E473))</f>
        <v>Cannabis 1A 18/1 - White Widow</v>
      </c>
      <c r="C473" s="30" t="s">
        <v>905</v>
      </c>
      <c r="D473" s="30" t="s">
        <v>906</v>
      </c>
      <c r="E473" s="30" t="s">
        <v>251</v>
      </c>
      <c r="F473" s="30" t="s">
        <v>86</v>
      </c>
      <c r="G473" s="34">
        <v>18</v>
      </c>
      <c r="H473" s="35">
        <v>1</v>
      </c>
      <c r="I473" s="30"/>
      <c r="J473" s="30"/>
      <c r="K473" s="30" t="s">
        <v>17</v>
      </c>
      <c r="L473" s="30" t="s">
        <v>87</v>
      </c>
      <c r="M473" s="30" t="s">
        <v>54</v>
      </c>
      <c r="N473" s="30" t="s">
        <v>111</v>
      </c>
      <c r="O473" s="30" t="s">
        <v>88</v>
      </c>
      <c r="P473" s="30" t="s">
        <v>146</v>
      </c>
      <c r="Q473" s="30" t="s">
        <v>74</v>
      </c>
      <c r="R473" s="30" t="s">
        <v>113</v>
      </c>
      <c r="S473" s="30" t="s">
        <v>76</v>
      </c>
      <c r="T473" s="30" t="s">
        <v>128</v>
      </c>
      <c r="U473" s="30" t="s">
        <v>62</v>
      </c>
      <c r="V473" s="30" t="s">
        <v>252</v>
      </c>
      <c r="W473" s="30" t="s">
        <v>77</v>
      </c>
      <c r="X473" s="30" t="s">
        <v>253</v>
      </c>
      <c r="Y473" s="30" t="s">
        <v>245</v>
      </c>
      <c r="Z473" s="30" t="s">
        <v>64</v>
      </c>
      <c r="AA473" s="30" t="s">
        <v>906</v>
      </c>
      <c r="AB473" s="30" t="s">
        <v>56</v>
      </c>
      <c r="AC473" s="30" t="s">
        <v>1621</v>
      </c>
    </row>
    <row r="474" spans="1:29">
      <c r="A474" s="24" t="s">
        <v>1622</v>
      </c>
      <c r="B474" s="24" t="str">
        <f>IF(ISNUMBER(SEARCH(E474,A474)),A474,IF(OR(E474="",E474=""),A474,A474&amp;" - "&amp;E474))</f>
        <v>LOT 420 ATA PT - Atomic Apple</v>
      </c>
      <c r="C474" s="24" t="s">
        <v>564</v>
      </c>
      <c r="D474" s="24" t="s">
        <v>565</v>
      </c>
      <c r="E474" s="24" t="s">
        <v>1623</v>
      </c>
      <c r="F474" s="24" t="s">
        <v>86</v>
      </c>
      <c r="G474" s="27">
        <v>26</v>
      </c>
      <c r="H474" s="28">
        <v>1</v>
      </c>
      <c r="I474" s="24"/>
      <c r="J474" s="24"/>
      <c r="K474" s="24" t="s">
        <v>52</v>
      </c>
      <c r="L474" s="24" t="s">
        <v>53</v>
      </c>
      <c r="M474" s="24" t="s">
        <v>111</v>
      </c>
      <c r="N474" s="24" t="s">
        <v>55</v>
      </c>
      <c r="O474" s="24" t="s">
        <v>72</v>
      </c>
      <c r="P474" s="24" t="s">
        <v>89</v>
      </c>
      <c r="Q474" s="24" t="s">
        <v>58</v>
      </c>
      <c r="R474" s="24" t="s">
        <v>56</v>
      </c>
      <c r="S474" s="24" t="s">
        <v>147</v>
      </c>
      <c r="T474" s="24" t="s">
        <v>106</v>
      </c>
      <c r="U474" s="24" t="s">
        <v>493</v>
      </c>
      <c r="V474" s="24" t="s">
        <v>77</v>
      </c>
      <c r="W474" s="24" t="s">
        <v>79</v>
      </c>
      <c r="X474" s="24" t="s">
        <v>107</v>
      </c>
      <c r="Y474" s="24" t="s">
        <v>1624</v>
      </c>
      <c r="Z474" s="24" t="s">
        <v>64</v>
      </c>
      <c r="AA474" s="24" t="s">
        <v>565</v>
      </c>
      <c r="AB474" s="24" t="s">
        <v>658</v>
      </c>
      <c r="AC474" s="24" t="s">
        <v>1625</v>
      </c>
    </row>
    <row r="475" spans="1:29">
      <c r="A475" s="30" t="s">
        <v>1626</v>
      </c>
      <c r="B475" s="30" t="str">
        <f>IF(ISNUMBER(SEARCH(E475,A475)),A475,IF(OR(E475="",E475=""),A475,A475&amp;" - "&amp;E475))</f>
        <v>LOT 420 GLT PT - Gelato 33</v>
      </c>
      <c r="C475" s="30" t="s">
        <v>564</v>
      </c>
      <c r="D475" s="30" t="s">
        <v>565</v>
      </c>
      <c r="E475" s="30" t="s">
        <v>1627</v>
      </c>
      <c r="F475" s="30" t="s">
        <v>86</v>
      </c>
      <c r="G475" s="34">
        <v>25</v>
      </c>
      <c r="H475" s="35">
        <v>1</v>
      </c>
      <c r="I475" s="30"/>
      <c r="J475" s="30"/>
      <c r="K475" s="30" t="s">
        <v>52</v>
      </c>
      <c r="L475" s="30" t="s">
        <v>102</v>
      </c>
      <c r="M475" s="30" t="s">
        <v>54</v>
      </c>
      <c r="N475" s="30" t="s">
        <v>111</v>
      </c>
      <c r="O475" s="30" t="s">
        <v>88</v>
      </c>
      <c r="P475" s="30" t="s">
        <v>112</v>
      </c>
      <c r="Q475" s="30" t="s">
        <v>57</v>
      </c>
      <c r="R475" s="30" t="s">
        <v>74</v>
      </c>
      <c r="S475" s="30" t="s">
        <v>90</v>
      </c>
      <c r="T475" s="30" t="s">
        <v>192</v>
      </c>
      <c r="U475" s="30" t="s">
        <v>106</v>
      </c>
      <c r="V475" s="30" t="s">
        <v>77</v>
      </c>
      <c r="W475" s="30" t="s">
        <v>107</v>
      </c>
      <c r="X475" s="30" t="s">
        <v>56</v>
      </c>
      <c r="Y475" s="30" t="s">
        <v>1628</v>
      </c>
      <c r="Z475" s="30" t="s">
        <v>64</v>
      </c>
      <c r="AA475" s="30" t="s">
        <v>565</v>
      </c>
      <c r="AB475" s="30" t="s">
        <v>658</v>
      </c>
      <c r="AC475" s="30" t="s">
        <v>1629</v>
      </c>
    </row>
    <row r="476" spans="1:29">
      <c r="A476" s="24" t="s">
        <v>1630</v>
      </c>
      <c r="B476" s="24" t="str">
        <f>IF(ISNUMBER(SEARCH(E476,A476)),A476,IF(OR(E476="",E476=""),A476,A476&amp;" - "&amp;E476))</f>
        <v>Canify Pure 18/1 LS KU. - Exodus Cheese</v>
      </c>
      <c r="C476" s="24" t="s">
        <v>99</v>
      </c>
      <c r="D476" s="24" t="s">
        <v>100</v>
      </c>
      <c r="E476" s="24" t="s">
        <v>1631</v>
      </c>
      <c r="F476" s="24" t="s">
        <v>69</v>
      </c>
      <c r="G476" s="27">
        <v>19</v>
      </c>
      <c r="H476" s="28">
        <v>1</v>
      </c>
      <c r="I476" s="24"/>
      <c r="J476" s="24"/>
      <c r="K476" s="24" t="s">
        <v>52</v>
      </c>
      <c r="L476" s="24" t="s">
        <v>630</v>
      </c>
      <c r="M476" s="24" t="s">
        <v>54</v>
      </c>
      <c r="N476" s="24" t="s">
        <v>111</v>
      </c>
      <c r="O476" s="24" t="s">
        <v>88</v>
      </c>
      <c r="P476" s="24" t="s">
        <v>74</v>
      </c>
      <c r="Q476" s="24" t="s">
        <v>89</v>
      </c>
      <c r="R476" s="24" t="s">
        <v>58</v>
      </c>
      <c r="S476" s="24" t="s">
        <v>105</v>
      </c>
      <c r="T476" s="24" t="s">
        <v>123</v>
      </c>
      <c r="U476" s="24" t="s">
        <v>106</v>
      </c>
      <c r="V476" s="24" t="s">
        <v>77</v>
      </c>
      <c r="W476" s="24" t="s">
        <v>79</v>
      </c>
      <c r="X476" s="24" t="s">
        <v>107</v>
      </c>
      <c r="Y476" s="24" t="s">
        <v>707</v>
      </c>
      <c r="Z476" s="24" t="s">
        <v>64</v>
      </c>
      <c r="AA476" s="24" t="s">
        <v>100</v>
      </c>
      <c r="AB476" s="24" t="s">
        <v>56</v>
      </c>
      <c r="AC476" s="24" t="s">
        <v>1632</v>
      </c>
    </row>
    <row r="477" spans="1:29">
      <c r="A477" s="30" t="s">
        <v>1633</v>
      </c>
      <c r="B477" s="30" t="str">
        <f>IF(ISNUMBER(SEARCH(E477,A477)),A477,IF(OR(E477="",E477=""),A477,A477&amp;" - "&amp;E477))</f>
        <v>Canify Pure 24/1 LS - Bafokeng Choice</v>
      </c>
      <c r="C477" s="30" t="s">
        <v>99</v>
      </c>
      <c r="D477" s="30" t="s">
        <v>100</v>
      </c>
      <c r="E477" s="40" t="s">
        <v>1634</v>
      </c>
      <c r="F477" s="30" t="s">
        <v>177</v>
      </c>
      <c r="G477" s="34">
        <v>24</v>
      </c>
      <c r="H477" s="35">
        <v>1</v>
      </c>
      <c r="I477" s="30"/>
      <c r="J477" s="30"/>
      <c r="K477" s="30" t="s">
        <v>52</v>
      </c>
      <c r="L477" s="30" t="s">
        <v>630</v>
      </c>
      <c r="M477" s="30" t="s">
        <v>111</v>
      </c>
      <c r="N477" s="30" t="s">
        <v>72</v>
      </c>
      <c r="O477" s="30"/>
      <c r="P477" s="30" t="s">
        <v>104</v>
      </c>
      <c r="Q477" s="30" t="s">
        <v>75</v>
      </c>
      <c r="R477" s="30" t="s">
        <v>58</v>
      </c>
      <c r="S477" s="30" t="s">
        <v>123</v>
      </c>
      <c r="T477" s="30" t="s">
        <v>91</v>
      </c>
      <c r="U477" s="30" t="s">
        <v>61</v>
      </c>
      <c r="V477" s="30" t="s">
        <v>77</v>
      </c>
      <c r="W477" s="30" t="s">
        <v>107</v>
      </c>
      <c r="X477" s="30"/>
      <c r="Y477" s="30" t="s">
        <v>719</v>
      </c>
      <c r="Z477" s="30" t="s">
        <v>64</v>
      </c>
      <c r="AA477" s="30" t="s">
        <v>100</v>
      </c>
      <c r="AB477" s="30"/>
      <c r="AC477" s="51" t="s">
        <v>1635</v>
      </c>
    </row>
    <row r="478" spans="1:29">
      <c r="A478" s="24" t="s">
        <v>1636</v>
      </c>
      <c r="B478" s="24" t="str">
        <f>IF(ISNUMBER(SEARCH(E478,A478)),A478,IF(OR(E478="",E478=""),A478,A478&amp;" - "&amp;E478))</f>
        <v>avaay 5/1 THCV12</v>
      </c>
      <c r="C478" s="24" t="s">
        <v>569</v>
      </c>
      <c r="D478" s="24" t="s">
        <v>570</v>
      </c>
      <c r="E478" s="24" t="s">
        <v>1637</v>
      </c>
      <c r="F478" s="24" t="s">
        <v>144</v>
      </c>
      <c r="G478" s="27">
        <v>5</v>
      </c>
      <c r="H478" s="28">
        <v>1</v>
      </c>
      <c r="I478" s="24"/>
      <c r="J478" s="24"/>
      <c r="K478" s="24" t="s">
        <v>52</v>
      </c>
      <c r="L478" s="24" t="s">
        <v>53</v>
      </c>
      <c r="M478" s="24" t="s">
        <v>56</v>
      </c>
      <c r="N478" s="24"/>
      <c r="O478" s="24" t="s">
        <v>56</v>
      </c>
      <c r="P478" s="24" t="s">
        <v>146</v>
      </c>
      <c r="Q478" s="24" t="s">
        <v>74</v>
      </c>
      <c r="R478" s="24" t="s">
        <v>113</v>
      </c>
      <c r="S478" s="24" t="s">
        <v>192</v>
      </c>
      <c r="T478" s="24" t="s">
        <v>123</v>
      </c>
      <c r="U478" s="24" t="s">
        <v>106</v>
      </c>
      <c r="V478" s="24" t="s">
        <v>138</v>
      </c>
      <c r="W478" s="24" t="s">
        <v>79</v>
      </c>
      <c r="X478" s="24" t="s">
        <v>56</v>
      </c>
      <c r="Y478" s="24" t="s">
        <v>1638</v>
      </c>
      <c r="Z478" s="24" t="s">
        <v>64</v>
      </c>
      <c r="AA478" s="24" t="s">
        <v>572</v>
      </c>
      <c r="AB478" s="24" t="s">
        <v>56</v>
      </c>
      <c r="AC478" s="24" t="s">
        <v>1639</v>
      </c>
    </row>
    <row r="479" spans="1:29">
      <c r="A479" s="30" t="s">
        <v>1640</v>
      </c>
      <c r="B479" s="30" t="str">
        <f>IF(ISNUMBER(SEARCH(E479,A479)),A479,IF(OR(E479="",E479=""),A479,A479&amp;" - "&amp;E479))</f>
        <v>TYSON 2.0 24/1 - NYC Diesel</v>
      </c>
      <c r="C479" s="30" t="s">
        <v>141</v>
      </c>
      <c r="D479" s="30" t="s">
        <v>142</v>
      </c>
      <c r="E479" s="30" t="s">
        <v>399</v>
      </c>
      <c r="F479" s="30" t="s">
        <v>144</v>
      </c>
      <c r="G479" s="34">
        <v>23</v>
      </c>
      <c r="H479" s="35">
        <v>1</v>
      </c>
      <c r="I479" s="30"/>
      <c r="J479" s="30"/>
      <c r="K479" s="30" t="s">
        <v>52</v>
      </c>
      <c r="L479" s="30" t="s">
        <v>145</v>
      </c>
      <c r="M479" s="30" t="s">
        <v>111</v>
      </c>
      <c r="N479" s="30" t="s">
        <v>55</v>
      </c>
      <c r="O479" s="30" t="s">
        <v>178</v>
      </c>
      <c r="P479" s="30" t="s">
        <v>75</v>
      </c>
      <c r="Q479" s="30" t="s">
        <v>58</v>
      </c>
      <c r="R479" s="30" t="s">
        <v>56</v>
      </c>
      <c r="S479" s="30" t="s">
        <v>192</v>
      </c>
      <c r="T479" s="30" t="s">
        <v>147</v>
      </c>
      <c r="U479" s="30" t="s">
        <v>62</v>
      </c>
      <c r="V479" s="30" t="s">
        <v>77</v>
      </c>
      <c r="W479" s="30" t="s">
        <v>292</v>
      </c>
      <c r="X479" s="30" t="s">
        <v>79</v>
      </c>
      <c r="Y479" s="30" t="s">
        <v>289</v>
      </c>
      <c r="Z479" s="30" t="s">
        <v>64</v>
      </c>
      <c r="AA479" s="30" t="s">
        <v>149</v>
      </c>
      <c r="AB479" s="30" t="s">
        <v>150</v>
      </c>
      <c r="AC479" s="30" t="s">
        <v>1641</v>
      </c>
    </row>
    <row r="480" spans="1:29">
      <c r="A480" s="24" t="s">
        <v>1642</v>
      </c>
      <c r="B480" s="24" t="str">
        <f>IF(ISNUMBER(SEARCH(E480,A480)),A480,IF(OR(E480="",E480=""),A480,A480&amp;" - "&amp;E480))</f>
        <v>420 Evolution 27/1 MMI - Miracle Mint</v>
      </c>
      <c r="C480" s="24" t="s">
        <v>463</v>
      </c>
      <c r="D480" s="24" t="s">
        <v>464</v>
      </c>
      <c r="E480" s="24" t="s">
        <v>1081</v>
      </c>
      <c r="F480" s="24" t="s">
        <v>120</v>
      </c>
      <c r="G480" s="27">
        <v>27</v>
      </c>
      <c r="H480" s="28">
        <v>1</v>
      </c>
      <c r="I480" s="24"/>
      <c r="J480" s="24"/>
      <c r="K480" s="24" t="s">
        <v>52</v>
      </c>
      <c r="L480" s="24" t="s">
        <v>53</v>
      </c>
      <c r="M480" s="24" t="s">
        <v>54</v>
      </c>
      <c r="N480" s="24" t="s">
        <v>88</v>
      </c>
      <c r="O480" s="24" t="s">
        <v>178</v>
      </c>
      <c r="P480" s="24" t="s">
        <v>157</v>
      </c>
      <c r="Q480" s="24" t="s">
        <v>74</v>
      </c>
      <c r="R480" s="24" t="s">
        <v>113</v>
      </c>
      <c r="S480" s="24" t="s">
        <v>192</v>
      </c>
      <c r="T480" s="24" t="s">
        <v>147</v>
      </c>
      <c r="U480" s="24" t="s">
        <v>123</v>
      </c>
      <c r="V480" s="24" t="s">
        <v>138</v>
      </c>
      <c r="W480" s="24" t="s">
        <v>79</v>
      </c>
      <c r="X480" s="24" t="s">
        <v>107</v>
      </c>
      <c r="Y480" s="24" t="s">
        <v>1537</v>
      </c>
      <c r="Z480" s="24" t="s">
        <v>64</v>
      </c>
      <c r="AA480" s="24" t="s">
        <v>468</v>
      </c>
      <c r="AB480" s="24" t="s">
        <v>56</v>
      </c>
      <c r="AC480" s="24" t="s">
        <v>1643</v>
      </c>
    </row>
    <row r="481" spans="1:29">
      <c r="A481" s="30" t="s">
        <v>1644</v>
      </c>
      <c r="B481" s="30" t="str">
        <f>IF(ISNUMBER(SEARCH(E481,A481)),A481,IF(OR(E481="",E481=""),A481,A481&amp;" - "&amp;E481))</f>
        <v>420 Compound 33/1 GAP - Gastro Pop</v>
      </c>
      <c r="C481" s="30" t="s">
        <v>463</v>
      </c>
      <c r="D481" s="30" t="s">
        <v>464</v>
      </c>
      <c r="E481" s="30" t="s">
        <v>1564</v>
      </c>
      <c r="F481" s="30" t="s">
        <v>177</v>
      </c>
      <c r="G481" s="34">
        <v>33</v>
      </c>
      <c r="H481" s="35">
        <v>1</v>
      </c>
      <c r="I481" s="30"/>
      <c r="J481" s="30"/>
      <c r="K481" s="30" t="s">
        <v>52</v>
      </c>
      <c r="L481" s="30" t="s">
        <v>53</v>
      </c>
      <c r="M481" s="30" t="s">
        <v>156</v>
      </c>
      <c r="N481" s="30" t="s">
        <v>103</v>
      </c>
      <c r="O481" s="30"/>
      <c r="P481" s="30" t="s">
        <v>89</v>
      </c>
      <c r="Q481" s="30" t="s">
        <v>58</v>
      </c>
      <c r="R481" s="30" t="s">
        <v>59</v>
      </c>
      <c r="S481" s="30" t="s">
        <v>105</v>
      </c>
      <c r="T481" s="30" t="s">
        <v>147</v>
      </c>
      <c r="U481" s="30" t="s">
        <v>123</v>
      </c>
      <c r="V481" s="30" t="s">
        <v>77</v>
      </c>
      <c r="W481" s="30" t="s">
        <v>107</v>
      </c>
      <c r="X481" s="30" t="s">
        <v>93</v>
      </c>
      <c r="Y481" s="30" t="s">
        <v>1595</v>
      </c>
      <c r="Z481" s="30" t="s">
        <v>64</v>
      </c>
      <c r="AA481" s="30" t="s">
        <v>468</v>
      </c>
      <c r="AB481" s="30" t="s">
        <v>56</v>
      </c>
      <c r="AC481" s="30" t="s">
        <v>1645</v>
      </c>
    </row>
    <row r="482" spans="1:29">
      <c r="A482" s="24" t="s">
        <v>1646</v>
      </c>
      <c r="B482" s="24" t="str">
        <f>IF(ISNUMBER(SEARCH(E482,A482)),A482,IF(OR(E482="",E482=""),A482,A482&amp;" - "&amp;E482))</f>
        <v>Remexian 14/1 - White Widow</v>
      </c>
      <c r="C482" s="24" t="s">
        <v>83</v>
      </c>
      <c r="D482" s="24" t="s">
        <v>84</v>
      </c>
      <c r="E482" s="24" t="s">
        <v>251</v>
      </c>
      <c r="F482" s="24" t="s">
        <v>69</v>
      </c>
      <c r="G482" s="27">
        <v>14</v>
      </c>
      <c r="H482" s="28">
        <v>1</v>
      </c>
      <c r="I482" s="24"/>
      <c r="J482" s="24"/>
      <c r="K482" s="24" t="s">
        <v>17</v>
      </c>
      <c r="L482" s="24" t="s">
        <v>87</v>
      </c>
      <c r="M482" s="24" t="s">
        <v>54</v>
      </c>
      <c r="N482" s="24" t="s">
        <v>111</v>
      </c>
      <c r="O482" s="24" t="s">
        <v>88</v>
      </c>
      <c r="P482" s="24" t="s">
        <v>146</v>
      </c>
      <c r="Q482" s="24" t="s">
        <v>74</v>
      </c>
      <c r="R482" s="24" t="s">
        <v>113</v>
      </c>
      <c r="S482" s="24" t="s">
        <v>128</v>
      </c>
      <c r="T482" s="24" t="s">
        <v>62</v>
      </c>
      <c r="U482" s="24" t="s">
        <v>179</v>
      </c>
      <c r="V482" s="24" t="s">
        <v>252</v>
      </c>
      <c r="W482" s="24" t="s">
        <v>77</v>
      </c>
      <c r="X482" s="24" t="s">
        <v>253</v>
      </c>
      <c r="Y482" s="24" t="s">
        <v>1647</v>
      </c>
      <c r="Z482" s="24" t="s">
        <v>64</v>
      </c>
      <c r="AA482" s="24" t="s">
        <v>95</v>
      </c>
      <c r="AB482" s="24" t="s">
        <v>56</v>
      </c>
      <c r="AC482" s="24" t="s">
        <v>1648</v>
      </c>
    </row>
    <row r="483" spans="1:29">
      <c r="A483" s="30" t="s">
        <v>1649</v>
      </c>
      <c r="B483" s="30" t="str">
        <f>IF(ISNUMBER(SEARCH(E483,A483)),A483,IF(OR(E483="",E483=""),A483,A483&amp;" - "&amp;E483))</f>
        <v>Remexian 30/1 PRT SCK - Strawberry Cookies</v>
      </c>
      <c r="C483" s="30" t="s">
        <v>83</v>
      </c>
      <c r="D483" s="30" t="s">
        <v>84</v>
      </c>
      <c r="E483" s="30" t="s">
        <v>1650</v>
      </c>
      <c r="F483" s="30" t="s">
        <v>69</v>
      </c>
      <c r="G483" s="34">
        <v>30</v>
      </c>
      <c r="H483" s="35">
        <v>1</v>
      </c>
      <c r="I483" s="30"/>
      <c r="J483" s="30"/>
      <c r="K483" s="30" t="s">
        <v>52</v>
      </c>
      <c r="L483" s="30" t="s">
        <v>102</v>
      </c>
      <c r="M483" s="30" t="s">
        <v>54</v>
      </c>
      <c r="N483" s="30" t="s">
        <v>111</v>
      </c>
      <c r="O483" s="30" t="s">
        <v>88</v>
      </c>
      <c r="P483" s="30" t="s">
        <v>112</v>
      </c>
      <c r="Q483" s="30" t="s">
        <v>74</v>
      </c>
      <c r="R483" s="30" t="s">
        <v>89</v>
      </c>
      <c r="S483" s="30" t="s">
        <v>123</v>
      </c>
      <c r="T483" s="30" t="s">
        <v>106</v>
      </c>
      <c r="U483" s="30" t="s">
        <v>91</v>
      </c>
      <c r="V483" s="30" t="s">
        <v>77</v>
      </c>
      <c r="W483" s="30" t="s">
        <v>79</v>
      </c>
      <c r="X483" s="30" t="s">
        <v>107</v>
      </c>
      <c r="Y483" s="30" t="s">
        <v>437</v>
      </c>
      <c r="Z483" s="30" t="s">
        <v>64</v>
      </c>
      <c r="AA483" s="30" t="s">
        <v>95</v>
      </c>
      <c r="AB483" s="30" t="s">
        <v>56</v>
      </c>
      <c r="AC483" s="30" t="s">
        <v>1651</v>
      </c>
    </row>
    <row r="484" spans="1:29">
      <c r="A484" s="24" t="s">
        <v>1652</v>
      </c>
      <c r="B484" s="24" t="str">
        <f>IF(ISNUMBER(SEARCH(E484,A484)),A484,IF(OR(E484="",E484=""),A484,A484&amp;" - "&amp;E484))</f>
        <v>enua 22/1 ANF CA - Animal Face</v>
      </c>
      <c r="C484" s="24" t="s">
        <v>650</v>
      </c>
      <c r="D484" s="24" t="s">
        <v>651</v>
      </c>
      <c r="E484" s="24" t="s">
        <v>1653</v>
      </c>
      <c r="F484" s="24" t="s">
        <v>144</v>
      </c>
      <c r="G484" s="27">
        <v>22</v>
      </c>
      <c r="H484" s="28">
        <v>1</v>
      </c>
      <c r="I484" s="24"/>
      <c r="J484" s="24"/>
      <c r="K484" s="24" t="s">
        <v>52</v>
      </c>
      <c r="L484" s="24" t="s">
        <v>53</v>
      </c>
      <c r="M484" s="24" t="s">
        <v>111</v>
      </c>
      <c r="N484" s="24" t="s">
        <v>88</v>
      </c>
      <c r="O484" s="24" t="s">
        <v>72</v>
      </c>
      <c r="P484" s="24" t="s">
        <v>112</v>
      </c>
      <c r="Q484" s="24" t="s">
        <v>146</v>
      </c>
      <c r="R484" s="24" t="s">
        <v>57</v>
      </c>
      <c r="S484" s="24" t="s">
        <v>61</v>
      </c>
      <c r="T484" s="24" t="s">
        <v>128</v>
      </c>
      <c r="U484" s="24" t="s">
        <v>62</v>
      </c>
      <c r="V484" s="24" t="s">
        <v>77</v>
      </c>
      <c r="W484" s="24" t="s">
        <v>116</v>
      </c>
      <c r="X484" s="24" t="s">
        <v>107</v>
      </c>
      <c r="Y484" s="24" t="s">
        <v>338</v>
      </c>
      <c r="Z484" s="24" t="s">
        <v>64</v>
      </c>
      <c r="AA484" s="24" t="s">
        <v>653</v>
      </c>
      <c r="AB484" s="24" t="s">
        <v>56</v>
      </c>
      <c r="AC484" s="24" t="s">
        <v>1654</v>
      </c>
    </row>
    <row r="485" spans="1:29">
      <c r="A485" s="30" t="s">
        <v>1655</v>
      </c>
      <c r="B485" s="30" t="str">
        <f>IF(ISNUMBER(SEARCH(E485,A485)),A485,IF(OR(E485="",E485=""),A485,A485&amp;" - "&amp;E485))</f>
        <v>enua 27/1 BDO CA - Black Dolato</v>
      </c>
      <c r="C485" s="30" t="s">
        <v>650</v>
      </c>
      <c r="D485" s="30" t="s">
        <v>651</v>
      </c>
      <c r="E485" s="30" t="s">
        <v>1656</v>
      </c>
      <c r="F485" s="30" t="s">
        <v>177</v>
      </c>
      <c r="G485" s="34">
        <v>27</v>
      </c>
      <c r="H485" s="35">
        <v>1</v>
      </c>
      <c r="I485" s="30"/>
      <c r="J485" s="30"/>
      <c r="K485" s="30" t="s">
        <v>52</v>
      </c>
      <c r="L485" s="30" t="s">
        <v>53</v>
      </c>
      <c r="M485" s="30" t="s">
        <v>88</v>
      </c>
      <c r="N485" s="30" t="s">
        <v>55</v>
      </c>
      <c r="O485" s="30" t="s">
        <v>72</v>
      </c>
      <c r="P485" s="30" t="s">
        <v>146</v>
      </c>
      <c r="Q485" s="30" t="s">
        <v>113</v>
      </c>
      <c r="R485" s="30" t="s">
        <v>89</v>
      </c>
      <c r="S485" s="30" t="s">
        <v>60</v>
      </c>
      <c r="T485" s="30" t="s">
        <v>106</v>
      </c>
      <c r="U485" s="30" t="s">
        <v>62</v>
      </c>
      <c r="V485" s="30" t="s">
        <v>77</v>
      </c>
      <c r="W485" s="30" t="s">
        <v>79</v>
      </c>
      <c r="X485" s="30" t="s">
        <v>107</v>
      </c>
      <c r="Y485" s="30" t="s">
        <v>240</v>
      </c>
      <c r="Z485" s="30" t="s">
        <v>64</v>
      </c>
      <c r="AA485" s="30" t="s">
        <v>653</v>
      </c>
      <c r="AB485" s="30" t="s">
        <v>56</v>
      </c>
      <c r="AC485" s="30" t="s">
        <v>1657</v>
      </c>
    </row>
    <row r="486" spans="1:29">
      <c r="A486" s="24" t="s">
        <v>1658</v>
      </c>
      <c r="B486" s="24" t="str">
        <f>IF(ISNUMBER(SEARCH(E486,A486)),A486,IF(OR(E486="",E486=""),A486,A486&amp;" - "&amp;E486))</f>
        <v>aleph water 5/13 - Amnesia Balanced</v>
      </c>
      <c r="C486" s="24" t="s">
        <v>725</v>
      </c>
      <c r="D486" s="24" t="s">
        <v>726</v>
      </c>
      <c r="E486" s="24" t="s">
        <v>1659</v>
      </c>
      <c r="F486" s="24" t="s">
        <v>51</v>
      </c>
      <c r="G486" s="27">
        <v>5</v>
      </c>
      <c r="H486" s="28">
        <v>13</v>
      </c>
      <c r="I486" s="24"/>
      <c r="J486" s="24"/>
      <c r="K486" s="24" t="s">
        <v>52</v>
      </c>
      <c r="L486" s="24" t="s">
        <v>102</v>
      </c>
      <c r="M486" s="24" t="s">
        <v>111</v>
      </c>
      <c r="N486" s="24" t="s">
        <v>55</v>
      </c>
      <c r="O486" s="24" t="s">
        <v>72</v>
      </c>
      <c r="P486" s="24" t="s">
        <v>157</v>
      </c>
      <c r="Q486" s="24" t="s">
        <v>74</v>
      </c>
      <c r="R486" s="24" t="s">
        <v>75</v>
      </c>
      <c r="S486" s="24" t="s">
        <v>90</v>
      </c>
      <c r="T486" s="24" t="s">
        <v>106</v>
      </c>
      <c r="U486" s="24" t="s">
        <v>115</v>
      </c>
      <c r="V486" s="24" t="s">
        <v>77</v>
      </c>
      <c r="W486" s="24" t="s">
        <v>138</v>
      </c>
      <c r="X486" s="24" t="s">
        <v>79</v>
      </c>
      <c r="Y486" s="24" t="s">
        <v>1660</v>
      </c>
      <c r="Z486" s="24" t="s">
        <v>64</v>
      </c>
      <c r="AA486" s="24" t="s">
        <v>726</v>
      </c>
      <c r="AB486" s="24" t="s">
        <v>56</v>
      </c>
      <c r="AC486" s="24" t="s">
        <v>1661</v>
      </c>
    </row>
    <row r="487" spans="1:29">
      <c r="A487" s="30" t="s">
        <v>1662</v>
      </c>
      <c r="B487" s="30" t="str">
        <f>IF(ISNUMBER(SEARCH(E487,A487)),A487,IF(OR(E487="",E487=""),A487,A487&amp;" - "&amp;E487))</f>
        <v>aleph air 18/1 - Sour Tangie</v>
      </c>
      <c r="C487" s="30" t="s">
        <v>725</v>
      </c>
      <c r="D487" s="30" t="s">
        <v>726</v>
      </c>
      <c r="E487" s="30" t="s">
        <v>1663</v>
      </c>
      <c r="F487" s="30" t="s">
        <v>144</v>
      </c>
      <c r="G487" s="34">
        <v>18</v>
      </c>
      <c r="H487" s="35">
        <v>1</v>
      </c>
      <c r="I487" s="30"/>
      <c r="J487" s="30"/>
      <c r="K487" s="30" t="s">
        <v>52</v>
      </c>
      <c r="L487" s="30" t="s">
        <v>102</v>
      </c>
      <c r="M487" s="30" t="s">
        <v>54</v>
      </c>
      <c r="N487" s="30" t="s">
        <v>111</v>
      </c>
      <c r="O487" s="30" t="s">
        <v>88</v>
      </c>
      <c r="P487" s="30" t="s">
        <v>75</v>
      </c>
      <c r="Q487" s="30" t="s">
        <v>56</v>
      </c>
      <c r="R487" s="30" t="s">
        <v>56</v>
      </c>
      <c r="S487" s="30" t="s">
        <v>147</v>
      </c>
      <c r="T487" s="30" t="s">
        <v>123</v>
      </c>
      <c r="U487" s="30" t="s">
        <v>76</v>
      </c>
      <c r="V487" s="30" t="s">
        <v>79</v>
      </c>
      <c r="W487" s="30" t="s">
        <v>107</v>
      </c>
      <c r="X487" s="30" t="s">
        <v>711</v>
      </c>
      <c r="Y487" s="30" t="s">
        <v>193</v>
      </c>
      <c r="Z487" s="30" t="s">
        <v>64</v>
      </c>
      <c r="AA487" s="30" t="s">
        <v>726</v>
      </c>
      <c r="AB487" s="30" t="s">
        <v>56</v>
      </c>
      <c r="AC487" s="30" t="s">
        <v>1664</v>
      </c>
    </row>
    <row r="488" spans="1:29">
      <c r="A488" s="24" t="s">
        <v>1665</v>
      </c>
      <c r="B488" s="24" t="str">
        <f>IF(ISNUMBER(SEARCH(E488,A488)),A488,IF(OR(E488="",E488=""),A488,A488&amp;" - "&amp;E488))</f>
        <v>aleph earth 19/1 - Sherbet Kush</v>
      </c>
      <c r="C488" s="24" t="s">
        <v>725</v>
      </c>
      <c r="D488" s="24" t="s">
        <v>726</v>
      </c>
      <c r="E488" s="24" t="s">
        <v>1666</v>
      </c>
      <c r="F488" s="24" t="s">
        <v>86</v>
      </c>
      <c r="G488" s="27">
        <v>19</v>
      </c>
      <c r="H488" s="28">
        <v>1</v>
      </c>
      <c r="I488" s="24"/>
      <c r="J488" s="24"/>
      <c r="K488" s="24" t="s">
        <v>52</v>
      </c>
      <c r="L488" s="24"/>
      <c r="M488" s="24" t="s">
        <v>71</v>
      </c>
      <c r="N488" s="24" t="s">
        <v>72</v>
      </c>
      <c r="O488" s="24" t="s">
        <v>56</v>
      </c>
      <c r="P488" s="24" t="s">
        <v>73</v>
      </c>
      <c r="Q488" s="24" t="s">
        <v>74</v>
      </c>
      <c r="R488" s="24" t="s">
        <v>89</v>
      </c>
      <c r="S488" s="24" t="s">
        <v>147</v>
      </c>
      <c r="T488" s="24" t="s">
        <v>106</v>
      </c>
      <c r="U488" s="24" t="s">
        <v>62</v>
      </c>
      <c r="V488" s="24" t="s">
        <v>116</v>
      </c>
      <c r="W488" s="24" t="s">
        <v>180</v>
      </c>
      <c r="X488" s="24" t="s">
        <v>107</v>
      </c>
      <c r="Y488" s="24" t="s">
        <v>1354</v>
      </c>
      <c r="Z488" s="24" t="s">
        <v>64</v>
      </c>
      <c r="AA488" s="24" t="s">
        <v>726</v>
      </c>
      <c r="AB488" s="24" t="s">
        <v>56</v>
      </c>
      <c r="AC488" s="24" t="s">
        <v>1667</v>
      </c>
    </row>
    <row r="489" spans="1:29">
      <c r="A489" s="30" t="s">
        <v>1668</v>
      </c>
      <c r="B489" s="30" t="str">
        <f>IF(ISNUMBER(SEARCH(E489,A489)),A489,IF(OR(E489="",E489=""),A489,A489&amp;" - "&amp;E489))</f>
        <v>Weeco 23/1 - Frosted Lemon Angel</v>
      </c>
      <c r="C489" s="30" t="s">
        <v>905</v>
      </c>
      <c r="D489" s="30" t="s">
        <v>906</v>
      </c>
      <c r="E489" s="30" t="s">
        <v>706</v>
      </c>
      <c r="F489" s="30" t="s">
        <v>86</v>
      </c>
      <c r="G489" s="34">
        <v>23</v>
      </c>
      <c r="H489" s="35">
        <v>1</v>
      </c>
      <c r="I489" s="30"/>
      <c r="J489" s="30"/>
      <c r="K489" s="30" t="s">
        <v>17</v>
      </c>
      <c r="L489" s="30" t="s">
        <v>87</v>
      </c>
      <c r="M489" s="30" t="s">
        <v>54</v>
      </c>
      <c r="N489" s="30" t="s">
        <v>55</v>
      </c>
      <c r="O489" s="30" t="s">
        <v>72</v>
      </c>
      <c r="P489" s="30" t="s">
        <v>75</v>
      </c>
      <c r="Q489" s="30" t="s">
        <v>89</v>
      </c>
      <c r="R489" s="30" t="s">
        <v>56</v>
      </c>
      <c r="S489" s="30" t="s">
        <v>147</v>
      </c>
      <c r="T489" s="30" t="s">
        <v>123</v>
      </c>
      <c r="U489" s="30" t="s">
        <v>106</v>
      </c>
      <c r="V489" s="30" t="s">
        <v>116</v>
      </c>
      <c r="W489" s="30" t="s">
        <v>93</v>
      </c>
      <c r="X489" s="30" t="s">
        <v>173</v>
      </c>
      <c r="Y489" s="30" t="s">
        <v>1669</v>
      </c>
      <c r="Z489" s="30" t="s">
        <v>64</v>
      </c>
      <c r="AA489" s="30" t="s">
        <v>906</v>
      </c>
      <c r="AB489" s="30" t="s">
        <v>96</v>
      </c>
      <c r="AC489" s="30" t="s">
        <v>1670</v>
      </c>
    </row>
    <row r="490" spans="1:29">
      <c r="A490" s="24" t="s">
        <v>1671</v>
      </c>
      <c r="B490" s="24" t="str">
        <f>IF(ISNUMBER(SEARCH(E490,A490)),A490,IF(OR(E490="",E490=""),A490,A490&amp;" - "&amp;E490))</f>
        <v>Canify Cannabis flos 30/1 POR Ku. - Chapel Of Love</v>
      </c>
      <c r="C490" s="24" t="s">
        <v>99</v>
      </c>
      <c r="D490" s="24" t="s">
        <v>100</v>
      </c>
      <c r="E490" s="24" t="s">
        <v>1672</v>
      </c>
      <c r="F490" s="24" t="s">
        <v>86</v>
      </c>
      <c r="G490" s="27">
        <v>31</v>
      </c>
      <c r="H490" s="28">
        <v>1</v>
      </c>
      <c r="I490" s="24"/>
      <c r="J490" s="24"/>
      <c r="K490" s="24" t="s">
        <v>52</v>
      </c>
      <c r="L490" s="24" t="s">
        <v>102</v>
      </c>
      <c r="M490" s="24" t="s">
        <v>178</v>
      </c>
      <c r="N490" s="24" t="s">
        <v>72</v>
      </c>
      <c r="O490" s="24" t="s">
        <v>56</v>
      </c>
      <c r="P490" s="24" t="s">
        <v>73</v>
      </c>
      <c r="Q490" s="24" t="s">
        <v>57</v>
      </c>
      <c r="R490" s="24" t="s">
        <v>75</v>
      </c>
      <c r="S490" s="24" t="s">
        <v>147</v>
      </c>
      <c r="T490" s="24" t="s">
        <v>106</v>
      </c>
      <c r="U490" s="24" t="s">
        <v>62</v>
      </c>
      <c r="V490" s="24" t="s">
        <v>77</v>
      </c>
      <c r="W490" s="24" t="s">
        <v>79</v>
      </c>
      <c r="X490" s="24" t="s">
        <v>93</v>
      </c>
      <c r="Y490" s="24" t="s">
        <v>1023</v>
      </c>
      <c r="Z490" s="24" t="s">
        <v>64</v>
      </c>
      <c r="AA490" s="24" t="s">
        <v>100</v>
      </c>
      <c r="AB490" s="24" t="s">
        <v>56</v>
      </c>
      <c r="AC490" s="24" t="s">
        <v>1674</v>
      </c>
    </row>
    <row r="491" spans="1:29">
      <c r="A491" s="30" t="s">
        <v>1675</v>
      </c>
      <c r="B491" s="30" t="str">
        <f>IF(ISNUMBER(SEARCH(E491,A491)),A491,IF(OR(E491="",E491=""),A491,A491&amp;" - "&amp;E491))</f>
        <v>CNBS CPJ 31/1 - Cap Junky</v>
      </c>
      <c r="C491" s="30" t="s">
        <v>822</v>
      </c>
      <c r="D491" s="30" t="s">
        <v>823</v>
      </c>
      <c r="E491" s="30" t="s">
        <v>1594</v>
      </c>
      <c r="F491" s="30" t="s">
        <v>86</v>
      </c>
      <c r="G491" s="34">
        <v>32</v>
      </c>
      <c r="H491" s="35">
        <v>1</v>
      </c>
      <c r="I491" s="30"/>
      <c r="J491" s="30"/>
      <c r="K491" s="30" t="s">
        <v>52</v>
      </c>
      <c r="L491" s="30" t="s">
        <v>53</v>
      </c>
      <c r="M491" s="30" t="s">
        <v>54</v>
      </c>
      <c r="N491" s="30" t="s">
        <v>111</v>
      </c>
      <c r="O491" s="30" t="s">
        <v>88</v>
      </c>
      <c r="P491" s="30" t="s">
        <v>112</v>
      </c>
      <c r="Q491" s="30" t="s">
        <v>74</v>
      </c>
      <c r="R491" s="30" t="s">
        <v>89</v>
      </c>
      <c r="S491" s="30" t="s">
        <v>466</v>
      </c>
      <c r="T491" s="30" t="s">
        <v>106</v>
      </c>
      <c r="U491" s="30" t="s">
        <v>56</v>
      </c>
      <c r="V491" s="30" t="s">
        <v>77</v>
      </c>
      <c r="W491" s="30" t="s">
        <v>116</v>
      </c>
      <c r="X491" s="30" t="s">
        <v>107</v>
      </c>
      <c r="Y491" s="30" t="s">
        <v>293</v>
      </c>
      <c r="Z491" s="30" t="s">
        <v>64</v>
      </c>
      <c r="AA491" s="30" t="s">
        <v>826</v>
      </c>
      <c r="AB491" s="30" t="s">
        <v>56</v>
      </c>
      <c r="AC491" s="30" t="s">
        <v>1676</v>
      </c>
    </row>
    <row r="492" spans="1:29">
      <c r="A492" s="24" t="s">
        <v>1677</v>
      </c>
      <c r="B492" s="24" t="str">
        <f>IF(ISNUMBER(SEARCH(E492,A492)),A492,IF(OR(E492="",E492=""),A492,A492&amp;" - "&amp;E492))</f>
        <v>Demecan 26/1 MC Strong Drop - Zkittlez x Sherb Bx1 x Permanent Marker</v>
      </c>
      <c r="C492" s="24" t="s">
        <v>484</v>
      </c>
      <c r="D492" s="24" t="s">
        <v>485</v>
      </c>
      <c r="E492" s="24" t="s">
        <v>1678</v>
      </c>
      <c r="F492" s="24" t="s">
        <v>86</v>
      </c>
      <c r="G492" s="27">
        <v>26</v>
      </c>
      <c r="H492" s="28">
        <v>1</v>
      </c>
      <c r="I492" s="24"/>
      <c r="J492" s="24"/>
      <c r="K492" s="24" t="s">
        <v>52</v>
      </c>
      <c r="L492" s="24" t="s">
        <v>53</v>
      </c>
      <c r="M492" s="24" t="s">
        <v>54</v>
      </c>
      <c r="N492" s="24" t="s">
        <v>111</v>
      </c>
      <c r="O492" s="24" t="s">
        <v>88</v>
      </c>
      <c r="P492" s="24" t="s">
        <v>136</v>
      </c>
      <c r="Q492" s="24" t="s">
        <v>57</v>
      </c>
      <c r="R492" s="24" t="s">
        <v>74</v>
      </c>
      <c r="S492" s="24" t="s">
        <v>782</v>
      </c>
      <c r="T492" s="24" t="s">
        <v>123</v>
      </c>
      <c r="U492" s="24" t="s">
        <v>106</v>
      </c>
      <c r="V492" s="24" t="s">
        <v>77</v>
      </c>
      <c r="W492" s="24" t="s">
        <v>79</v>
      </c>
      <c r="X492" s="24" t="s">
        <v>107</v>
      </c>
      <c r="Y492" s="24" t="s">
        <v>80</v>
      </c>
      <c r="Z492" s="24" t="s">
        <v>64</v>
      </c>
      <c r="AA492" s="24" t="s">
        <v>485</v>
      </c>
      <c r="AB492" s="24" t="s">
        <v>56</v>
      </c>
      <c r="AC492" s="24" t="s">
        <v>1679</v>
      </c>
    </row>
    <row r="493" spans="1:29">
      <c r="A493" s="30" t="s">
        <v>1680</v>
      </c>
      <c r="B493" s="30" t="str">
        <f>IF(ISNUMBER(SEARCH(E493,A493)),A493,IF(OR(E493="",E493=""),A493,A493&amp;" - "&amp;E493))</f>
        <v>enua 21/1 SC CA - Strawberry Cake</v>
      </c>
      <c r="C493" s="30" t="s">
        <v>650</v>
      </c>
      <c r="D493" s="30" t="s">
        <v>651</v>
      </c>
      <c r="E493" s="30" t="s">
        <v>1009</v>
      </c>
      <c r="F493" s="30" t="s">
        <v>86</v>
      </c>
      <c r="G493" s="34">
        <v>21</v>
      </c>
      <c r="H493" s="35">
        <v>1</v>
      </c>
      <c r="I493" s="30"/>
      <c r="J493" s="30"/>
      <c r="K493" s="30" t="s">
        <v>52</v>
      </c>
      <c r="L493" s="30" t="s">
        <v>53</v>
      </c>
      <c r="M493" s="30" t="s">
        <v>156</v>
      </c>
      <c r="N493" s="30" t="s">
        <v>111</v>
      </c>
      <c r="O493" s="30" t="s">
        <v>88</v>
      </c>
      <c r="P493" s="30" t="s">
        <v>186</v>
      </c>
      <c r="Q493" s="30" t="s">
        <v>58</v>
      </c>
      <c r="R493" s="30" t="s">
        <v>56</v>
      </c>
      <c r="S493" s="30" t="s">
        <v>192</v>
      </c>
      <c r="T493" s="30" t="s">
        <v>147</v>
      </c>
      <c r="U493" s="30" t="s">
        <v>62</v>
      </c>
      <c r="V493" s="30" t="s">
        <v>197</v>
      </c>
      <c r="W493" s="30" t="s">
        <v>107</v>
      </c>
      <c r="X493" s="30" t="s">
        <v>173</v>
      </c>
      <c r="Y493" s="30" t="s">
        <v>1681</v>
      </c>
      <c r="Z493" s="30" t="s">
        <v>64</v>
      </c>
      <c r="AA493" s="30" t="s">
        <v>653</v>
      </c>
      <c r="AB493" s="30" t="s">
        <v>56</v>
      </c>
      <c r="AC493" s="30" t="s">
        <v>1682</v>
      </c>
    </row>
    <row r="494" spans="1:29">
      <c r="A494" s="24" t="s">
        <v>1683</v>
      </c>
      <c r="B494" s="24" t="str">
        <f>IF(ISNUMBER(SEARCH(E494,A494)),A494,IF(OR(E494="",E494=""),A494,A494&amp;" - "&amp;E494))</f>
        <v>Cannamedical Indica forte URY - Dawg Bud Fusion</v>
      </c>
      <c r="C494" s="24" t="s">
        <v>48</v>
      </c>
      <c r="D494" s="24" t="s">
        <v>49</v>
      </c>
      <c r="E494" s="24" t="s">
        <v>341</v>
      </c>
      <c r="F494" s="24" t="s">
        <v>120</v>
      </c>
      <c r="G494" s="27">
        <v>23</v>
      </c>
      <c r="H494" s="28">
        <v>1</v>
      </c>
      <c r="I494" s="24"/>
      <c r="J494" s="24"/>
      <c r="K494" s="24" t="s">
        <v>52</v>
      </c>
      <c r="L494" s="24" t="s">
        <v>185</v>
      </c>
      <c r="M494" s="24" t="s">
        <v>121</v>
      </c>
      <c r="N494" s="24" t="s">
        <v>72</v>
      </c>
      <c r="O494" s="24" t="s">
        <v>56</v>
      </c>
      <c r="P494" s="24" t="s">
        <v>74</v>
      </c>
      <c r="Q494" s="24" t="s">
        <v>113</v>
      </c>
      <c r="R494" s="24" t="s">
        <v>89</v>
      </c>
      <c r="S494" s="24" t="s">
        <v>123</v>
      </c>
      <c r="T494" s="24" t="s">
        <v>106</v>
      </c>
      <c r="U494" s="24" t="s">
        <v>76</v>
      </c>
      <c r="V494" s="24" t="s">
        <v>116</v>
      </c>
      <c r="W494" s="24" t="s">
        <v>107</v>
      </c>
      <c r="X494" s="24" t="s">
        <v>173</v>
      </c>
      <c r="Y494" s="24" t="s">
        <v>188</v>
      </c>
      <c r="Z494" s="24" t="s">
        <v>64</v>
      </c>
      <c r="AA494" s="24" t="s">
        <v>49</v>
      </c>
      <c r="AB494" s="24" t="s">
        <v>56</v>
      </c>
      <c r="AC494" s="24" t="s">
        <v>1684</v>
      </c>
    </row>
    <row r="495" spans="1:29">
      <c r="A495" s="30" t="s">
        <v>1685</v>
      </c>
      <c r="B495" s="30" t="str">
        <f>IF(ISNUMBER(SEARCH(E495,A495)),A495,IF(OR(E495="",E495=""),A495,A495&amp;" - "&amp;E495))</f>
        <v>enua 30/1 TTA CA - Titanimal</v>
      </c>
      <c r="C495" s="30" t="s">
        <v>650</v>
      </c>
      <c r="D495" s="30" t="s">
        <v>651</v>
      </c>
      <c r="E495" s="30" t="s">
        <v>1686</v>
      </c>
      <c r="F495" s="30" t="s">
        <v>177</v>
      </c>
      <c r="G495" s="34">
        <v>30</v>
      </c>
      <c r="H495" s="35">
        <v>1</v>
      </c>
      <c r="I495" s="30"/>
      <c r="J495" s="30"/>
      <c r="K495" s="30" t="s">
        <v>52</v>
      </c>
      <c r="L495" s="30"/>
      <c r="M495" s="30" t="s">
        <v>121</v>
      </c>
      <c r="N495" s="30" t="s">
        <v>72</v>
      </c>
      <c r="O495" s="30" t="s">
        <v>56</v>
      </c>
      <c r="P495" s="30" t="s">
        <v>112</v>
      </c>
      <c r="Q495" s="30" t="s">
        <v>74</v>
      </c>
      <c r="R495" s="30" t="s">
        <v>89</v>
      </c>
      <c r="S495" s="30" t="s">
        <v>123</v>
      </c>
      <c r="T495" s="30" t="s">
        <v>493</v>
      </c>
      <c r="U495" s="30" t="s">
        <v>61</v>
      </c>
      <c r="V495" s="30" t="s">
        <v>77</v>
      </c>
      <c r="W495" s="30" t="s">
        <v>116</v>
      </c>
      <c r="X495" s="30" t="s">
        <v>79</v>
      </c>
      <c r="Y495" s="30" t="s">
        <v>1687</v>
      </c>
      <c r="Z495" s="30" t="s">
        <v>64</v>
      </c>
      <c r="AA495" s="30" t="s">
        <v>653</v>
      </c>
      <c r="AB495" s="30" t="s">
        <v>56</v>
      </c>
      <c r="AC495" s="30" t="s">
        <v>1688</v>
      </c>
    </row>
    <row r="496" spans="1:29">
      <c r="A496" s="24" t="s">
        <v>1689</v>
      </c>
      <c r="B496" s="24" t="str">
        <f>IF(ISNUMBER(SEARCH(E496,A496)),A496,IF(OR(E496="",E496=""),A496,A496&amp;" - "&amp;E496))</f>
        <v>MC Epic Drop 30/1 - Hawaiian Rain X Permanent Marker</v>
      </c>
      <c r="C496" s="24" t="s">
        <v>484</v>
      </c>
      <c r="D496" s="24" t="s">
        <v>485</v>
      </c>
      <c r="E496" s="24" t="s">
        <v>1568</v>
      </c>
      <c r="F496" s="24" t="s">
        <v>177</v>
      </c>
      <c r="G496" s="27">
        <v>30</v>
      </c>
      <c r="H496" s="28">
        <v>1</v>
      </c>
      <c r="I496" s="24"/>
      <c r="J496" s="24"/>
      <c r="K496" s="24" t="s">
        <v>52</v>
      </c>
      <c r="L496" s="24"/>
      <c r="M496" s="24" t="s">
        <v>54</v>
      </c>
      <c r="N496" s="24" t="s">
        <v>71</v>
      </c>
      <c r="O496" s="24" t="s">
        <v>72</v>
      </c>
      <c r="P496" s="24" t="s">
        <v>73</v>
      </c>
      <c r="Q496" s="24" t="s">
        <v>89</v>
      </c>
      <c r="R496" s="24" t="s">
        <v>58</v>
      </c>
      <c r="S496" s="24" t="s">
        <v>782</v>
      </c>
      <c r="T496" s="24" t="s">
        <v>123</v>
      </c>
      <c r="U496" s="24" t="s">
        <v>106</v>
      </c>
      <c r="V496" s="24" t="s">
        <v>77</v>
      </c>
      <c r="W496" s="24" t="s">
        <v>116</v>
      </c>
      <c r="X496" s="24" t="s">
        <v>129</v>
      </c>
      <c r="Y496" s="24" t="s">
        <v>1690</v>
      </c>
      <c r="Z496" s="24" t="s">
        <v>64</v>
      </c>
      <c r="AA496" s="24" t="s">
        <v>485</v>
      </c>
      <c r="AB496" s="24" t="s">
        <v>56</v>
      </c>
      <c r="AC496" s="24" t="s">
        <v>1691</v>
      </c>
    </row>
    <row r="497" spans="1:29">
      <c r="A497" s="30" t="s">
        <v>1692</v>
      </c>
      <c r="B497" s="30" t="str">
        <f>IF(ISNUMBER(SEARCH(E497,A497)),A497,IF(OR(E497="",E497=""),A497,A497&amp;" - "&amp;E497))</f>
        <v>Tilray THC22 Craft - Jean Guy Bienville</v>
      </c>
      <c r="C497" s="30" t="s">
        <v>133</v>
      </c>
      <c r="D497" s="30" t="s">
        <v>134</v>
      </c>
      <c r="E497" s="30" t="s">
        <v>1693</v>
      </c>
      <c r="F497" s="30" t="s">
        <v>69</v>
      </c>
      <c r="G497" s="34">
        <v>22</v>
      </c>
      <c r="H497" s="35">
        <v>1</v>
      </c>
      <c r="I497" s="30"/>
      <c r="J497" s="30"/>
      <c r="K497" s="30" t="s">
        <v>17</v>
      </c>
      <c r="L497" s="30" t="s">
        <v>102</v>
      </c>
      <c r="M497" s="30" t="s">
        <v>54</v>
      </c>
      <c r="N497" s="30" t="s">
        <v>111</v>
      </c>
      <c r="O497" s="30" t="s">
        <v>88</v>
      </c>
      <c r="P497" s="30" t="s">
        <v>74</v>
      </c>
      <c r="Q497" s="30" t="s">
        <v>75</v>
      </c>
      <c r="R497" s="30" t="s">
        <v>56</v>
      </c>
      <c r="S497" s="30" t="s">
        <v>123</v>
      </c>
      <c r="T497" s="30" t="s">
        <v>106</v>
      </c>
      <c r="U497" s="30" t="s">
        <v>114</v>
      </c>
      <c r="V497" s="30" t="s">
        <v>77</v>
      </c>
      <c r="W497" s="30" t="s">
        <v>78</v>
      </c>
      <c r="X497" s="30" t="s">
        <v>395</v>
      </c>
      <c r="Y497" s="30" t="s">
        <v>1288</v>
      </c>
      <c r="Z497" s="30" t="s">
        <v>64</v>
      </c>
      <c r="AA497" s="30" t="s">
        <v>134</v>
      </c>
      <c r="AB497" s="30" t="s">
        <v>56</v>
      </c>
      <c r="AC497" s="30" t="s">
        <v>1694</v>
      </c>
    </row>
    <row r="498" spans="1:29">
      <c r="A498" s="24" t="s">
        <v>1695</v>
      </c>
      <c r="B498" s="24" t="str">
        <f>IF(ISNUMBER(SEARCH(E498,A498)),A498,IF(OR(E498="",E498=""),A498,A498&amp;" - "&amp;E498))</f>
        <v>avaay Signature 31/1 OGC - Ocean Grown Cookies</v>
      </c>
      <c r="C498" s="24" t="s">
        <v>569</v>
      </c>
      <c r="D498" s="24" t="s">
        <v>570</v>
      </c>
      <c r="E498" s="24" t="s">
        <v>1696</v>
      </c>
      <c r="F498" s="24" t="s">
        <v>177</v>
      </c>
      <c r="G498" s="27">
        <v>31</v>
      </c>
      <c r="H498" s="28">
        <v>1</v>
      </c>
      <c r="I498" s="24"/>
      <c r="J498" s="24"/>
      <c r="K498" s="24" t="s">
        <v>52</v>
      </c>
      <c r="L498" s="24" t="s">
        <v>53</v>
      </c>
      <c r="M498" s="24" t="s">
        <v>54</v>
      </c>
      <c r="N498" s="24" t="s">
        <v>88</v>
      </c>
      <c r="O498" s="24" t="s">
        <v>178</v>
      </c>
      <c r="P498" s="24" t="s">
        <v>146</v>
      </c>
      <c r="Q498" s="24" t="s">
        <v>74</v>
      </c>
      <c r="R498" s="24" t="s">
        <v>75</v>
      </c>
      <c r="S498" s="24" t="s">
        <v>147</v>
      </c>
      <c r="T498" s="24" t="s">
        <v>123</v>
      </c>
      <c r="U498" s="24" t="s">
        <v>106</v>
      </c>
      <c r="V498" s="24" t="s">
        <v>77</v>
      </c>
      <c r="W498" s="24" t="s">
        <v>116</v>
      </c>
      <c r="X498" s="24" t="s">
        <v>107</v>
      </c>
      <c r="Y498" s="24" t="s">
        <v>1019</v>
      </c>
      <c r="Z498" s="24" t="s">
        <v>64</v>
      </c>
      <c r="AA498" s="24" t="s">
        <v>572</v>
      </c>
      <c r="AB498" s="24" t="s">
        <v>56</v>
      </c>
      <c r="AC498" s="24" t="s">
        <v>1697</v>
      </c>
    </row>
    <row r="499" spans="1:29">
      <c r="A499" s="30" t="s">
        <v>1698</v>
      </c>
      <c r="B499" s="30" t="str">
        <f>IF(ISNUMBER(SEARCH(E499,A499)),A499,IF(OR(E499="",E499=""),A499,A499&amp;" - "&amp;E499))</f>
        <v>avaay 28/1 GNC - Grapes and Cream</v>
      </c>
      <c r="C499" s="30" t="s">
        <v>569</v>
      </c>
      <c r="D499" s="30" t="s">
        <v>570</v>
      </c>
      <c r="E499" s="30" t="s">
        <v>794</v>
      </c>
      <c r="F499" s="30" t="s">
        <v>177</v>
      </c>
      <c r="G499" s="34">
        <v>28</v>
      </c>
      <c r="H499" s="35">
        <v>1</v>
      </c>
      <c r="I499" s="30"/>
      <c r="J499" s="30"/>
      <c r="K499" s="30" t="s">
        <v>52</v>
      </c>
      <c r="L499" s="30" t="s">
        <v>53</v>
      </c>
      <c r="M499" s="30" t="s">
        <v>54</v>
      </c>
      <c r="N499" s="30" t="s">
        <v>121</v>
      </c>
      <c r="O499" s="30" t="s">
        <v>72</v>
      </c>
      <c r="P499" s="30" t="s">
        <v>89</v>
      </c>
      <c r="Q499" s="30" t="s">
        <v>58</v>
      </c>
      <c r="R499" s="30" t="s">
        <v>56</v>
      </c>
      <c r="S499" s="30" t="s">
        <v>192</v>
      </c>
      <c r="T499" s="30" t="s">
        <v>123</v>
      </c>
      <c r="U499" s="30" t="s">
        <v>106</v>
      </c>
      <c r="V499" s="30" t="s">
        <v>77</v>
      </c>
      <c r="W499" s="30" t="s">
        <v>107</v>
      </c>
      <c r="X499" s="30" t="s">
        <v>93</v>
      </c>
      <c r="Y499" s="30" t="s">
        <v>1699</v>
      </c>
      <c r="Z499" s="30" t="s">
        <v>64</v>
      </c>
      <c r="AA499" s="30" t="s">
        <v>572</v>
      </c>
      <c r="AB499" s="30" t="s">
        <v>56</v>
      </c>
      <c r="AC499" s="30" t="s">
        <v>1700</v>
      </c>
    </row>
    <row r="500" spans="1:29">
      <c r="A500" s="24" t="s">
        <v>1701</v>
      </c>
      <c r="B500" s="24" t="str">
        <f>IF(ISNUMBER(SEARCH(E500,A500)),A500,IF(OR(E500="",E500=""),A500,A500&amp;" - "&amp;E500))</f>
        <v>avaay 21/1 BKR - Black Krush</v>
      </c>
      <c r="C500" s="24" t="s">
        <v>569</v>
      </c>
      <c r="D500" s="24" t="s">
        <v>570</v>
      </c>
      <c r="E500" s="24" t="s">
        <v>1245</v>
      </c>
      <c r="F500" s="24" t="s">
        <v>120</v>
      </c>
      <c r="G500" s="27">
        <v>23</v>
      </c>
      <c r="H500" s="28">
        <v>1</v>
      </c>
      <c r="I500" s="24"/>
      <c r="J500" s="24"/>
      <c r="K500" s="24" t="s">
        <v>52</v>
      </c>
      <c r="L500" s="24" t="s">
        <v>53</v>
      </c>
      <c r="M500" s="24" t="s">
        <v>54</v>
      </c>
      <c r="N500" s="24" t="s">
        <v>88</v>
      </c>
      <c r="O500" s="24" t="s">
        <v>121</v>
      </c>
      <c r="P500" s="24" t="s">
        <v>74</v>
      </c>
      <c r="Q500" s="24" t="s">
        <v>89</v>
      </c>
      <c r="R500" s="24" t="s">
        <v>56</v>
      </c>
      <c r="S500" s="24" t="s">
        <v>192</v>
      </c>
      <c r="T500" s="24" t="s">
        <v>147</v>
      </c>
      <c r="U500" s="24" t="s">
        <v>62</v>
      </c>
      <c r="V500" s="24" t="s">
        <v>77</v>
      </c>
      <c r="W500" s="24" t="s">
        <v>116</v>
      </c>
      <c r="X500" s="24" t="s">
        <v>107</v>
      </c>
      <c r="Y500" s="24" t="s">
        <v>1152</v>
      </c>
      <c r="Z500" s="24" t="s">
        <v>64</v>
      </c>
      <c r="AA500" s="24" t="s">
        <v>572</v>
      </c>
      <c r="AB500" s="24" t="s">
        <v>56</v>
      </c>
      <c r="AC500" s="24" t="s">
        <v>1702</v>
      </c>
    </row>
    <row r="501" spans="1:29">
      <c r="A501" s="30" t="s">
        <v>1703</v>
      </c>
      <c r="B501" s="30" t="str">
        <f>IF(ISNUMBER(SEARCH(E501,A501)),A501,IF(OR(E501="",E501=""),A501,A501&amp;" - "&amp;E501))</f>
        <v>Tilray THC25 Craft - Jean Guy Bienville</v>
      </c>
      <c r="C501" s="30" t="s">
        <v>133</v>
      </c>
      <c r="D501" s="30" t="s">
        <v>134</v>
      </c>
      <c r="E501" s="30" t="s">
        <v>1693</v>
      </c>
      <c r="F501" s="30" t="s">
        <v>69</v>
      </c>
      <c r="G501" s="34">
        <v>25</v>
      </c>
      <c r="H501" s="35">
        <v>1</v>
      </c>
      <c r="I501" s="30"/>
      <c r="J501" s="30"/>
      <c r="K501" s="30" t="s">
        <v>17</v>
      </c>
      <c r="L501" s="30" t="s">
        <v>102</v>
      </c>
      <c r="M501" s="30" t="s">
        <v>54</v>
      </c>
      <c r="N501" s="30" t="s">
        <v>111</v>
      </c>
      <c r="O501" s="30" t="s">
        <v>88</v>
      </c>
      <c r="P501" s="30" t="s">
        <v>74</v>
      </c>
      <c r="Q501" s="30" t="s">
        <v>75</v>
      </c>
      <c r="R501" s="30" t="s">
        <v>56</v>
      </c>
      <c r="S501" s="30" t="s">
        <v>123</v>
      </c>
      <c r="T501" s="30" t="s">
        <v>106</v>
      </c>
      <c r="U501" s="30" t="s">
        <v>114</v>
      </c>
      <c r="V501" s="30" t="s">
        <v>77</v>
      </c>
      <c r="W501" s="30" t="s">
        <v>78</v>
      </c>
      <c r="X501" s="30" t="s">
        <v>395</v>
      </c>
      <c r="Y501" s="30" t="s">
        <v>80</v>
      </c>
      <c r="Z501" s="30" t="s">
        <v>64</v>
      </c>
      <c r="AA501" s="30" t="s">
        <v>134</v>
      </c>
      <c r="AB501" s="30" t="s">
        <v>56</v>
      </c>
      <c r="AC501" s="30" t="s">
        <v>1704</v>
      </c>
    </row>
    <row r="502" spans="1:29">
      <c r="A502" s="24" t="s">
        <v>1705</v>
      </c>
      <c r="B502" s="24" t="str">
        <f>IF(ISNUMBER(SEARCH(E502,A502)),A502,IF(OR(E502="",E502=""),A502,A502&amp;" - "&amp;E502))</f>
        <v>Remexian 27/1 PRT BMK - Blue Monkey</v>
      </c>
      <c r="C502" s="24" t="s">
        <v>83</v>
      </c>
      <c r="D502" s="24" t="s">
        <v>84</v>
      </c>
      <c r="E502" s="24" t="s">
        <v>1706</v>
      </c>
      <c r="F502" s="24" t="s">
        <v>177</v>
      </c>
      <c r="G502" s="27">
        <v>27</v>
      </c>
      <c r="H502" s="28">
        <v>1</v>
      </c>
      <c r="I502" s="24"/>
      <c r="J502" s="24"/>
      <c r="K502" s="24" t="s">
        <v>52</v>
      </c>
      <c r="L502" s="24" t="s">
        <v>102</v>
      </c>
      <c r="M502" s="24" t="s">
        <v>121</v>
      </c>
      <c r="N502" s="24" t="s">
        <v>72</v>
      </c>
      <c r="O502" s="24" t="s">
        <v>56</v>
      </c>
      <c r="P502" s="24" t="s">
        <v>73</v>
      </c>
      <c r="Q502" s="24" t="s">
        <v>89</v>
      </c>
      <c r="R502" s="24" t="s">
        <v>58</v>
      </c>
      <c r="S502" s="24" t="s">
        <v>62</v>
      </c>
      <c r="T502" s="24" t="s">
        <v>128</v>
      </c>
      <c r="U502" s="24" t="s">
        <v>56</v>
      </c>
      <c r="V502" s="24" t="s">
        <v>77</v>
      </c>
      <c r="W502" s="24" t="s">
        <v>116</v>
      </c>
      <c r="X502" s="24" t="s">
        <v>107</v>
      </c>
      <c r="Y502" s="24" t="s">
        <v>437</v>
      </c>
      <c r="Z502" s="24" t="s">
        <v>64</v>
      </c>
      <c r="AA502" s="24" t="s">
        <v>95</v>
      </c>
      <c r="AB502" s="24" t="s">
        <v>56</v>
      </c>
      <c r="AC502" s="24" t="s">
        <v>1707</v>
      </c>
    </row>
    <row r="503" spans="1:29">
      <c r="A503" s="30" t="s">
        <v>1708</v>
      </c>
      <c r="B503" s="30" t="str">
        <f>IF(ISNUMBER(SEARCH(E503,A503)),A503,IF(OR(E503="",E503=""),A503,A503&amp;" - "&amp;E503))</f>
        <v>Roxton Air BD 24/1 - Flap Jacks</v>
      </c>
      <c r="C503" s="30" t="s">
        <v>564</v>
      </c>
      <c r="D503" s="30" t="s">
        <v>565</v>
      </c>
      <c r="E503" s="30" t="s">
        <v>1709</v>
      </c>
      <c r="F503" s="30" t="s">
        <v>177</v>
      </c>
      <c r="G503" s="34">
        <v>24</v>
      </c>
      <c r="H503" s="35">
        <v>1</v>
      </c>
      <c r="I503" s="30"/>
      <c r="J503" s="30"/>
      <c r="K503" s="30" t="s">
        <v>52</v>
      </c>
      <c r="L503" s="30" t="s">
        <v>53</v>
      </c>
      <c r="M503" s="30" t="s">
        <v>54</v>
      </c>
      <c r="N503" s="30" t="s">
        <v>88</v>
      </c>
      <c r="O503" s="30" t="s">
        <v>178</v>
      </c>
      <c r="P503" s="30" t="s">
        <v>146</v>
      </c>
      <c r="Q503" s="30" t="s">
        <v>74</v>
      </c>
      <c r="R503" s="30" t="s">
        <v>89</v>
      </c>
      <c r="S503" s="30" t="s">
        <v>147</v>
      </c>
      <c r="T503" s="30" t="s">
        <v>123</v>
      </c>
      <c r="U503" s="30" t="s">
        <v>106</v>
      </c>
      <c r="V503" s="30" t="s">
        <v>77</v>
      </c>
      <c r="W503" s="30" t="s">
        <v>116</v>
      </c>
      <c r="X503" s="30" t="s">
        <v>107</v>
      </c>
      <c r="Y503" s="30" t="s">
        <v>1710</v>
      </c>
      <c r="Z503" s="30" t="s">
        <v>64</v>
      </c>
      <c r="AA503" s="30" t="s">
        <v>565</v>
      </c>
      <c r="AB503" s="30" t="s">
        <v>56</v>
      </c>
      <c r="AC503" s="36" t="s">
        <v>1711</v>
      </c>
    </row>
    <row r="504" spans="1:29">
      <c r="A504" s="24" t="s">
        <v>1712</v>
      </c>
      <c r="B504" s="24" t="str">
        <f>IF(ISNUMBER(SEARCH(E504,A504)),A504,IF(OR(E504="",E504=""),A504,A504&amp;" - "&amp;E504))</f>
        <v>Wellford Aquaponic 26/1 QSG - Queen SanG</v>
      </c>
      <c r="C504" s="24" t="s">
        <v>741</v>
      </c>
      <c r="D504" s="24" t="s">
        <v>742</v>
      </c>
      <c r="E504" s="24" t="s">
        <v>896</v>
      </c>
      <c r="F504" s="24" t="s">
        <v>69</v>
      </c>
      <c r="G504" s="27">
        <v>26</v>
      </c>
      <c r="H504" s="28">
        <v>1</v>
      </c>
      <c r="I504" s="24"/>
      <c r="J504" s="24"/>
      <c r="K504" s="24" t="s">
        <v>52</v>
      </c>
      <c r="L504" s="24" t="s">
        <v>53</v>
      </c>
      <c r="M504" s="24" t="s">
        <v>88</v>
      </c>
      <c r="N504" s="24" t="s">
        <v>71</v>
      </c>
      <c r="O504" s="24" t="s">
        <v>55</v>
      </c>
      <c r="P504" s="24" t="s">
        <v>73</v>
      </c>
      <c r="Q504" s="24" t="s">
        <v>75</v>
      </c>
      <c r="R504" s="24" t="s">
        <v>58</v>
      </c>
      <c r="S504" s="24" t="s">
        <v>123</v>
      </c>
      <c r="T504" s="24" t="s">
        <v>61</v>
      </c>
      <c r="U504" s="24" t="s">
        <v>76</v>
      </c>
      <c r="V504" s="24" t="s">
        <v>197</v>
      </c>
      <c r="W504" s="24" t="s">
        <v>79</v>
      </c>
      <c r="X504" s="24" t="s">
        <v>107</v>
      </c>
      <c r="Y504" s="24" t="s">
        <v>1117</v>
      </c>
      <c r="Z504" s="24" t="s">
        <v>64</v>
      </c>
      <c r="AA504" s="24" t="s">
        <v>742</v>
      </c>
      <c r="AB504" s="24" t="s">
        <v>979</v>
      </c>
      <c r="AC504" s="24" t="s">
        <v>1713</v>
      </c>
    </row>
    <row r="505" spans="1:29">
      <c r="A505" s="30" t="s">
        <v>1714</v>
      </c>
      <c r="B505" s="30" t="str">
        <f>IF(ISNUMBER(SEARCH(E505,A505)),A505,IF(OR(E505="",E505=""),A505,A505&amp;" - "&amp;E505))</f>
        <v>RE:CANNIS 16/1 Sativa  - Bereshit</v>
      </c>
      <c r="C505" s="30" t="s">
        <v>628</v>
      </c>
      <c r="D505" s="30" t="s">
        <v>629</v>
      </c>
      <c r="E505" s="30" t="s">
        <v>1715</v>
      </c>
      <c r="F505" s="30" t="s">
        <v>86</v>
      </c>
      <c r="G505" s="34">
        <v>16</v>
      </c>
      <c r="H505" s="35">
        <v>1</v>
      </c>
      <c r="I505" s="30"/>
      <c r="J505" s="30"/>
      <c r="K505" s="30" t="s">
        <v>52</v>
      </c>
      <c r="L505" s="30" t="s">
        <v>630</v>
      </c>
      <c r="M505" s="30" t="s">
        <v>72</v>
      </c>
      <c r="N505" s="30"/>
      <c r="O505" s="30" t="s">
        <v>56</v>
      </c>
      <c r="P505" s="30" t="s">
        <v>74</v>
      </c>
      <c r="Q505" s="30" t="s">
        <v>113</v>
      </c>
      <c r="R505" s="30" t="s">
        <v>59</v>
      </c>
      <c r="S505" s="30" t="s">
        <v>56</v>
      </c>
      <c r="T505" s="30" t="s">
        <v>56</v>
      </c>
      <c r="U505" s="30" t="s">
        <v>56</v>
      </c>
      <c r="V505" s="30" t="s">
        <v>165</v>
      </c>
      <c r="W505" s="30" t="s">
        <v>129</v>
      </c>
      <c r="X505" s="30" t="s">
        <v>107</v>
      </c>
      <c r="Y505" s="30" t="s">
        <v>358</v>
      </c>
      <c r="Z505" s="30" t="s">
        <v>64</v>
      </c>
      <c r="AA505" s="30" t="s">
        <v>632</v>
      </c>
      <c r="AB505" s="30" t="s">
        <v>56</v>
      </c>
      <c r="AC505" s="30" t="s">
        <v>1716</v>
      </c>
    </row>
    <row r="506" spans="1:29">
      <c r="A506" s="24" t="s">
        <v>1717</v>
      </c>
      <c r="B506" s="24" t="str">
        <f>IF(ISNUMBER(SEARCH(E506,A506)),A506,IF(OR(E506="",E506=""),A506,A506&amp;" - "&amp;E506))</f>
        <v>CannaZen 17/1 - Schulz OG</v>
      </c>
      <c r="C506" s="24" t="s">
        <v>48</v>
      </c>
      <c r="D506" s="24" t="s">
        <v>49</v>
      </c>
      <c r="E506" s="24" t="s">
        <v>1718</v>
      </c>
      <c r="F506" s="24" t="s">
        <v>69</v>
      </c>
      <c r="G506" s="27">
        <v>17</v>
      </c>
      <c r="H506" s="28">
        <v>1</v>
      </c>
      <c r="I506" s="24"/>
      <c r="J506" s="24"/>
      <c r="K506" s="24" t="s">
        <v>52</v>
      </c>
      <c r="L506" s="24" t="s">
        <v>1719</v>
      </c>
      <c r="M506" s="24" t="s">
        <v>56</v>
      </c>
      <c r="N506" s="24"/>
      <c r="O506" s="24" t="s">
        <v>56</v>
      </c>
      <c r="P506" s="24" t="s">
        <v>56</v>
      </c>
      <c r="Q506" s="24" t="s">
        <v>56</v>
      </c>
      <c r="R506" s="24" t="s">
        <v>56</v>
      </c>
      <c r="S506" s="24" t="s">
        <v>61</v>
      </c>
      <c r="T506" s="24" t="s">
        <v>62</v>
      </c>
      <c r="U506" s="24" t="s">
        <v>164</v>
      </c>
      <c r="V506" s="24" t="s">
        <v>56</v>
      </c>
      <c r="W506" s="24"/>
      <c r="X506" s="24" t="s">
        <v>56</v>
      </c>
      <c r="Y506" s="24" t="s">
        <v>413</v>
      </c>
      <c r="Z506" s="24" t="s">
        <v>64</v>
      </c>
      <c r="AA506" s="24" t="s">
        <v>49</v>
      </c>
      <c r="AB506" s="24" t="s">
        <v>56</v>
      </c>
      <c r="AC506" s="24" t="s">
        <v>1720</v>
      </c>
    </row>
    <row r="507" spans="1:29">
      <c r="A507" s="30" t="s">
        <v>1721</v>
      </c>
      <c r="B507" s="30" t="str">
        <f>IF(ISNUMBER(SEARCH(E507,A507)),A507,IF(OR(E507="",E507=""),A507,A507&amp;" - "&amp;E507))</f>
        <v>Cannamedical CM 20/1 GRP - Grapefruit Gift</v>
      </c>
      <c r="C507" s="30" t="s">
        <v>48</v>
      </c>
      <c r="D507" s="30" t="s">
        <v>49</v>
      </c>
      <c r="E507" s="30" t="s">
        <v>1284</v>
      </c>
      <c r="F507" s="30" t="s">
        <v>120</v>
      </c>
      <c r="G507" s="34">
        <v>20</v>
      </c>
      <c r="H507" s="35">
        <v>1</v>
      </c>
      <c r="I507" s="30"/>
      <c r="J507" s="30"/>
      <c r="K507" s="30" t="s">
        <v>52</v>
      </c>
      <c r="L507" s="30" t="s">
        <v>497</v>
      </c>
      <c r="M507" s="30" t="s">
        <v>55</v>
      </c>
      <c r="N507" s="30" t="s">
        <v>72</v>
      </c>
      <c r="O507" s="30" t="s">
        <v>56</v>
      </c>
      <c r="P507" s="30" t="s">
        <v>73</v>
      </c>
      <c r="Q507" s="30" t="s">
        <v>74</v>
      </c>
      <c r="R507" s="30" t="s">
        <v>75</v>
      </c>
      <c r="S507" s="30" t="s">
        <v>90</v>
      </c>
      <c r="T507" s="30" t="s">
        <v>123</v>
      </c>
      <c r="U507" s="30" t="s">
        <v>106</v>
      </c>
      <c r="V507" s="30" t="s">
        <v>180</v>
      </c>
      <c r="W507" s="30" t="s">
        <v>79</v>
      </c>
      <c r="X507" s="30" t="s">
        <v>107</v>
      </c>
      <c r="Y507" s="30" t="s">
        <v>1036</v>
      </c>
      <c r="Z507" s="30" t="s">
        <v>64</v>
      </c>
      <c r="AA507" s="30" t="s">
        <v>49</v>
      </c>
      <c r="AB507" s="30" t="s">
        <v>498</v>
      </c>
      <c r="AC507" s="30" t="s">
        <v>1722</v>
      </c>
    </row>
    <row r="508" spans="1:29">
      <c r="A508" s="24" t="s">
        <v>1723</v>
      </c>
      <c r="B508" s="24" t="str">
        <f>IF(ISNUMBER(SEARCH(E508,A508)),A508,IF(OR(E508="",E508=""),A508,A508&amp;" - "&amp;E508))</f>
        <v>Cannamedical Indica classic URY - Dawg Bud Fusion</v>
      </c>
      <c r="C508" s="24" t="s">
        <v>48</v>
      </c>
      <c r="D508" s="24" t="s">
        <v>49</v>
      </c>
      <c r="E508" s="24" t="s">
        <v>341</v>
      </c>
      <c r="F508" s="24" t="s">
        <v>120</v>
      </c>
      <c r="G508" s="27">
        <v>21</v>
      </c>
      <c r="H508" s="28">
        <v>1</v>
      </c>
      <c r="I508" s="24"/>
      <c r="J508" s="24"/>
      <c r="K508" s="24" t="s">
        <v>52</v>
      </c>
      <c r="L508" s="24" t="s">
        <v>185</v>
      </c>
      <c r="M508" s="24" t="s">
        <v>121</v>
      </c>
      <c r="N508" s="24" t="s">
        <v>72</v>
      </c>
      <c r="O508" s="24" t="s">
        <v>56</v>
      </c>
      <c r="P508" s="24" t="s">
        <v>74</v>
      </c>
      <c r="Q508" s="24" t="s">
        <v>113</v>
      </c>
      <c r="R508" s="24" t="s">
        <v>89</v>
      </c>
      <c r="S508" s="24" t="s">
        <v>123</v>
      </c>
      <c r="T508" s="24" t="s">
        <v>106</v>
      </c>
      <c r="U508" s="24" t="s">
        <v>76</v>
      </c>
      <c r="V508" s="24" t="s">
        <v>116</v>
      </c>
      <c r="W508" s="24" t="s">
        <v>107</v>
      </c>
      <c r="X508" s="24" t="s">
        <v>173</v>
      </c>
      <c r="Y508" s="24" t="s">
        <v>371</v>
      </c>
      <c r="Z508" s="24" t="s">
        <v>64</v>
      </c>
      <c r="AA508" s="24" t="s">
        <v>49</v>
      </c>
      <c r="AB508" s="24" t="s">
        <v>56</v>
      </c>
      <c r="AC508" s="24" t="s">
        <v>1724</v>
      </c>
    </row>
    <row r="509" spans="1:29">
      <c r="A509" s="30" t="s">
        <v>1725</v>
      </c>
      <c r="B509" s="30" t="str">
        <f>IF(ISNUMBER(SEARCH(E509,A509)),A509,IF(OR(E509="",E509=""),A509,A509&amp;" - "&amp;E509))</f>
        <v>Cannamedical Hybrid light URY - White Gorilla</v>
      </c>
      <c r="C509" s="30" t="s">
        <v>48</v>
      </c>
      <c r="D509" s="30" t="s">
        <v>49</v>
      </c>
      <c r="E509" s="30" t="s">
        <v>993</v>
      </c>
      <c r="F509" s="30" t="s">
        <v>86</v>
      </c>
      <c r="G509" s="34">
        <v>17</v>
      </c>
      <c r="H509" s="35">
        <v>1</v>
      </c>
      <c r="I509" s="30"/>
      <c r="J509" s="30"/>
      <c r="K509" s="30" t="s">
        <v>52</v>
      </c>
      <c r="L509" s="30" t="s">
        <v>185</v>
      </c>
      <c r="M509" s="30" t="s">
        <v>88</v>
      </c>
      <c r="N509" s="30" t="s">
        <v>121</v>
      </c>
      <c r="O509" s="30" t="s">
        <v>72</v>
      </c>
      <c r="P509" s="30" t="s">
        <v>73</v>
      </c>
      <c r="Q509" s="30" t="s">
        <v>146</v>
      </c>
      <c r="R509" s="30" t="s">
        <v>75</v>
      </c>
      <c r="S509" s="30" t="s">
        <v>106</v>
      </c>
      <c r="T509" s="30" t="s">
        <v>62</v>
      </c>
      <c r="U509" s="30" t="s">
        <v>164</v>
      </c>
      <c r="V509" s="30" t="s">
        <v>77</v>
      </c>
      <c r="W509" s="30" t="s">
        <v>116</v>
      </c>
      <c r="X509" s="30" t="s">
        <v>79</v>
      </c>
      <c r="Y509" s="30" t="s">
        <v>877</v>
      </c>
      <c r="Z509" s="30" t="s">
        <v>64</v>
      </c>
      <c r="AA509" s="30" t="s">
        <v>49</v>
      </c>
      <c r="AB509" s="30" t="s">
        <v>332</v>
      </c>
      <c r="AC509" s="30" t="s">
        <v>1726</v>
      </c>
    </row>
    <row r="510" spans="1:29">
      <c r="A510" s="24" t="s">
        <v>1727</v>
      </c>
      <c r="B510" s="24" t="str">
        <f>IF(ISNUMBER(SEARCH(E510,A510)),A510,IF(OR(E510="",E510=""),A510,A510&amp;" - "&amp;E510))</f>
        <v>Cannamedical Sativa Vita - Strawberry Ice</v>
      </c>
      <c r="C510" s="24" t="s">
        <v>48</v>
      </c>
      <c r="D510" s="24" t="s">
        <v>49</v>
      </c>
      <c r="E510" s="24" t="s">
        <v>110</v>
      </c>
      <c r="F510" s="24" t="s">
        <v>69</v>
      </c>
      <c r="G510" s="27">
        <v>14</v>
      </c>
      <c r="H510" s="28">
        <v>1</v>
      </c>
      <c r="I510" s="24"/>
      <c r="J510" s="24"/>
      <c r="K510" s="24" t="s">
        <v>17</v>
      </c>
      <c r="L510" s="24" t="s">
        <v>53</v>
      </c>
      <c r="M510" s="24" t="s">
        <v>54</v>
      </c>
      <c r="N510" s="24" t="s">
        <v>111</v>
      </c>
      <c r="O510" s="24" t="s">
        <v>88</v>
      </c>
      <c r="P510" s="24" t="s">
        <v>112</v>
      </c>
      <c r="Q510" s="24" t="s">
        <v>113</v>
      </c>
      <c r="R510" s="24" t="s">
        <v>89</v>
      </c>
      <c r="S510" s="24" t="s">
        <v>90</v>
      </c>
      <c r="T510" s="24" t="s">
        <v>114</v>
      </c>
      <c r="U510" s="24" t="s">
        <v>115</v>
      </c>
      <c r="V510" s="24" t="s">
        <v>77</v>
      </c>
      <c r="W510" s="24" t="s">
        <v>116</v>
      </c>
      <c r="X510" s="24" t="s">
        <v>79</v>
      </c>
      <c r="Y510" s="24" t="s">
        <v>1660</v>
      </c>
      <c r="Z510" s="24" t="s">
        <v>64</v>
      </c>
      <c r="AA510" s="24" t="s">
        <v>49</v>
      </c>
      <c r="AB510" s="24" t="s">
        <v>56</v>
      </c>
      <c r="AC510" s="24" t="s">
        <v>1728</v>
      </c>
    </row>
    <row r="511" spans="1:29">
      <c r="A511" s="30" t="s">
        <v>1729</v>
      </c>
      <c r="B511" s="30" t="str">
        <f>IF(ISNUMBER(SEARCH(E511,A511)),A511,IF(OR(E511="",E511=""),A511,A511&amp;" - "&amp;E511))</f>
        <v>Cannamedical Hybrid Classic NM - Gorilla Zkittlez</v>
      </c>
      <c r="C511" s="30" t="s">
        <v>48</v>
      </c>
      <c r="D511" s="30" t="s">
        <v>49</v>
      </c>
      <c r="E511" s="30" t="s">
        <v>1022</v>
      </c>
      <c r="F511" s="30" t="s">
        <v>86</v>
      </c>
      <c r="G511" s="34">
        <v>22</v>
      </c>
      <c r="H511" s="35">
        <v>1</v>
      </c>
      <c r="I511" s="30"/>
      <c r="J511" s="30"/>
      <c r="K511" s="30" t="s">
        <v>52</v>
      </c>
      <c r="L511" s="30" t="s">
        <v>145</v>
      </c>
      <c r="M511" s="30" t="s">
        <v>111</v>
      </c>
      <c r="N511" s="30" t="s">
        <v>88</v>
      </c>
      <c r="O511" s="30" t="s">
        <v>72</v>
      </c>
      <c r="P511" s="30" t="s">
        <v>74</v>
      </c>
      <c r="Q511" s="30" t="s">
        <v>75</v>
      </c>
      <c r="R511" s="30" t="s">
        <v>89</v>
      </c>
      <c r="S511" s="30" t="s">
        <v>123</v>
      </c>
      <c r="T511" s="30" t="s">
        <v>106</v>
      </c>
      <c r="U511" s="30" t="s">
        <v>76</v>
      </c>
      <c r="V511" s="30" t="s">
        <v>77</v>
      </c>
      <c r="W511" s="30" t="s">
        <v>116</v>
      </c>
      <c r="X511" s="30" t="s">
        <v>79</v>
      </c>
      <c r="Y511" s="30" t="s">
        <v>1730</v>
      </c>
      <c r="Z511" s="30" t="s">
        <v>64</v>
      </c>
      <c r="AA511" s="30" t="s">
        <v>49</v>
      </c>
      <c r="AB511" s="30" t="s">
        <v>298</v>
      </c>
      <c r="AC511" s="30" t="s">
        <v>1731</v>
      </c>
    </row>
    <row r="512" spans="1:29">
      <c r="A512" s="24" t="s">
        <v>1732</v>
      </c>
      <c r="B512" s="24" t="str">
        <f>IF(ISNUMBER(SEARCH(E512,A512)),A512,IF(OR(E512="",E512=""),A512,A512&amp;" - "&amp;E512))</f>
        <v>Cannamedical Indica classic 20/1 ZAF - Dank Wafers</v>
      </c>
      <c r="C512" s="24" t="s">
        <v>48</v>
      </c>
      <c r="D512" s="24" t="s">
        <v>49</v>
      </c>
      <c r="E512" s="24" t="s">
        <v>1733</v>
      </c>
      <c r="F512" s="24" t="s">
        <v>86</v>
      </c>
      <c r="G512" s="27">
        <v>20</v>
      </c>
      <c r="H512" s="28">
        <v>1</v>
      </c>
      <c r="I512" s="24"/>
      <c r="J512" s="24"/>
      <c r="K512" s="24" t="s">
        <v>52</v>
      </c>
      <c r="L512" s="24" t="s">
        <v>497</v>
      </c>
      <c r="M512" s="24" t="s">
        <v>54</v>
      </c>
      <c r="N512" s="24" t="s">
        <v>88</v>
      </c>
      <c r="O512" s="24" t="s">
        <v>178</v>
      </c>
      <c r="P512" s="24" t="s">
        <v>157</v>
      </c>
      <c r="Q512" s="24" t="s">
        <v>146</v>
      </c>
      <c r="R512" s="24" t="s">
        <v>74</v>
      </c>
      <c r="S512" s="24" t="s">
        <v>123</v>
      </c>
      <c r="T512" s="24" t="s">
        <v>106</v>
      </c>
      <c r="U512" s="24" t="s">
        <v>62</v>
      </c>
      <c r="V512" s="24" t="s">
        <v>77</v>
      </c>
      <c r="W512" s="24" t="s">
        <v>116</v>
      </c>
      <c r="X512" s="24" t="s">
        <v>107</v>
      </c>
      <c r="Y512" s="24" t="s">
        <v>335</v>
      </c>
      <c r="Z512" s="24" t="s">
        <v>64</v>
      </c>
      <c r="AA512" s="24" t="s">
        <v>49</v>
      </c>
      <c r="AB512" s="24" t="s">
        <v>56</v>
      </c>
      <c r="AC512" s="24" t="s">
        <v>1734</v>
      </c>
    </row>
    <row r="513" spans="1:29">
      <c r="A513" s="30" t="s">
        <v>67</v>
      </c>
      <c r="B513" s="30" t="str">
        <f>IF(ISNUMBER(SEARCH(E513,A513)),A513,IF(OR(E513="",E513=""),A513,A513&amp;" - "&amp;E513))</f>
        <v>Cannamedical Sativa forte - VenomZ Eve</v>
      </c>
      <c r="C513" s="30" t="s">
        <v>48</v>
      </c>
      <c r="D513" s="30" t="s">
        <v>49</v>
      </c>
      <c r="E513" s="30" t="s">
        <v>291</v>
      </c>
      <c r="F513" s="30" t="s">
        <v>144</v>
      </c>
      <c r="G513" s="34">
        <v>22</v>
      </c>
      <c r="H513" s="35">
        <v>1</v>
      </c>
      <c r="I513" s="30"/>
      <c r="J513" s="30"/>
      <c r="K513" s="30" t="s">
        <v>17</v>
      </c>
      <c r="L513" s="30" t="s">
        <v>70</v>
      </c>
      <c r="M513" s="30" t="s">
        <v>111</v>
      </c>
      <c r="N513" s="30" t="s">
        <v>55</v>
      </c>
      <c r="O513" s="30" t="s">
        <v>72</v>
      </c>
      <c r="P513" s="30" t="s">
        <v>75</v>
      </c>
      <c r="Q513" s="30" t="s">
        <v>58</v>
      </c>
      <c r="R513" s="30" t="s">
        <v>56</v>
      </c>
      <c r="S513" s="30" t="s">
        <v>123</v>
      </c>
      <c r="T513" s="30" t="s">
        <v>106</v>
      </c>
      <c r="U513" s="30" t="s">
        <v>62</v>
      </c>
      <c r="V513" s="30" t="s">
        <v>77</v>
      </c>
      <c r="W513" s="30" t="s">
        <v>180</v>
      </c>
      <c r="X513" s="30" t="s">
        <v>292</v>
      </c>
      <c r="Y513" s="30" t="s">
        <v>539</v>
      </c>
      <c r="Z513" s="30" t="s">
        <v>64</v>
      </c>
      <c r="AA513" s="30" t="s">
        <v>49</v>
      </c>
      <c r="AB513" s="30" t="s">
        <v>56</v>
      </c>
      <c r="AC513" s="30" t="s">
        <v>1735</v>
      </c>
    </row>
    <row r="514" spans="1:29">
      <c r="A514" s="24" t="s">
        <v>1736</v>
      </c>
      <c r="B514" s="24" t="str">
        <f>IF(ISNUMBER(SEARCH(E514,A514)),A514,IF(OR(E514="",E514=""),A514,A514&amp;" - "&amp;E514))</f>
        <v>Cannamedical Hybrid classic NM - Critical Bilbo</v>
      </c>
      <c r="C514" s="24" t="s">
        <v>48</v>
      </c>
      <c r="D514" s="24" t="s">
        <v>49</v>
      </c>
      <c r="E514" s="24" t="s">
        <v>1737</v>
      </c>
      <c r="F514" s="24" t="s">
        <v>177</v>
      </c>
      <c r="G514" s="27">
        <v>21</v>
      </c>
      <c r="H514" s="28">
        <v>1</v>
      </c>
      <c r="I514" s="24"/>
      <c r="J514" s="24"/>
      <c r="K514" s="24" t="s">
        <v>52</v>
      </c>
      <c r="L514" s="24" t="s">
        <v>423</v>
      </c>
      <c r="M514" s="24" t="s">
        <v>88</v>
      </c>
      <c r="N514" s="24" t="s">
        <v>103</v>
      </c>
      <c r="O514" s="24" t="s">
        <v>55</v>
      </c>
      <c r="P514" s="24" t="s">
        <v>113</v>
      </c>
      <c r="Q514" s="24" t="s">
        <v>89</v>
      </c>
      <c r="R514" s="24" t="s">
        <v>58</v>
      </c>
      <c r="S514" s="24" t="s">
        <v>123</v>
      </c>
      <c r="T514" s="24" t="s">
        <v>61</v>
      </c>
      <c r="U514" s="24" t="s">
        <v>76</v>
      </c>
      <c r="V514" s="24" t="s">
        <v>116</v>
      </c>
      <c r="W514" s="24" t="s">
        <v>107</v>
      </c>
      <c r="X514" s="24" t="s">
        <v>93</v>
      </c>
      <c r="Y514" s="24" t="s">
        <v>715</v>
      </c>
      <c r="Z514" s="24" t="s">
        <v>64</v>
      </c>
      <c r="AA514" s="24" t="s">
        <v>49</v>
      </c>
      <c r="AB514" s="24" t="s">
        <v>56</v>
      </c>
      <c r="AC514" s="24" t="s">
        <v>1738</v>
      </c>
    </row>
    <row r="515" spans="1:29">
      <c r="A515" s="30" t="s">
        <v>1739</v>
      </c>
      <c r="B515" s="30" t="str">
        <f>IF(ISNUMBER(SEARCH(E515,A515)),A515,IF(OR(E515="",E515=""),A515,A515&amp;" - "&amp;E515))</f>
        <v>Cannamedical CM 30/1 DM - Diamond Mints</v>
      </c>
      <c r="C515" s="30" t="s">
        <v>48</v>
      </c>
      <c r="D515" s="30" t="s">
        <v>49</v>
      </c>
      <c r="E515" s="30" t="s">
        <v>1740</v>
      </c>
      <c r="F515" s="30" t="s">
        <v>144</v>
      </c>
      <c r="G515" s="34">
        <v>30</v>
      </c>
      <c r="H515" s="35">
        <v>1</v>
      </c>
      <c r="I515" s="30"/>
      <c r="J515" s="30"/>
      <c r="K515" s="30" t="s">
        <v>52</v>
      </c>
      <c r="L515" s="30"/>
      <c r="M515" s="30" t="s">
        <v>111</v>
      </c>
      <c r="N515" s="30" t="s">
        <v>88</v>
      </c>
      <c r="O515" s="30" t="s">
        <v>55</v>
      </c>
      <c r="P515" s="30" t="s">
        <v>73</v>
      </c>
      <c r="Q515" s="30" t="s">
        <v>112</v>
      </c>
      <c r="R515" s="30" t="s">
        <v>59</v>
      </c>
      <c r="S515" s="30" t="s">
        <v>147</v>
      </c>
      <c r="T515" s="30" t="s">
        <v>123</v>
      </c>
      <c r="U515" s="30" t="s">
        <v>106</v>
      </c>
      <c r="V515" s="30" t="s">
        <v>173</v>
      </c>
      <c r="W515" s="30" t="s">
        <v>56</v>
      </c>
      <c r="X515" s="30" t="s">
        <v>56</v>
      </c>
      <c r="Y515" s="30" t="s">
        <v>1741</v>
      </c>
      <c r="Z515" s="30" t="s">
        <v>64</v>
      </c>
      <c r="AA515" s="30" t="s">
        <v>49</v>
      </c>
      <c r="AB515" s="30" t="s">
        <v>56</v>
      </c>
      <c r="AC515" s="30" t="s">
        <v>1742</v>
      </c>
    </row>
    <row r="516" spans="1:29">
      <c r="A516" s="24" t="s">
        <v>620</v>
      </c>
      <c r="B516" s="24" t="str">
        <f>IF(ISNUMBER(SEARCH(E516,A516)),A516,IF(OR(E516="",E516=""),A516,A516&amp;" - "&amp;E516))</f>
        <v>Cannamedical Hybrid Classic - MAC 1</v>
      </c>
      <c r="C516" s="24" t="s">
        <v>48</v>
      </c>
      <c r="D516" s="24" t="s">
        <v>49</v>
      </c>
      <c r="E516" s="24" t="s">
        <v>661</v>
      </c>
      <c r="F516" s="24" t="s">
        <v>86</v>
      </c>
      <c r="G516" s="27">
        <v>22</v>
      </c>
      <c r="H516" s="28">
        <v>1</v>
      </c>
      <c r="I516" s="24"/>
      <c r="J516" s="24"/>
      <c r="K516" s="24" t="s">
        <v>52</v>
      </c>
      <c r="L516" s="24" t="s">
        <v>53</v>
      </c>
      <c r="M516" s="24" t="s">
        <v>54</v>
      </c>
      <c r="N516" s="24" t="s">
        <v>88</v>
      </c>
      <c r="O516" s="24" t="s">
        <v>71</v>
      </c>
      <c r="P516" s="24" t="s">
        <v>57</v>
      </c>
      <c r="Q516" s="24" t="s">
        <v>74</v>
      </c>
      <c r="R516" s="24" t="s">
        <v>75</v>
      </c>
      <c r="S516" s="24" t="s">
        <v>128</v>
      </c>
      <c r="T516" s="24" t="s">
        <v>56</v>
      </c>
      <c r="U516" s="24" t="s">
        <v>56</v>
      </c>
      <c r="V516" s="24" t="s">
        <v>77</v>
      </c>
      <c r="W516" s="24" t="s">
        <v>79</v>
      </c>
      <c r="X516" s="24" t="s">
        <v>173</v>
      </c>
      <c r="Y516" s="24" t="s">
        <v>472</v>
      </c>
      <c r="Z516" s="24" t="s">
        <v>64</v>
      </c>
      <c r="AA516" s="24" t="s">
        <v>49</v>
      </c>
      <c r="AB516" s="24" t="s">
        <v>56</v>
      </c>
      <c r="AC516" s="24" t="s">
        <v>1743</v>
      </c>
    </row>
    <row r="517" spans="1:29">
      <c r="A517" s="30" t="s">
        <v>1744</v>
      </c>
      <c r="B517" s="30" t="str">
        <f>IF(ISNUMBER(SEARCH(E517,A517)),A517,IF(OR(E517="",E517=""),A517,A517&amp;" - "&amp;E517))</f>
        <v>Cannamedical Indica Forte DK 22/1 - Gelat Skyfloater</v>
      </c>
      <c r="C517" s="30" t="s">
        <v>48</v>
      </c>
      <c r="D517" s="30" t="s">
        <v>49</v>
      </c>
      <c r="E517" s="30" t="s">
        <v>1745</v>
      </c>
      <c r="F517" s="30" t="s">
        <v>177</v>
      </c>
      <c r="G517" s="34">
        <v>22</v>
      </c>
      <c r="H517" s="35">
        <v>1</v>
      </c>
      <c r="I517" s="30"/>
      <c r="J517" s="30"/>
      <c r="K517" s="30" t="s">
        <v>17</v>
      </c>
      <c r="L517" s="30"/>
      <c r="M517" s="30" t="s">
        <v>54</v>
      </c>
      <c r="N517" s="30" t="s">
        <v>111</v>
      </c>
      <c r="O517" s="30" t="s">
        <v>88</v>
      </c>
      <c r="P517" s="30" t="s">
        <v>73</v>
      </c>
      <c r="Q517" s="30" t="s">
        <v>74</v>
      </c>
      <c r="R517" s="30" t="s">
        <v>75</v>
      </c>
      <c r="S517" s="30" t="s">
        <v>60</v>
      </c>
      <c r="T517" s="30" t="s">
        <v>106</v>
      </c>
      <c r="U517" s="30" t="s">
        <v>128</v>
      </c>
      <c r="V517" s="30" t="s">
        <v>77</v>
      </c>
      <c r="W517" s="30" t="s">
        <v>56</v>
      </c>
      <c r="X517" s="30" t="s">
        <v>56</v>
      </c>
      <c r="Y517" s="30" t="s">
        <v>338</v>
      </c>
      <c r="Z517" s="30" t="s">
        <v>64</v>
      </c>
      <c r="AA517" s="30" t="s">
        <v>49</v>
      </c>
      <c r="AB517" s="30" t="s">
        <v>56</v>
      </c>
      <c r="AC517" s="30" t="s">
        <v>1746</v>
      </c>
    </row>
    <row r="518" spans="1:29">
      <c r="A518" s="24" t="s">
        <v>1747</v>
      </c>
      <c r="B518" s="24" t="str">
        <f>IF(ISNUMBER(SEARCH(E518,A518)),A518,IF(OR(E518="",E518=""),A518,A518&amp;" - "&amp;E518))</f>
        <v>Cannamedical Hybrid forte DK - SMS</v>
      </c>
      <c r="C518" s="24" t="s">
        <v>48</v>
      </c>
      <c r="D518" s="24" t="s">
        <v>49</v>
      </c>
      <c r="E518" s="24" t="s">
        <v>1748</v>
      </c>
      <c r="F518" s="24" t="s">
        <v>86</v>
      </c>
      <c r="G518" s="27">
        <v>22</v>
      </c>
      <c r="H518" s="28">
        <v>1</v>
      </c>
      <c r="I518" s="24"/>
      <c r="J518" s="24"/>
      <c r="K518" s="24" t="s">
        <v>52</v>
      </c>
      <c r="L518" s="24" t="s">
        <v>87</v>
      </c>
      <c r="M518" s="24" t="s">
        <v>88</v>
      </c>
      <c r="N518" s="24" t="s">
        <v>72</v>
      </c>
      <c r="O518" s="24" t="s">
        <v>56</v>
      </c>
      <c r="P518" s="24" t="s">
        <v>73</v>
      </c>
      <c r="Q518" s="24" t="s">
        <v>58</v>
      </c>
      <c r="R518" s="24" t="s">
        <v>56</v>
      </c>
      <c r="S518" s="24" t="s">
        <v>60</v>
      </c>
      <c r="T518" s="24" t="s">
        <v>106</v>
      </c>
      <c r="U518" s="24" t="s">
        <v>76</v>
      </c>
      <c r="V518" s="24" t="s">
        <v>77</v>
      </c>
      <c r="W518" s="24" t="s">
        <v>56</v>
      </c>
      <c r="X518" s="24" t="s">
        <v>56</v>
      </c>
      <c r="Y518" s="24" t="s">
        <v>1595</v>
      </c>
      <c r="Z518" s="24" t="s">
        <v>64</v>
      </c>
      <c r="AA518" s="24" t="s">
        <v>49</v>
      </c>
      <c r="AB518" s="24" t="s">
        <v>56</v>
      </c>
      <c r="AC518" s="37" t="s">
        <v>1749</v>
      </c>
    </row>
    <row r="519" spans="1:29">
      <c r="A519" s="30" t="s">
        <v>1750</v>
      </c>
      <c r="B519" s="30" t="str">
        <f>IF(ISNUMBER(SEARCH(E519,A519)),A519,IF(OR(E519="",E519=""),A519,A519&amp;" - "&amp;E519))</f>
        <v>Cannamedical Sativa classic AU - Tangie Chem</v>
      </c>
      <c r="C519" s="30" t="s">
        <v>48</v>
      </c>
      <c r="D519" s="30" t="s">
        <v>49</v>
      </c>
      <c r="E519" s="30" t="s">
        <v>68</v>
      </c>
      <c r="F519" s="30" t="s">
        <v>69</v>
      </c>
      <c r="G519" s="34">
        <v>20</v>
      </c>
      <c r="H519" s="35">
        <v>1</v>
      </c>
      <c r="I519" s="30"/>
      <c r="J519" s="30"/>
      <c r="K519" s="30" t="s">
        <v>52</v>
      </c>
      <c r="L519" s="30" t="s">
        <v>70</v>
      </c>
      <c r="M519" s="30" t="s">
        <v>71</v>
      </c>
      <c r="N519" s="30" t="s">
        <v>55</v>
      </c>
      <c r="O519" s="30" t="s">
        <v>72</v>
      </c>
      <c r="P519" s="30" t="s">
        <v>73</v>
      </c>
      <c r="Q519" s="30" t="s">
        <v>74</v>
      </c>
      <c r="R519" s="30" t="s">
        <v>75</v>
      </c>
      <c r="S519" s="30" t="s">
        <v>61</v>
      </c>
      <c r="T519" s="30" t="s">
        <v>128</v>
      </c>
      <c r="U519" s="30" t="s">
        <v>62</v>
      </c>
      <c r="V519" s="30" t="s">
        <v>77</v>
      </c>
      <c r="W519" s="30" t="s">
        <v>78</v>
      </c>
      <c r="X519" s="30" t="s">
        <v>79</v>
      </c>
      <c r="Y519" s="30" t="s">
        <v>289</v>
      </c>
      <c r="Z519" s="30" t="s">
        <v>64</v>
      </c>
      <c r="AA519" s="30" t="s">
        <v>49</v>
      </c>
      <c r="AB519" s="30" t="s">
        <v>56</v>
      </c>
      <c r="AC519" s="30" t="s">
        <v>1751</v>
      </c>
    </row>
    <row r="520" spans="1:29">
      <c r="A520" s="24" t="s">
        <v>1752</v>
      </c>
      <c r="B520" s="24" t="str">
        <f>IF(ISNUMBER(SEARCH(E520,A520)),A520,IF(OR(E520="",E520=""),A520,A520&amp;" - "&amp;E520))</f>
        <v>Cannamedical Indica Classic URY - Cheddar Skunk</v>
      </c>
      <c r="C520" s="24" t="s">
        <v>48</v>
      </c>
      <c r="D520" s="24" t="s">
        <v>49</v>
      </c>
      <c r="E520" s="24" t="s">
        <v>426</v>
      </c>
      <c r="F520" s="24" t="s">
        <v>51</v>
      </c>
      <c r="G520" s="27">
        <v>19</v>
      </c>
      <c r="H520" s="28">
        <v>1</v>
      </c>
      <c r="I520" s="24"/>
      <c r="J520" s="24"/>
      <c r="K520" s="24" t="s">
        <v>52</v>
      </c>
      <c r="L520" s="24" t="s">
        <v>185</v>
      </c>
      <c r="M520" s="24" t="s">
        <v>54</v>
      </c>
      <c r="N520" s="24" t="s">
        <v>111</v>
      </c>
      <c r="O520" s="24" t="s">
        <v>88</v>
      </c>
      <c r="P520" s="24" t="s">
        <v>186</v>
      </c>
      <c r="Q520" s="24" t="s">
        <v>74</v>
      </c>
      <c r="R520" s="24" t="s">
        <v>89</v>
      </c>
      <c r="S520" s="24" t="s">
        <v>56</v>
      </c>
      <c r="T520" s="24" t="s">
        <v>56</v>
      </c>
      <c r="U520" s="24" t="s">
        <v>56</v>
      </c>
      <c r="V520" s="24" t="s">
        <v>77</v>
      </c>
      <c r="W520" s="24" t="s">
        <v>116</v>
      </c>
      <c r="X520" s="24" t="s">
        <v>107</v>
      </c>
      <c r="Y520" s="24" t="s">
        <v>377</v>
      </c>
      <c r="Z520" s="24" t="s">
        <v>64</v>
      </c>
      <c r="AA520" s="24" t="s">
        <v>49</v>
      </c>
      <c r="AB520" s="24" t="s">
        <v>56</v>
      </c>
      <c r="AC520" s="24" t="s">
        <v>1753</v>
      </c>
    </row>
    <row r="521" spans="1:29">
      <c r="A521" s="30" t="s">
        <v>1754</v>
      </c>
      <c r="B521" s="30" t="str">
        <f>IF(ISNUMBER(SEARCH(E521,A521)),A521,IF(OR(E521="",E521=""),A521,A521&amp;" - "&amp;E521))</f>
        <v>Bathera 25/1 BZ - Blue Z</v>
      </c>
      <c r="C521" s="30" t="s">
        <v>153</v>
      </c>
      <c r="D521" s="30" t="s">
        <v>154</v>
      </c>
      <c r="E521" s="30" t="s">
        <v>1755</v>
      </c>
      <c r="F521" s="30" t="s">
        <v>177</v>
      </c>
      <c r="G521" s="34">
        <v>25</v>
      </c>
      <c r="H521" s="35">
        <v>1</v>
      </c>
      <c r="I521" s="30"/>
      <c r="J521" s="30"/>
      <c r="K521" s="30" t="s">
        <v>52</v>
      </c>
      <c r="L521" s="30" t="s">
        <v>102</v>
      </c>
      <c r="M521" s="30" t="s">
        <v>54</v>
      </c>
      <c r="N521" s="30" t="s">
        <v>111</v>
      </c>
      <c r="O521" s="30" t="s">
        <v>88</v>
      </c>
      <c r="P521" s="30" t="s">
        <v>136</v>
      </c>
      <c r="Q521" s="30" t="s">
        <v>112</v>
      </c>
      <c r="R521" s="30" t="s">
        <v>75</v>
      </c>
      <c r="S521" s="30" t="s">
        <v>61</v>
      </c>
      <c r="T521" s="30" t="s">
        <v>62</v>
      </c>
      <c r="U521" s="30" t="s">
        <v>128</v>
      </c>
      <c r="V521" s="30" t="s">
        <v>77</v>
      </c>
      <c r="W521" s="30" t="s">
        <v>79</v>
      </c>
      <c r="X521" s="30" t="s">
        <v>107</v>
      </c>
      <c r="Y521" s="30" t="s">
        <v>539</v>
      </c>
      <c r="Z521" s="30" t="s">
        <v>64</v>
      </c>
      <c r="AA521" s="30" t="s">
        <v>154</v>
      </c>
      <c r="AB521" s="30" t="s">
        <v>160</v>
      </c>
      <c r="AC521" s="30" t="s">
        <v>1756</v>
      </c>
    </row>
    <row r="522" spans="1:29">
      <c r="A522" s="24" t="s">
        <v>1757</v>
      </c>
      <c r="B522" s="24" t="str">
        <f>IF(ISNUMBER(SEARCH(E522,A522)),A522,IF(OR(E522="",E522=""),A522,A522&amp;" - "&amp;E522))</f>
        <v>Weeco 25/1 - Frosted Lemon Angel</v>
      </c>
      <c r="C522" s="24" t="s">
        <v>905</v>
      </c>
      <c r="D522" s="24" t="s">
        <v>906</v>
      </c>
      <c r="E522" s="24" t="s">
        <v>706</v>
      </c>
      <c r="F522" s="24" t="s">
        <v>86</v>
      </c>
      <c r="G522" s="27">
        <v>25</v>
      </c>
      <c r="H522" s="28">
        <v>1</v>
      </c>
      <c r="I522" s="24"/>
      <c r="J522" s="24"/>
      <c r="K522" s="24" t="s">
        <v>17</v>
      </c>
      <c r="L522" s="24" t="s">
        <v>87</v>
      </c>
      <c r="M522" s="24" t="s">
        <v>54</v>
      </c>
      <c r="N522" s="24" t="s">
        <v>55</v>
      </c>
      <c r="O522" s="24" t="s">
        <v>72</v>
      </c>
      <c r="P522" s="24" t="s">
        <v>75</v>
      </c>
      <c r="Q522" s="24" t="s">
        <v>89</v>
      </c>
      <c r="R522" s="24" t="s">
        <v>56</v>
      </c>
      <c r="S522" s="24" t="s">
        <v>123</v>
      </c>
      <c r="T522" s="24" t="s">
        <v>106</v>
      </c>
      <c r="U522" s="24" t="s">
        <v>91</v>
      </c>
      <c r="V522" s="24" t="s">
        <v>116</v>
      </c>
      <c r="W522" s="24" t="s">
        <v>93</v>
      </c>
      <c r="X522" s="24" t="s">
        <v>173</v>
      </c>
      <c r="Y522" s="24" t="s">
        <v>1036</v>
      </c>
      <c r="Z522" s="24" t="s">
        <v>64</v>
      </c>
      <c r="AA522" s="24" t="s">
        <v>906</v>
      </c>
      <c r="AB522" s="24" t="s">
        <v>96</v>
      </c>
      <c r="AC522" s="24" t="s">
        <v>1758</v>
      </c>
    </row>
    <row r="523" spans="1:29">
      <c r="A523" s="30" t="s">
        <v>1759</v>
      </c>
      <c r="B523" s="30" t="str">
        <f>IF(ISNUMBER(SEARCH(E523,A523)),A523,IF(OR(E523="",E523=""),A523,A523&amp;" - "&amp;E523))</f>
        <v>enua 27/1 DSH CA - Dark Shadow Haze</v>
      </c>
      <c r="C523" s="30" t="s">
        <v>650</v>
      </c>
      <c r="D523" s="30" t="s">
        <v>651</v>
      </c>
      <c r="E523" s="30" t="s">
        <v>890</v>
      </c>
      <c r="F523" s="30" t="s">
        <v>86</v>
      </c>
      <c r="G523" s="34">
        <v>27</v>
      </c>
      <c r="H523" s="35">
        <v>1</v>
      </c>
      <c r="I523" s="30"/>
      <c r="J523" s="30"/>
      <c r="K523" s="30" t="s">
        <v>52</v>
      </c>
      <c r="L523" s="30" t="s">
        <v>53</v>
      </c>
      <c r="M523" s="30" t="s">
        <v>111</v>
      </c>
      <c r="N523" s="30" t="s">
        <v>88</v>
      </c>
      <c r="O523" s="30" t="s">
        <v>55</v>
      </c>
      <c r="P523" s="30" t="s">
        <v>75</v>
      </c>
      <c r="Q523" s="30" t="s">
        <v>58</v>
      </c>
      <c r="R523" s="30" t="s">
        <v>56</v>
      </c>
      <c r="S523" s="30" t="s">
        <v>90</v>
      </c>
      <c r="T523" s="30" t="s">
        <v>76</v>
      </c>
      <c r="U523" s="30" t="s">
        <v>115</v>
      </c>
      <c r="V523" s="30" t="s">
        <v>92</v>
      </c>
      <c r="W523" s="30" t="s">
        <v>77</v>
      </c>
      <c r="X523" s="30" t="s">
        <v>79</v>
      </c>
      <c r="Y523" s="30" t="s">
        <v>555</v>
      </c>
      <c r="Z523" s="30" t="s">
        <v>64</v>
      </c>
      <c r="AA523" s="30" t="s">
        <v>653</v>
      </c>
      <c r="AB523" s="30" t="s">
        <v>56</v>
      </c>
      <c r="AC523" s="30" t="s">
        <v>1760</v>
      </c>
    </row>
    <row r="524" spans="1:29">
      <c r="A524" s="24" t="s">
        <v>1761</v>
      </c>
      <c r="B524" s="24" t="str">
        <f>IF(ISNUMBER(SEARCH(E524,A524)),A524,IF(OR(E524="",E524=""),A524,A524&amp;" - "&amp;E524))</f>
        <v>aleph amber 24/1 - Mango Kush</v>
      </c>
      <c r="C524" s="24" t="s">
        <v>725</v>
      </c>
      <c r="D524" s="24" t="s">
        <v>726</v>
      </c>
      <c r="E524" s="24" t="s">
        <v>727</v>
      </c>
      <c r="F524" s="24" t="s">
        <v>120</v>
      </c>
      <c r="G524" s="27">
        <v>24</v>
      </c>
      <c r="H524" s="28">
        <v>1</v>
      </c>
      <c r="I524" s="24"/>
      <c r="J524" s="24"/>
      <c r="K524" s="24" t="s">
        <v>52</v>
      </c>
      <c r="L524" s="24" t="s">
        <v>102</v>
      </c>
      <c r="M524" s="24" t="s">
        <v>103</v>
      </c>
      <c r="N524" s="24" t="s">
        <v>178</v>
      </c>
      <c r="O524" s="24" t="s">
        <v>72</v>
      </c>
      <c r="P524" s="24" t="s">
        <v>136</v>
      </c>
      <c r="Q524" s="24" t="s">
        <v>146</v>
      </c>
      <c r="R524" s="24" t="s">
        <v>74</v>
      </c>
      <c r="S524" s="24" t="s">
        <v>106</v>
      </c>
      <c r="T524" s="24" t="s">
        <v>128</v>
      </c>
      <c r="U524" s="24" t="s">
        <v>62</v>
      </c>
      <c r="V524" s="24" t="s">
        <v>92</v>
      </c>
      <c r="W524" s="24" t="s">
        <v>77</v>
      </c>
      <c r="X524" s="24" t="s">
        <v>116</v>
      </c>
      <c r="Y524" s="24" t="s">
        <v>1762</v>
      </c>
      <c r="Z524" s="24" t="s">
        <v>64</v>
      </c>
      <c r="AA524" s="24" t="s">
        <v>726</v>
      </c>
      <c r="AB524" s="24" t="s">
        <v>56</v>
      </c>
      <c r="AC524" s="24" t="s">
        <v>1763</v>
      </c>
    </row>
    <row r="525" spans="1:29">
      <c r="A525" s="30" t="s">
        <v>1764</v>
      </c>
      <c r="B525" s="30" t="str">
        <f>IF(ISNUMBER(SEARCH(E525,A525)),A525,IF(OR(E525="",E525=""),A525,A525&amp;" - "&amp;E525))</f>
        <v>All Nations LT 25/1 - Lemon Tartz</v>
      </c>
      <c r="C525" s="30" t="s">
        <v>564</v>
      </c>
      <c r="D525" s="30" t="s">
        <v>565</v>
      </c>
      <c r="E525" s="30" t="s">
        <v>1235</v>
      </c>
      <c r="F525" s="30" t="s">
        <v>144</v>
      </c>
      <c r="G525" s="34">
        <v>25</v>
      </c>
      <c r="H525" s="35">
        <v>1</v>
      </c>
      <c r="I525" s="30"/>
      <c r="J525" s="30"/>
      <c r="K525" s="30" t="s">
        <v>52</v>
      </c>
      <c r="L525" s="30" t="s">
        <v>102</v>
      </c>
      <c r="M525" s="30" t="s">
        <v>54</v>
      </c>
      <c r="N525" s="30" t="s">
        <v>111</v>
      </c>
      <c r="O525" s="30" t="s">
        <v>55</v>
      </c>
      <c r="P525" s="30" t="s">
        <v>73</v>
      </c>
      <c r="Q525" s="30" t="s">
        <v>74</v>
      </c>
      <c r="R525" s="30" t="s">
        <v>75</v>
      </c>
      <c r="S525" s="30" t="s">
        <v>60</v>
      </c>
      <c r="T525" s="30" t="s">
        <v>123</v>
      </c>
      <c r="U525" s="30" t="s">
        <v>106</v>
      </c>
      <c r="V525" s="30" t="s">
        <v>77</v>
      </c>
      <c r="W525" s="30" t="s">
        <v>180</v>
      </c>
      <c r="X525" s="30" t="s">
        <v>79</v>
      </c>
      <c r="Y525" s="30" t="s">
        <v>539</v>
      </c>
      <c r="Z525" s="30" t="s">
        <v>64</v>
      </c>
      <c r="AA525" s="30" t="s">
        <v>565</v>
      </c>
      <c r="AB525" s="30" t="s">
        <v>1232</v>
      </c>
      <c r="AC525" s="30" t="s">
        <v>1765</v>
      </c>
    </row>
    <row r="526" spans="1:29">
      <c r="A526" s="24" t="s">
        <v>1766</v>
      </c>
      <c r="B526" s="24" t="str">
        <f>IF(ISNUMBER(SEARCH(E526,A526)),A526,IF(OR(E526="",E526=""),A526,A526&amp;" - "&amp;E526))</f>
        <v>All Nations SH 21/1 - Stolo Haze</v>
      </c>
      <c r="C526" s="24" t="s">
        <v>564</v>
      </c>
      <c r="D526" s="24" t="s">
        <v>565</v>
      </c>
      <c r="E526" s="24" t="s">
        <v>1767</v>
      </c>
      <c r="F526" s="24" t="s">
        <v>69</v>
      </c>
      <c r="G526" s="27">
        <v>21</v>
      </c>
      <c r="H526" s="28">
        <v>1</v>
      </c>
      <c r="I526" s="24"/>
      <c r="J526" s="24"/>
      <c r="K526" s="24" t="s">
        <v>52</v>
      </c>
      <c r="L526" s="24" t="s">
        <v>53</v>
      </c>
      <c r="M526" s="24" t="s">
        <v>88</v>
      </c>
      <c r="N526" s="24" t="s">
        <v>55</v>
      </c>
      <c r="O526" s="24" t="s">
        <v>72</v>
      </c>
      <c r="P526" s="24" t="s">
        <v>146</v>
      </c>
      <c r="Q526" s="24" t="s">
        <v>74</v>
      </c>
      <c r="R526" s="24" t="s">
        <v>75</v>
      </c>
      <c r="S526" s="24" t="s">
        <v>147</v>
      </c>
      <c r="T526" s="24" t="s">
        <v>106</v>
      </c>
      <c r="U526" s="24" t="s">
        <v>91</v>
      </c>
      <c r="V526" s="24" t="s">
        <v>92</v>
      </c>
      <c r="W526" s="24" t="s">
        <v>77</v>
      </c>
      <c r="X526" s="24" t="s">
        <v>138</v>
      </c>
      <c r="Y526" s="24" t="s">
        <v>1094</v>
      </c>
      <c r="Z526" s="24" t="s">
        <v>64</v>
      </c>
      <c r="AA526" s="24" t="s">
        <v>565</v>
      </c>
      <c r="AB526" s="24" t="s">
        <v>1232</v>
      </c>
      <c r="AC526" s="24" t="s">
        <v>1768</v>
      </c>
    </row>
    <row r="527" spans="1:29">
      <c r="A527" s="30" t="s">
        <v>1769</v>
      </c>
      <c r="B527" s="30" t="str">
        <f>IF(ISNUMBER(SEARCH(E527,A527)),A527,IF(OR(E527="",E527=""),A527,A527&amp;" - "&amp;E527))</f>
        <v>avaay 26/1 SK - Sour Kush</v>
      </c>
      <c r="C527" s="30" t="s">
        <v>569</v>
      </c>
      <c r="D527" s="30" t="s">
        <v>570</v>
      </c>
      <c r="E527" s="30" t="s">
        <v>490</v>
      </c>
      <c r="F527" s="30" t="s">
        <v>86</v>
      </c>
      <c r="G527" s="34">
        <v>26</v>
      </c>
      <c r="H527" s="35">
        <v>1</v>
      </c>
      <c r="I527" s="30"/>
      <c r="J527" s="30"/>
      <c r="K527" s="30" t="s">
        <v>52</v>
      </c>
      <c r="L527" s="30" t="s">
        <v>53</v>
      </c>
      <c r="M527" s="30" t="s">
        <v>212</v>
      </c>
      <c r="N527" s="30" t="s">
        <v>88</v>
      </c>
      <c r="O527" s="30" t="s">
        <v>71</v>
      </c>
      <c r="P527" s="30" t="s">
        <v>73</v>
      </c>
      <c r="Q527" s="30" t="s">
        <v>75</v>
      </c>
      <c r="R527" s="30" t="s">
        <v>89</v>
      </c>
      <c r="S527" s="30" t="s">
        <v>90</v>
      </c>
      <c r="T527" s="30" t="s">
        <v>123</v>
      </c>
      <c r="U527" s="30" t="s">
        <v>106</v>
      </c>
      <c r="V527" s="30" t="s">
        <v>77</v>
      </c>
      <c r="W527" s="30" t="s">
        <v>116</v>
      </c>
      <c r="X527" s="30" t="s">
        <v>253</v>
      </c>
      <c r="Y527" s="30" t="s">
        <v>1770</v>
      </c>
      <c r="Z527" s="30" t="s">
        <v>64</v>
      </c>
      <c r="AA527" s="30" t="s">
        <v>572</v>
      </c>
      <c r="AB527" s="30" t="s">
        <v>56</v>
      </c>
      <c r="AC527" s="30" t="s">
        <v>1771</v>
      </c>
    </row>
    <row r="528" spans="1:29">
      <c r="A528" s="24" t="s">
        <v>1772</v>
      </c>
      <c r="B528" s="24" t="str">
        <f>IF(ISNUMBER(SEARCH(E528,A528)),A528,IF(OR(E528="",E528=""),A528,A528&amp;" - "&amp;E528))</f>
        <v>enua 25/1 CCK CA - Cold Creek Kush</v>
      </c>
      <c r="C528" s="24" t="s">
        <v>650</v>
      </c>
      <c r="D528" s="24" t="s">
        <v>651</v>
      </c>
      <c r="E528" s="24" t="s">
        <v>652</v>
      </c>
      <c r="F528" s="24" t="s">
        <v>86</v>
      </c>
      <c r="G528" s="27">
        <v>25</v>
      </c>
      <c r="H528" s="28">
        <v>1</v>
      </c>
      <c r="I528" s="24"/>
      <c r="J528" s="24"/>
      <c r="K528" s="24" t="s">
        <v>17</v>
      </c>
      <c r="L528" s="24" t="s">
        <v>53</v>
      </c>
      <c r="M528" s="24" t="s">
        <v>156</v>
      </c>
      <c r="N528" s="24" t="s">
        <v>54</v>
      </c>
      <c r="O528" s="24" t="s">
        <v>71</v>
      </c>
      <c r="P528" s="24" t="s">
        <v>146</v>
      </c>
      <c r="Q528" s="24" t="s">
        <v>74</v>
      </c>
      <c r="R528" s="24" t="s">
        <v>75</v>
      </c>
      <c r="S528" s="24" t="s">
        <v>115</v>
      </c>
      <c r="T528" s="24" t="s">
        <v>128</v>
      </c>
      <c r="U528" s="24" t="s">
        <v>62</v>
      </c>
      <c r="V528" s="24" t="s">
        <v>77</v>
      </c>
      <c r="W528" s="24" t="s">
        <v>116</v>
      </c>
      <c r="X528" s="24" t="s">
        <v>79</v>
      </c>
      <c r="Y528" s="24" t="s">
        <v>1354</v>
      </c>
      <c r="Z528" s="24" t="s">
        <v>64</v>
      </c>
      <c r="AA528" s="24" t="s">
        <v>653</v>
      </c>
      <c r="AB528" s="24" t="s">
        <v>56</v>
      </c>
      <c r="AC528" s="24" t="s">
        <v>1773</v>
      </c>
    </row>
    <row r="529" spans="1:29">
      <c r="A529" s="30" t="s">
        <v>1774</v>
      </c>
      <c r="B529" s="30" t="str">
        <f>IF(ISNUMBER(SEARCH(E529,A529)),A529,IF(OR(E529="",E529=""),A529,A529&amp;" - "&amp;E529))</f>
        <v>Sinceritas Sativa Verum 24/1 - Kush Mints</v>
      </c>
      <c r="C529" s="30" t="s">
        <v>48</v>
      </c>
      <c r="D529" s="30" t="s">
        <v>49</v>
      </c>
      <c r="E529" s="40" t="s">
        <v>954</v>
      </c>
      <c r="F529" s="30" t="s">
        <v>144</v>
      </c>
      <c r="G529" s="34">
        <v>24</v>
      </c>
      <c r="H529" s="35">
        <v>1</v>
      </c>
      <c r="I529" s="30"/>
      <c r="J529" s="30"/>
      <c r="K529" s="30" t="s">
        <v>52</v>
      </c>
      <c r="L529" s="30" t="s">
        <v>145</v>
      </c>
      <c r="M529" s="30" t="s">
        <v>88</v>
      </c>
      <c r="N529" s="30" t="s">
        <v>55</v>
      </c>
      <c r="O529" s="30" t="s">
        <v>72</v>
      </c>
      <c r="P529" s="30" t="s">
        <v>591</v>
      </c>
      <c r="Q529" s="30" t="s">
        <v>112</v>
      </c>
      <c r="R529" s="30" t="s">
        <v>146</v>
      </c>
      <c r="S529" s="30" t="s">
        <v>123</v>
      </c>
      <c r="T529" s="30" t="s">
        <v>106</v>
      </c>
      <c r="U529" s="30" t="s">
        <v>62</v>
      </c>
      <c r="V529" s="30" t="s">
        <v>92</v>
      </c>
      <c r="W529" s="30" t="s">
        <v>77</v>
      </c>
      <c r="X529" s="30" t="s">
        <v>116</v>
      </c>
      <c r="Y529" s="30" t="s">
        <v>286</v>
      </c>
      <c r="Z529" s="30" t="s">
        <v>64</v>
      </c>
      <c r="AA529" s="30" t="s">
        <v>49</v>
      </c>
      <c r="AB529" s="30"/>
      <c r="AC529" s="30" t="s">
        <v>1775</v>
      </c>
    </row>
    <row r="530" spans="1:29">
      <c r="A530" s="24" t="s">
        <v>1776</v>
      </c>
      <c r="B530" s="24" t="str">
        <f>IF(ISNUMBER(SEARCH(E530,A530)),A530,IF(OR(E530="",E530=""),A530,A530&amp;" - "&amp;E530))</f>
        <v>Canify Cannabis flos 21/1 PRT Ku. - Black Cherry Pie</v>
      </c>
      <c r="C530" s="24" t="s">
        <v>99</v>
      </c>
      <c r="D530" s="24" t="s">
        <v>100</v>
      </c>
      <c r="E530" s="41" t="s">
        <v>191</v>
      </c>
      <c r="F530" s="24" t="s">
        <v>120</v>
      </c>
      <c r="G530" s="27">
        <v>21</v>
      </c>
      <c r="H530" s="28">
        <v>1</v>
      </c>
      <c r="I530" s="24"/>
      <c r="J530" s="24"/>
      <c r="K530" s="24" t="s">
        <v>52</v>
      </c>
      <c r="L530" s="24" t="s">
        <v>102</v>
      </c>
      <c r="M530" s="24" t="s">
        <v>111</v>
      </c>
      <c r="N530" s="24" t="s">
        <v>71</v>
      </c>
      <c r="O530" s="24" t="s">
        <v>103</v>
      </c>
      <c r="P530" s="24" t="s">
        <v>113</v>
      </c>
      <c r="Q530" s="24" t="s">
        <v>58</v>
      </c>
      <c r="R530" s="24"/>
      <c r="S530" s="24" t="s">
        <v>187</v>
      </c>
      <c r="T530" s="24" t="s">
        <v>192</v>
      </c>
      <c r="U530" s="24" t="s">
        <v>105</v>
      </c>
      <c r="V530" s="24" t="s">
        <v>92</v>
      </c>
      <c r="W530" s="24" t="s">
        <v>116</v>
      </c>
      <c r="X530" s="24" t="s">
        <v>107</v>
      </c>
      <c r="Y530" s="24" t="s">
        <v>213</v>
      </c>
      <c r="Z530" s="24" t="s">
        <v>64</v>
      </c>
      <c r="AA530" s="24" t="s">
        <v>100</v>
      </c>
      <c r="AB530" s="24" t="s">
        <v>194</v>
      </c>
      <c r="AC530" s="24" t="s">
        <v>1777</v>
      </c>
    </row>
    <row r="531" spans="1:29">
      <c r="A531" s="30" t="s">
        <v>1778</v>
      </c>
      <c r="B531" s="30" t="str">
        <f>IF(ISNUMBER(SEARCH(E531,A531)),A531,IF(OR(E531="",E531=""),A531,A531&amp;" - "&amp;E531))</f>
        <v>Canify Cannabis flos 25/1 PRT Ku. - Strawberry Banana</v>
      </c>
      <c r="C531" s="30" t="s">
        <v>99</v>
      </c>
      <c r="D531" s="30" t="s">
        <v>100</v>
      </c>
      <c r="E531" s="30" t="s">
        <v>196</v>
      </c>
      <c r="F531" s="30" t="s">
        <v>86</v>
      </c>
      <c r="G531" s="34">
        <v>24</v>
      </c>
      <c r="H531" s="35">
        <v>1</v>
      </c>
      <c r="I531" s="30"/>
      <c r="J531" s="30"/>
      <c r="K531" s="30" t="s">
        <v>52</v>
      </c>
      <c r="L531" s="30" t="s">
        <v>102</v>
      </c>
      <c r="M531" s="30" t="s">
        <v>71</v>
      </c>
      <c r="N531" s="30" t="s">
        <v>103</v>
      </c>
      <c r="O531" s="30" t="s">
        <v>72</v>
      </c>
      <c r="P531" s="30" t="s">
        <v>89</v>
      </c>
      <c r="Q531" s="30" t="s">
        <v>58</v>
      </c>
      <c r="R531" s="30" t="s">
        <v>56</v>
      </c>
      <c r="S531" s="30" t="s">
        <v>61</v>
      </c>
      <c r="T531" s="30" t="s">
        <v>62</v>
      </c>
      <c r="U531" s="30" t="s">
        <v>128</v>
      </c>
      <c r="V531" s="30" t="s">
        <v>77</v>
      </c>
      <c r="W531" s="30" t="s">
        <v>116</v>
      </c>
      <c r="X531" s="30" t="s">
        <v>197</v>
      </c>
      <c r="Y531" s="30" t="s">
        <v>555</v>
      </c>
      <c r="Z531" s="30" t="s">
        <v>64</v>
      </c>
      <c r="AA531" s="30" t="s">
        <v>100</v>
      </c>
      <c r="AB531" s="30" t="s">
        <v>194</v>
      </c>
      <c r="AC531" s="30" t="s">
        <v>1779</v>
      </c>
    </row>
    <row r="532" spans="1:29">
      <c r="A532" s="24" t="s">
        <v>1780</v>
      </c>
      <c r="B532" s="24" t="str">
        <f>IF(ISNUMBER(SEARCH(E532,A532)),A532,IF(OR(E532="",E532=""),A532,A532&amp;" - "&amp;E532))</f>
        <v>Cannamedical CM 24/1 BRY - Strawberry OG</v>
      </c>
      <c r="C532" s="24" t="s">
        <v>48</v>
      </c>
      <c r="D532" s="24" t="s">
        <v>49</v>
      </c>
      <c r="E532" s="24" t="s">
        <v>1353</v>
      </c>
      <c r="F532" s="24" t="s">
        <v>86</v>
      </c>
      <c r="G532" s="27">
        <v>25</v>
      </c>
      <c r="H532" s="28">
        <v>1</v>
      </c>
      <c r="I532" s="24"/>
      <c r="J532" s="24"/>
      <c r="K532" s="24" t="s">
        <v>52</v>
      </c>
      <c r="L532" s="24"/>
      <c r="M532" s="24" t="s">
        <v>88</v>
      </c>
      <c r="N532" s="24" t="s">
        <v>71</v>
      </c>
      <c r="O532" s="24" t="s">
        <v>103</v>
      </c>
      <c r="P532" s="24" t="s">
        <v>89</v>
      </c>
      <c r="Q532" s="24" t="s">
        <v>58</v>
      </c>
      <c r="R532" s="24" t="s">
        <v>56</v>
      </c>
      <c r="S532" s="24" t="s">
        <v>56</v>
      </c>
      <c r="T532" s="24" t="s">
        <v>56</v>
      </c>
      <c r="U532" s="24" t="s">
        <v>56</v>
      </c>
      <c r="V532" s="24" t="s">
        <v>77</v>
      </c>
      <c r="W532" s="24" t="s">
        <v>116</v>
      </c>
      <c r="X532" s="24" t="s">
        <v>180</v>
      </c>
      <c r="Y532" s="24" t="s">
        <v>396</v>
      </c>
      <c r="Z532" s="24" t="s">
        <v>64</v>
      </c>
      <c r="AA532" s="24" t="s">
        <v>49</v>
      </c>
      <c r="AB532" s="24" t="s">
        <v>56</v>
      </c>
      <c r="AC532" s="24" t="s">
        <v>1781</v>
      </c>
    </row>
    <row r="533" spans="1:29">
      <c r="A533" s="30" t="s">
        <v>1782</v>
      </c>
      <c r="B533" s="30" t="str">
        <f>IF(ISNUMBER(SEARCH(E533,A533)),A533,IF(OR(E533="",E533=""),A533,A533&amp;" - "&amp;E533))</f>
        <v>420 Compound 25/1 CA RGR - Rose Gold Runtz</v>
      </c>
      <c r="C533" s="30" t="s">
        <v>463</v>
      </c>
      <c r="D533" s="30" t="s">
        <v>464</v>
      </c>
      <c r="E533" s="30" t="s">
        <v>1587</v>
      </c>
      <c r="F533" s="30" t="s">
        <v>86</v>
      </c>
      <c r="G533" s="34">
        <v>25</v>
      </c>
      <c r="H533" s="35">
        <v>1</v>
      </c>
      <c r="I533" s="30"/>
      <c r="J533" s="30"/>
      <c r="K533" s="30" t="s">
        <v>52</v>
      </c>
      <c r="L533" s="30"/>
      <c r="M533" s="30" t="s">
        <v>56</v>
      </c>
      <c r="N533" s="30" t="s">
        <v>56</v>
      </c>
      <c r="O533" s="30"/>
      <c r="P533" s="30" t="s">
        <v>56</v>
      </c>
      <c r="Q533" s="30" t="s">
        <v>56</v>
      </c>
      <c r="R533" s="30" t="s">
        <v>56</v>
      </c>
      <c r="S533" s="30" t="s">
        <v>56</v>
      </c>
      <c r="T533" s="30" t="s">
        <v>56</v>
      </c>
      <c r="U533" s="30" t="s">
        <v>56</v>
      </c>
      <c r="V533" s="30" t="s">
        <v>56</v>
      </c>
      <c r="W533" s="30"/>
      <c r="X533" s="30" t="s">
        <v>56</v>
      </c>
      <c r="Y533" s="30" t="s">
        <v>987</v>
      </c>
      <c r="Z533" s="30" t="s">
        <v>64</v>
      </c>
      <c r="AA533" s="30" t="s">
        <v>468</v>
      </c>
      <c r="AB533" s="30" t="s">
        <v>56</v>
      </c>
      <c r="AC533" s="30" t="s">
        <v>1783</v>
      </c>
    </row>
    <row r="534" spans="1:29">
      <c r="A534" s="24" t="s">
        <v>1784</v>
      </c>
      <c r="B534" s="24" t="str">
        <f>IF(ISNUMBER(SEARCH(E534,A534)),A534,IF(OR(E534="",E534=""),A534,A534&amp;" - "&amp;E534))</f>
        <v>Craft Permanent Marker 22/1</v>
      </c>
      <c r="C534" s="24" t="s">
        <v>484</v>
      </c>
      <c r="D534" s="24" t="s">
        <v>485</v>
      </c>
      <c r="E534" s="41" t="s">
        <v>56</v>
      </c>
      <c r="F534" s="24" t="s">
        <v>120</v>
      </c>
      <c r="G534" s="27">
        <v>22</v>
      </c>
      <c r="H534" s="28">
        <v>1</v>
      </c>
      <c r="I534" s="24"/>
      <c r="J534" s="24"/>
      <c r="K534" s="24" t="s">
        <v>52</v>
      </c>
      <c r="L534" s="24" t="s">
        <v>527</v>
      </c>
      <c r="M534" s="24"/>
      <c r="N534" s="24"/>
      <c r="O534" s="24"/>
      <c r="P534" s="24"/>
      <c r="Q534" s="24"/>
      <c r="R534" s="24"/>
      <c r="S534" s="24" t="s">
        <v>60</v>
      </c>
      <c r="T534" s="24" t="s">
        <v>123</v>
      </c>
      <c r="U534" s="24" t="s">
        <v>106</v>
      </c>
      <c r="V534" s="24"/>
      <c r="W534" s="24"/>
      <c r="X534" s="24"/>
      <c r="Y534" s="24" t="s">
        <v>344</v>
      </c>
      <c r="Z534" s="24" t="s">
        <v>64</v>
      </c>
      <c r="AA534" s="24" t="s">
        <v>485</v>
      </c>
      <c r="AB534" s="24"/>
      <c r="AC534" s="24"/>
    </row>
    <row r="535" spans="1:29">
      <c r="A535" s="30" t="s">
        <v>1785</v>
      </c>
      <c r="B535" s="30" t="str">
        <f>IF(ISNUMBER(SEARCH(E535,A535)),A535,IF(OR(E535="",E535=""),A535,A535&amp;" - "&amp;E535))</f>
        <v>avaay 29/1 SCP - Sour Cherry Punch</v>
      </c>
      <c r="C535" s="30" t="s">
        <v>569</v>
      </c>
      <c r="D535" s="30" t="s">
        <v>570</v>
      </c>
      <c r="E535" s="40" t="s">
        <v>1786</v>
      </c>
      <c r="F535" s="30" t="s">
        <v>177</v>
      </c>
      <c r="G535" s="34">
        <v>29</v>
      </c>
      <c r="H535" s="35">
        <v>1</v>
      </c>
      <c r="I535" s="30"/>
      <c r="J535" s="30"/>
      <c r="K535" s="30" t="s">
        <v>52</v>
      </c>
      <c r="L535" s="30" t="s">
        <v>53</v>
      </c>
      <c r="M535" s="30" t="s">
        <v>72</v>
      </c>
      <c r="N535" s="30"/>
      <c r="O535" s="30"/>
      <c r="P535" s="30" t="s">
        <v>157</v>
      </c>
      <c r="Q535" s="30" t="s">
        <v>74</v>
      </c>
      <c r="R535" s="30" t="s">
        <v>89</v>
      </c>
      <c r="S535" s="30" t="s">
        <v>147</v>
      </c>
      <c r="T535" s="30" t="s">
        <v>123</v>
      </c>
      <c r="U535" s="30" t="s">
        <v>106</v>
      </c>
      <c r="V535" s="30" t="s">
        <v>77</v>
      </c>
      <c r="W535" s="30" t="s">
        <v>116</v>
      </c>
      <c r="X535" s="30" t="s">
        <v>107</v>
      </c>
      <c r="Y535" s="30" t="s">
        <v>1787</v>
      </c>
      <c r="Z535" s="30" t="s">
        <v>64</v>
      </c>
      <c r="AA535" s="30" t="s">
        <v>572</v>
      </c>
      <c r="AB535" s="30"/>
      <c r="AC535" s="30" t="s">
        <v>1788</v>
      </c>
    </row>
    <row r="536" spans="1:29">
      <c r="A536" s="24" t="s">
        <v>1789</v>
      </c>
      <c r="B536" s="24" t="str">
        <f>IF(ISNUMBER(SEARCH(E536,A536)),A536,IF(OR(E536="",E536=""),A536,A536&amp;" - "&amp;E536))</f>
        <v>All Nations FG 25/1 - Frosted Gelato</v>
      </c>
      <c r="C536" s="24" t="s">
        <v>564</v>
      </c>
      <c r="D536" s="24" t="s">
        <v>565</v>
      </c>
      <c r="E536" s="41" t="s">
        <v>1790</v>
      </c>
      <c r="F536" s="24" t="s">
        <v>177</v>
      </c>
      <c r="G536" s="27">
        <v>25</v>
      </c>
      <c r="H536" s="28">
        <v>1</v>
      </c>
      <c r="I536" s="24"/>
      <c r="J536" s="24"/>
      <c r="K536" s="24" t="s">
        <v>52</v>
      </c>
      <c r="L536" s="24" t="s">
        <v>53</v>
      </c>
      <c r="M536" s="24" t="s">
        <v>55</v>
      </c>
      <c r="N536" s="24" t="s">
        <v>72</v>
      </c>
      <c r="O536" s="24"/>
      <c r="P536" s="24" t="s">
        <v>73</v>
      </c>
      <c r="Q536" s="24" t="s">
        <v>59</v>
      </c>
      <c r="R536" s="24"/>
      <c r="S536" s="24" t="s">
        <v>147</v>
      </c>
      <c r="T536" s="24" t="s">
        <v>123</v>
      </c>
      <c r="U536" s="24" t="s">
        <v>106</v>
      </c>
      <c r="V536" s="24" t="s">
        <v>77</v>
      </c>
      <c r="W536" s="24" t="s">
        <v>116</v>
      </c>
      <c r="X536" s="24" t="s">
        <v>79</v>
      </c>
      <c r="Y536" s="24" t="s">
        <v>331</v>
      </c>
      <c r="Z536" s="24" t="s">
        <v>64</v>
      </c>
      <c r="AA536" s="24" t="s">
        <v>565</v>
      </c>
      <c r="AB536" s="24"/>
      <c r="AC536" s="24" t="s">
        <v>1791</v>
      </c>
    </row>
    <row r="537" spans="1:29">
      <c r="A537" s="30" t="s">
        <v>1792</v>
      </c>
      <c r="B537" s="30" t="str">
        <f>IF(ISNUMBER(SEARCH(E537,A537)),A537,IF(OR(E537="",E537=""),A537,A537&amp;" - "&amp;E537))</f>
        <v>Origine Nature MED 30/1 - Medellin</v>
      </c>
      <c r="C537" s="30" t="s">
        <v>564</v>
      </c>
      <c r="D537" s="30" t="s">
        <v>565</v>
      </c>
      <c r="E537" s="40" t="s">
        <v>1793</v>
      </c>
      <c r="F537" s="30" t="s">
        <v>86</v>
      </c>
      <c r="G537" s="34">
        <v>29</v>
      </c>
      <c r="H537" s="35">
        <v>1</v>
      </c>
      <c r="I537" s="30"/>
      <c r="J537" s="30"/>
      <c r="K537" s="30" t="s">
        <v>52</v>
      </c>
      <c r="L537" s="30" t="s">
        <v>102</v>
      </c>
      <c r="M537" s="30" t="s">
        <v>54</v>
      </c>
      <c r="N537" s="30" t="s">
        <v>111</v>
      </c>
      <c r="O537" s="30" t="s">
        <v>88</v>
      </c>
      <c r="P537" s="30" t="s">
        <v>73</v>
      </c>
      <c r="Q537" s="30" t="s">
        <v>157</v>
      </c>
      <c r="R537" s="30" t="s">
        <v>57</v>
      </c>
      <c r="S537" s="30" t="s">
        <v>147</v>
      </c>
      <c r="T537" s="30" t="s">
        <v>91</v>
      </c>
      <c r="U537" s="30" t="s">
        <v>62</v>
      </c>
      <c r="V537" s="30" t="s">
        <v>77</v>
      </c>
      <c r="W537" s="30" t="s">
        <v>79</v>
      </c>
      <c r="X537" s="30" t="s">
        <v>107</v>
      </c>
      <c r="Y537" s="30" t="s">
        <v>297</v>
      </c>
      <c r="Z537" s="30" t="s">
        <v>64</v>
      </c>
      <c r="AA537" s="30" t="s">
        <v>565</v>
      </c>
      <c r="AB537" s="30"/>
      <c r="AC537" s="30" t="s">
        <v>1794</v>
      </c>
    </row>
    <row r="538" spans="1:29">
      <c r="A538" s="24" t="s">
        <v>1795</v>
      </c>
      <c r="B538" s="24" t="str">
        <f>IF(ISNUMBER(SEARCH(E538,A538)),A538,IF(OR(E538="",E538=""),A538,A538&amp;" - "&amp;E538))</f>
        <v>Wellford Aquaponic 24/1 SDK - Sensi Double Kush</v>
      </c>
      <c r="C538" s="24" t="s">
        <v>741</v>
      </c>
      <c r="D538" s="24" t="s">
        <v>742</v>
      </c>
      <c r="E538" s="41" t="s">
        <v>977</v>
      </c>
      <c r="F538" s="24" t="s">
        <v>120</v>
      </c>
      <c r="G538" s="27">
        <v>24</v>
      </c>
      <c r="H538" s="28">
        <v>1</v>
      </c>
      <c r="I538" s="24"/>
      <c r="J538" s="24"/>
      <c r="K538" s="24" t="s">
        <v>52</v>
      </c>
      <c r="L538" s="24" t="s">
        <v>53</v>
      </c>
      <c r="M538" s="24" t="s">
        <v>71</v>
      </c>
      <c r="N538" s="24" t="s">
        <v>121</v>
      </c>
      <c r="O538" s="24" t="s">
        <v>72</v>
      </c>
      <c r="P538" s="24" t="s">
        <v>146</v>
      </c>
      <c r="Q538" s="24" t="s">
        <v>104</v>
      </c>
      <c r="R538" s="24" t="s">
        <v>74</v>
      </c>
      <c r="S538" s="24" t="s">
        <v>801</v>
      </c>
      <c r="T538" s="24" t="s">
        <v>786</v>
      </c>
      <c r="U538" s="24" t="s">
        <v>61</v>
      </c>
      <c r="V538" s="24" t="s">
        <v>77</v>
      </c>
      <c r="W538" s="24" t="s">
        <v>116</v>
      </c>
      <c r="X538" s="24" t="s">
        <v>107</v>
      </c>
      <c r="Y538" s="24" t="s">
        <v>523</v>
      </c>
      <c r="Z538" s="24" t="s">
        <v>64</v>
      </c>
      <c r="AA538" s="24" t="s">
        <v>742</v>
      </c>
      <c r="AB538" s="24" t="s">
        <v>979</v>
      </c>
      <c r="AC538" s="24" t="s">
        <v>1796</v>
      </c>
    </row>
    <row r="539" spans="1:29">
      <c r="A539" s="30" t="s">
        <v>1797</v>
      </c>
      <c r="B539" s="30" t="str">
        <f>IF(ISNUMBER(SEARCH(E539,A539)),A539,IF(OR(E539="",E539=""),A539,A539&amp;" - "&amp;E539))</f>
        <v>Wellford Aquaponic 26/1 CRO - Crescendo Cookies</v>
      </c>
      <c r="C539" s="30" t="s">
        <v>741</v>
      </c>
      <c r="D539" s="30" t="s">
        <v>742</v>
      </c>
      <c r="E539" s="40" t="s">
        <v>893</v>
      </c>
      <c r="F539" s="30" t="s">
        <v>120</v>
      </c>
      <c r="G539" s="34">
        <v>26</v>
      </c>
      <c r="H539" s="35">
        <v>1</v>
      </c>
      <c r="I539" s="30"/>
      <c r="J539" s="30"/>
      <c r="K539" s="30" t="s">
        <v>52</v>
      </c>
      <c r="L539" s="30" t="s">
        <v>53</v>
      </c>
      <c r="M539" s="30" t="s">
        <v>212</v>
      </c>
      <c r="N539" s="30" t="s">
        <v>88</v>
      </c>
      <c r="O539" s="30" t="s">
        <v>72</v>
      </c>
      <c r="P539" s="30" t="s">
        <v>113</v>
      </c>
      <c r="Q539" s="30" t="s">
        <v>89</v>
      </c>
      <c r="R539" s="30" t="s">
        <v>58</v>
      </c>
      <c r="S539" s="30" t="s">
        <v>801</v>
      </c>
      <c r="T539" s="30" t="s">
        <v>123</v>
      </c>
      <c r="U539" s="30" t="s">
        <v>61</v>
      </c>
      <c r="V539" s="30" t="s">
        <v>77</v>
      </c>
      <c r="W539" s="30" t="s">
        <v>116</v>
      </c>
      <c r="X539" s="30" t="s">
        <v>79</v>
      </c>
      <c r="Y539" s="30" t="s">
        <v>293</v>
      </c>
      <c r="Z539" s="30" t="s">
        <v>64</v>
      </c>
      <c r="AA539" s="30" t="s">
        <v>742</v>
      </c>
      <c r="AB539" s="30" t="s">
        <v>979</v>
      </c>
      <c r="AC539" s="30" t="s">
        <v>1798</v>
      </c>
    </row>
    <row r="540" spans="1:29">
      <c r="A540" s="24" t="s">
        <v>1799</v>
      </c>
      <c r="B540" s="24" t="str">
        <f>IF(ISNUMBER(SEARCH(E540,A540)),A540,IF(OR(E540="",E540=""),A540,A540&amp;" - "&amp;E540))</f>
        <v>Demecan Craft Marker 25/1 MM#2 - Magic Marker #2</v>
      </c>
      <c r="C540" s="24" t="s">
        <v>484</v>
      </c>
      <c r="D540" s="24" t="s">
        <v>485</v>
      </c>
      <c r="E540" s="24" t="s">
        <v>1018</v>
      </c>
      <c r="F540" s="24" t="s">
        <v>177</v>
      </c>
      <c r="G540" s="27">
        <v>27</v>
      </c>
      <c r="H540" s="28">
        <v>1</v>
      </c>
      <c r="I540" s="24"/>
      <c r="J540" s="24"/>
      <c r="K540" s="24" t="s">
        <v>52</v>
      </c>
      <c r="L540" s="24" t="s">
        <v>53</v>
      </c>
      <c r="M540" s="24" t="s">
        <v>72</v>
      </c>
      <c r="N540" s="24"/>
      <c r="O540" s="24" t="s">
        <v>56</v>
      </c>
      <c r="P540" s="24" t="s">
        <v>74</v>
      </c>
      <c r="Q540" s="24" t="s">
        <v>75</v>
      </c>
      <c r="R540" s="24" t="s">
        <v>89</v>
      </c>
      <c r="S540" s="24" t="s">
        <v>123</v>
      </c>
      <c r="T540" s="24" t="s">
        <v>106</v>
      </c>
      <c r="U540" s="24" t="s">
        <v>62</v>
      </c>
      <c r="V540" s="24" t="s">
        <v>77</v>
      </c>
      <c r="W540" s="24" t="s">
        <v>138</v>
      </c>
      <c r="X540" s="24" t="s">
        <v>107</v>
      </c>
      <c r="Y540" s="24" t="s">
        <v>790</v>
      </c>
      <c r="Z540" s="24" t="s">
        <v>64</v>
      </c>
      <c r="AA540" s="24" t="s">
        <v>485</v>
      </c>
      <c r="AB540" s="24" t="s">
        <v>56</v>
      </c>
      <c r="AC540" s="24" t="s">
        <v>1800</v>
      </c>
    </row>
    <row r="541" spans="1:29">
      <c r="A541" s="30" t="s">
        <v>1801</v>
      </c>
      <c r="B541" s="30" t="str">
        <f>IF(ISNUMBER(SEARCH(E541,A541)),A541,IF(OR(E541="",E541=""),A541,A541&amp;" - "&amp;E541))</f>
        <v>RUA AIO 30/1 - 8 Ball Kush</v>
      </c>
      <c r="C541" s="30" t="s">
        <v>141</v>
      </c>
      <c r="D541" s="30" t="s">
        <v>142</v>
      </c>
      <c r="E541" s="40" t="s">
        <v>1802</v>
      </c>
      <c r="F541" s="30" t="s">
        <v>51</v>
      </c>
      <c r="G541" s="34">
        <v>32</v>
      </c>
      <c r="H541" s="35">
        <v>1</v>
      </c>
      <c r="I541" s="30"/>
      <c r="J541" s="30"/>
      <c r="K541" s="30" t="s">
        <v>52</v>
      </c>
      <c r="L541" s="30" t="s">
        <v>53</v>
      </c>
      <c r="M541" s="30" t="s">
        <v>88</v>
      </c>
      <c r="N541" s="30" t="s">
        <v>103</v>
      </c>
      <c r="O541" s="30" t="s">
        <v>178</v>
      </c>
      <c r="P541" s="30" t="s">
        <v>146</v>
      </c>
      <c r="Q541" s="30" t="s">
        <v>112</v>
      </c>
      <c r="R541" s="30" t="s">
        <v>75</v>
      </c>
      <c r="S541" s="30" t="s">
        <v>123</v>
      </c>
      <c r="T541" s="30" t="s">
        <v>106</v>
      </c>
      <c r="U541" s="30" t="s">
        <v>91</v>
      </c>
      <c r="V541" s="30" t="s">
        <v>77</v>
      </c>
      <c r="W541" s="30"/>
      <c r="X541" s="30"/>
      <c r="Y541" s="30" t="s">
        <v>311</v>
      </c>
      <c r="Z541" s="30" t="s">
        <v>64</v>
      </c>
      <c r="AA541" s="30" t="s">
        <v>149</v>
      </c>
      <c r="AB541" s="30"/>
      <c r="AC541" s="30" t="s">
        <v>1803</v>
      </c>
    </row>
    <row r="542" spans="1:29">
      <c r="A542" s="24" t="s">
        <v>1804</v>
      </c>
      <c r="B542" s="24" t="str">
        <f>IF(ISNUMBER(SEARCH(E542,A542)),A542,IF(OR(E542="",E542=""),A542,A542&amp;" - "&amp;E542))</f>
        <v>enua 25/1 TTA CA - Titanimal</v>
      </c>
      <c r="C542" s="24" t="s">
        <v>650</v>
      </c>
      <c r="D542" s="24" t="s">
        <v>651</v>
      </c>
      <c r="E542" s="41" t="s">
        <v>1686</v>
      </c>
      <c r="F542" s="24" t="s">
        <v>177</v>
      </c>
      <c r="G542" s="27">
        <v>25</v>
      </c>
      <c r="H542" s="28">
        <v>1</v>
      </c>
      <c r="I542" s="24"/>
      <c r="J542" s="24"/>
      <c r="K542" s="24" t="s">
        <v>52</v>
      </c>
      <c r="L542" s="24" t="s">
        <v>53</v>
      </c>
      <c r="M542" s="24" t="s">
        <v>121</v>
      </c>
      <c r="N542" s="24" t="s">
        <v>72</v>
      </c>
      <c r="O542" s="24"/>
      <c r="P542" s="24" t="s">
        <v>112</v>
      </c>
      <c r="Q542" s="24" t="s">
        <v>74</v>
      </c>
      <c r="R542" s="24" t="s">
        <v>89</v>
      </c>
      <c r="S542" s="24" t="s">
        <v>123</v>
      </c>
      <c r="T542" s="24" t="s">
        <v>493</v>
      </c>
      <c r="U542" s="24" t="s">
        <v>61</v>
      </c>
      <c r="V542" s="24" t="s">
        <v>77</v>
      </c>
      <c r="W542" s="24" t="s">
        <v>116</v>
      </c>
      <c r="X542" s="24" t="s">
        <v>79</v>
      </c>
      <c r="Y542" s="24" t="s">
        <v>966</v>
      </c>
      <c r="Z542" s="24" t="s">
        <v>64</v>
      </c>
      <c r="AA542" s="24" t="s">
        <v>653</v>
      </c>
      <c r="AB542" s="24"/>
      <c r="AC542" s="24" t="s">
        <v>1805</v>
      </c>
    </row>
    <row r="543" spans="1:29">
      <c r="A543" s="42" t="s">
        <v>1806</v>
      </c>
      <c r="B543" s="42" t="str">
        <f>IF(ISNUMBER(SEARCH(E543,A543)),A543,IF(OR(E543="",E543=""),A543,A543&amp;" - "&amp;E543))</f>
        <v>Demecan CRAFT OZK x CC 24:01 - OZ Kush x Coffin Candy</v>
      </c>
      <c r="C543" s="30" t="s">
        <v>484</v>
      </c>
      <c r="D543" s="30" t="s">
        <v>485</v>
      </c>
      <c r="E543" s="52" t="s">
        <v>1807</v>
      </c>
      <c r="F543" s="30" t="s">
        <v>177</v>
      </c>
      <c r="G543" s="34">
        <v>24</v>
      </c>
      <c r="H543" s="35">
        <v>1</v>
      </c>
      <c r="I543" s="42"/>
      <c r="J543" s="42"/>
      <c r="K543" s="42" t="s">
        <v>17</v>
      </c>
      <c r="L543" s="42" t="s">
        <v>527</v>
      </c>
      <c r="M543" s="42" t="s">
        <v>88</v>
      </c>
      <c r="N543" s="42" t="s">
        <v>121</v>
      </c>
      <c r="O543" s="42" t="s">
        <v>72</v>
      </c>
      <c r="P543" s="42" t="s">
        <v>74</v>
      </c>
      <c r="Q543" s="42" t="s">
        <v>75</v>
      </c>
      <c r="R543" s="42" t="s">
        <v>58</v>
      </c>
      <c r="S543" s="42" t="s">
        <v>123</v>
      </c>
      <c r="T543" s="42" t="s">
        <v>106</v>
      </c>
      <c r="U543" s="42" t="s">
        <v>62</v>
      </c>
      <c r="V543" s="42" t="s">
        <v>77</v>
      </c>
      <c r="W543" s="42" t="s">
        <v>116</v>
      </c>
      <c r="X543" s="42" t="s">
        <v>173</v>
      </c>
      <c r="Y543" s="42" t="s">
        <v>1808</v>
      </c>
      <c r="Z543" s="42" t="s">
        <v>64</v>
      </c>
      <c r="AA543" s="42" t="s">
        <v>485</v>
      </c>
      <c r="AB543" s="42"/>
      <c r="AC543" s="42" t="s">
        <v>1809</v>
      </c>
    </row>
    <row r="544" spans="1:29">
      <c r="A544" s="24" t="s">
        <v>1810</v>
      </c>
      <c r="B544" s="24" t="str">
        <f>IF(ISNUMBER(SEARCH(E544,A544)),A544,IF(OR(E544="",E544=""),A544,A544&amp;" - "&amp;E544))</f>
        <v>madrecan 21/1 MDR Minis - Mac Driver</v>
      </c>
      <c r="C544" s="24" t="s">
        <v>83</v>
      </c>
      <c r="D544" s="24" t="s">
        <v>84</v>
      </c>
      <c r="E544" s="41" t="s">
        <v>1811</v>
      </c>
      <c r="F544" s="24" t="s">
        <v>86</v>
      </c>
      <c r="G544" s="27">
        <v>21</v>
      </c>
      <c r="H544" s="28">
        <v>1</v>
      </c>
      <c r="I544" s="24"/>
      <c r="J544" s="24"/>
      <c r="K544" s="24" t="s">
        <v>17</v>
      </c>
      <c r="L544" s="24" t="s">
        <v>102</v>
      </c>
      <c r="M544" s="24" t="s">
        <v>71</v>
      </c>
      <c r="N544" s="24" t="s">
        <v>121</v>
      </c>
      <c r="O544" s="24" t="s">
        <v>72</v>
      </c>
      <c r="P544" s="24" t="s">
        <v>73</v>
      </c>
      <c r="Q544" s="24" t="s">
        <v>75</v>
      </c>
      <c r="R544" s="24" t="s">
        <v>89</v>
      </c>
      <c r="S544" s="24" t="s">
        <v>90</v>
      </c>
      <c r="T544" s="24" t="s">
        <v>192</v>
      </c>
      <c r="U544" s="24" t="s">
        <v>60</v>
      </c>
      <c r="V544" s="24" t="s">
        <v>77</v>
      </c>
      <c r="W544" s="24" t="s">
        <v>116</v>
      </c>
      <c r="X544" s="24" t="s">
        <v>165</v>
      </c>
      <c r="Y544" s="24" t="s">
        <v>1812</v>
      </c>
      <c r="Z544" s="24" t="s">
        <v>64</v>
      </c>
      <c r="AA544" s="24" t="s">
        <v>95</v>
      </c>
      <c r="AB544" s="24"/>
      <c r="AC544" s="37" t="s">
        <v>1813</v>
      </c>
    </row>
    <row r="545" spans="1:29">
      <c r="A545" s="30" t="s">
        <v>1814</v>
      </c>
      <c r="B545" s="30" t="str">
        <f>IF(ISNUMBER(SEARCH(E545,A545)),A545,IF(OR(E545="",E545=""),A545,A545&amp;" - "&amp;E545))</f>
        <v>madrecan 21/1 SHA - Shark Attack</v>
      </c>
      <c r="C545" s="30" t="s">
        <v>83</v>
      </c>
      <c r="D545" s="30" t="s">
        <v>84</v>
      </c>
      <c r="E545" s="30" t="s">
        <v>1155</v>
      </c>
      <c r="F545" s="30" t="s">
        <v>120</v>
      </c>
      <c r="G545" s="34">
        <v>21</v>
      </c>
      <c r="H545" s="35">
        <v>1</v>
      </c>
      <c r="I545" s="30"/>
      <c r="J545" s="30"/>
      <c r="K545" s="30" t="s">
        <v>17</v>
      </c>
      <c r="L545" s="30" t="s">
        <v>102</v>
      </c>
      <c r="M545" s="30" t="s">
        <v>55</v>
      </c>
      <c r="N545" s="30" t="s">
        <v>178</v>
      </c>
      <c r="O545" s="30" t="s">
        <v>121</v>
      </c>
      <c r="P545" s="30" t="s">
        <v>104</v>
      </c>
      <c r="Q545" s="30" t="s">
        <v>74</v>
      </c>
      <c r="R545" s="30" t="s">
        <v>75</v>
      </c>
      <c r="S545" s="30" t="s">
        <v>60</v>
      </c>
      <c r="T545" s="30" t="s">
        <v>147</v>
      </c>
      <c r="U545" s="30" t="s">
        <v>62</v>
      </c>
      <c r="V545" s="30" t="s">
        <v>77</v>
      </c>
      <c r="W545" s="30" t="s">
        <v>116</v>
      </c>
      <c r="X545" s="30" t="s">
        <v>292</v>
      </c>
      <c r="Y545" s="30" t="s">
        <v>56</v>
      </c>
      <c r="Z545" s="30" t="s">
        <v>64</v>
      </c>
      <c r="AA545" s="30" t="s">
        <v>95</v>
      </c>
      <c r="AB545" s="30" t="s">
        <v>56</v>
      </c>
      <c r="AC545" s="30" t="s">
        <v>1815</v>
      </c>
    </row>
    <row r="546" spans="1:29">
      <c r="A546" s="24" t="s">
        <v>1816</v>
      </c>
      <c r="B546" s="24" t="str">
        <f>IF(ISNUMBER(SEARCH(E546,A546)),A546,IF(OR(E546="",E546=""),A546,A546&amp;" - "&amp;E546))</f>
        <v>madrecan 24/1 SKY Minis - Skywalker</v>
      </c>
      <c r="C546" s="24" t="s">
        <v>83</v>
      </c>
      <c r="D546" s="24" t="s">
        <v>84</v>
      </c>
      <c r="E546" s="41" t="s">
        <v>1174</v>
      </c>
      <c r="F546" s="24" t="s">
        <v>86</v>
      </c>
      <c r="G546" s="27">
        <v>24</v>
      </c>
      <c r="H546" s="28">
        <v>1</v>
      </c>
      <c r="I546" s="24"/>
      <c r="J546" s="24"/>
      <c r="K546" s="24" t="s">
        <v>52</v>
      </c>
      <c r="L546" s="24" t="s">
        <v>102</v>
      </c>
      <c r="M546" s="24" t="s">
        <v>71</v>
      </c>
      <c r="N546" s="24" t="s">
        <v>103</v>
      </c>
      <c r="O546" s="24" t="s">
        <v>55</v>
      </c>
      <c r="P546" s="24"/>
      <c r="Q546" s="24"/>
      <c r="R546" s="24"/>
      <c r="S546" s="24" t="s">
        <v>60</v>
      </c>
      <c r="T546" s="24" t="s">
        <v>147</v>
      </c>
      <c r="U546" s="24" t="s">
        <v>61</v>
      </c>
      <c r="V546" s="24" t="s">
        <v>77</v>
      </c>
      <c r="W546" s="24" t="s">
        <v>116</v>
      </c>
      <c r="X546" s="24" t="s">
        <v>93</v>
      </c>
      <c r="Y546" s="24" t="s">
        <v>1817</v>
      </c>
      <c r="Z546" s="24" t="s">
        <v>64</v>
      </c>
      <c r="AA546" s="24" t="s">
        <v>95</v>
      </c>
      <c r="AB546" s="24"/>
      <c r="AC546" s="37" t="s">
        <v>1818</v>
      </c>
    </row>
    <row r="547" spans="1:29">
      <c r="A547" s="30" t="s">
        <v>1819</v>
      </c>
      <c r="B547" s="30" t="str">
        <f>IF(ISNUMBER(SEARCH(E547,A547)),A547,IF(OR(E547="",E547=""),A547,A547&amp;" - "&amp;E547))</f>
        <v>madrecan 18/1 MDR - Mac Driver</v>
      </c>
      <c r="C547" s="30" t="s">
        <v>83</v>
      </c>
      <c r="D547" s="30" t="s">
        <v>84</v>
      </c>
      <c r="E547" s="40" t="s">
        <v>1811</v>
      </c>
      <c r="F547" s="30" t="s">
        <v>86</v>
      </c>
      <c r="G547" s="34">
        <v>18</v>
      </c>
      <c r="H547" s="35">
        <v>1</v>
      </c>
      <c r="I547" s="30"/>
      <c r="J547" s="30"/>
      <c r="K547" s="30" t="s">
        <v>17</v>
      </c>
      <c r="L547" s="30" t="s">
        <v>102</v>
      </c>
      <c r="M547" s="30" t="s">
        <v>71</v>
      </c>
      <c r="N547" s="30" t="s">
        <v>121</v>
      </c>
      <c r="O547" s="30" t="s">
        <v>72</v>
      </c>
      <c r="P547" s="30" t="s">
        <v>73</v>
      </c>
      <c r="Q547" s="30" t="s">
        <v>75</v>
      </c>
      <c r="R547" s="30" t="s">
        <v>89</v>
      </c>
      <c r="S547" s="30" t="s">
        <v>90</v>
      </c>
      <c r="T547" s="30" t="s">
        <v>192</v>
      </c>
      <c r="U547" s="30" t="s">
        <v>60</v>
      </c>
      <c r="V547" s="30" t="s">
        <v>77</v>
      </c>
      <c r="W547" s="30" t="s">
        <v>116</v>
      </c>
      <c r="X547" s="30" t="s">
        <v>165</v>
      </c>
      <c r="Y547" s="30" t="s">
        <v>1820</v>
      </c>
      <c r="Z547" s="30" t="s">
        <v>64</v>
      </c>
      <c r="AA547" s="30" t="s">
        <v>95</v>
      </c>
      <c r="AB547" s="30"/>
      <c r="AC547" s="36" t="s">
        <v>1821</v>
      </c>
    </row>
    <row r="548" spans="1:29">
      <c r="A548" s="24" t="s">
        <v>1822</v>
      </c>
      <c r="B548" s="24" t="str">
        <f>IF(ISNUMBER(SEARCH(E548,A548)),A548,IF(OR(E548="",E548=""),A548,A548&amp;" - "&amp;E548))</f>
        <v>Demecan Typ 1 - Bubba Kush</v>
      </c>
      <c r="C548" s="24" t="s">
        <v>484</v>
      </c>
      <c r="D548" s="24" t="s">
        <v>485</v>
      </c>
      <c r="E548" s="24" t="s">
        <v>1823</v>
      </c>
      <c r="F548" s="24" t="s">
        <v>120</v>
      </c>
      <c r="G548" s="27">
        <v>21</v>
      </c>
      <c r="H548" s="28">
        <v>1</v>
      </c>
      <c r="I548" s="24"/>
      <c r="J548" s="24"/>
      <c r="K548" s="24" t="s">
        <v>17</v>
      </c>
      <c r="L548" s="24" t="s">
        <v>527</v>
      </c>
      <c r="M548" s="24" t="s">
        <v>103</v>
      </c>
      <c r="N548" s="24" t="s">
        <v>121</v>
      </c>
      <c r="O548" s="24" t="s">
        <v>72</v>
      </c>
      <c r="P548" s="24" t="s">
        <v>591</v>
      </c>
      <c r="Q548" s="24" t="s">
        <v>74</v>
      </c>
      <c r="R548" s="24" t="s">
        <v>59</v>
      </c>
      <c r="S548" s="24" t="s">
        <v>60</v>
      </c>
      <c r="T548" s="24" t="s">
        <v>106</v>
      </c>
      <c r="U548" s="24" t="s">
        <v>128</v>
      </c>
      <c r="V548" s="24" t="s">
        <v>77</v>
      </c>
      <c r="W548" s="24" t="s">
        <v>116</v>
      </c>
      <c r="X548" s="24" t="s">
        <v>79</v>
      </c>
      <c r="Y548" s="24" t="s">
        <v>245</v>
      </c>
      <c r="Z548" s="24" t="s">
        <v>64</v>
      </c>
      <c r="AA548" s="24" t="s">
        <v>528</v>
      </c>
      <c r="AB548" s="24" t="s">
        <v>56</v>
      </c>
      <c r="AC548" s="24" t="s">
        <v>1824</v>
      </c>
    </row>
    <row r="549" spans="1:29">
      <c r="A549" s="30" t="s">
        <v>1825</v>
      </c>
      <c r="B549" s="30" t="str">
        <f>IF(ISNUMBER(SEARCH(E549,A549)),A549,IF(OR(E549="",E549=""),A549,A549&amp;" - "&amp;E549))</f>
        <v>Green Karat CG - Cool Grapes</v>
      </c>
      <c r="C549" s="30" t="s">
        <v>564</v>
      </c>
      <c r="D549" s="30" t="s">
        <v>565</v>
      </c>
      <c r="E549" s="30" t="s">
        <v>1826</v>
      </c>
      <c r="F549" s="30" t="s">
        <v>86</v>
      </c>
      <c r="G549" s="34">
        <v>29</v>
      </c>
      <c r="H549" s="35">
        <v>1</v>
      </c>
      <c r="I549" s="30"/>
      <c r="J549" s="30"/>
      <c r="K549" s="30" t="s">
        <v>52</v>
      </c>
      <c r="L549" s="30" t="s">
        <v>53</v>
      </c>
      <c r="M549" s="30" t="s">
        <v>71</v>
      </c>
      <c r="N549" s="30" t="s">
        <v>121</v>
      </c>
      <c r="O549" s="30" t="s">
        <v>72</v>
      </c>
      <c r="P549" s="30" t="s">
        <v>73</v>
      </c>
      <c r="Q549" s="30" t="s">
        <v>89</v>
      </c>
      <c r="R549" s="30" t="s">
        <v>56</v>
      </c>
      <c r="S549" s="30" t="s">
        <v>192</v>
      </c>
      <c r="T549" s="30" t="s">
        <v>147</v>
      </c>
      <c r="U549" s="30" t="s">
        <v>123</v>
      </c>
      <c r="V549" s="30" t="s">
        <v>77</v>
      </c>
      <c r="W549" s="30" t="s">
        <v>116</v>
      </c>
      <c r="X549" s="30" t="s">
        <v>79</v>
      </c>
      <c r="Y549" s="30" t="s">
        <v>472</v>
      </c>
      <c r="Z549" s="30" t="s">
        <v>64</v>
      </c>
      <c r="AA549" s="30" t="s">
        <v>565</v>
      </c>
      <c r="AB549" s="30" t="s">
        <v>699</v>
      </c>
      <c r="AC549" s="30" t="s">
        <v>1827</v>
      </c>
    </row>
    <row r="550" spans="1:29">
      <c r="A550" s="24" t="s">
        <v>1828</v>
      </c>
      <c r="B550" s="24" t="str">
        <f>IF(ISNUMBER(SEARCH(E550,A550)),A550,IF(OR(E550="",E550=""),A550,A550&amp;" - "&amp;E550))</f>
        <v>Canopy AKH 24/1 - Afghan Kush</v>
      </c>
      <c r="C550" s="24" t="s">
        <v>547</v>
      </c>
      <c r="D550" s="24" t="s">
        <v>548</v>
      </c>
      <c r="E550" s="24" t="s">
        <v>549</v>
      </c>
      <c r="F550" s="24" t="s">
        <v>120</v>
      </c>
      <c r="G550" s="27">
        <v>24</v>
      </c>
      <c r="H550" s="28">
        <v>1</v>
      </c>
      <c r="I550" s="24"/>
      <c r="J550" s="24"/>
      <c r="K550" s="24" t="s">
        <v>17</v>
      </c>
      <c r="L550" s="24" t="s">
        <v>53</v>
      </c>
      <c r="M550" s="24" t="s">
        <v>103</v>
      </c>
      <c r="N550" s="24" t="s">
        <v>178</v>
      </c>
      <c r="O550" s="24" t="s">
        <v>121</v>
      </c>
      <c r="P550" s="24" t="s">
        <v>122</v>
      </c>
      <c r="Q550" s="24" t="s">
        <v>74</v>
      </c>
      <c r="R550" s="24" t="s">
        <v>113</v>
      </c>
      <c r="S550" s="24" t="s">
        <v>61</v>
      </c>
      <c r="T550" s="24" t="s">
        <v>62</v>
      </c>
      <c r="U550" s="24" t="s">
        <v>56</v>
      </c>
      <c r="V550" s="24" t="s">
        <v>77</v>
      </c>
      <c r="W550" s="24" t="s">
        <v>116</v>
      </c>
      <c r="X550" s="24" t="s">
        <v>107</v>
      </c>
      <c r="Y550" s="24" t="s">
        <v>338</v>
      </c>
      <c r="Z550" s="24" t="s">
        <v>64</v>
      </c>
      <c r="AA550" s="24" t="s">
        <v>551</v>
      </c>
      <c r="AB550" s="24" t="s">
        <v>56</v>
      </c>
      <c r="AC550" s="24" t="s">
        <v>1829</v>
      </c>
    </row>
    <row r="551" spans="1:29">
      <c r="A551" s="30" t="s">
        <v>1830</v>
      </c>
      <c r="B551" s="30" t="str">
        <f>IF(ISNUMBER(SEARCH(E551,A551)),A551,IF(OR(E551="",E551=""),A551,A551&amp;" - "&amp;E551))</f>
        <v>Barongo 23/1 - Orange Octane</v>
      </c>
      <c r="C551" s="30" t="s">
        <v>641</v>
      </c>
      <c r="D551" s="30" t="s">
        <v>642</v>
      </c>
      <c r="E551" s="40" t="s">
        <v>1831</v>
      </c>
      <c r="F551" s="30" t="s">
        <v>86</v>
      </c>
      <c r="G551" s="34">
        <v>23</v>
      </c>
      <c r="H551" s="35">
        <v>1</v>
      </c>
      <c r="I551" s="30"/>
      <c r="J551" s="30"/>
      <c r="K551" s="30" t="s">
        <v>52</v>
      </c>
      <c r="L551" s="30" t="s">
        <v>53</v>
      </c>
      <c r="M551" s="30" t="s">
        <v>54</v>
      </c>
      <c r="N551" s="30" t="s">
        <v>88</v>
      </c>
      <c r="O551" s="30" t="s">
        <v>72</v>
      </c>
      <c r="P551" s="30" t="s">
        <v>73</v>
      </c>
      <c r="Q551" s="30" t="s">
        <v>157</v>
      </c>
      <c r="R551" s="30" t="s">
        <v>74</v>
      </c>
      <c r="S551" s="30" t="s">
        <v>147</v>
      </c>
      <c r="T551" s="30" t="s">
        <v>106</v>
      </c>
      <c r="U551" s="30" t="s">
        <v>62</v>
      </c>
      <c r="V551" s="30" t="s">
        <v>77</v>
      </c>
      <c r="W551" s="30" t="s">
        <v>79</v>
      </c>
      <c r="X551" s="30" t="s">
        <v>107</v>
      </c>
      <c r="Y551" s="30" t="s">
        <v>80</v>
      </c>
      <c r="Z551" s="30" t="s">
        <v>64</v>
      </c>
      <c r="AA551" s="30" t="s">
        <v>642</v>
      </c>
      <c r="AB551" s="30"/>
      <c r="AC551" s="30" t="s">
        <v>1832</v>
      </c>
    </row>
    <row r="552" spans="1:29">
      <c r="A552" s="24" t="s">
        <v>1833</v>
      </c>
      <c r="B552" s="24" t="str">
        <f>IF(ISNUMBER(SEARCH(E552,A552)),A552,IF(OR(E552="",E552=""),A552,A552&amp;" - "&amp;E552))</f>
        <v>Pedanios 31/1 PND-CA - Pink Diesel</v>
      </c>
      <c r="C552" s="24" t="s">
        <v>511</v>
      </c>
      <c r="D552" s="24" t="s">
        <v>512</v>
      </c>
      <c r="E552" s="41" t="s">
        <v>1084</v>
      </c>
      <c r="F552" s="24" t="s">
        <v>177</v>
      </c>
      <c r="G552" s="27">
        <v>31</v>
      </c>
      <c r="H552" s="28">
        <v>1</v>
      </c>
      <c r="I552" s="24"/>
      <c r="J552" s="24"/>
      <c r="K552" s="24" t="s">
        <v>17</v>
      </c>
      <c r="L552" s="24" t="s">
        <v>53</v>
      </c>
      <c r="M552" s="24" t="s">
        <v>54</v>
      </c>
      <c r="N552" s="24" t="s">
        <v>111</v>
      </c>
      <c r="O552" s="24" t="s">
        <v>88</v>
      </c>
      <c r="P552" s="24" t="s">
        <v>73</v>
      </c>
      <c r="Q552" s="24" t="s">
        <v>59</v>
      </c>
      <c r="R552" s="24"/>
      <c r="S552" s="24" t="s">
        <v>106</v>
      </c>
      <c r="T552" s="24" t="s">
        <v>76</v>
      </c>
      <c r="U552" s="24" t="s">
        <v>62</v>
      </c>
      <c r="V552" s="24" t="s">
        <v>92</v>
      </c>
      <c r="W552" s="24" t="s">
        <v>77</v>
      </c>
      <c r="X552" s="24" t="s">
        <v>225</v>
      </c>
      <c r="Y552" s="24" t="s">
        <v>1834</v>
      </c>
      <c r="Z552" s="24" t="s">
        <v>64</v>
      </c>
      <c r="AA552" s="24" t="s">
        <v>512</v>
      </c>
      <c r="AB552" s="24"/>
      <c r="AC552" s="24" t="s">
        <v>1835</v>
      </c>
    </row>
    <row r="553" spans="1:29">
      <c r="A553" s="30" t="s">
        <v>1836</v>
      </c>
      <c r="B553" s="30" t="str">
        <f>IF(ISNUMBER(SEARCH(E553,A553)),A553,IF(OR(E553="",E553=""),A553,A553&amp;" - "&amp;E553))</f>
        <v>Canopy Bakerstreet 20/1 - Hindu Kush</v>
      </c>
      <c r="C553" s="30" t="s">
        <v>547</v>
      </c>
      <c r="D553" s="30" t="s">
        <v>548</v>
      </c>
      <c r="E553" s="30" t="s">
        <v>456</v>
      </c>
      <c r="F553" s="30" t="s">
        <v>120</v>
      </c>
      <c r="G553" s="34">
        <v>20</v>
      </c>
      <c r="H553" s="35">
        <v>1</v>
      </c>
      <c r="I553" s="30"/>
      <c r="J553" s="30"/>
      <c r="K553" s="30" t="s">
        <v>17</v>
      </c>
      <c r="L553" s="30" t="s">
        <v>53</v>
      </c>
      <c r="M553" s="30" t="s">
        <v>103</v>
      </c>
      <c r="N553" s="30" t="s">
        <v>121</v>
      </c>
      <c r="O553" s="30" t="s">
        <v>72</v>
      </c>
      <c r="P553" s="30" t="s">
        <v>74</v>
      </c>
      <c r="Q553" s="30" t="s">
        <v>113</v>
      </c>
      <c r="R553" s="30" t="s">
        <v>59</v>
      </c>
      <c r="S553" s="30" t="s">
        <v>192</v>
      </c>
      <c r="T553" s="30" t="s">
        <v>147</v>
      </c>
      <c r="U553" s="30" t="s">
        <v>61</v>
      </c>
      <c r="V553" s="30" t="s">
        <v>77</v>
      </c>
      <c r="W553" s="30" t="s">
        <v>395</v>
      </c>
      <c r="X553" s="30" t="s">
        <v>107</v>
      </c>
      <c r="Y553" s="30" t="s">
        <v>1837</v>
      </c>
      <c r="Z553" s="30" t="s">
        <v>64</v>
      </c>
      <c r="AA553" s="30" t="s">
        <v>551</v>
      </c>
      <c r="AB553" s="30" t="s">
        <v>56</v>
      </c>
      <c r="AC553" s="30" t="s">
        <v>1838</v>
      </c>
    </row>
    <row r="554" spans="1:29">
      <c r="A554" s="24" t="s">
        <v>1839</v>
      </c>
      <c r="B554" s="24" t="str">
        <f>IF(ISNUMBER(SEARCH(E554,A554)),A554,IF(OR(E554="",E554=""),A554,A554&amp;" - "&amp;E554))</f>
        <v>Cannamedical CM 24/1 SUN - Sweet Sunrise</v>
      </c>
      <c r="C554" s="24" t="s">
        <v>48</v>
      </c>
      <c r="D554" s="24" t="s">
        <v>49</v>
      </c>
      <c r="E554" s="24" t="s">
        <v>1840</v>
      </c>
      <c r="F554" s="24" t="s">
        <v>86</v>
      </c>
      <c r="G554" s="27">
        <v>22</v>
      </c>
      <c r="H554" s="28">
        <v>1</v>
      </c>
      <c r="I554" s="24"/>
      <c r="J554" s="24"/>
      <c r="K554" s="24" t="s">
        <v>52</v>
      </c>
      <c r="L554" s="24" t="s">
        <v>53</v>
      </c>
      <c r="M554" s="24" t="s">
        <v>88</v>
      </c>
      <c r="N554" s="24" t="s">
        <v>72</v>
      </c>
      <c r="O554" s="24" t="s">
        <v>56</v>
      </c>
      <c r="P554" s="24" t="s">
        <v>186</v>
      </c>
      <c r="Q554" s="24" t="s">
        <v>146</v>
      </c>
      <c r="R554" s="24" t="s">
        <v>89</v>
      </c>
      <c r="S554" s="24" t="s">
        <v>147</v>
      </c>
      <c r="T554" s="24" t="s">
        <v>106</v>
      </c>
      <c r="U554" s="24" t="s">
        <v>493</v>
      </c>
      <c r="V554" s="24" t="s">
        <v>79</v>
      </c>
      <c r="W554" s="24" t="s">
        <v>107</v>
      </c>
      <c r="X554" s="24" t="s">
        <v>93</v>
      </c>
      <c r="Y554" s="24" t="s">
        <v>56</v>
      </c>
      <c r="Z554" s="24" t="s">
        <v>64</v>
      </c>
      <c r="AA554" s="24" t="s">
        <v>49</v>
      </c>
      <c r="AB554" s="24" t="s">
        <v>56</v>
      </c>
      <c r="AC554" s="24" t="s">
        <v>1841</v>
      </c>
    </row>
    <row r="555" spans="1:29">
      <c r="A555" s="30" t="s">
        <v>1842</v>
      </c>
      <c r="B555" s="30" t="str">
        <f>IF(ISNUMBER(SEARCH(E555,A555)),A555,IF(OR(E555="",E555=""),A555,A555&amp;" - "&amp;E555))</f>
        <v>Canopy Krypton 25/1</v>
      </c>
      <c r="C555" s="30" t="s">
        <v>547</v>
      </c>
      <c r="D555" s="30" t="s">
        <v>548</v>
      </c>
      <c r="E555" s="30" t="s">
        <v>1297</v>
      </c>
      <c r="F555" s="30" t="s">
        <v>120</v>
      </c>
      <c r="G555" s="34">
        <v>25</v>
      </c>
      <c r="H555" s="35">
        <v>1</v>
      </c>
      <c r="I555" s="30"/>
      <c r="J555" s="30"/>
      <c r="K555" s="30" t="s">
        <v>17</v>
      </c>
      <c r="L555" s="30" t="s">
        <v>53</v>
      </c>
      <c r="M555" s="30" t="s">
        <v>111</v>
      </c>
      <c r="N555" s="30" t="s">
        <v>88</v>
      </c>
      <c r="O555" s="30" t="s">
        <v>178</v>
      </c>
      <c r="P555" s="30" t="s">
        <v>73</v>
      </c>
      <c r="Q555" s="30" t="s">
        <v>136</v>
      </c>
      <c r="R555" s="30" t="s">
        <v>74</v>
      </c>
      <c r="S555" s="30" t="s">
        <v>123</v>
      </c>
      <c r="T555" s="30" t="s">
        <v>234</v>
      </c>
      <c r="U555" s="30" t="s">
        <v>56</v>
      </c>
      <c r="V555" s="30" t="s">
        <v>77</v>
      </c>
      <c r="W555" s="30" t="s">
        <v>165</v>
      </c>
      <c r="X555" s="30" t="s">
        <v>79</v>
      </c>
      <c r="Y555" s="30" t="s">
        <v>148</v>
      </c>
      <c r="Z555" s="30" t="s">
        <v>64</v>
      </c>
      <c r="AA555" s="30" t="s">
        <v>551</v>
      </c>
      <c r="AB555" s="30" t="s">
        <v>56</v>
      </c>
      <c r="AC555" s="30" t="s">
        <v>1843</v>
      </c>
    </row>
    <row r="556" spans="1:29">
      <c r="A556" s="24" t="s">
        <v>1844</v>
      </c>
      <c r="B556" s="24" t="str">
        <f>IF(ISNUMBER(SEARCH(E556,A556)),A556,IF(OR(E556="",E556=""),A556,A556&amp;" - "&amp;E556))</f>
        <v>Huala 25/1 CA ALM - Alien Mints</v>
      </c>
      <c r="C556" s="24" t="s">
        <v>463</v>
      </c>
      <c r="D556" s="24" t="s">
        <v>464</v>
      </c>
      <c r="E556" s="24" t="s">
        <v>1845</v>
      </c>
      <c r="F556" s="24" t="s">
        <v>177</v>
      </c>
      <c r="G556" s="27">
        <v>25</v>
      </c>
      <c r="H556" s="28">
        <v>1</v>
      </c>
      <c r="I556" s="24"/>
      <c r="J556" s="24"/>
      <c r="K556" s="24" t="s">
        <v>52</v>
      </c>
      <c r="L556" s="24"/>
      <c r="M556" s="24" t="s">
        <v>111</v>
      </c>
      <c r="N556" s="24" t="s">
        <v>88</v>
      </c>
      <c r="O556" s="24" t="s">
        <v>72</v>
      </c>
      <c r="P556" s="24" t="s">
        <v>73</v>
      </c>
      <c r="Q556" s="24" t="s">
        <v>112</v>
      </c>
      <c r="R556" s="24" t="s">
        <v>146</v>
      </c>
      <c r="S556" s="24" t="s">
        <v>147</v>
      </c>
      <c r="T556" s="24" t="s">
        <v>123</v>
      </c>
      <c r="U556" s="24" t="s">
        <v>61</v>
      </c>
      <c r="V556" s="24" t="s">
        <v>77</v>
      </c>
      <c r="W556" s="24" t="s">
        <v>116</v>
      </c>
      <c r="X556" s="24" t="s">
        <v>107</v>
      </c>
      <c r="Y556" s="24" t="s">
        <v>1175</v>
      </c>
      <c r="Z556" s="24" t="s">
        <v>64</v>
      </c>
      <c r="AA556" s="24" t="s">
        <v>468</v>
      </c>
      <c r="AB556" s="24" t="s">
        <v>56</v>
      </c>
      <c r="AC556" s="24" t="s">
        <v>1846</v>
      </c>
    </row>
    <row r="557" spans="1:29">
      <c r="A557" s="30" t="s">
        <v>1847</v>
      </c>
      <c r="B557" s="30" t="str">
        <f>IF(ISNUMBER(SEARCH(E557,A557)),A557,IF(OR(E557="",E557=""),A557,A557&amp;" - "&amp;E557))</f>
        <v>Tweed Glitter Bomb 20/1</v>
      </c>
      <c r="C557" s="30" t="s">
        <v>547</v>
      </c>
      <c r="D557" s="30" t="s">
        <v>548</v>
      </c>
      <c r="E557" s="40" t="s">
        <v>1848</v>
      </c>
      <c r="F557" s="30" t="s">
        <v>177</v>
      </c>
      <c r="G557" s="34">
        <v>21</v>
      </c>
      <c r="H557" s="35">
        <v>1</v>
      </c>
      <c r="I557" s="30"/>
      <c r="J557" s="30"/>
      <c r="K557" s="30" t="s">
        <v>52</v>
      </c>
      <c r="L557" s="30" t="s">
        <v>53</v>
      </c>
      <c r="M557" s="30" t="s">
        <v>88</v>
      </c>
      <c r="N557" s="30" t="s">
        <v>55</v>
      </c>
      <c r="O557" s="30" t="s">
        <v>72</v>
      </c>
      <c r="P557" s="30" t="s">
        <v>74</v>
      </c>
      <c r="Q557" s="30" t="s">
        <v>75</v>
      </c>
      <c r="R557" s="30" t="s">
        <v>89</v>
      </c>
      <c r="S557" s="30" t="s">
        <v>147</v>
      </c>
      <c r="T557" s="30" t="s">
        <v>123</v>
      </c>
      <c r="U557" s="30" t="s">
        <v>62</v>
      </c>
      <c r="V557" s="30" t="s">
        <v>77</v>
      </c>
      <c r="W557" s="30" t="s">
        <v>116</v>
      </c>
      <c r="X557" s="30" t="s">
        <v>107</v>
      </c>
      <c r="Y557" s="30" t="s">
        <v>1849</v>
      </c>
      <c r="Z557" s="30" t="s">
        <v>64</v>
      </c>
      <c r="AA557" s="30" t="s">
        <v>551</v>
      </c>
      <c r="AB557" s="30"/>
      <c r="AC557" s="30" t="s">
        <v>1850</v>
      </c>
    </row>
    <row r="558" spans="1:29">
      <c r="A558" s="24" t="s">
        <v>1851</v>
      </c>
      <c r="B558" s="24" t="str">
        <f>IF(ISNUMBER(SEARCH(E558,A558)),A558,IF(OR(E558="",E558=""),A558,A558&amp;" - "&amp;E558))</f>
        <v>Huala 22/1 CA ALM - Alien Mints</v>
      </c>
      <c r="C558" s="24" t="s">
        <v>463</v>
      </c>
      <c r="D558" s="24" t="s">
        <v>464</v>
      </c>
      <c r="E558" s="24" t="s">
        <v>1845</v>
      </c>
      <c r="F558" s="24" t="s">
        <v>177</v>
      </c>
      <c r="G558" s="27">
        <v>22</v>
      </c>
      <c r="H558" s="28">
        <v>1</v>
      </c>
      <c r="I558" s="24"/>
      <c r="J558" s="24"/>
      <c r="K558" s="24" t="s">
        <v>52</v>
      </c>
      <c r="L558" s="24"/>
      <c r="M558" s="24" t="s">
        <v>111</v>
      </c>
      <c r="N558" s="24" t="s">
        <v>88</v>
      </c>
      <c r="O558" s="24" t="s">
        <v>72</v>
      </c>
      <c r="P558" s="24" t="s">
        <v>73</v>
      </c>
      <c r="Q558" s="24" t="s">
        <v>112</v>
      </c>
      <c r="R558" s="24" t="s">
        <v>146</v>
      </c>
      <c r="S558" s="24" t="s">
        <v>147</v>
      </c>
      <c r="T558" s="24" t="s">
        <v>123</v>
      </c>
      <c r="U558" s="24" t="s">
        <v>61</v>
      </c>
      <c r="V558" s="24" t="s">
        <v>77</v>
      </c>
      <c r="W558" s="24" t="s">
        <v>116</v>
      </c>
      <c r="X558" s="24" t="s">
        <v>107</v>
      </c>
      <c r="Y558" s="24" t="s">
        <v>314</v>
      </c>
      <c r="Z558" s="24" t="s">
        <v>64</v>
      </c>
      <c r="AA558" s="24" t="s">
        <v>468</v>
      </c>
      <c r="AB558" s="24" t="s">
        <v>56</v>
      </c>
      <c r="AC558" s="24" t="s">
        <v>1852</v>
      </c>
    </row>
    <row r="559" spans="1:29">
      <c r="A559" s="30" t="s">
        <v>1853</v>
      </c>
      <c r="B559" s="30" t="str">
        <f>IF(ISNUMBER(SEARCH(E559,A559)),A559,IF(OR(E559="",E559=""),A559,A559&amp;" - "&amp;E559))</f>
        <v>All Nations GM 25/1 - Mac Doughnut</v>
      </c>
      <c r="C559" s="30" t="s">
        <v>564</v>
      </c>
      <c r="D559" s="30" t="s">
        <v>565</v>
      </c>
      <c r="E559" s="40" t="s">
        <v>1230</v>
      </c>
      <c r="F559" s="30" t="s">
        <v>86</v>
      </c>
      <c r="G559" s="34">
        <v>25</v>
      </c>
      <c r="H559" s="35">
        <v>1</v>
      </c>
      <c r="I559" s="30"/>
      <c r="J559" s="30"/>
      <c r="K559" s="30" t="s">
        <v>52</v>
      </c>
      <c r="L559" s="30" t="s">
        <v>53</v>
      </c>
      <c r="M559" s="30" t="s">
        <v>121</v>
      </c>
      <c r="N559" s="30" t="s">
        <v>72</v>
      </c>
      <c r="O559" s="30"/>
      <c r="P559" s="30" t="s">
        <v>89</v>
      </c>
      <c r="Q559" s="30" t="s">
        <v>58</v>
      </c>
      <c r="R559" s="30"/>
      <c r="S559" s="30" t="s">
        <v>147</v>
      </c>
      <c r="T559" s="30" t="s">
        <v>123</v>
      </c>
      <c r="U559" s="30" t="s">
        <v>106</v>
      </c>
      <c r="V559" s="30" t="s">
        <v>77</v>
      </c>
      <c r="W559" s="30" t="s">
        <v>116</v>
      </c>
      <c r="X559" s="30" t="s">
        <v>79</v>
      </c>
      <c r="Y559" s="30" t="s">
        <v>1073</v>
      </c>
      <c r="Z559" s="30" t="s">
        <v>64</v>
      </c>
      <c r="AA559" s="30" t="s">
        <v>565</v>
      </c>
      <c r="AB559" s="30" t="s">
        <v>1232</v>
      </c>
      <c r="AC559" s="30" t="s">
        <v>1854</v>
      </c>
    </row>
    <row r="560" spans="1:29">
      <c r="A560" s="53" t="s">
        <v>1855</v>
      </c>
      <c r="B560" s="53" t="str">
        <f>IF(ISNUMBER(SEARCH(E560,A560)),A560,IF(OR(E560="",E560=""),A560,A560&amp;" - "&amp;E560))</f>
        <v>All Nations TT 25/1 - Tropic Thunder</v>
      </c>
      <c r="C560" s="24" t="s">
        <v>564</v>
      </c>
      <c r="D560" s="24" t="s">
        <v>565</v>
      </c>
      <c r="E560" s="54" t="s">
        <v>1856</v>
      </c>
      <c r="F560" s="24" t="s">
        <v>144</v>
      </c>
      <c r="G560" s="27">
        <v>25</v>
      </c>
      <c r="H560" s="28">
        <v>1</v>
      </c>
      <c r="I560" s="53"/>
      <c r="J560" s="53"/>
      <c r="K560" s="53" t="s">
        <v>52</v>
      </c>
      <c r="L560" s="53" t="s">
        <v>53</v>
      </c>
      <c r="M560" s="53" t="s">
        <v>71</v>
      </c>
      <c r="N560" s="53" t="s">
        <v>72</v>
      </c>
      <c r="O560" s="53"/>
      <c r="P560" s="53" t="s">
        <v>1100</v>
      </c>
      <c r="Q560" s="53" t="s">
        <v>75</v>
      </c>
      <c r="R560" s="53" t="s">
        <v>89</v>
      </c>
      <c r="S560" s="53" t="s">
        <v>192</v>
      </c>
      <c r="T560" s="53" t="s">
        <v>147</v>
      </c>
      <c r="U560" s="53" t="s">
        <v>106</v>
      </c>
      <c r="V560" s="53" t="s">
        <v>77</v>
      </c>
      <c r="W560" s="53" t="s">
        <v>180</v>
      </c>
      <c r="X560" s="53" t="s">
        <v>138</v>
      </c>
      <c r="Y560" s="53" t="s">
        <v>555</v>
      </c>
      <c r="Z560" s="53" t="s">
        <v>64</v>
      </c>
      <c r="AA560" s="53" t="s">
        <v>565</v>
      </c>
      <c r="AB560" s="53"/>
      <c r="AC560" s="53" t="s">
        <v>1857</v>
      </c>
    </row>
    <row r="561" spans="1:29">
      <c r="A561" s="55" t="s">
        <v>1858</v>
      </c>
      <c r="B561" s="55" t="str">
        <f>IF(ISNUMBER(SEARCH(E561,A561)),A561,IF(OR(E561="",E561=""),A561,A561&amp;" - "&amp;E561))</f>
        <v>Medicus 30/1 EZA WCR - Wedding Crasher</v>
      </c>
      <c r="C561" s="30" t="s">
        <v>564</v>
      </c>
      <c r="D561" s="30" t="s">
        <v>565</v>
      </c>
      <c r="E561" s="56" t="s">
        <v>1859</v>
      </c>
      <c r="F561" s="30" t="s">
        <v>144</v>
      </c>
      <c r="G561" s="34">
        <v>30</v>
      </c>
      <c r="H561" s="35">
        <v>1</v>
      </c>
      <c r="I561" s="55"/>
      <c r="J561" s="55"/>
      <c r="K561" s="55" t="s">
        <v>52</v>
      </c>
      <c r="L561" s="55" t="s">
        <v>1506</v>
      </c>
      <c r="M561" s="55" t="s">
        <v>54</v>
      </c>
      <c r="N561" s="55" t="s">
        <v>88</v>
      </c>
      <c r="O561" s="55" t="s">
        <v>72</v>
      </c>
      <c r="P561" s="55" t="s">
        <v>89</v>
      </c>
      <c r="Q561" s="55" t="s">
        <v>58</v>
      </c>
      <c r="R561" s="55"/>
      <c r="S561" s="55" t="s">
        <v>147</v>
      </c>
      <c r="T561" s="55" t="s">
        <v>106</v>
      </c>
      <c r="U561" s="55" t="s">
        <v>62</v>
      </c>
      <c r="V561" s="55" t="s">
        <v>77</v>
      </c>
      <c r="W561" s="55" t="s">
        <v>79</v>
      </c>
      <c r="X561" s="55" t="s">
        <v>107</v>
      </c>
      <c r="Y561" s="55" t="s">
        <v>437</v>
      </c>
      <c r="Z561" s="55" t="s">
        <v>64</v>
      </c>
      <c r="AA561" s="55" t="s">
        <v>565</v>
      </c>
      <c r="AB561" s="55"/>
      <c r="AC561" s="55" t="s">
        <v>1860</v>
      </c>
    </row>
    <row r="562" spans="1:29">
      <c r="A562" s="24" t="s">
        <v>1861</v>
      </c>
      <c r="B562" s="24" t="str">
        <f>IF(ISNUMBER(SEARCH(E562,A562)),A562,IF(OR(E562="",E562=""),A562,A562&amp;" - "&amp;E562))</f>
        <v>RE:CANNIS 19/1 Sativa - Bereshit</v>
      </c>
      <c r="C562" s="24" t="s">
        <v>628</v>
      </c>
      <c r="D562" s="24" t="s">
        <v>629</v>
      </c>
      <c r="E562" s="24" t="s">
        <v>1715</v>
      </c>
      <c r="F562" s="24" t="s">
        <v>86</v>
      </c>
      <c r="G562" s="27">
        <v>19</v>
      </c>
      <c r="H562" s="28">
        <v>1</v>
      </c>
      <c r="I562" s="24"/>
      <c r="J562" s="24"/>
      <c r="K562" s="24" t="s">
        <v>52</v>
      </c>
      <c r="L562" s="24" t="s">
        <v>630</v>
      </c>
      <c r="M562" s="24" t="s">
        <v>72</v>
      </c>
      <c r="N562" s="24"/>
      <c r="O562" s="24" t="s">
        <v>56</v>
      </c>
      <c r="P562" s="24" t="s">
        <v>74</v>
      </c>
      <c r="Q562" s="24" t="s">
        <v>113</v>
      </c>
      <c r="R562" s="24" t="s">
        <v>59</v>
      </c>
      <c r="S562" s="24" t="s">
        <v>56</v>
      </c>
      <c r="T562" s="24" t="s">
        <v>56</v>
      </c>
      <c r="U562" s="24" t="s">
        <v>56</v>
      </c>
      <c r="V562" s="24" t="s">
        <v>165</v>
      </c>
      <c r="W562" s="24" t="s">
        <v>129</v>
      </c>
      <c r="X562" s="24" t="s">
        <v>107</v>
      </c>
      <c r="Y562" s="24" t="s">
        <v>289</v>
      </c>
      <c r="Z562" s="24" t="s">
        <v>64</v>
      </c>
      <c r="AA562" s="24" t="s">
        <v>632</v>
      </c>
      <c r="AB562" s="24" t="s">
        <v>56</v>
      </c>
      <c r="AC562" s="24" t="s">
        <v>1862</v>
      </c>
    </row>
    <row r="563" spans="1:29">
      <c r="A563" s="30" t="s">
        <v>1863</v>
      </c>
      <c r="B563" s="30" t="str">
        <f>IF(ISNUMBER(SEARCH(E563,A563)),A563,IF(OR(E563="",E563=""),A563,A563&amp;" - "&amp;E563))</f>
        <v>Beacon GO T23 - Galactica OG</v>
      </c>
      <c r="C563" s="30" t="s">
        <v>911</v>
      </c>
      <c r="D563" s="30" t="s">
        <v>912</v>
      </c>
      <c r="E563" s="30" t="s">
        <v>1864</v>
      </c>
      <c r="F563" s="30" t="s">
        <v>86</v>
      </c>
      <c r="G563" s="34">
        <v>23</v>
      </c>
      <c r="H563" s="35">
        <v>1</v>
      </c>
      <c r="I563" s="30"/>
      <c r="J563" s="30"/>
      <c r="K563" s="30" t="s">
        <v>52</v>
      </c>
      <c r="L563" s="30"/>
      <c r="M563" s="30" t="s">
        <v>111</v>
      </c>
      <c r="N563" s="30" t="s">
        <v>88</v>
      </c>
      <c r="O563" s="30" t="s">
        <v>121</v>
      </c>
      <c r="P563" s="30" t="s">
        <v>73</v>
      </c>
      <c r="Q563" s="30" t="s">
        <v>146</v>
      </c>
      <c r="R563" s="30" t="s">
        <v>74</v>
      </c>
      <c r="S563" s="30" t="s">
        <v>56</v>
      </c>
      <c r="T563" s="30" t="s">
        <v>56</v>
      </c>
      <c r="U563" s="30" t="s">
        <v>56</v>
      </c>
      <c r="V563" s="30" t="s">
        <v>116</v>
      </c>
      <c r="W563" s="30" t="s">
        <v>165</v>
      </c>
      <c r="X563" s="30" t="s">
        <v>107</v>
      </c>
      <c r="Y563" s="30" t="s">
        <v>56</v>
      </c>
      <c r="Z563" s="30" t="s">
        <v>64</v>
      </c>
      <c r="AA563" s="30" t="s">
        <v>912</v>
      </c>
      <c r="AB563" s="30" t="s">
        <v>56</v>
      </c>
      <c r="AC563" s="30" t="s">
        <v>1865</v>
      </c>
    </row>
    <row r="564" spans="1:29">
      <c r="A564" s="24" t="s">
        <v>1866</v>
      </c>
      <c r="B564" s="49" t="str">
        <f>IF(ISNUMBER(SEARCH(E564,A564)),A564,IF(OR(E564="",E564=""),A564,A564&amp;" - "&amp;E564))</f>
        <v>Nimbus easy 30/1 - French Cookies</v>
      </c>
      <c r="C564" s="24" t="s">
        <v>141</v>
      </c>
      <c r="D564" s="24" t="s">
        <v>142</v>
      </c>
      <c r="E564" s="41" t="s">
        <v>216</v>
      </c>
      <c r="F564" s="24" t="s">
        <v>51</v>
      </c>
      <c r="G564" s="27">
        <v>30</v>
      </c>
      <c r="H564" s="28">
        <v>1</v>
      </c>
      <c r="I564" s="24"/>
      <c r="J564" s="24"/>
      <c r="K564" s="24" t="s">
        <v>52</v>
      </c>
      <c r="L564" s="24" t="s">
        <v>145</v>
      </c>
      <c r="M564" s="24" t="s">
        <v>54</v>
      </c>
      <c r="N564" s="24" t="s">
        <v>111</v>
      </c>
      <c r="O564" s="24" t="s">
        <v>88</v>
      </c>
      <c r="P564" s="24" t="s">
        <v>104</v>
      </c>
      <c r="Q564" s="24" t="s">
        <v>74</v>
      </c>
      <c r="R564" s="24" t="s">
        <v>58</v>
      </c>
      <c r="S564" s="24" t="s">
        <v>60</v>
      </c>
      <c r="T564" s="24" t="s">
        <v>203</v>
      </c>
      <c r="U564" s="24" t="s">
        <v>62</v>
      </c>
      <c r="V564" s="24" t="s">
        <v>77</v>
      </c>
      <c r="W564" s="24" t="s">
        <v>116</v>
      </c>
      <c r="X564" s="24" t="s">
        <v>165</v>
      </c>
      <c r="Y564" s="24" t="s">
        <v>523</v>
      </c>
      <c r="Z564" s="24" t="s">
        <v>64</v>
      </c>
      <c r="AA564" s="24" t="s">
        <v>149</v>
      </c>
      <c r="AB564" s="24"/>
      <c r="AC564" s="24" t="s">
        <v>1867</v>
      </c>
    </row>
    <row r="565" spans="1:29">
      <c r="A565" s="55" t="s">
        <v>1868</v>
      </c>
      <c r="B565" s="55" t="str">
        <f>IF(ISNUMBER(SEARCH(E565,A565)),A565,IF(OR(E565="",E565=""),A565,A565&amp;" - "&amp;E565))</f>
        <v>420 Sungrown 22/1 CA ZRP - Zour Apple</v>
      </c>
      <c r="C565" s="30" t="s">
        <v>463</v>
      </c>
      <c r="D565" s="30" t="s">
        <v>464</v>
      </c>
      <c r="E565" s="56" t="s">
        <v>590</v>
      </c>
      <c r="F565" s="30" t="s">
        <v>177</v>
      </c>
      <c r="G565" s="34">
        <v>22</v>
      </c>
      <c r="H565" s="35">
        <v>1</v>
      </c>
      <c r="I565" s="55"/>
      <c r="J565" s="55"/>
      <c r="K565" s="55" t="s">
        <v>52</v>
      </c>
      <c r="L565" s="55" t="s">
        <v>53</v>
      </c>
      <c r="M565" s="55" t="s">
        <v>111</v>
      </c>
      <c r="N565" s="55" t="s">
        <v>55</v>
      </c>
      <c r="O565" s="55" t="s">
        <v>178</v>
      </c>
      <c r="P565" s="55" t="s">
        <v>591</v>
      </c>
      <c r="Q565" s="55" t="s">
        <v>58</v>
      </c>
      <c r="R565" s="55"/>
      <c r="S565" s="55" t="s">
        <v>90</v>
      </c>
      <c r="T565" s="55" t="s">
        <v>114</v>
      </c>
      <c r="U565" s="55" t="s">
        <v>62</v>
      </c>
      <c r="V565" s="55" t="s">
        <v>92</v>
      </c>
      <c r="W565" s="55" t="s">
        <v>129</v>
      </c>
      <c r="X565" s="55" t="s">
        <v>107</v>
      </c>
      <c r="Y565" s="55" t="s">
        <v>391</v>
      </c>
      <c r="Z565" s="55" t="s">
        <v>64</v>
      </c>
      <c r="AA565" s="55" t="s">
        <v>468</v>
      </c>
      <c r="AB565" s="55"/>
      <c r="AC565" s="55" t="s">
        <v>1869</v>
      </c>
    </row>
    <row r="566" spans="1:29">
      <c r="A566" s="24" t="s">
        <v>1870</v>
      </c>
      <c r="B566" s="24" t="str">
        <f>IF(ISNUMBER(SEARCH(E566,A566)),A566,IF(OR(E566="",E566=""),A566,A566&amp;" - "&amp;E566))</f>
        <v>Khiron G 19/1 - Gelato</v>
      </c>
      <c r="C566" s="24" t="s">
        <v>1871</v>
      </c>
      <c r="D566" s="24" t="s">
        <v>1872</v>
      </c>
      <c r="E566" s="24" t="s">
        <v>273</v>
      </c>
      <c r="F566" s="24" t="s">
        <v>86</v>
      </c>
      <c r="G566" s="27">
        <v>19</v>
      </c>
      <c r="H566" s="28">
        <v>1</v>
      </c>
      <c r="I566" s="24"/>
      <c r="J566" s="24"/>
      <c r="K566" s="24" t="s">
        <v>52</v>
      </c>
      <c r="L566" s="24" t="s">
        <v>102</v>
      </c>
      <c r="M566" s="24" t="s">
        <v>156</v>
      </c>
      <c r="N566" s="24" t="s">
        <v>54</v>
      </c>
      <c r="O566" s="24" t="s">
        <v>111</v>
      </c>
      <c r="P566" s="24" t="s">
        <v>112</v>
      </c>
      <c r="Q566" s="24" t="s">
        <v>57</v>
      </c>
      <c r="R566" s="24" t="s">
        <v>89</v>
      </c>
      <c r="S566" s="24" t="s">
        <v>147</v>
      </c>
      <c r="T566" s="24" t="s">
        <v>106</v>
      </c>
      <c r="U566" s="24" t="s">
        <v>56</v>
      </c>
      <c r="V566" s="24" t="s">
        <v>257</v>
      </c>
      <c r="W566" s="24" t="s">
        <v>252</v>
      </c>
      <c r="X566" s="24" t="s">
        <v>77</v>
      </c>
      <c r="Y566" s="24" t="s">
        <v>274</v>
      </c>
      <c r="Z566" s="24" t="s">
        <v>64</v>
      </c>
      <c r="AA566" s="24" t="s">
        <v>1872</v>
      </c>
      <c r="AB566" s="24" t="s">
        <v>56</v>
      </c>
      <c r="AC566" s="24" t="s">
        <v>1873</v>
      </c>
    </row>
    <row r="567" spans="1:29">
      <c r="A567" s="30" t="s">
        <v>1874</v>
      </c>
      <c r="B567" s="30" t="str">
        <f>IF(ISNUMBER(SEARCH(E567,A567)),A567,IF(OR(E567="",E567=""),A567,A567&amp;" - "&amp;E567))</f>
        <v>Khiron SLH 24/1 - Super Lemon Haze</v>
      </c>
      <c r="C567" s="30" t="s">
        <v>1871</v>
      </c>
      <c r="D567" s="30" t="s">
        <v>1872</v>
      </c>
      <c r="E567" s="30" t="s">
        <v>1875</v>
      </c>
      <c r="F567" s="30" t="s">
        <v>69</v>
      </c>
      <c r="G567" s="34">
        <v>24</v>
      </c>
      <c r="H567" s="35">
        <v>1</v>
      </c>
      <c r="I567" s="30"/>
      <c r="J567" s="30"/>
      <c r="K567" s="30" t="s">
        <v>52</v>
      </c>
      <c r="L567" s="30" t="s">
        <v>102</v>
      </c>
      <c r="M567" s="30" t="s">
        <v>54</v>
      </c>
      <c r="N567" s="30" t="s">
        <v>111</v>
      </c>
      <c r="O567" s="30" t="s">
        <v>88</v>
      </c>
      <c r="P567" s="30" t="s">
        <v>75</v>
      </c>
      <c r="Q567" s="30" t="s">
        <v>58</v>
      </c>
      <c r="R567" s="30" t="s">
        <v>56</v>
      </c>
      <c r="S567" s="30" t="s">
        <v>192</v>
      </c>
      <c r="T567" s="30" t="s">
        <v>60</v>
      </c>
      <c r="U567" s="30" t="s">
        <v>106</v>
      </c>
      <c r="V567" s="30" t="s">
        <v>116</v>
      </c>
      <c r="W567" s="30" t="s">
        <v>197</v>
      </c>
      <c r="X567" s="30" t="s">
        <v>79</v>
      </c>
      <c r="Y567" s="30" t="s">
        <v>1876</v>
      </c>
      <c r="Z567" s="30" t="s">
        <v>64</v>
      </c>
      <c r="AA567" s="30" t="s">
        <v>1872</v>
      </c>
      <c r="AB567" s="30" t="s">
        <v>56</v>
      </c>
      <c r="AC567" s="30" t="s">
        <v>1877</v>
      </c>
    </row>
    <row r="568" spans="1:29">
      <c r="A568" s="24" t="s">
        <v>1878</v>
      </c>
      <c r="B568" s="24" t="str">
        <f>IF(ISNUMBER(SEARCH(E568,A568)),A568,IF(OR(E568="",E568=""),A568,A568&amp;" - "&amp;E568))</f>
        <v>GM Colour of Space 26/1 - Apple Fritter x Purple Punch</v>
      </c>
      <c r="C568" s="24" t="s">
        <v>1879</v>
      </c>
      <c r="D568" s="24" t="s">
        <v>1880</v>
      </c>
      <c r="E568" s="24" t="s">
        <v>1881</v>
      </c>
      <c r="F568" s="24" t="s">
        <v>86</v>
      </c>
      <c r="G568" s="27">
        <v>26</v>
      </c>
      <c r="H568" s="28">
        <v>1</v>
      </c>
      <c r="I568" s="24"/>
      <c r="J568" s="24"/>
      <c r="K568" s="24" t="s">
        <v>52</v>
      </c>
      <c r="L568" s="24" t="s">
        <v>497</v>
      </c>
      <c r="M568" s="24" t="s">
        <v>88</v>
      </c>
      <c r="N568" s="24" t="s">
        <v>71</v>
      </c>
      <c r="O568" s="24" t="s">
        <v>72</v>
      </c>
      <c r="P568" s="24" t="s">
        <v>89</v>
      </c>
      <c r="Q568" s="24" t="s">
        <v>58</v>
      </c>
      <c r="R568" s="24" t="s">
        <v>56</v>
      </c>
      <c r="S568" s="24" t="s">
        <v>123</v>
      </c>
      <c r="T568" s="24" t="s">
        <v>106</v>
      </c>
      <c r="U568" s="24" t="s">
        <v>76</v>
      </c>
      <c r="V568" s="24" t="s">
        <v>77</v>
      </c>
      <c r="W568" s="24" t="s">
        <v>79</v>
      </c>
      <c r="X568" s="24" t="s">
        <v>56</v>
      </c>
      <c r="Y568" s="24" t="s">
        <v>581</v>
      </c>
      <c r="Z568" s="24" t="s">
        <v>64</v>
      </c>
      <c r="AA568" s="24" t="s">
        <v>1880</v>
      </c>
      <c r="AB568" s="24" t="s">
        <v>56</v>
      </c>
      <c r="AC568" s="24" t="s">
        <v>1882</v>
      </c>
    </row>
    <row r="569" spans="1:29">
      <c r="A569" s="30" t="s">
        <v>1883</v>
      </c>
      <c r="B569" s="30" t="str">
        <f>IF(ISNUMBER(SEARCH(E569,A569)),A569,IF(OR(E569="",E569=""),A569,A569&amp;" - "&amp;E569))</f>
        <v>South African  27/1 Mungo</v>
      </c>
      <c r="C569" s="30" t="s">
        <v>1879</v>
      </c>
      <c r="D569" s="30" t="s">
        <v>1880</v>
      </c>
      <c r="E569" s="30" t="s">
        <v>1884</v>
      </c>
      <c r="F569" s="30" t="s">
        <v>86</v>
      </c>
      <c r="G569" s="34">
        <v>27</v>
      </c>
      <c r="H569" s="35">
        <v>1</v>
      </c>
      <c r="I569" s="30"/>
      <c r="J569" s="30"/>
      <c r="K569" s="30" t="s">
        <v>52</v>
      </c>
      <c r="L569" s="30" t="s">
        <v>497</v>
      </c>
      <c r="M569" s="30" t="s">
        <v>54</v>
      </c>
      <c r="N569" s="30" t="s">
        <v>111</v>
      </c>
      <c r="O569" s="30" t="s">
        <v>88</v>
      </c>
      <c r="P569" s="30" t="s">
        <v>73</v>
      </c>
      <c r="Q569" s="30" t="s">
        <v>157</v>
      </c>
      <c r="R569" s="30" t="s">
        <v>104</v>
      </c>
      <c r="S569" s="30" t="s">
        <v>786</v>
      </c>
      <c r="T569" s="30" t="s">
        <v>123</v>
      </c>
      <c r="U569" s="30" t="s">
        <v>106</v>
      </c>
      <c r="V569" s="30" t="s">
        <v>77</v>
      </c>
      <c r="W569" s="30" t="s">
        <v>56</v>
      </c>
      <c r="X569" s="30" t="s">
        <v>56</v>
      </c>
      <c r="Y569" s="30" t="s">
        <v>1885</v>
      </c>
      <c r="Z569" s="30" t="s">
        <v>64</v>
      </c>
      <c r="AA569" s="30" t="s">
        <v>1880</v>
      </c>
      <c r="AB569" s="30" t="s">
        <v>56</v>
      </c>
      <c r="AC569" s="30" t="s">
        <v>1886</v>
      </c>
    </row>
    <row r="570" spans="1:29">
      <c r="A570" s="24" t="s">
        <v>1887</v>
      </c>
      <c r="B570" s="24" t="str">
        <f>IF(ISNUMBER(SEARCH(E570,A570)),A570,IF(OR(E570="",E570=""),A570,A570&amp;" - "&amp;E570))</f>
        <v>GM 25/1 Supernova</v>
      </c>
      <c r="C570" s="24" t="s">
        <v>1879</v>
      </c>
      <c r="D570" s="24" t="s">
        <v>1880</v>
      </c>
      <c r="E570" s="24" t="s">
        <v>1888</v>
      </c>
      <c r="F570" s="24" t="s">
        <v>86</v>
      </c>
      <c r="G570" s="27">
        <v>25</v>
      </c>
      <c r="H570" s="28">
        <v>1</v>
      </c>
      <c r="I570" s="24"/>
      <c r="J570" s="24"/>
      <c r="K570" s="24" t="s">
        <v>52</v>
      </c>
      <c r="L570" s="24" t="s">
        <v>497</v>
      </c>
      <c r="M570" s="24" t="s">
        <v>54</v>
      </c>
      <c r="N570" s="24" t="s">
        <v>111</v>
      </c>
      <c r="O570" s="24" t="s">
        <v>88</v>
      </c>
      <c r="P570" s="24" t="s">
        <v>157</v>
      </c>
      <c r="Q570" s="24" t="s">
        <v>74</v>
      </c>
      <c r="R570" s="24" t="s">
        <v>89</v>
      </c>
      <c r="S570" s="24" t="s">
        <v>123</v>
      </c>
      <c r="T570" s="24" t="s">
        <v>106</v>
      </c>
      <c r="U570" s="24" t="s">
        <v>76</v>
      </c>
      <c r="V570" s="24" t="s">
        <v>77</v>
      </c>
      <c r="W570" s="24" t="s">
        <v>116</v>
      </c>
      <c r="X570" s="24" t="s">
        <v>107</v>
      </c>
      <c r="Y570" s="24" t="s">
        <v>1889</v>
      </c>
      <c r="Z570" s="24" t="s">
        <v>64</v>
      </c>
      <c r="AA570" s="24" t="s">
        <v>1880</v>
      </c>
      <c r="AB570" s="24" t="s">
        <v>56</v>
      </c>
      <c r="AC570" s="24" t="s">
        <v>1890</v>
      </c>
    </row>
    <row r="571" spans="1:29">
      <c r="A571" s="30" t="s">
        <v>1891</v>
      </c>
      <c r="B571" s="30" t="str">
        <f>IF(ISNUMBER(SEARCH(E571,A571)),A571,IF(OR(E571="",E571=""),A571,A571&amp;" - "&amp;E571))</f>
        <v>Remexian 30/1 NXN SPZ - Spritzer</v>
      </c>
      <c r="C571" s="30" t="s">
        <v>83</v>
      </c>
      <c r="D571" s="30" t="s">
        <v>84</v>
      </c>
      <c r="E571" s="30" t="s">
        <v>944</v>
      </c>
      <c r="F571" s="30" t="s">
        <v>86</v>
      </c>
      <c r="G571" s="34">
        <v>30</v>
      </c>
      <c r="H571" s="35">
        <v>1</v>
      </c>
      <c r="I571" s="30"/>
      <c r="J571" s="30"/>
      <c r="K571" s="30" t="s">
        <v>52</v>
      </c>
      <c r="L571" s="30"/>
      <c r="M571" s="30" t="s">
        <v>111</v>
      </c>
      <c r="N571" s="30" t="s">
        <v>88</v>
      </c>
      <c r="O571" s="30" t="s">
        <v>71</v>
      </c>
      <c r="P571" s="30" t="s">
        <v>74</v>
      </c>
      <c r="Q571" s="30" t="s">
        <v>75</v>
      </c>
      <c r="R571" s="30" t="s">
        <v>89</v>
      </c>
      <c r="S571" s="30" t="s">
        <v>147</v>
      </c>
      <c r="T571" s="30" t="s">
        <v>123</v>
      </c>
      <c r="U571" s="30" t="s">
        <v>106</v>
      </c>
      <c r="V571" s="30" t="s">
        <v>77</v>
      </c>
      <c r="W571" s="30" t="s">
        <v>79</v>
      </c>
      <c r="X571" s="30" t="s">
        <v>173</v>
      </c>
      <c r="Y571" s="30" t="s">
        <v>523</v>
      </c>
      <c r="Z571" s="30" t="s">
        <v>64</v>
      </c>
      <c r="AA571" s="30" t="s">
        <v>95</v>
      </c>
      <c r="AB571" s="30" t="s">
        <v>56</v>
      </c>
      <c r="AC571" s="30" t="s">
        <v>1892</v>
      </c>
    </row>
    <row r="572" spans="1:29">
      <c r="A572" s="24" t="s">
        <v>1893</v>
      </c>
      <c r="B572" s="24" t="str">
        <f>IF(ISNUMBER(SEARCH(E572,A572)),A572,IF(OR(E572="",E572=""),A572,A572&amp;" - "&amp;E572))</f>
        <v>Remexian 27/1 PSL - Pink Slurricane</v>
      </c>
      <c r="C572" s="24" t="s">
        <v>83</v>
      </c>
      <c r="D572" s="24" t="s">
        <v>84</v>
      </c>
      <c r="E572" s="24" t="s">
        <v>1894</v>
      </c>
      <c r="F572" s="24" t="s">
        <v>51</v>
      </c>
      <c r="G572" s="27">
        <v>27</v>
      </c>
      <c r="H572" s="28">
        <v>1</v>
      </c>
      <c r="I572" s="24"/>
      <c r="J572" s="24"/>
      <c r="K572" s="24" t="s">
        <v>52</v>
      </c>
      <c r="L572" s="24" t="s">
        <v>53</v>
      </c>
      <c r="M572" s="24" t="s">
        <v>56</v>
      </c>
      <c r="N572" s="24"/>
      <c r="O572" s="24" t="s">
        <v>56</v>
      </c>
      <c r="P572" s="24" t="s">
        <v>56</v>
      </c>
      <c r="Q572" s="24" t="s">
        <v>56</v>
      </c>
      <c r="R572" s="24" t="s">
        <v>56</v>
      </c>
      <c r="S572" s="24" t="s">
        <v>56</v>
      </c>
      <c r="T572" s="24" t="s">
        <v>56</v>
      </c>
      <c r="U572" s="24" t="s">
        <v>56</v>
      </c>
      <c r="V572" s="24" t="s">
        <v>56</v>
      </c>
      <c r="W572" s="24"/>
      <c r="X572" s="24" t="s">
        <v>56</v>
      </c>
      <c r="Y572" s="24" t="s">
        <v>286</v>
      </c>
      <c r="Z572" s="24" t="s">
        <v>64</v>
      </c>
      <c r="AA572" s="24" t="s">
        <v>95</v>
      </c>
      <c r="AB572" s="24" t="s">
        <v>56</v>
      </c>
      <c r="AC572" s="24" t="s">
        <v>1895</v>
      </c>
    </row>
    <row r="573" spans="1:29">
      <c r="A573" s="30" t="s">
        <v>1896</v>
      </c>
      <c r="B573" s="30" t="str">
        <f>IF(ISNUMBER(SEARCH(E573,A573)),A573,IF(OR(E573="",E573=""),A573,A573&amp;" - "&amp;E573))</f>
        <v>Social Choice 12/1 GRO CCR - Cookies &amp; Cream</v>
      </c>
      <c r="C573" s="30" t="s">
        <v>83</v>
      </c>
      <c r="D573" s="30" t="s">
        <v>84</v>
      </c>
      <c r="E573" s="40" t="s">
        <v>1897</v>
      </c>
      <c r="F573" s="30" t="s">
        <v>86</v>
      </c>
      <c r="G573" s="34">
        <v>12</v>
      </c>
      <c r="H573" s="35">
        <v>1</v>
      </c>
      <c r="I573" s="30"/>
      <c r="J573" s="30"/>
      <c r="K573" s="30" t="s">
        <v>52</v>
      </c>
      <c r="L573" s="30" t="s">
        <v>102</v>
      </c>
      <c r="M573" s="30" t="s">
        <v>54</v>
      </c>
      <c r="N573" s="30" t="s">
        <v>111</v>
      </c>
      <c r="O573" s="30" t="s">
        <v>88</v>
      </c>
      <c r="P573" s="30" t="s">
        <v>74</v>
      </c>
      <c r="Q573" s="30" t="s">
        <v>89</v>
      </c>
      <c r="R573" s="30"/>
      <c r="S573" s="30" t="s">
        <v>147</v>
      </c>
      <c r="T573" s="30" t="s">
        <v>106</v>
      </c>
      <c r="U573" s="30" t="s">
        <v>62</v>
      </c>
      <c r="V573" s="30" t="s">
        <v>77</v>
      </c>
      <c r="W573" s="30" t="s">
        <v>116</v>
      </c>
      <c r="X573" s="30" t="s">
        <v>79</v>
      </c>
      <c r="Y573" s="30" t="s">
        <v>1218</v>
      </c>
      <c r="Z573" s="30" t="s">
        <v>64</v>
      </c>
      <c r="AA573" s="30" t="s">
        <v>95</v>
      </c>
      <c r="AB573" s="30"/>
      <c r="AC573" s="30" t="s">
        <v>1898</v>
      </c>
    </row>
    <row r="574" spans="1:29">
      <c r="A574" s="24" t="s">
        <v>1899</v>
      </c>
      <c r="B574" s="24" t="str">
        <f>IF(ISNUMBER(SEARCH(E574,A574)),A574,IF(OR(E574="",E574=""),A574,A574&amp;" - "&amp;E574))</f>
        <v>Beacon T24 - Pink Kush</v>
      </c>
      <c r="C574" s="24" t="s">
        <v>911</v>
      </c>
      <c r="D574" s="24" t="s">
        <v>912</v>
      </c>
      <c r="E574" s="24" t="s">
        <v>101</v>
      </c>
      <c r="F574" s="24" t="s">
        <v>120</v>
      </c>
      <c r="G574" s="27">
        <v>24</v>
      </c>
      <c r="H574" s="28">
        <v>1</v>
      </c>
      <c r="I574" s="24"/>
      <c r="J574" s="24"/>
      <c r="K574" s="24" t="s">
        <v>52</v>
      </c>
      <c r="L574" s="24" t="s">
        <v>53</v>
      </c>
      <c r="M574" s="24" t="s">
        <v>88</v>
      </c>
      <c r="N574" s="24" t="s">
        <v>71</v>
      </c>
      <c r="O574" s="24" t="s">
        <v>103</v>
      </c>
      <c r="P574" s="24" t="s">
        <v>57</v>
      </c>
      <c r="Q574" s="24" t="s">
        <v>104</v>
      </c>
      <c r="R574" s="24" t="s">
        <v>74</v>
      </c>
      <c r="S574" s="24" t="s">
        <v>147</v>
      </c>
      <c r="T574" s="24" t="s">
        <v>123</v>
      </c>
      <c r="U574" s="24" t="s">
        <v>106</v>
      </c>
      <c r="V574" s="24" t="s">
        <v>77</v>
      </c>
      <c r="W574" s="24" t="s">
        <v>79</v>
      </c>
      <c r="X574" s="24" t="s">
        <v>107</v>
      </c>
      <c r="Y574" s="24" t="s">
        <v>437</v>
      </c>
      <c r="Z574" s="24" t="s">
        <v>64</v>
      </c>
      <c r="AA574" s="24" t="s">
        <v>912</v>
      </c>
      <c r="AB574" s="24" t="s">
        <v>56</v>
      </c>
      <c r="AC574" s="24" t="s">
        <v>1900</v>
      </c>
    </row>
    <row r="575" spans="1:29">
      <c r="A575" s="30" t="s">
        <v>1901</v>
      </c>
      <c r="B575" s="30" t="str">
        <f>IF(ISNUMBER(SEARCH(E575,A575)),A575,IF(OR(E575="",E575=""),A575,A575&amp;" - "&amp;E575))</f>
        <v>Big Dreams 21/1 PSF PK - Pink Kush</v>
      </c>
      <c r="C575" s="30" t="s">
        <v>83</v>
      </c>
      <c r="D575" s="30" t="s">
        <v>84</v>
      </c>
      <c r="E575" s="30" t="s">
        <v>101</v>
      </c>
      <c r="F575" s="30" t="s">
        <v>86</v>
      </c>
      <c r="G575" s="34">
        <v>21</v>
      </c>
      <c r="H575" s="35">
        <v>1</v>
      </c>
      <c r="I575" s="30"/>
      <c r="J575" s="30"/>
      <c r="K575" s="30" t="s">
        <v>17</v>
      </c>
      <c r="L575" s="30" t="s">
        <v>102</v>
      </c>
      <c r="M575" s="30" t="s">
        <v>88</v>
      </c>
      <c r="N575" s="30" t="s">
        <v>71</v>
      </c>
      <c r="O575" s="30" t="s">
        <v>103</v>
      </c>
      <c r="P575" s="30" t="s">
        <v>57</v>
      </c>
      <c r="Q575" s="30" t="s">
        <v>104</v>
      </c>
      <c r="R575" s="30" t="s">
        <v>74</v>
      </c>
      <c r="S575" s="30" t="s">
        <v>60</v>
      </c>
      <c r="T575" s="30" t="s">
        <v>123</v>
      </c>
      <c r="U575" s="30" t="s">
        <v>106</v>
      </c>
      <c r="V575" s="30" t="s">
        <v>77</v>
      </c>
      <c r="W575" s="30" t="s">
        <v>79</v>
      </c>
      <c r="X575" s="30" t="s">
        <v>107</v>
      </c>
      <c r="Y575" s="30" t="s">
        <v>56</v>
      </c>
      <c r="Z575" s="30" t="s">
        <v>64</v>
      </c>
      <c r="AA575" s="30" t="s">
        <v>95</v>
      </c>
      <c r="AB575" s="30" t="s">
        <v>56</v>
      </c>
      <c r="AC575" s="30" t="s">
        <v>1902</v>
      </c>
    </row>
    <row r="576" spans="1:29">
      <c r="A576" s="24" t="s">
        <v>1903</v>
      </c>
      <c r="B576" s="24" t="str">
        <f>IF(ISNUMBER(SEARCH(E576,A576)),A576,IF(OR(E576="",E576=""),A576,A576&amp;" - "&amp;E576))</f>
        <v>Remexian 30/1 CHE - Chem Cookies</v>
      </c>
      <c r="C576" s="24" t="s">
        <v>83</v>
      </c>
      <c r="D576" s="24" t="s">
        <v>84</v>
      </c>
      <c r="E576" s="41" t="s">
        <v>1904</v>
      </c>
      <c r="F576" s="24" t="s">
        <v>177</v>
      </c>
      <c r="G576" s="27">
        <v>32</v>
      </c>
      <c r="H576" s="28">
        <v>1</v>
      </c>
      <c r="I576" s="24"/>
      <c r="J576" s="24"/>
      <c r="K576" s="24" t="s">
        <v>52</v>
      </c>
      <c r="L576" s="24" t="s">
        <v>53</v>
      </c>
      <c r="M576" s="24" t="s">
        <v>88</v>
      </c>
      <c r="N576" s="24" t="s">
        <v>72</v>
      </c>
      <c r="O576" s="24"/>
      <c r="P576" s="24" t="s">
        <v>73</v>
      </c>
      <c r="Q576" s="24" t="s">
        <v>591</v>
      </c>
      <c r="R576" s="24" t="s">
        <v>89</v>
      </c>
      <c r="S576" s="24" t="s">
        <v>147</v>
      </c>
      <c r="T576" s="24" t="s">
        <v>106</v>
      </c>
      <c r="U576" s="24" t="s">
        <v>62</v>
      </c>
      <c r="V576" s="24" t="s">
        <v>92</v>
      </c>
      <c r="W576" s="24" t="s">
        <v>77</v>
      </c>
      <c r="X576" s="24" t="s">
        <v>79</v>
      </c>
      <c r="Y576" s="24" t="s">
        <v>311</v>
      </c>
      <c r="Z576" s="24" t="s">
        <v>64</v>
      </c>
      <c r="AA576" s="24" t="s">
        <v>95</v>
      </c>
      <c r="AB576" s="24"/>
      <c r="AC576" s="24" t="s">
        <v>1905</v>
      </c>
    </row>
    <row r="577" spans="1:29">
      <c r="A577" s="30" t="s">
        <v>1906</v>
      </c>
      <c r="B577" s="30" t="str">
        <f>IF(ISNUMBER(SEARCH(E577,A577)),A577,IF(OR(E577="",E577=""),A577,A577&amp;" - "&amp;E577))</f>
        <v>420 Sungrown 22/1 CA LLY - Legendary Larry</v>
      </c>
      <c r="C577" s="30" t="s">
        <v>463</v>
      </c>
      <c r="D577" s="30" t="s">
        <v>464</v>
      </c>
      <c r="E577" s="30" t="s">
        <v>746</v>
      </c>
      <c r="F577" s="30" t="s">
        <v>177</v>
      </c>
      <c r="G577" s="34">
        <v>22</v>
      </c>
      <c r="H577" s="35">
        <v>1</v>
      </c>
      <c r="I577" s="30"/>
      <c r="J577" s="30"/>
      <c r="K577" s="30" t="s">
        <v>52</v>
      </c>
      <c r="L577" s="30" t="s">
        <v>53</v>
      </c>
      <c r="M577" s="30" t="s">
        <v>72</v>
      </c>
      <c r="N577" s="30"/>
      <c r="O577" s="30"/>
      <c r="P577" s="30" t="s">
        <v>74</v>
      </c>
      <c r="Q577" s="30" t="s">
        <v>75</v>
      </c>
      <c r="R577" s="30" t="s">
        <v>59</v>
      </c>
      <c r="S577" s="30" t="s">
        <v>466</v>
      </c>
      <c r="T577" s="30" t="s">
        <v>493</v>
      </c>
      <c r="U577" s="30" t="s">
        <v>61</v>
      </c>
      <c r="V577" s="30" t="s">
        <v>77</v>
      </c>
      <c r="W577" s="30" t="s">
        <v>116</v>
      </c>
      <c r="X577" s="30" t="s">
        <v>165</v>
      </c>
      <c r="Y577" s="30" t="s">
        <v>1907</v>
      </c>
      <c r="Z577" s="30" t="s">
        <v>64</v>
      </c>
      <c r="AA577" s="30" t="s">
        <v>468</v>
      </c>
      <c r="AB577" s="30" t="s">
        <v>56</v>
      </c>
      <c r="AC577" s="30" t="s">
        <v>1908</v>
      </c>
    </row>
    <row r="578" spans="1:29">
      <c r="A578" s="24" t="s">
        <v>1909</v>
      </c>
      <c r="B578" s="24" t="str">
        <f>IF(ISNUMBER(SEARCH(E578,A578)),A578,IF(OR(E578="",E578=""),A578,A578&amp;" - "&amp;E578))</f>
        <v>All Nations MD 25/1 - Mac Daddy</v>
      </c>
      <c r="C578" s="24" t="s">
        <v>564</v>
      </c>
      <c r="D578" s="24" t="s">
        <v>565</v>
      </c>
      <c r="E578" s="41" t="s">
        <v>1467</v>
      </c>
      <c r="F578" s="24" t="s">
        <v>177</v>
      </c>
      <c r="G578" s="27">
        <v>25</v>
      </c>
      <c r="H578" s="28">
        <v>1</v>
      </c>
      <c r="I578" s="24"/>
      <c r="J578" s="24"/>
      <c r="K578" s="24" t="s">
        <v>52</v>
      </c>
      <c r="L578" s="24" t="s">
        <v>53</v>
      </c>
      <c r="M578" s="24" t="s">
        <v>54</v>
      </c>
      <c r="N578" s="24" t="s">
        <v>111</v>
      </c>
      <c r="O578" s="24" t="s">
        <v>88</v>
      </c>
      <c r="P578" s="24" t="s">
        <v>73</v>
      </c>
      <c r="Q578" s="24" t="s">
        <v>74</v>
      </c>
      <c r="R578" s="24" t="s">
        <v>75</v>
      </c>
      <c r="S578" s="24" t="s">
        <v>147</v>
      </c>
      <c r="T578" s="24" t="s">
        <v>106</v>
      </c>
      <c r="U578" s="24" t="s">
        <v>91</v>
      </c>
      <c r="V578" s="24" t="s">
        <v>77</v>
      </c>
      <c r="W578" s="24" t="s">
        <v>116</v>
      </c>
      <c r="X578" s="24" t="s">
        <v>107</v>
      </c>
      <c r="Y578" s="24" t="s">
        <v>1910</v>
      </c>
      <c r="Z578" s="24" t="s">
        <v>64</v>
      </c>
      <c r="AA578" s="24" t="s">
        <v>565</v>
      </c>
      <c r="AB578" s="24" t="s">
        <v>1232</v>
      </c>
      <c r="AC578" s="24" t="s">
        <v>1911</v>
      </c>
    </row>
    <row r="579" spans="1:29">
      <c r="A579" s="30" t="s">
        <v>1912</v>
      </c>
      <c r="B579" s="30" t="str">
        <f>IF(ISNUMBER(SEARCH(E579,A579)),A579,IF(OR(E579="",E579=""),A579,A579&amp;" - "&amp;E579))</f>
        <v>Demecan 20:20 Oktonia (Cannabisextrakt)</v>
      </c>
      <c r="C579" s="30" t="s">
        <v>484</v>
      </c>
      <c r="D579" s="30" t="s">
        <v>485</v>
      </c>
      <c r="E579" s="30" t="s">
        <v>56</v>
      </c>
      <c r="F579" s="30" t="s">
        <v>120</v>
      </c>
      <c r="G579" s="34"/>
      <c r="H579" s="35"/>
      <c r="I579" s="30">
        <v>20</v>
      </c>
      <c r="J579" s="30">
        <v>20</v>
      </c>
      <c r="K579" s="30" t="s">
        <v>1913</v>
      </c>
      <c r="L579" s="30" t="s">
        <v>70</v>
      </c>
      <c r="M579" s="30" t="s">
        <v>54</v>
      </c>
      <c r="N579" s="30" t="s">
        <v>111</v>
      </c>
      <c r="O579" s="30" t="s">
        <v>88</v>
      </c>
      <c r="P579" s="30" t="s">
        <v>56</v>
      </c>
      <c r="Q579" s="30" t="s">
        <v>56</v>
      </c>
      <c r="R579" s="30" t="s">
        <v>56</v>
      </c>
      <c r="S579" s="30" t="s">
        <v>56</v>
      </c>
      <c r="T579" s="30" t="s">
        <v>56</v>
      </c>
      <c r="U579" s="30" t="s">
        <v>56</v>
      </c>
      <c r="V579" s="30" t="s">
        <v>77</v>
      </c>
      <c r="W579" s="30" t="s">
        <v>116</v>
      </c>
      <c r="X579" s="30" t="s">
        <v>914</v>
      </c>
      <c r="Y579" s="30" t="s">
        <v>1914</v>
      </c>
      <c r="Z579" s="30" t="s">
        <v>1915</v>
      </c>
      <c r="AA579" s="30" t="s">
        <v>485</v>
      </c>
      <c r="AB579" s="30" t="s">
        <v>56</v>
      </c>
      <c r="AC579" s="30" t="s">
        <v>1916</v>
      </c>
    </row>
    <row r="580" spans="1:29">
      <c r="A580" s="24" t="s">
        <v>1917</v>
      </c>
      <c r="B580" s="24" t="str">
        <f>IF(ISNUMBER(SEARCH(E580,A580)),A580,IF(OR(E580="",E580=""),A580,A580&amp;" - "&amp;E580))</f>
        <v>Demecan 30:01 Oktonia (Cannabisextrakt)</v>
      </c>
      <c r="C580" s="24" t="s">
        <v>484</v>
      </c>
      <c r="D580" s="24" t="s">
        <v>485</v>
      </c>
      <c r="E580" s="24" t="s">
        <v>56</v>
      </c>
      <c r="F580" s="24" t="s">
        <v>120</v>
      </c>
      <c r="G580" s="27"/>
      <c r="H580" s="28"/>
      <c r="I580" s="24">
        <v>30</v>
      </c>
      <c r="J580" s="24">
        <v>1</v>
      </c>
      <c r="K580" s="24" t="s">
        <v>1918</v>
      </c>
      <c r="L580" s="24" t="s">
        <v>70</v>
      </c>
      <c r="M580" s="24" t="s">
        <v>54</v>
      </c>
      <c r="N580" s="24" t="s">
        <v>111</v>
      </c>
      <c r="O580" s="24" t="s">
        <v>88</v>
      </c>
      <c r="P580" s="24" t="s">
        <v>56</v>
      </c>
      <c r="Q580" s="24" t="s">
        <v>56</v>
      </c>
      <c r="R580" s="24" t="s">
        <v>56</v>
      </c>
      <c r="S580" s="24" t="s">
        <v>56</v>
      </c>
      <c r="T580" s="24" t="s">
        <v>56</v>
      </c>
      <c r="U580" s="24" t="s">
        <v>56</v>
      </c>
      <c r="V580" s="24" t="s">
        <v>77</v>
      </c>
      <c r="W580" s="24" t="s">
        <v>116</v>
      </c>
      <c r="X580" s="24" t="s">
        <v>914</v>
      </c>
      <c r="Y580" s="24" t="s">
        <v>1919</v>
      </c>
      <c r="Z580" s="24" t="s">
        <v>1915</v>
      </c>
      <c r="AA580" s="24" t="s">
        <v>485</v>
      </c>
      <c r="AB580" s="24" t="s">
        <v>56</v>
      </c>
      <c r="AC580" s="24" t="s">
        <v>1920</v>
      </c>
    </row>
    <row r="581" spans="1:29">
      <c r="A581" s="30" t="s">
        <v>1921</v>
      </c>
      <c r="B581" s="30" t="str">
        <f>IF(ISNUMBER(SEARCH(E581,A581)),A581,IF(OR(E581="",E581=""),A581,A581&amp;" - "&amp;E581))</f>
        <v>Tilray THC10:CBD10 (Cannabisextrakt)</v>
      </c>
      <c r="C581" s="30" t="s">
        <v>133</v>
      </c>
      <c r="D581" s="30" t="s">
        <v>134</v>
      </c>
      <c r="E581" s="30" t="s">
        <v>56</v>
      </c>
      <c r="F581" s="30" t="s">
        <v>51</v>
      </c>
      <c r="G581" s="34"/>
      <c r="H581" s="35"/>
      <c r="I581" s="30">
        <v>10</v>
      </c>
      <c r="J581" s="30">
        <v>10</v>
      </c>
      <c r="K581" s="30" t="s">
        <v>1918</v>
      </c>
      <c r="L581" s="30" t="s">
        <v>102</v>
      </c>
      <c r="M581" s="30" t="s">
        <v>56</v>
      </c>
      <c r="N581" s="30"/>
      <c r="O581" s="30" t="s">
        <v>56</v>
      </c>
      <c r="P581" s="30" t="s">
        <v>56</v>
      </c>
      <c r="Q581" s="30" t="s">
        <v>56</v>
      </c>
      <c r="R581" s="30" t="s">
        <v>56</v>
      </c>
      <c r="S581" s="30" t="s">
        <v>56</v>
      </c>
      <c r="T581" s="30" t="s">
        <v>56</v>
      </c>
      <c r="U581" s="30" t="s">
        <v>56</v>
      </c>
      <c r="V581" s="30" t="s">
        <v>56</v>
      </c>
      <c r="W581" s="30"/>
      <c r="X581" s="30" t="s">
        <v>56</v>
      </c>
      <c r="Y581" s="30" t="s">
        <v>915</v>
      </c>
      <c r="Z581" s="30" t="s">
        <v>1915</v>
      </c>
      <c r="AA581" s="30" t="s">
        <v>134</v>
      </c>
      <c r="AB581" s="30" t="s">
        <v>56</v>
      </c>
      <c r="AC581" s="30" t="s">
        <v>1922</v>
      </c>
    </row>
    <row r="582" spans="1:29">
      <c r="A582" s="24" t="s">
        <v>1923</v>
      </c>
      <c r="B582" s="24" t="str">
        <f>IF(ISNUMBER(SEARCH(E582,A582)),A582,IF(OR(E582="",E582=""),A582,A582&amp;" - "&amp;E582))</f>
        <v>Tilray THC25:CBD25 (Cannabisextrakt)</v>
      </c>
      <c r="C582" s="24" t="s">
        <v>133</v>
      </c>
      <c r="D582" s="24" t="s">
        <v>134</v>
      </c>
      <c r="E582" s="24" t="s">
        <v>56</v>
      </c>
      <c r="F582" s="24" t="s">
        <v>51</v>
      </c>
      <c r="G582" s="27"/>
      <c r="H582" s="28"/>
      <c r="I582" s="24">
        <v>25</v>
      </c>
      <c r="J582" s="24">
        <v>25</v>
      </c>
      <c r="K582" s="24" t="s">
        <v>1918</v>
      </c>
      <c r="L582" s="24" t="s">
        <v>102</v>
      </c>
      <c r="M582" s="24" t="s">
        <v>56</v>
      </c>
      <c r="N582" s="24"/>
      <c r="O582" s="24" t="s">
        <v>56</v>
      </c>
      <c r="P582" s="24" t="s">
        <v>56</v>
      </c>
      <c r="Q582" s="24" t="s">
        <v>56</v>
      </c>
      <c r="R582" s="24" t="s">
        <v>56</v>
      </c>
      <c r="S582" s="24" t="s">
        <v>56</v>
      </c>
      <c r="T582" s="24" t="s">
        <v>56</v>
      </c>
      <c r="U582" s="24" t="s">
        <v>56</v>
      </c>
      <c r="V582" s="24" t="s">
        <v>56</v>
      </c>
      <c r="W582" s="24"/>
      <c r="X582" s="24" t="s">
        <v>56</v>
      </c>
      <c r="Y582" s="24" t="s">
        <v>1924</v>
      </c>
      <c r="Z582" s="24" t="s">
        <v>1915</v>
      </c>
      <c r="AA582" s="24" t="s">
        <v>134</v>
      </c>
      <c r="AB582" s="24" t="s">
        <v>56</v>
      </c>
      <c r="AC582" s="24" t="s">
        <v>1925</v>
      </c>
    </row>
    <row r="583" spans="1:29">
      <c r="A583" s="30" t="s">
        <v>1926</v>
      </c>
      <c r="B583" s="30" t="str">
        <f>IF(ISNUMBER(SEARCH(E583,A583)),A583,IF(OR(E583="",E583=""),A583,A583&amp;" - "&amp;E583))</f>
        <v>Tilray THC25 (Cannabisextrakt)</v>
      </c>
      <c r="C583" s="30" t="s">
        <v>133</v>
      </c>
      <c r="D583" s="30" t="s">
        <v>134</v>
      </c>
      <c r="E583" s="30" t="s">
        <v>56</v>
      </c>
      <c r="F583" s="30" t="s">
        <v>51</v>
      </c>
      <c r="G583" s="34"/>
      <c r="H583" s="35"/>
      <c r="I583" s="30">
        <v>25</v>
      </c>
      <c r="J583" s="30" t="s">
        <v>1927</v>
      </c>
      <c r="K583" s="30" t="s">
        <v>1918</v>
      </c>
      <c r="L583" s="30" t="s">
        <v>102</v>
      </c>
      <c r="M583" s="30" t="s">
        <v>56</v>
      </c>
      <c r="N583" s="30"/>
      <c r="O583" s="30" t="s">
        <v>56</v>
      </c>
      <c r="P583" s="30" t="s">
        <v>56</v>
      </c>
      <c r="Q583" s="30" t="s">
        <v>56</v>
      </c>
      <c r="R583" s="30" t="s">
        <v>56</v>
      </c>
      <c r="S583" s="30" t="s">
        <v>56</v>
      </c>
      <c r="T583" s="30" t="s">
        <v>56</v>
      </c>
      <c r="U583" s="30" t="s">
        <v>56</v>
      </c>
      <c r="V583" s="30" t="s">
        <v>56</v>
      </c>
      <c r="W583" s="30"/>
      <c r="X583" s="30" t="s">
        <v>56</v>
      </c>
      <c r="Y583" s="30" t="s">
        <v>1730</v>
      </c>
      <c r="Z583" s="30" t="s">
        <v>1915</v>
      </c>
      <c r="AA583" s="30" t="s">
        <v>134</v>
      </c>
      <c r="AB583" s="30" t="s">
        <v>56</v>
      </c>
      <c r="AC583" s="30" t="s">
        <v>1928</v>
      </c>
    </row>
    <row r="584" spans="1:29">
      <c r="A584" s="24" t="s">
        <v>1929</v>
      </c>
      <c r="B584" s="24" t="str">
        <f>IF(ISNUMBER(SEARCH(E584,A584)),A584,IF(OR(E584="",E584=""),A584,A584&amp;" - "&amp;E584))</f>
        <v>IMC Cannabisextrakt 10:10</v>
      </c>
      <c r="C584" s="24" t="s">
        <v>646</v>
      </c>
      <c r="D584" s="24" t="s">
        <v>646</v>
      </c>
      <c r="E584" s="24" t="s">
        <v>56</v>
      </c>
      <c r="F584" s="24" t="s">
        <v>51</v>
      </c>
      <c r="G584" s="27"/>
      <c r="H584" s="28"/>
      <c r="I584" s="24">
        <v>10</v>
      </c>
      <c r="J584" s="24">
        <v>10</v>
      </c>
      <c r="K584" s="24" t="s">
        <v>1913</v>
      </c>
      <c r="L584" s="24" t="s">
        <v>70</v>
      </c>
      <c r="M584" s="24" t="s">
        <v>54</v>
      </c>
      <c r="N584" s="24" t="s">
        <v>111</v>
      </c>
      <c r="O584" s="24" t="s">
        <v>88</v>
      </c>
      <c r="P584" s="24" t="s">
        <v>56</v>
      </c>
      <c r="Q584" s="24" t="s">
        <v>56</v>
      </c>
      <c r="R584" s="24" t="s">
        <v>56</v>
      </c>
      <c r="S584" s="24" t="s">
        <v>56</v>
      </c>
      <c r="T584" s="24" t="s">
        <v>56</v>
      </c>
      <c r="U584" s="24" t="s">
        <v>56</v>
      </c>
      <c r="V584" s="24" t="s">
        <v>252</v>
      </c>
      <c r="W584" s="24" t="s">
        <v>77</v>
      </c>
      <c r="X584" s="24" t="s">
        <v>253</v>
      </c>
      <c r="Y584" s="24" t="s">
        <v>1930</v>
      </c>
      <c r="Z584" s="24" t="s">
        <v>1915</v>
      </c>
      <c r="AA584" s="24" t="s">
        <v>646</v>
      </c>
      <c r="AB584" s="24" t="s">
        <v>56</v>
      </c>
      <c r="AC584" s="37" t="s">
        <v>1931</v>
      </c>
    </row>
    <row r="585" spans="1:29">
      <c r="A585" s="30" t="s">
        <v>1932</v>
      </c>
      <c r="B585" s="30" t="str">
        <f>IF(ISNUMBER(SEARCH(E585,A585)),A585,IF(OR(E585="",E585=""),A585,A585&amp;" - "&amp;E585))</f>
        <v>Vayamed 10/10 Cannabisextrakt</v>
      </c>
      <c r="C585" s="30" t="s">
        <v>569</v>
      </c>
      <c r="D585" s="30" t="s">
        <v>570</v>
      </c>
      <c r="E585" s="30" t="s">
        <v>56</v>
      </c>
      <c r="F585" s="30" t="s">
        <v>69</v>
      </c>
      <c r="G585" s="34"/>
      <c r="H585" s="35"/>
      <c r="I585" s="30">
        <v>10</v>
      </c>
      <c r="J585" s="30">
        <v>10</v>
      </c>
      <c r="K585" s="30" t="s">
        <v>1913</v>
      </c>
      <c r="L585" s="30" t="s">
        <v>70</v>
      </c>
      <c r="M585" s="30" t="s">
        <v>54</v>
      </c>
      <c r="N585" s="30" t="s">
        <v>55</v>
      </c>
      <c r="O585" s="30" t="s">
        <v>178</v>
      </c>
      <c r="P585" s="30" t="s">
        <v>56</v>
      </c>
      <c r="Q585" s="30" t="s">
        <v>56</v>
      </c>
      <c r="R585" s="30" t="s">
        <v>56</v>
      </c>
      <c r="S585" s="30" t="s">
        <v>56</v>
      </c>
      <c r="T585" s="30" t="s">
        <v>56</v>
      </c>
      <c r="U585" s="30" t="s">
        <v>56</v>
      </c>
      <c r="V585" s="30" t="s">
        <v>77</v>
      </c>
      <c r="W585" s="30" t="s">
        <v>79</v>
      </c>
      <c r="X585" s="30" t="s">
        <v>107</v>
      </c>
      <c r="Y585" s="30" t="s">
        <v>1933</v>
      </c>
      <c r="Z585" s="30" t="s">
        <v>1915</v>
      </c>
      <c r="AA585" s="30" t="s">
        <v>570</v>
      </c>
      <c r="AB585" s="30" t="s">
        <v>56</v>
      </c>
      <c r="AC585" s="30" t="s">
        <v>1934</v>
      </c>
    </row>
    <row r="586" spans="1:29">
      <c r="A586" s="24" t="s">
        <v>1935</v>
      </c>
      <c r="B586" s="24" t="str">
        <f>IF(ISNUMBER(SEARCH(E586,A586)),A586,IF(OR(E586="",E586=""),A586,A586&amp;" - "&amp;E586))</f>
        <v>Demecan Oktonia Typ 2 10:10 (Cannabisextrakt)</v>
      </c>
      <c r="C586" s="24" t="s">
        <v>484</v>
      </c>
      <c r="D586" s="24" t="s">
        <v>485</v>
      </c>
      <c r="E586" s="24" t="s">
        <v>56</v>
      </c>
      <c r="F586" s="24" t="s">
        <v>86</v>
      </c>
      <c r="G586" s="27"/>
      <c r="H586" s="28"/>
      <c r="I586" s="24">
        <v>10</v>
      </c>
      <c r="J586" s="24">
        <v>10</v>
      </c>
      <c r="K586" s="24" t="s">
        <v>1913</v>
      </c>
      <c r="L586" s="24" t="s">
        <v>527</v>
      </c>
      <c r="M586" s="24" t="s">
        <v>156</v>
      </c>
      <c r="N586" s="24" t="s">
        <v>71</v>
      </c>
      <c r="O586" s="24" t="s">
        <v>55</v>
      </c>
      <c r="P586" s="24" t="s">
        <v>56</v>
      </c>
      <c r="Q586" s="24" t="s">
        <v>56</v>
      </c>
      <c r="R586" s="24" t="s">
        <v>56</v>
      </c>
      <c r="S586" s="24" t="s">
        <v>56</v>
      </c>
      <c r="T586" s="24" t="s">
        <v>56</v>
      </c>
      <c r="U586" s="24" t="s">
        <v>56</v>
      </c>
      <c r="V586" s="24" t="s">
        <v>77</v>
      </c>
      <c r="W586" s="24" t="s">
        <v>79</v>
      </c>
      <c r="X586" s="24" t="s">
        <v>107</v>
      </c>
      <c r="Y586" s="24" t="s">
        <v>768</v>
      </c>
      <c r="Z586" s="24" t="s">
        <v>1915</v>
      </c>
      <c r="AA586" s="24" t="s">
        <v>485</v>
      </c>
      <c r="AB586" s="24" t="s">
        <v>56</v>
      </c>
      <c r="AC586" s="24" t="s">
        <v>1936</v>
      </c>
    </row>
    <row r="587" spans="1:29">
      <c r="A587" s="30" t="s">
        <v>1937</v>
      </c>
      <c r="B587" s="30" t="str">
        <f>IF(ISNUMBER(SEARCH(E587,A587)),A587,IF(OR(E587="",E587=""),A587,A587&amp;" - "&amp;E587))</f>
        <v>Vayamed 25/1 Cannabisextrakt</v>
      </c>
      <c r="C587" s="30" t="s">
        <v>569</v>
      </c>
      <c r="D587" s="30" t="s">
        <v>570</v>
      </c>
      <c r="E587" s="30" t="s">
        <v>56</v>
      </c>
      <c r="F587" s="30" t="s">
        <v>120</v>
      </c>
      <c r="G587" s="34"/>
      <c r="H587" s="35"/>
      <c r="I587" s="30">
        <v>25</v>
      </c>
      <c r="J587" s="30">
        <v>1</v>
      </c>
      <c r="K587" s="30" t="s">
        <v>1918</v>
      </c>
      <c r="L587" s="30" t="s">
        <v>70</v>
      </c>
      <c r="M587" s="30" t="s">
        <v>54</v>
      </c>
      <c r="N587" s="30" t="s">
        <v>111</v>
      </c>
      <c r="O587" s="30" t="s">
        <v>88</v>
      </c>
      <c r="P587" s="30" t="s">
        <v>56</v>
      </c>
      <c r="Q587" s="30" t="s">
        <v>56</v>
      </c>
      <c r="R587" s="30" t="s">
        <v>56</v>
      </c>
      <c r="S587" s="30" t="s">
        <v>56</v>
      </c>
      <c r="T587" s="30" t="s">
        <v>56</v>
      </c>
      <c r="U587" s="30" t="s">
        <v>56</v>
      </c>
      <c r="V587" s="30" t="s">
        <v>252</v>
      </c>
      <c r="W587" s="30" t="s">
        <v>77</v>
      </c>
      <c r="X587" s="30" t="s">
        <v>253</v>
      </c>
      <c r="Y587" s="30" t="s">
        <v>1938</v>
      </c>
      <c r="Z587" s="30" t="s">
        <v>1915</v>
      </c>
      <c r="AA587" s="30" t="s">
        <v>570</v>
      </c>
      <c r="AB587" s="30" t="s">
        <v>56</v>
      </c>
      <c r="AC587" s="30" t="s">
        <v>1939</v>
      </c>
    </row>
    <row r="588" spans="1:29">
      <c r="A588" s="24" t="s">
        <v>1940</v>
      </c>
      <c r="B588" s="49" t="str">
        <f>IF(ISNUMBER(SEARCH(E588,A588)),A588,IF(OR(E588="",E588=""),A588,A588&amp;" - "&amp;E588))</f>
        <v>Demecan Oktonia Typ 1 25:01 (Cannabisextrakt)</v>
      </c>
      <c r="C588" s="24" t="s">
        <v>484</v>
      </c>
      <c r="D588" s="24" t="s">
        <v>485</v>
      </c>
      <c r="E588" s="24" t="s">
        <v>56</v>
      </c>
      <c r="F588" s="24" t="s">
        <v>86</v>
      </c>
      <c r="G588" s="27"/>
      <c r="H588" s="28"/>
      <c r="I588" s="24">
        <v>25</v>
      </c>
      <c r="J588" s="24">
        <v>1</v>
      </c>
      <c r="K588" s="24" t="s">
        <v>1913</v>
      </c>
      <c r="L588" s="24" t="s">
        <v>527</v>
      </c>
      <c r="M588" s="24" t="s">
        <v>103</v>
      </c>
      <c r="N588" s="24" t="s">
        <v>121</v>
      </c>
      <c r="O588" s="24" t="s">
        <v>72</v>
      </c>
      <c r="P588" s="24" t="s">
        <v>56</v>
      </c>
      <c r="Q588" s="24" t="s">
        <v>56</v>
      </c>
      <c r="R588" s="24" t="s">
        <v>56</v>
      </c>
      <c r="S588" s="24" t="s">
        <v>56</v>
      </c>
      <c r="T588" s="24" t="s">
        <v>56</v>
      </c>
      <c r="U588" s="24" t="s">
        <v>56</v>
      </c>
      <c r="V588" s="24" t="s">
        <v>77</v>
      </c>
      <c r="W588" s="24" t="s">
        <v>116</v>
      </c>
      <c r="X588" s="24" t="s">
        <v>79</v>
      </c>
      <c r="Y588" s="24" t="s">
        <v>80</v>
      </c>
      <c r="Z588" s="24" t="s">
        <v>1915</v>
      </c>
      <c r="AA588" s="24" t="s">
        <v>485</v>
      </c>
      <c r="AB588" s="24" t="s">
        <v>56</v>
      </c>
      <c r="AC588" s="24" t="s">
        <v>1941</v>
      </c>
    </row>
    <row r="589" spans="1:29">
      <c r="A589" s="42" t="s">
        <v>1942</v>
      </c>
      <c r="B589" s="42" t="str">
        <f>IF(ISNUMBER(SEARCH(E589,A589)),A589,IF(OR(E589="",E589=""),A589,A589&amp;" - "&amp;E589))</f>
        <v>Demecan Oktonia Typ 1 5:20 (Cannabisextrakt)</v>
      </c>
      <c r="C589" s="30" t="s">
        <v>484</v>
      </c>
      <c r="D589" s="30" t="s">
        <v>485</v>
      </c>
      <c r="E589" s="30" t="s">
        <v>56</v>
      </c>
      <c r="F589" s="30" t="s">
        <v>86</v>
      </c>
      <c r="G589" s="34"/>
      <c r="H589" s="35"/>
      <c r="I589" s="30">
        <v>5</v>
      </c>
      <c r="J589" s="30">
        <v>20</v>
      </c>
      <c r="K589" s="30" t="s">
        <v>1913</v>
      </c>
      <c r="L589" s="30" t="s">
        <v>527</v>
      </c>
      <c r="M589" s="30" t="s">
        <v>103</v>
      </c>
      <c r="N589" s="30" t="s">
        <v>121</v>
      </c>
      <c r="O589" s="30" t="s">
        <v>72</v>
      </c>
      <c r="P589" s="30" t="s">
        <v>56</v>
      </c>
      <c r="Q589" s="30" t="s">
        <v>56</v>
      </c>
      <c r="R589" s="30" t="s">
        <v>56</v>
      </c>
      <c r="S589" s="30" t="s">
        <v>56</v>
      </c>
      <c r="T589" s="30" t="s">
        <v>56</v>
      </c>
      <c r="U589" s="30" t="s">
        <v>56</v>
      </c>
      <c r="V589" s="30" t="s">
        <v>77</v>
      </c>
      <c r="W589" s="30" t="s">
        <v>116</v>
      </c>
      <c r="X589" s="30" t="s">
        <v>79</v>
      </c>
      <c r="Y589" s="30" t="s">
        <v>344</v>
      </c>
      <c r="Z589" s="30" t="s">
        <v>1915</v>
      </c>
      <c r="AA589" s="30" t="s">
        <v>485</v>
      </c>
      <c r="AB589" s="30" t="s">
        <v>56</v>
      </c>
      <c r="AC589" s="30" t="s">
        <v>1943</v>
      </c>
    </row>
    <row r="590" spans="1:29">
      <c r="A590" s="24" t="s">
        <v>1944</v>
      </c>
      <c r="B590" s="24" t="str">
        <f>IF(ISNUMBER(SEARCH(E590,A590)),A590,IF(OR(E590="",E590=""),A590,A590&amp;" - "&amp;E590))</f>
        <v>Demecan Oktonia Typ 2 5:20 (Cannabisextrakt)</v>
      </c>
      <c r="C590" s="24" t="s">
        <v>484</v>
      </c>
      <c r="D590" s="24" t="s">
        <v>485</v>
      </c>
      <c r="E590" s="24" t="s">
        <v>56</v>
      </c>
      <c r="F590" s="24" t="s">
        <v>86</v>
      </c>
      <c r="G590" s="27"/>
      <c r="H590" s="28"/>
      <c r="I590" s="24">
        <v>5</v>
      </c>
      <c r="J590" s="24">
        <v>20</v>
      </c>
      <c r="K590" s="24" t="s">
        <v>1913</v>
      </c>
      <c r="L590" s="24" t="s">
        <v>527</v>
      </c>
      <c r="M590" s="24" t="s">
        <v>156</v>
      </c>
      <c r="N590" s="24" t="s">
        <v>71</v>
      </c>
      <c r="O590" s="24" t="s">
        <v>55</v>
      </c>
      <c r="P590" s="24" t="s">
        <v>56</v>
      </c>
      <c r="Q590" s="24" t="s">
        <v>56</v>
      </c>
      <c r="R590" s="24" t="s">
        <v>56</v>
      </c>
      <c r="S590" s="24" t="s">
        <v>56</v>
      </c>
      <c r="T590" s="24" t="s">
        <v>56</v>
      </c>
      <c r="U590" s="24" t="s">
        <v>56</v>
      </c>
      <c r="V590" s="24" t="s">
        <v>77</v>
      </c>
      <c r="W590" s="24" t="s">
        <v>79</v>
      </c>
      <c r="X590" s="24" t="s">
        <v>107</v>
      </c>
      <c r="Y590" s="24" t="s">
        <v>213</v>
      </c>
      <c r="Z590" s="24" t="s">
        <v>1915</v>
      </c>
      <c r="AA590" s="24" t="s">
        <v>485</v>
      </c>
      <c r="AB590" s="24" t="s">
        <v>56</v>
      </c>
      <c r="AC590" s="37" t="s">
        <v>1945</v>
      </c>
    </row>
    <row r="591" spans="1:29">
      <c r="A591" s="30" t="s">
        <v>1946</v>
      </c>
      <c r="B591" s="30" t="str">
        <f>IF(ISNUMBER(SEARCH(E591,A591)),A591,IF(OR(E591="",E591=""),A591,A591&amp;" - "&amp;E591))</f>
        <v>Tilray THC20:CBD6 (Cannabisextrakt)</v>
      </c>
      <c r="C591" s="30" t="s">
        <v>133</v>
      </c>
      <c r="D591" s="30" t="s">
        <v>134</v>
      </c>
      <c r="E591" s="30" t="s">
        <v>56</v>
      </c>
      <c r="F591" s="30" t="s">
        <v>51</v>
      </c>
      <c r="G591" s="34"/>
      <c r="H591" s="35"/>
      <c r="I591" s="30">
        <v>20</v>
      </c>
      <c r="J591" s="30">
        <v>6</v>
      </c>
      <c r="K591" s="30" t="s">
        <v>1913</v>
      </c>
      <c r="L591" s="30" t="s">
        <v>102</v>
      </c>
      <c r="M591" s="30" t="s">
        <v>56</v>
      </c>
      <c r="N591" s="30"/>
      <c r="O591" s="30" t="s">
        <v>56</v>
      </c>
      <c r="P591" s="30" t="s">
        <v>56</v>
      </c>
      <c r="Q591" s="30" t="s">
        <v>56</v>
      </c>
      <c r="R591" s="30" t="s">
        <v>56</v>
      </c>
      <c r="S591" s="30" t="s">
        <v>56</v>
      </c>
      <c r="T591" s="30" t="s">
        <v>56</v>
      </c>
      <c r="U591" s="30" t="s">
        <v>56</v>
      </c>
      <c r="V591" s="30" t="s">
        <v>56</v>
      </c>
      <c r="W591" s="30"/>
      <c r="X591" s="30" t="s">
        <v>56</v>
      </c>
      <c r="Y591" s="30" t="s">
        <v>1947</v>
      </c>
      <c r="Z591" s="30" t="s">
        <v>1915</v>
      </c>
      <c r="AA591" s="30" t="s">
        <v>134</v>
      </c>
      <c r="AB591" s="30" t="s">
        <v>56</v>
      </c>
      <c r="AC591" s="30" t="s">
        <v>1948</v>
      </c>
    </row>
    <row r="592" spans="1:29">
      <c r="A592" s="24" t="s">
        <v>1949</v>
      </c>
      <c r="B592" s="24" t="str">
        <f>IF(ISNUMBER(SEARCH(E592,A592)),A592,IF(OR(E592="",E592=""),A592,A592&amp;" - "&amp;E592))</f>
        <v>RE:CANNIS 3/3 (Cannabisextrakt)</v>
      </c>
      <c r="C592" s="24" t="s">
        <v>628</v>
      </c>
      <c r="D592" s="24" t="s">
        <v>629</v>
      </c>
      <c r="E592" s="24" t="s">
        <v>56</v>
      </c>
      <c r="F592" s="24" t="s">
        <v>51</v>
      </c>
      <c r="G592" s="27"/>
      <c r="H592" s="28"/>
      <c r="I592" s="24">
        <v>30</v>
      </c>
      <c r="J592" s="24">
        <v>30</v>
      </c>
      <c r="K592" s="24" t="s">
        <v>1913</v>
      </c>
      <c r="L592" s="24" t="s">
        <v>1506</v>
      </c>
      <c r="M592" s="24" t="s">
        <v>56</v>
      </c>
      <c r="N592" s="24"/>
      <c r="O592" s="24" t="s">
        <v>56</v>
      </c>
      <c r="P592" s="24" t="s">
        <v>56</v>
      </c>
      <c r="Q592" s="24" t="s">
        <v>56</v>
      </c>
      <c r="R592" s="24" t="s">
        <v>56</v>
      </c>
      <c r="S592" s="24" t="s">
        <v>56</v>
      </c>
      <c r="T592" s="24" t="s">
        <v>56</v>
      </c>
      <c r="U592" s="24" t="s">
        <v>56</v>
      </c>
      <c r="V592" s="24" t="s">
        <v>56</v>
      </c>
      <c r="W592" s="24"/>
      <c r="X592" s="24" t="s">
        <v>56</v>
      </c>
      <c r="Y592" s="24" t="s">
        <v>1950</v>
      </c>
      <c r="Z592" s="24" t="s">
        <v>1915</v>
      </c>
      <c r="AA592" s="24" t="s">
        <v>632</v>
      </c>
      <c r="AB592" s="24" t="s">
        <v>1951</v>
      </c>
      <c r="AC592" s="24" t="s">
        <v>1952</v>
      </c>
    </row>
    <row r="593" spans="1:29">
      <c r="A593" s="30" t="s">
        <v>1953</v>
      </c>
      <c r="B593" s="30" t="str">
        <f>IF(ISNUMBER(SEARCH(E593,A593)),A593,IF(OR(E593="",E593=""),A593,A593&amp;" - "&amp;E593))</f>
        <v>RE:CANNIS 5/1 (Cannabisextrakt)</v>
      </c>
      <c r="C593" s="30" t="s">
        <v>628</v>
      </c>
      <c r="D593" s="30" t="s">
        <v>629</v>
      </c>
      <c r="E593" s="30" t="s">
        <v>56</v>
      </c>
      <c r="F593" s="30" t="s">
        <v>51</v>
      </c>
      <c r="G593" s="34"/>
      <c r="H593" s="35"/>
      <c r="I593" s="30">
        <v>50</v>
      </c>
      <c r="J593" s="30">
        <v>2</v>
      </c>
      <c r="K593" s="30" t="s">
        <v>1918</v>
      </c>
      <c r="L593" s="30" t="s">
        <v>1506</v>
      </c>
      <c r="M593" s="30" t="s">
        <v>56</v>
      </c>
      <c r="N593" s="30"/>
      <c r="O593" s="30" t="s">
        <v>56</v>
      </c>
      <c r="P593" s="30" t="s">
        <v>56</v>
      </c>
      <c r="Q593" s="30" t="s">
        <v>56</v>
      </c>
      <c r="R593" s="30" t="s">
        <v>56</v>
      </c>
      <c r="S593" s="30" t="s">
        <v>56</v>
      </c>
      <c r="T593" s="30" t="s">
        <v>56</v>
      </c>
      <c r="U593" s="30" t="s">
        <v>56</v>
      </c>
      <c r="V593" s="30" t="s">
        <v>56</v>
      </c>
      <c r="W593" s="30"/>
      <c r="X593" s="30" t="s">
        <v>56</v>
      </c>
      <c r="Y593" s="30" t="s">
        <v>1954</v>
      </c>
      <c r="Z593" s="30" t="s">
        <v>1915</v>
      </c>
      <c r="AA593" s="30" t="s">
        <v>632</v>
      </c>
      <c r="AB593" s="30" t="s">
        <v>1951</v>
      </c>
      <c r="AC593" s="30" t="s">
        <v>1955</v>
      </c>
    </row>
    <row r="594" spans="1:29">
      <c r="A594" s="24" t="s">
        <v>1956</v>
      </c>
      <c r="B594" s="24" t="str">
        <f>IF(ISNUMBER(SEARCH(E594,A594)),A594,IF(OR(E594="",E594=""),A594,A594&amp;" - "&amp;E594))</f>
        <v>SOMAI Cannabisextrakt Hybrid 2,5:25</v>
      </c>
      <c r="C594" s="24" t="s">
        <v>1957</v>
      </c>
      <c r="D594" s="24" t="s">
        <v>1958</v>
      </c>
      <c r="E594" s="24" t="s">
        <v>56</v>
      </c>
      <c r="F594" s="24" t="s">
        <v>86</v>
      </c>
      <c r="G594" s="27"/>
      <c r="H594" s="28"/>
      <c r="I594" s="24" t="s">
        <v>1959</v>
      </c>
      <c r="J594" s="24">
        <v>25</v>
      </c>
      <c r="K594" s="24"/>
      <c r="L594" s="24" t="s">
        <v>102</v>
      </c>
      <c r="M594" s="24" t="s">
        <v>54</v>
      </c>
      <c r="N594" s="24" t="s">
        <v>88</v>
      </c>
      <c r="O594" s="24" t="s">
        <v>72</v>
      </c>
      <c r="P594" s="24" t="s">
        <v>56</v>
      </c>
      <c r="Q594" s="24" t="s">
        <v>56</v>
      </c>
      <c r="R594" s="24" t="s">
        <v>56</v>
      </c>
      <c r="S594" s="24" t="s">
        <v>106</v>
      </c>
      <c r="T594" s="24" t="s">
        <v>62</v>
      </c>
      <c r="U594" s="24" t="s">
        <v>56</v>
      </c>
      <c r="V594" s="24" t="s">
        <v>77</v>
      </c>
      <c r="W594" s="24" t="s">
        <v>107</v>
      </c>
      <c r="X594" s="24" t="s">
        <v>56</v>
      </c>
      <c r="Y594" s="24" t="s">
        <v>1960</v>
      </c>
      <c r="Z594" s="24" t="s">
        <v>1915</v>
      </c>
      <c r="AA594" s="24" t="s">
        <v>1961</v>
      </c>
      <c r="AB594" s="24" t="s">
        <v>56</v>
      </c>
      <c r="AC594" s="37" t="s">
        <v>1962</v>
      </c>
    </row>
    <row r="595" spans="1:29">
      <c r="A595" s="30" t="s">
        <v>1963</v>
      </c>
      <c r="B595" s="30" t="str">
        <f>IF(ISNUMBER(SEARCH(E595,A595)),A595,IF(OR(E595="",E595=""),A595,A595&amp;" - "&amp;E595))</f>
        <v>Aurora THC 25 Extract</v>
      </c>
      <c r="C595" s="30" t="s">
        <v>511</v>
      </c>
      <c r="D595" s="30" t="s">
        <v>512</v>
      </c>
      <c r="E595" s="30" t="s">
        <v>56</v>
      </c>
      <c r="F595" s="30" t="s">
        <v>120</v>
      </c>
      <c r="G595" s="34"/>
      <c r="H595" s="35"/>
      <c r="I595" s="30">
        <v>25</v>
      </c>
      <c r="J595" s="30">
        <v>1</v>
      </c>
      <c r="K595" s="30" t="s">
        <v>1913</v>
      </c>
      <c r="L595" s="30" t="s">
        <v>87</v>
      </c>
      <c r="M595" s="30" t="s">
        <v>156</v>
      </c>
      <c r="N595" s="30" t="s">
        <v>88</v>
      </c>
      <c r="O595" s="30" t="s">
        <v>71</v>
      </c>
      <c r="P595" s="30" t="s">
        <v>56</v>
      </c>
      <c r="Q595" s="30" t="s">
        <v>56</v>
      </c>
      <c r="R595" s="30" t="s">
        <v>56</v>
      </c>
      <c r="S595" s="30" t="s">
        <v>60</v>
      </c>
      <c r="T595" s="30" t="s">
        <v>91</v>
      </c>
      <c r="U595" s="30" t="s">
        <v>234</v>
      </c>
      <c r="V595" s="30" t="s">
        <v>77</v>
      </c>
      <c r="W595" s="30" t="s">
        <v>116</v>
      </c>
      <c r="X595" s="30" t="s">
        <v>79</v>
      </c>
      <c r="Y595" s="30" t="s">
        <v>1964</v>
      </c>
      <c r="Z595" s="30" t="s">
        <v>1915</v>
      </c>
      <c r="AA595" s="30" t="s">
        <v>512</v>
      </c>
      <c r="AB595" s="30" t="s">
        <v>56</v>
      </c>
      <c r="AC595" s="30" t="s">
        <v>1965</v>
      </c>
    </row>
    <row r="596" spans="1:29">
      <c r="A596" s="24" t="s">
        <v>1966</v>
      </c>
      <c r="B596" s="24" t="str">
        <f>IF(ISNUMBER(SEARCH(E596,A596)),A596,IF(OR(E596="",E596=""),A596,A596&amp;" - "&amp;E596))</f>
        <v>CannabiStada Extrakt THC 1/CBD 25</v>
      </c>
      <c r="C596" s="24" t="s">
        <v>478</v>
      </c>
      <c r="D596" s="24" t="s">
        <v>479</v>
      </c>
      <c r="E596" s="24" t="s">
        <v>56</v>
      </c>
      <c r="F596" s="24" t="s">
        <v>120</v>
      </c>
      <c r="G596" s="27"/>
      <c r="H596" s="28"/>
      <c r="I596" s="24" t="s">
        <v>1927</v>
      </c>
      <c r="J596" s="24">
        <v>25</v>
      </c>
      <c r="K596" s="24" t="s">
        <v>1918</v>
      </c>
      <c r="L596" s="24" t="s">
        <v>70</v>
      </c>
      <c r="M596" s="24" t="s">
        <v>54</v>
      </c>
      <c r="N596" s="24" t="s">
        <v>111</v>
      </c>
      <c r="O596" s="24" t="s">
        <v>88</v>
      </c>
      <c r="P596" s="24" t="s">
        <v>56</v>
      </c>
      <c r="Q596" s="24" t="s">
        <v>56</v>
      </c>
      <c r="R596" s="24" t="s">
        <v>56</v>
      </c>
      <c r="S596" s="24" t="s">
        <v>56</v>
      </c>
      <c r="T596" s="24" t="s">
        <v>56</v>
      </c>
      <c r="U596" s="24" t="s">
        <v>56</v>
      </c>
      <c r="V596" s="24" t="s">
        <v>77</v>
      </c>
      <c r="W596" s="24" t="s">
        <v>116</v>
      </c>
      <c r="X596" s="24" t="s">
        <v>914</v>
      </c>
      <c r="Y596" s="24" t="s">
        <v>1730</v>
      </c>
      <c r="Z596" s="24" t="s">
        <v>1915</v>
      </c>
      <c r="AA596" s="24" t="s">
        <v>481</v>
      </c>
      <c r="AB596" s="24" t="s">
        <v>56</v>
      </c>
      <c r="AC596" s="24" t="s">
        <v>1967</v>
      </c>
    </row>
    <row r="597" spans="1:29">
      <c r="A597" s="30" t="s">
        <v>1968</v>
      </c>
      <c r="B597" s="30" t="str">
        <f>IF(ISNUMBER(SEARCH(E597,A597)),A597,IF(OR(E597="",E597=""),A597,A597&amp;" - "&amp;E597))</f>
        <v>CannabiStada Extrakt THC10/CBD10 CA</v>
      </c>
      <c r="C597" s="30" t="s">
        <v>478</v>
      </c>
      <c r="D597" s="30" t="s">
        <v>479</v>
      </c>
      <c r="E597" s="30" t="s">
        <v>56</v>
      </c>
      <c r="F597" s="30" t="s">
        <v>86</v>
      </c>
      <c r="G597" s="34"/>
      <c r="H597" s="35"/>
      <c r="I597" s="30">
        <v>10</v>
      </c>
      <c r="J597" s="30">
        <v>10</v>
      </c>
      <c r="K597" s="30" t="s">
        <v>1913</v>
      </c>
      <c r="L597" s="30" t="s">
        <v>53</v>
      </c>
      <c r="M597" s="30" t="s">
        <v>103</v>
      </c>
      <c r="N597" s="30" t="s">
        <v>121</v>
      </c>
      <c r="O597" s="30" t="s">
        <v>72</v>
      </c>
      <c r="P597" s="30" t="s">
        <v>56</v>
      </c>
      <c r="Q597" s="30" t="s">
        <v>56</v>
      </c>
      <c r="R597" s="30" t="s">
        <v>56</v>
      </c>
      <c r="S597" s="30" t="s">
        <v>56</v>
      </c>
      <c r="T597" s="30" t="s">
        <v>56</v>
      </c>
      <c r="U597" s="30" t="s">
        <v>56</v>
      </c>
      <c r="V597" s="30" t="s">
        <v>257</v>
      </c>
      <c r="W597" s="30" t="s">
        <v>252</v>
      </c>
      <c r="X597" s="30" t="s">
        <v>77</v>
      </c>
      <c r="Y597" s="30" t="s">
        <v>643</v>
      </c>
      <c r="Z597" s="30" t="s">
        <v>1915</v>
      </c>
      <c r="AA597" s="30" t="s">
        <v>481</v>
      </c>
      <c r="AB597" s="30" t="s">
        <v>56</v>
      </c>
      <c r="AC597" s="30" t="s">
        <v>1969</v>
      </c>
    </row>
    <row r="598" spans="1:29">
      <c r="A598" s="24" t="s">
        <v>1970</v>
      </c>
      <c r="B598" s="24" t="str">
        <f>IF(ISNUMBER(SEARCH(E598,A598)),A598,IF(OR(E598="",E598=""),A598,A598&amp;" - "&amp;E598))</f>
        <v>Cannabistada Extrakt THC10/CBD100 CA</v>
      </c>
      <c r="C598" s="24" t="s">
        <v>478</v>
      </c>
      <c r="D598" s="24" t="s">
        <v>479</v>
      </c>
      <c r="E598" s="24" t="s">
        <v>56</v>
      </c>
      <c r="F598" s="24" t="s">
        <v>86</v>
      </c>
      <c r="G598" s="27"/>
      <c r="H598" s="28"/>
      <c r="I598" s="24">
        <v>10</v>
      </c>
      <c r="J598" s="24">
        <v>100</v>
      </c>
      <c r="K598" s="24" t="s">
        <v>1913</v>
      </c>
      <c r="L598" s="24" t="s">
        <v>53</v>
      </c>
      <c r="M598" s="24" t="s">
        <v>103</v>
      </c>
      <c r="N598" s="24" t="s">
        <v>121</v>
      </c>
      <c r="O598" s="24" t="s">
        <v>72</v>
      </c>
      <c r="P598" s="24" t="s">
        <v>56</v>
      </c>
      <c r="Q598" s="24" t="s">
        <v>56</v>
      </c>
      <c r="R598" s="24" t="s">
        <v>56</v>
      </c>
      <c r="S598" s="24" t="s">
        <v>56</v>
      </c>
      <c r="T598" s="24" t="s">
        <v>56</v>
      </c>
      <c r="U598" s="24" t="s">
        <v>56</v>
      </c>
      <c r="V598" s="24" t="s">
        <v>257</v>
      </c>
      <c r="W598" s="24" t="s">
        <v>252</v>
      </c>
      <c r="X598" s="24" t="s">
        <v>77</v>
      </c>
      <c r="Y598" s="24" t="s">
        <v>1971</v>
      </c>
      <c r="Z598" s="24" t="s">
        <v>1915</v>
      </c>
      <c r="AA598" s="24" t="s">
        <v>481</v>
      </c>
      <c r="AB598" s="24" t="s">
        <v>56</v>
      </c>
      <c r="AC598" s="24" t="s">
        <v>1972</v>
      </c>
    </row>
    <row r="599" spans="1:29">
      <c r="A599" s="30" t="s">
        <v>1973</v>
      </c>
      <c r="B599" s="30" t="str">
        <f>IF(ISNUMBER(SEARCH(E599,A599)),A599,IF(OR(E599="",E599=""),A599,A599&amp;" - "&amp;E599))</f>
        <v>Cannabistada Extrakt THC30/CBD30 CA</v>
      </c>
      <c r="C599" s="30" t="s">
        <v>478</v>
      </c>
      <c r="D599" s="30" t="s">
        <v>479</v>
      </c>
      <c r="E599" s="30" t="s">
        <v>56</v>
      </c>
      <c r="F599" s="30" t="s">
        <v>86</v>
      </c>
      <c r="G599" s="34"/>
      <c r="H599" s="35"/>
      <c r="I599" s="30">
        <v>30</v>
      </c>
      <c r="J599" s="30">
        <v>30</v>
      </c>
      <c r="K599" s="30" t="s">
        <v>1913</v>
      </c>
      <c r="L599" s="30" t="s">
        <v>53</v>
      </c>
      <c r="M599" s="30" t="s">
        <v>103</v>
      </c>
      <c r="N599" s="30" t="s">
        <v>121</v>
      </c>
      <c r="O599" s="30" t="s">
        <v>72</v>
      </c>
      <c r="P599" s="30" t="s">
        <v>56</v>
      </c>
      <c r="Q599" s="30" t="s">
        <v>56</v>
      </c>
      <c r="R599" s="30" t="s">
        <v>56</v>
      </c>
      <c r="S599" s="30" t="s">
        <v>56</v>
      </c>
      <c r="T599" s="30" t="s">
        <v>56</v>
      </c>
      <c r="U599" s="30" t="s">
        <v>56</v>
      </c>
      <c r="V599" s="30" t="s">
        <v>257</v>
      </c>
      <c r="W599" s="30" t="s">
        <v>252</v>
      </c>
      <c r="X599" s="30" t="s">
        <v>77</v>
      </c>
      <c r="Y599" s="30" t="s">
        <v>1974</v>
      </c>
      <c r="Z599" s="30" t="s">
        <v>1915</v>
      </c>
      <c r="AA599" s="30" t="s">
        <v>481</v>
      </c>
      <c r="AB599" s="30" t="s">
        <v>56</v>
      </c>
      <c r="AC599" s="30" t="s">
        <v>1975</v>
      </c>
    </row>
    <row r="600" spans="1:29">
      <c r="A600" s="24" t="s">
        <v>1976</v>
      </c>
      <c r="B600" s="24" t="str">
        <f>IF(ISNUMBER(SEARCH(E600,A600)),A600,IF(OR(E600="",E600=""),A600,A600&amp;" - "&amp;E600))</f>
        <v>Cannabistada Extrakt THC25/CBD1 CA</v>
      </c>
      <c r="C600" s="24" t="s">
        <v>478</v>
      </c>
      <c r="D600" s="24" t="s">
        <v>479</v>
      </c>
      <c r="E600" s="24" t="s">
        <v>56</v>
      </c>
      <c r="F600" s="24" t="s">
        <v>86</v>
      </c>
      <c r="G600" s="27"/>
      <c r="H600" s="28"/>
      <c r="I600" s="24">
        <v>25</v>
      </c>
      <c r="J600" s="24">
        <v>1</v>
      </c>
      <c r="K600" s="24" t="s">
        <v>1913</v>
      </c>
      <c r="L600" s="24" t="s">
        <v>53</v>
      </c>
      <c r="M600" s="24" t="s">
        <v>103</v>
      </c>
      <c r="N600" s="24" t="s">
        <v>121</v>
      </c>
      <c r="O600" s="24" t="s">
        <v>72</v>
      </c>
      <c r="P600" s="24" t="s">
        <v>56</v>
      </c>
      <c r="Q600" s="24" t="s">
        <v>56</v>
      </c>
      <c r="R600" s="24" t="s">
        <v>56</v>
      </c>
      <c r="S600" s="24" t="s">
        <v>56</v>
      </c>
      <c r="T600" s="24" t="s">
        <v>56</v>
      </c>
      <c r="U600" s="24" t="s">
        <v>56</v>
      </c>
      <c r="V600" s="24" t="s">
        <v>257</v>
      </c>
      <c r="W600" s="24" t="s">
        <v>252</v>
      </c>
      <c r="X600" s="24" t="s">
        <v>77</v>
      </c>
      <c r="Y600" s="24" t="s">
        <v>1730</v>
      </c>
      <c r="Z600" s="24" t="s">
        <v>1915</v>
      </c>
      <c r="AA600" s="24" t="s">
        <v>481</v>
      </c>
      <c r="AB600" s="24" t="s">
        <v>56</v>
      </c>
      <c r="AC600" s="24" t="s">
        <v>1977</v>
      </c>
    </row>
    <row r="601" spans="1:29">
      <c r="A601" s="30" t="s">
        <v>1978</v>
      </c>
      <c r="B601" s="30" t="str">
        <f>IF(ISNUMBER(SEARCH(E601,A601)),A601,IF(OR(E601="",E601=""),A601,A601&amp;" - "&amp;E601))</f>
        <v>Cannamedical THC850 Zkittlez Gorilla Zkittlez</v>
      </c>
      <c r="C601" s="30" t="s">
        <v>48</v>
      </c>
      <c r="D601" s="30" t="s">
        <v>49</v>
      </c>
      <c r="E601" s="30" t="s">
        <v>56</v>
      </c>
      <c r="F601" s="30" t="s">
        <v>86</v>
      </c>
      <c r="G601" s="34"/>
      <c r="H601" s="35"/>
      <c r="I601" s="30">
        <v>850</v>
      </c>
      <c r="J601" s="30">
        <v>10</v>
      </c>
      <c r="K601" s="30" t="s">
        <v>1913</v>
      </c>
      <c r="L601" s="30"/>
      <c r="M601" s="30" t="s">
        <v>111</v>
      </c>
      <c r="N601" s="30" t="s">
        <v>88</v>
      </c>
      <c r="O601" s="30" t="s">
        <v>72</v>
      </c>
      <c r="P601" s="30" t="s">
        <v>56</v>
      </c>
      <c r="Q601" s="30" t="s">
        <v>56</v>
      </c>
      <c r="R601" s="30" t="s">
        <v>56</v>
      </c>
      <c r="S601" s="30" t="s">
        <v>123</v>
      </c>
      <c r="T601" s="30" t="s">
        <v>106</v>
      </c>
      <c r="U601" s="30" t="s">
        <v>76</v>
      </c>
      <c r="V601" s="30" t="s">
        <v>77</v>
      </c>
      <c r="W601" s="30" t="s">
        <v>116</v>
      </c>
      <c r="X601" s="30" t="s">
        <v>79</v>
      </c>
      <c r="Y601" s="30" t="s">
        <v>56</v>
      </c>
      <c r="Z601" s="30" t="s">
        <v>1915</v>
      </c>
      <c r="AA601" s="30" t="s">
        <v>49</v>
      </c>
      <c r="AB601" s="30" t="s">
        <v>56</v>
      </c>
      <c r="AC601" s="30" t="s">
        <v>1979</v>
      </c>
    </row>
    <row r="602" spans="1:29">
      <c r="A602" s="24" t="s">
        <v>1980</v>
      </c>
      <c r="B602" s="24" t="str">
        <f>IF(ISNUMBER(SEARCH(E602,A602)),A602,IF(OR(E602="",E602=""),A602,A602&amp;" - "&amp;E602))</f>
        <v>IMC Cannabisextrakt 25:1</v>
      </c>
      <c r="C602" s="24" t="s">
        <v>646</v>
      </c>
      <c r="D602" s="24" t="s">
        <v>646</v>
      </c>
      <c r="E602" s="24" t="s">
        <v>56</v>
      </c>
      <c r="F602" s="24" t="s">
        <v>51</v>
      </c>
      <c r="G602" s="27"/>
      <c r="H602" s="28"/>
      <c r="I602" s="24">
        <v>25</v>
      </c>
      <c r="J602" s="24">
        <v>1</v>
      </c>
      <c r="K602" s="24" t="s">
        <v>1913</v>
      </c>
      <c r="L602" s="24" t="s">
        <v>70</v>
      </c>
      <c r="M602" s="24" t="s">
        <v>56</v>
      </c>
      <c r="N602" s="24"/>
      <c r="O602" s="24" t="s">
        <v>56</v>
      </c>
      <c r="P602" s="24" t="s">
        <v>56</v>
      </c>
      <c r="Q602" s="24" t="s">
        <v>56</v>
      </c>
      <c r="R602" s="24" t="s">
        <v>56</v>
      </c>
      <c r="S602" s="24" t="s">
        <v>56</v>
      </c>
      <c r="T602" s="24" t="s">
        <v>56</v>
      </c>
      <c r="U602" s="24" t="s">
        <v>56</v>
      </c>
      <c r="V602" s="24" t="s">
        <v>56</v>
      </c>
      <c r="W602" s="24"/>
      <c r="X602" s="24" t="s">
        <v>56</v>
      </c>
      <c r="Y602" s="24" t="s">
        <v>1981</v>
      </c>
      <c r="Z602" s="24" t="s">
        <v>1915</v>
      </c>
      <c r="AA602" s="24" t="s">
        <v>646</v>
      </c>
      <c r="AB602" s="24" t="s">
        <v>56</v>
      </c>
      <c r="AC602" s="37" t="s">
        <v>1982</v>
      </c>
    </row>
    <row r="603" spans="1:29">
      <c r="A603" s="30" t="s">
        <v>1983</v>
      </c>
      <c r="B603" s="30" t="str">
        <f>IF(ISNUMBER(SEARCH(E603,A603)),A603,IF(OR(E603="",E603=""),A603,A603&amp;" - "&amp;E603))</f>
        <v>NAXIVA-PANAXOL THC 25/CBD 25 Cannabis-Extrakt</v>
      </c>
      <c r="C603" s="30" t="s">
        <v>1984</v>
      </c>
      <c r="D603" s="30" t="s">
        <v>1985</v>
      </c>
      <c r="E603" s="30" t="s">
        <v>56</v>
      </c>
      <c r="F603" s="30" t="s">
        <v>51</v>
      </c>
      <c r="G603" s="34"/>
      <c r="H603" s="35"/>
      <c r="I603" s="30">
        <v>25</v>
      </c>
      <c r="J603" s="30">
        <v>25</v>
      </c>
      <c r="K603" s="30" t="s">
        <v>1918</v>
      </c>
      <c r="L603" s="30" t="s">
        <v>1506</v>
      </c>
      <c r="M603" s="30" t="s">
        <v>56</v>
      </c>
      <c r="N603" s="30"/>
      <c r="O603" s="30" t="s">
        <v>56</v>
      </c>
      <c r="P603" s="30" t="s">
        <v>56</v>
      </c>
      <c r="Q603" s="30" t="s">
        <v>56</v>
      </c>
      <c r="R603" s="30" t="s">
        <v>56</v>
      </c>
      <c r="S603" s="30" t="s">
        <v>56</v>
      </c>
      <c r="T603" s="30" t="s">
        <v>56</v>
      </c>
      <c r="U603" s="30" t="s">
        <v>56</v>
      </c>
      <c r="V603" s="30" t="s">
        <v>56</v>
      </c>
      <c r="W603" s="30"/>
      <c r="X603" s="30" t="s">
        <v>56</v>
      </c>
      <c r="Y603" s="30" t="s">
        <v>1986</v>
      </c>
      <c r="Z603" s="30" t="s">
        <v>1915</v>
      </c>
      <c r="AA603" s="30" t="s">
        <v>1987</v>
      </c>
      <c r="AB603" s="30" t="s">
        <v>56</v>
      </c>
      <c r="AC603" s="30" t="s">
        <v>1988</v>
      </c>
    </row>
    <row r="604" spans="1:29">
      <c r="A604" s="24" t="s">
        <v>1989</v>
      </c>
      <c r="B604" s="24" t="str">
        <f>IF(ISNUMBER(SEARCH(E604,A604)),A604,IF(OR(E604="",E604=""),A604,A604&amp;" - "&amp;E604))</f>
        <v>Sinceritas 10/10</v>
      </c>
      <c r="C604" s="24" t="s">
        <v>48</v>
      </c>
      <c r="D604" s="24" t="s">
        <v>49</v>
      </c>
      <c r="E604" s="24" t="s">
        <v>56</v>
      </c>
      <c r="F604" s="24" t="s">
        <v>86</v>
      </c>
      <c r="G604" s="27"/>
      <c r="H604" s="28"/>
      <c r="I604" s="24">
        <v>10</v>
      </c>
      <c r="J604" s="24">
        <v>10</v>
      </c>
      <c r="K604" s="24" t="s">
        <v>1913</v>
      </c>
      <c r="L604" s="24" t="s">
        <v>145</v>
      </c>
      <c r="M604" s="24" t="s">
        <v>111</v>
      </c>
      <c r="N604" s="24" t="s">
        <v>88</v>
      </c>
      <c r="O604" s="24" t="s">
        <v>72</v>
      </c>
      <c r="P604" s="24" t="s">
        <v>56</v>
      </c>
      <c r="Q604" s="24" t="s">
        <v>56</v>
      </c>
      <c r="R604" s="24" t="s">
        <v>56</v>
      </c>
      <c r="S604" s="24" t="s">
        <v>147</v>
      </c>
      <c r="T604" s="24" t="s">
        <v>123</v>
      </c>
      <c r="U604" s="24" t="s">
        <v>61</v>
      </c>
      <c r="V604" s="24" t="s">
        <v>77</v>
      </c>
      <c r="W604" s="24" t="s">
        <v>116</v>
      </c>
      <c r="X604" s="24" t="s">
        <v>79</v>
      </c>
      <c r="Y604" s="24" t="s">
        <v>56</v>
      </c>
      <c r="Z604" s="24" t="s">
        <v>1915</v>
      </c>
      <c r="AA604" s="24" t="s">
        <v>49</v>
      </c>
      <c r="AB604" s="24" t="s">
        <v>56</v>
      </c>
      <c r="AC604" s="24" t="s">
        <v>1990</v>
      </c>
    </row>
    <row r="605" spans="1:29">
      <c r="A605" s="30" t="s">
        <v>1991</v>
      </c>
      <c r="B605" s="30" t="str">
        <f>IF(ISNUMBER(SEARCH(E605,A605)),A605,IF(OR(E605="",E605=""),A605,A605&amp;" - "&amp;E605))</f>
        <v>Sinceritas 25/1</v>
      </c>
      <c r="C605" s="30" t="s">
        <v>48</v>
      </c>
      <c r="D605" s="30" t="s">
        <v>49</v>
      </c>
      <c r="E605" s="30" t="s">
        <v>56</v>
      </c>
      <c r="F605" s="30" t="s">
        <v>86</v>
      </c>
      <c r="G605" s="34"/>
      <c r="H605" s="35"/>
      <c r="I605" s="30">
        <v>25</v>
      </c>
      <c r="J605" s="30">
        <v>1</v>
      </c>
      <c r="K605" s="30" t="s">
        <v>1913</v>
      </c>
      <c r="L605" s="30" t="s">
        <v>145</v>
      </c>
      <c r="M605" s="30" t="s">
        <v>111</v>
      </c>
      <c r="N605" s="30" t="s">
        <v>88</v>
      </c>
      <c r="O605" s="30" t="s">
        <v>72</v>
      </c>
      <c r="P605" s="30" t="s">
        <v>56</v>
      </c>
      <c r="Q605" s="30" t="s">
        <v>56</v>
      </c>
      <c r="R605" s="30" t="s">
        <v>56</v>
      </c>
      <c r="S605" s="30" t="s">
        <v>147</v>
      </c>
      <c r="T605" s="30" t="s">
        <v>123</v>
      </c>
      <c r="U605" s="30" t="s">
        <v>61</v>
      </c>
      <c r="V605" s="30" t="s">
        <v>77</v>
      </c>
      <c r="W605" s="30" t="s">
        <v>116</v>
      </c>
      <c r="X605" s="30" t="s">
        <v>79</v>
      </c>
      <c r="Y605" s="30" t="s">
        <v>1992</v>
      </c>
      <c r="Z605" s="30" t="s">
        <v>1915</v>
      </c>
      <c r="AA605" s="30" t="s">
        <v>49</v>
      </c>
      <c r="AB605" s="30" t="s">
        <v>56</v>
      </c>
      <c r="AC605" s="30" t="s">
        <v>1993</v>
      </c>
    </row>
    <row r="606" spans="1:29">
      <c r="A606" s="24" t="s">
        <v>1994</v>
      </c>
      <c r="B606" s="24" t="str">
        <f>IF(ISNUMBER(SEARCH(E606,A606)),A606,IF(OR(E606="",E606=""),A606,A606&amp;" - "&amp;E606))</f>
        <v>Sinceritas 25/25</v>
      </c>
      <c r="C606" s="24" t="s">
        <v>48</v>
      </c>
      <c r="D606" s="24" t="s">
        <v>49</v>
      </c>
      <c r="E606" s="24" t="s">
        <v>56</v>
      </c>
      <c r="F606" s="24" t="s">
        <v>86</v>
      </c>
      <c r="G606" s="27"/>
      <c r="H606" s="28"/>
      <c r="I606" s="24">
        <v>25</v>
      </c>
      <c r="J606" s="24">
        <v>25</v>
      </c>
      <c r="K606" s="24" t="s">
        <v>1913</v>
      </c>
      <c r="L606" s="24" t="s">
        <v>145</v>
      </c>
      <c r="M606" s="24" t="s">
        <v>111</v>
      </c>
      <c r="N606" s="24" t="s">
        <v>88</v>
      </c>
      <c r="O606" s="24" t="s">
        <v>72</v>
      </c>
      <c r="P606" s="24" t="s">
        <v>56</v>
      </c>
      <c r="Q606" s="24" t="s">
        <v>56</v>
      </c>
      <c r="R606" s="24" t="s">
        <v>56</v>
      </c>
      <c r="S606" s="24" t="s">
        <v>123</v>
      </c>
      <c r="T606" s="24" t="s">
        <v>61</v>
      </c>
      <c r="U606" s="24" t="s">
        <v>62</v>
      </c>
      <c r="V606" s="24" t="s">
        <v>77</v>
      </c>
      <c r="W606" s="24" t="s">
        <v>116</v>
      </c>
      <c r="X606" s="24" t="s">
        <v>79</v>
      </c>
      <c r="Y606" s="24" t="s">
        <v>1964</v>
      </c>
      <c r="Z606" s="24" t="s">
        <v>1915</v>
      </c>
      <c r="AA606" s="24" t="s">
        <v>49</v>
      </c>
      <c r="AB606" s="24" t="s">
        <v>56</v>
      </c>
      <c r="AC606" s="24" t="s">
        <v>1995</v>
      </c>
    </row>
    <row r="607" spans="1:29">
      <c r="A607" s="30" t="s">
        <v>1996</v>
      </c>
      <c r="B607" s="30" t="str">
        <f>IF(ISNUMBER(SEARCH(E607,A607)),A607,IF(OR(E607="",E607=""),A607,A607&amp;" - "&amp;E607))</f>
        <v>GROW 10:10 CAN (Cannabisextrakt)</v>
      </c>
      <c r="C607" s="30" t="s">
        <v>1323</v>
      </c>
      <c r="D607" s="30" t="s">
        <v>1324</v>
      </c>
      <c r="E607" s="30" t="s">
        <v>56</v>
      </c>
      <c r="F607" s="30" t="s">
        <v>51</v>
      </c>
      <c r="G607" s="34"/>
      <c r="H607" s="35"/>
      <c r="I607" s="30">
        <v>10</v>
      </c>
      <c r="J607" s="30">
        <v>10</v>
      </c>
      <c r="K607" s="30" t="s">
        <v>1913</v>
      </c>
      <c r="L607" s="30" t="s">
        <v>53</v>
      </c>
      <c r="M607" s="30" t="s">
        <v>212</v>
      </c>
      <c r="N607" s="30" t="s">
        <v>121</v>
      </c>
      <c r="O607" s="30" t="s">
        <v>72</v>
      </c>
      <c r="P607" s="30" t="s">
        <v>56</v>
      </c>
      <c r="Q607" s="30" t="s">
        <v>56</v>
      </c>
      <c r="R607" s="30" t="s">
        <v>56</v>
      </c>
      <c r="S607" s="30" t="s">
        <v>56</v>
      </c>
      <c r="T607" s="30" t="s">
        <v>56</v>
      </c>
      <c r="U607" s="30" t="s">
        <v>56</v>
      </c>
      <c r="V607" s="30" t="s">
        <v>77</v>
      </c>
      <c r="W607" s="30" t="s">
        <v>116</v>
      </c>
      <c r="X607" s="30" t="s">
        <v>129</v>
      </c>
      <c r="Y607" s="30" t="s">
        <v>124</v>
      </c>
      <c r="Z607" s="30" t="s">
        <v>1915</v>
      </c>
      <c r="AA607" s="30" t="s">
        <v>1326</v>
      </c>
      <c r="AB607" s="30" t="s">
        <v>56</v>
      </c>
      <c r="AC607" s="30" t="s">
        <v>1997</v>
      </c>
    </row>
    <row r="608" spans="1:29">
      <c r="A608" s="24" t="s">
        <v>1998</v>
      </c>
      <c r="B608" s="24" t="str">
        <f>IF(ISNUMBER(SEARCH(E608,A608)),A608,IF(OR(E608="",E608=""),A608,A608&amp;" - "&amp;E608))</f>
        <v>GROW 25:25 CAN (Cannabisextrakt)</v>
      </c>
      <c r="C608" s="24" t="s">
        <v>1323</v>
      </c>
      <c r="D608" s="24" t="s">
        <v>1324</v>
      </c>
      <c r="E608" s="24" t="s">
        <v>56</v>
      </c>
      <c r="F608" s="24" t="s">
        <v>51</v>
      </c>
      <c r="G608" s="27"/>
      <c r="H608" s="28"/>
      <c r="I608" s="24">
        <v>25</v>
      </c>
      <c r="J608" s="24">
        <v>25</v>
      </c>
      <c r="K608" s="24" t="s">
        <v>1913</v>
      </c>
      <c r="L608" s="24" t="s">
        <v>53</v>
      </c>
      <c r="M608" s="24" t="s">
        <v>212</v>
      </c>
      <c r="N608" s="24" t="s">
        <v>121</v>
      </c>
      <c r="O608" s="24" t="s">
        <v>72</v>
      </c>
      <c r="P608" s="24" t="s">
        <v>56</v>
      </c>
      <c r="Q608" s="24" t="s">
        <v>56</v>
      </c>
      <c r="R608" s="24" t="s">
        <v>56</v>
      </c>
      <c r="S608" s="24" t="s">
        <v>56</v>
      </c>
      <c r="T608" s="24" t="s">
        <v>56</v>
      </c>
      <c r="U608" s="24" t="s">
        <v>56</v>
      </c>
      <c r="V608" s="24" t="s">
        <v>77</v>
      </c>
      <c r="W608" s="24" t="s">
        <v>116</v>
      </c>
      <c r="X608" s="24" t="s">
        <v>129</v>
      </c>
      <c r="Y608" s="24" t="s">
        <v>1519</v>
      </c>
      <c r="Z608" s="24" t="s">
        <v>1915</v>
      </c>
      <c r="AA608" s="24" t="s">
        <v>1326</v>
      </c>
      <c r="AB608" s="24" t="s">
        <v>56</v>
      </c>
      <c r="AC608" s="24" t="s">
        <v>1999</v>
      </c>
    </row>
    <row r="609" spans="1:29">
      <c r="A609" s="30" t="s">
        <v>2000</v>
      </c>
      <c r="B609" s="30" t="str">
        <f>IF(ISNUMBER(SEARCH(E609,A609)),A609,IF(OR(E609="",E609=""),A609,A609&amp;" - "&amp;E609))</f>
        <v>Cannabisextrakt Avextra 25 THC</v>
      </c>
      <c r="C609" s="30" t="s">
        <v>2001</v>
      </c>
      <c r="D609" s="30" t="s">
        <v>2002</v>
      </c>
      <c r="E609" s="30" t="s">
        <v>56</v>
      </c>
      <c r="F609" s="30" t="s">
        <v>51</v>
      </c>
      <c r="G609" s="34"/>
      <c r="H609" s="35"/>
      <c r="I609" s="30">
        <v>25</v>
      </c>
      <c r="J609" s="30" t="s">
        <v>1927</v>
      </c>
      <c r="K609" s="30" t="s">
        <v>2003</v>
      </c>
      <c r="L609" s="30"/>
      <c r="M609" s="30" t="s">
        <v>88</v>
      </c>
      <c r="N609" s="30" t="s">
        <v>55</v>
      </c>
      <c r="O609" s="30" t="s">
        <v>178</v>
      </c>
      <c r="P609" s="30" t="s">
        <v>56</v>
      </c>
      <c r="Q609" s="30" t="s">
        <v>56</v>
      </c>
      <c r="R609" s="30" t="s">
        <v>56</v>
      </c>
      <c r="S609" s="30" t="s">
        <v>56</v>
      </c>
      <c r="T609" s="30" t="s">
        <v>56</v>
      </c>
      <c r="U609" s="30" t="s">
        <v>56</v>
      </c>
      <c r="V609" s="30" t="s">
        <v>92</v>
      </c>
      <c r="W609" s="30" t="s">
        <v>77</v>
      </c>
      <c r="X609" s="30" t="s">
        <v>129</v>
      </c>
      <c r="Y609" s="30" t="s">
        <v>2004</v>
      </c>
      <c r="Z609" s="30" t="s">
        <v>1915</v>
      </c>
      <c r="AA609" s="30" t="s">
        <v>2002</v>
      </c>
      <c r="AB609" s="30" t="s">
        <v>56</v>
      </c>
      <c r="AC609" s="30" t="s">
        <v>2005</v>
      </c>
    </row>
    <row r="610" spans="1:29">
      <c r="A610" s="24" t="s">
        <v>2006</v>
      </c>
      <c r="B610" s="24" t="str">
        <f>IF(ISNUMBER(SEARCH(E610,A610)),A610,IF(OR(E610="",E610=""),A610,A610&amp;" - "&amp;E610))</f>
        <v>Cannabisextrakt Avextra 10/10</v>
      </c>
      <c r="C610" s="24" t="s">
        <v>2001</v>
      </c>
      <c r="D610" s="24" t="s">
        <v>2002</v>
      </c>
      <c r="E610" s="24" t="s">
        <v>56</v>
      </c>
      <c r="F610" s="24" t="s">
        <v>51</v>
      </c>
      <c r="G610" s="27"/>
      <c r="H610" s="28"/>
      <c r="I610" s="24">
        <v>10</v>
      </c>
      <c r="J610" s="24">
        <v>10</v>
      </c>
      <c r="K610" s="24" t="s">
        <v>2003</v>
      </c>
      <c r="L610" s="24"/>
      <c r="M610" s="24" t="s">
        <v>88</v>
      </c>
      <c r="N610" s="24" t="s">
        <v>55</v>
      </c>
      <c r="O610" s="24" t="s">
        <v>178</v>
      </c>
      <c r="P610" s="24" t="s">
        <v>56</v>
      </c>
      <c r="Q610" s="24" t="s">
        <v>56</v>
      </c>
      <c r="R610" s="24" t="s">
        <v>56</v>
      </c>
      <c r="S610" s="24" t="s">
        <v>56</v>
      </c>
      <c r="T610" s="24" t="s">
        <v>56</v>
      </c>
      <c r="U610" s="24" t="s">
        <v>56</v>
      </c>
      <c r="V610" s="24" t="s">
        <v>92</v>
      </c>
      <c r="W610" s="24" t="s">
        <v>77</v>
      </c>
      <c r="X610" s="24" t="s">
        <v>129</v>
      </c>
      <c r="Y610" s="24" t="s">
        <v>2007</v>
      </c>
      <c r="Z610" s="24" t="s">
        <v>1915</v>
      </c>
      <c r="AA610" s="24" t="s">
        <v>2002</v>
      </c>
      <c r="AB610" s="24" t="s">
        <v>56</v>
      </c>
      <c r="AC610" s="24" t="s">
        <v>2008</v>
      </c>
    </row>
    <row r="611" spans="1:29">
      <c r="A611" s="30" t="s">
        <v>2009</v>
      </c>
      <c r="B611" s="30" t="str">
        <f>IF(ISNUMBER(SEARCH(E611,A611)),A611,IF(OR(E611="",E611=""),A611,A611&amp;" - "&amp;E611))</f>
        <v>Demecan Oktonia Typ 1 10:10 (Cannabisextrakt)</v>
      </c>
      <c r="C611" s="30" t="s">
        <v>484</v>
      </c>
      <c r="D611" s="30" t="s">
        <v>485</v>
      </c>
      <c r="E611" s="30" t="s">
        <v>56</v>
      </c>
      <c r="F611" s="30" t="s">
        <v>86</v>
      </c>
      <c r="G611" s="34"/>
      <c r="H611" s="35"/>
      <c r="I611" s="30">
        <v>10</v>
      </c>
      <c r="J611" s="30">
        <v>10</v>
      </c>
      <c r="K611" s="30" t="s">
        <v>1913</v>
      </c>
      <c r="L611" s="30" t="s">
        <v>527</v>
      </c>
      <c r="M611" s="30" t="s">
        <v>103</v>
      </c>
      <c r="N611" s="30" t="s">
        <v>121</v>
      </c>
      <c r="O611" s="30" t="s">
        <v>72</v>
      </c>
      <c r="P611" s="30" t="s">
        <v>56</v>
      </c>
      <c r="Q611" s="30" t="s">
        <v>56</v>
      </c>
      <c r="R611" s="30" t="s">
        <v>56</v>
      </c>
      <c r="S611" s="30" t="s">
        <v>56</v>
      </c>
      <c r="T611" s="30" t="s">
        <v>56</v>
      </c>
      <c r="U611" s="30" t="s">
        <v>56</v>
      </c>
      <c r="V611" s="30" t="s">
        <v>77</v>
      </c>
      <c r="W611" s="30" t="s">
        <v>116</v>
      </c>
      <c r="X611" s="30" t="s">
        <v>79</v>
      </c>
      <c r="Y611" s="30" t="s">
        <v>220</v>
      </c>
      <c r="Z611" s="30" t="s">
        <v>1915</v>
      </c>
      <c r="AA611" s="30" t="s">
        <v>485</v>
      </c>
      <c r="AB611" s="30" t="s">
        <v>56</v>
      </c>
      <c r="AC611" s="30" t="s">
        <v>2010</v>
      </c>
    </row>
    <row r="612" spans="1:29">
      <c r="A612" s="24" t="s">
        <v>2011</v>
      </c>
      <c r="B612" s="24" t="str">
        <f>IF(ISNUMBER(SEARCH(E612,A612)),A612,IF(OR(E612="",E612=""),A612,A612&amp;" - "&amp;E612))</f>
        <v>Cannamedical Cannabisextrakt THC50</v>
      </c>
      <c r="C612" s="24" t="s">
        <v>48</v>
      </c>
      <c r="D612" s="24" t="s">
        <v>49</v>
      </c>
      <c r="E612" s="24" t="s">
        <v>56</v>
      </c>
      <c r="F612" s="24" t="s">
        <v>51</v>
      </c>
      <c r="G612" s="27"/>
      <c r="H612" s="28"/>
      <c r="I612" s="24">
        <v>50</v>
      </c>
      <c r="J612" s="24">
        <v>1</v>
      </c>
      <c r="K612" s="24" t="s">
        <v>1913</v>
      </c>
      <c r="L612" s="24"/>
      <c r="M612" s="24" t="s">
        <v>56</v>
      </c>
      <c r="N612" s="24"/>
      <c r="O612" s="24" t="s">
        <v>56</v>
      </c>
      <c r="P612" s="24" t="s">
        <v>56</v>
      </c>
      <c r="Q612" s="24" t="s">
        <v>56</v>
      </c>
      <c r="R612" s="24" t="s">
        <v>56</v>
      </c>
      <c r="S612" s="24" t="s">
        <v>56</v>
      </c>
      <c r="T612" s="24" t="s">
        <v>56</v>
      </c>
      <c r="U612" s="24" t="s">
        <v>56</v>
      </c>
      <c r="V612" s="24" t="s">
        <v>56</v>
      </c>
      <c r="W612" s="24"/>
      <c r="X612" s="24" t="s">
        <v>56</v>
      </c>
      <c r="Y612" s="24" t="s">
        <v>2012</v>
      </c>
      <c r="Z612" s="24" t="s">
        <v>1915</v>
      </c>
      <c r="AA612" s="24" t="s">
        <v>49</v>
      </c>
      <c r="AB612" s="24" t="s">
        <v>56</v>
      </c>
      <c r="AC612" s="24" t="s">
        <v>2013</v>
      </c>
    </row>
    <row r="613" spans="1:29">
      <c r="A613" s="30" t="s">
        <v>2014</v>
      </c>
      <c r="B613" s="30" t="str">
        <f>IF(ISNUMBER(SEARCH(E613,A613)),A613,IF(OR(E613="",E613=""),A613,A613&amp;" - "&amp;E613))</f>
        <v>Demecan Oktonia Typ 2 25:01 (Cannabisextrakt)</v>
      </c>
      <c r="C613" s="30" t="s">
        <v>484</v>
      </c>
      <c r="D613" s="30" t="s">
        <v>485</v>
      </c>
      <c r="E613" s="30" t="s">
        <v>56</v>
      </c>
      <c r="F613" s="30" t="s">
        <v>86</v>
      </c>
      <c r="G613" s="34"/>
      <c r="H613" s="35"/>
      <c r="I613" s="30">
        <v>25</v>
      </c>
      <c r="J613" s="30">
        <v>1</v>
      </c>
      <c r="K613" s="30" t="s">
        <v>1913</v>
      </c>
      <c r="L613" s="30" t="s">
        <v>527</v>
      </c>
      <c r="M613" s="30" t="s">
        <v>156</v>
      </c>
      <c r="N613" s="30" t="s">
        <v>71</v>
      </c>
      <c r="O613" s="30" t="s">
        <v>55</v>
      </c>
      <c r="P613" s="30" t="s">
        <v>56</v>
      </c>
      <c r="Q613" s="30" t="s">
        <v>56</v>
      </c>
      <c r="R613" s="30" t="s">
        <v>56</v>
      </c>
      <c r="S613" s="30" t="s">
        <v>56</v>
      </c>
      <c r="T613" s="30" t="s">
        <v>56</v>
      </c>
      <c r="U613" s="30" t="s">
        <v>56</v>
      </c>
      <c r="V613" s="30" t="s">
        <v>77</v>
      </c>
      <c r="W613" s="30" t="s">
        <v>79</v>
      </c>
      <c r="X613" s="30" t="s">
        <v>107</v>
      </c>
      <c r="Y613" s="30" t="s">
        <v>80</v>
      </c>
      <c r="Z613" s="30" t="s">
        <v>1915</v>
      </c>
      <c r="AA613" s="30" t="s">
        <v>485</v>
      </c>
      <c r="AB613" s="30" t="s">
        <v>56</v>
      </c>
      <c r="AC613" s="30" t="s">
        <v>2015</v>
      </c>
    </row>
    <row r="614" spans="1:29">
      <c r="A614" s="24" t="s">
        <v>2016</v>
      </c>
      <c r="B614" s="24" t="str">
        <f>IF(ISNUMBER(SEARCH(E614,A614)),A614,IF(OR(E614="",E614=""),A614,A614&amp;" - "&amp;E614))</f>
        <v>Somai Cannabisextrakt Mint 10/10</v>
      </c>
      <c r="C614" s="24" t="s">
        <v>1957</v>
      </c>
      <c r="D614" s="24" t="s">
        <v>1958</v>
      </c>
      <c r="E614" s="24" t="s">
        <v>56</v>
      </c>
      <c r="F614" s="24" t="s">
        <v>86</v>
      </c>
      <c r="G614" s="27"/>
      <c r="H614" s="28"/>
      <c r="I614" s="24">
        <v>10</v>
      </c>
      <c r="J614" s="24">
        <v>10</v>
      </c>
      <c r="K614" s="24" t="s">
        <v>1918</v>
      </c>
      <c r="L614" s="24" t="s">
        <v>102</v>
      </c>
      <c r="M614" s="24" t="s">
        <v>54</v>
      </c>
      <c r="N614" s="24" t="s">
        <v>88</v>
      </c>
      <c r="O614" s="24" t="s">
        <v>72</v>
      </c>
      <c r="P614" s="24" t="s">
        <v>56</v>
      </c>
      <c r="Q614" s="24" t="s">
        <v>56</v>
      </c>
      <c r="R614" s="24" t="s">
        <v>56</v>
      </c>
      <c r="S614" s="24" t="s">
        <v>106</v>
      </c>
      <c r="T614" s="24" t="s">
        <v>62</v>
      </c>
      <c r="U614" s="24" t="s">
        <v>56</v>
      </c>
      <c r="V614" s="24" t="s">
        <v>77</v>
      </c>
      <c r="W614" s="24" t="s">
        <v>107</v>
      </c>
      <c r="X614" s="24" t="s">
        <v>56</v>
      </c>
      <c r="Y614" s="24" t="s">
        <v>2017</v>
      </c>
      <c r="Z614" s="24" t="s">
        <v>1915</v>
      </c>
      <c r="AA614" s="24" t="s">
        <v>1961</v>
      </c>
      <c r="AB614" s="24" t="s">
        <v>56</v>
      </c>
      <c r="AC614" s="24" t="s">
        <v>2018</v>
      </c>
    </row>
    <row r="615" spans="1:29">
      <c r="A615" s="30" t="s">
        <v>2019</v>
      </c>
      <c r="B615" s="30" t="str">
        <f>IF(ISNUMBER(SEARCH(E615,A615)),A615,IF(OR(E615="",E615=""),A615,A615&amp;" - "&amp;E615))</f>
        <v>Somai Cannabisextrakt Mint 25/25</v>
      </c>
      <c r="C615" s="30" t="s">
        <v>1957</v>
      </c>
      <c r="D615" s="30" t="s">
        <v>1958</v>
      </c>
      <c r="E615" s="30" t="s">
        <v>56</v>
      </c>
      <c r="F615" s="30" t="s">
        <v>86</v>
      </c>
      <c r="G615" s="34"/>
      <c r="H615" s="35"/>
      <c r="I615" s="30">
        <v>25</v>
      </c>
      <c r="J615" s="30">
        <v>25</v>
      </c>
      <c r="K615" s="30" t="s">
        <v>1918</v>
      </c>
      <c r="L615" s="30" t="s">
        <v>102</v>
      </c>
      <c r="M615" s="30" t="s">
        <v>54</v>
      </c>
      <c r="N615" s="30" t="s">
        <v>88</v>
      </c>
      <c r="O615" s="30" t="s">
        <v>72</v>
      </c>
      <c r="P615" s="30" t="s">
        <v>56</v>
      </c>
      <c r="Q615" s="30" t="s">
        <v>56</v>
      </c>
      <c r="R615" s="30" t="s">
        <v>56</v>
      </c>
      <c r="S615" s="30" t="s">
        <v>61</v>
      </c>
      <c r="T615" s="30" t="s">
        <v>62</v>
      </c>
      <c r="U615" s="30" t="s">
        <v>56</v>
      </c>
      <c r="V615" s="30" t="s">
        <v>77</v>
      </c>
      <c r="W615" s="30" t="s">
        <v>107</v>
      </c>
      <c r="X615" s="30" t="s">
        <v>56</v>
      </c>
      <c r="Y615" s="30" t="s">
        <v>2020</v>
      </c>
      <c r="Z615" s="30" t="s">
        <v>1915</v>
      </c>
      <c r="AA615" s="30" t="s">
        <v>1961</v>
      </c>
      <c r="AB615" s="30" t="s">
        <v>56</v>
      </c>
      <c r="AC615" s="30" t="s">
        <v>2021</v>
      </c>
    </row>
    <row r="616" spans="1:29">
      <c r="A616" s="24" t="s">
        <v>2022</v>
      </c>
      <c r="B616" s="24" t="str">
        <f>IF(ISNUMBER(SEARCH(E616,A616)),A616,IF(OR(E616="",E616=""),A616,A616&amp;" - "&amp;E616))</f>
        <v>GROW 10:15 CAN (Cannabisextrakt)</v>
      </c>
      <c r="C616" s="24" t="s">
        <v>1323</v>
      </c>
      <c r="D616" s="24" t="s">
        <v>1324</v>
      </c>
      <c r="E616" s="24" t="s">
        <v>56</v>
      </c>
      <c r="F616" s="24" t="s">
        <v>51</v>
      </c>
      <c r="G616" s="27"/>
      <c r="H616" s="28"/>
      <c r="I616" s="24">
        <v>10</v>
      </c>
      <c r="J616" s="24">
        <v>15</v>
      </c>
      <c r="K616" s="24" t="s">
        <v>1913</v>
      </c>
      <c r="L616" s="24" t="s">
        <v>53</v>
      </c>
      <c r="M616" s="24" t="s">
        <v>212</v>
      </c>
      <c r="N616" s="24" t="s">
        <v>121</v>
      </c>
      <c r="O616" s="24" t="s">
        <v>72</v>
      </c>
      <c r="P616" s="24" t="s">
        <v>56</v>
      </c>
      <c r="Q616" s="24" t="s">
        <v>56</v>
      </c>
      <c r="R616" s="24" t="s">
        <v>56</v>
      </c>
      <c r="S616" s="24" t="s">
        <v>56</v>
      </c>
      <c r="T616" s="24" t="s">
        <v>56</v>
      </c>
      <c r="U616" s="24" t="s">
        <v>56</v>
      </c>
      <c r="V616" s="24" t="s">
        <v>77</v>
      </c>
      <c r="W616" s="24" t="s">
        <v>116</v>
      </c>
      <c r="X616" s="24" t="s">
        <v>129</v>
      </c>
      <c r="Y616" s="24" t="s">
        <v>2023</v>
      </c>
      <c r="Z616" s="24" t="s">
        <v>1915</v>
      </c>
      <c r="AA616" s="24" t="s">
        <v>1326</v>
      </c>
      <c r="AB616" s="24" t="s">
        <v>56</v>
      </c>
      <c r="AC616" s="24" t="s">
        <v>2024</v>
      </c>
    </row>
    <row r="617" spans="1:29">
      <c r="A617" s="30" t="s">
        <v>2025</v>
      </c>
      <c r="B617" s="30" t="str">
        <f>IF(ISNUMBER(SEARCH(E617,A617)),A617,IF(OR(E617="",E617=""),A617,A617&amp;" - "&amp;E617))</f>
        <v>Cannamedical Cannabisextrakt THC20:CBD20</v>
      </c>
      <c r="C617" s="30" t="s">
        <v>48</v>
      </c>
      <c r="D617" s="30" t="s">
        <v>49</v>
      </c>
      <c r="E617" s="30" t="s">
        <v>56</v>
      </c>
      <c r="F617" s="30" t="s">
        <v>51</v>
      </c>
      <c r="G617" s="34"/>
      <c r="H617" s="35"/>
      <c r="I617" s="30">
        <v>20</v>
      </c>
      <c r="J617" s="30">
        <v>20</v>
      </c>
      <c r="K617" s="30" t="s">
        <v>1913</v>
      </c>
      <c r="L617" s="30" t="s">
        <v>145</v>
      </c>
      <c r="M617" s="30" t="s">
        <v>56</v>
      </c>
      <c r="N617" s="30"/>
      <c r="O617" s="30" t="s">
        <v>56</v>
      </c>
      <c r="P617" s="30" t="s">
        <v>56</v>
      </c>
      <c r="Q617" s="30" t="s">
        <v>56</v>
      </c>
      <c r="R617" s="30" t="s">
        <v>56</v>
      </c>
      <c r="S617" s="30" t="s">
        <v>56</v>
      </c>
      <c r="T617" s="30" t="s">
        <v>56</v>
      </c>
      <c r="U617" s="30" t="s">
        <v>56</v>
      </c>
      <c r="V617" s="30" t="s">
        <v>56</v>
      </c>
      <c r="W617" s="30"/>
      <c r="X617" s="30" t="s">
        <v>56</v>
      </c>
      <c r="Y617" s="30" t="s">
        <v>707</v>
      </c>
      <c r="Z617" s="30" t="s">
        <v>1915</v>
      </c>
      <c r="AA617" s="30" t="s">
        <v>49</v>
      </c>
      <c r="AB617" s="30" t="s">
        <v>56</v>
      </c>
      <c r="AC617" s="30" t="s">
        <v>2026</v>
      </c>
    </row>
    <row r="618" spans="1:29">
      <c r="A618" s="24" t="s">
        <v>2027</v>
      </c>
      <c r="B618" s="24" t="str">
        <f>IF(ISNUMBER(SEARCH(E618,A618)),A618,IF(OR(E618="",E618=""),A618,A618&amp;" - "&amp;E618))</f>
        <v>Cannamedical Cannabisextrakt THC12,5:CBD12,5 Strawberry Ice</v>
      </c>
      <c r="C618" s="24" t="s">
        <v>48</v>
      </c>
      <c r="D618" s="24" t="s">
        <v>49</v>
      </c>
      <c r="E618" s="24" t="s">
        <v>56</v>
      </c>
      <c r="F618" s="24" t="s">
        <v>51</v>
      </c>
      <c r="G618" s="27"/>
      <c r="H618" s="28"/>
      <c r="I618" s="24">
        <v>12.5</v>
      </c>
      <c r="J618" s="24">
        <v>12.5</v>
      </c>
      <c r="K618" s="24" t="s">
        <v>1913</v>
      </c>
      <c r="L618" s="24"/>
      <c r="M618" s="24" t="s">
        <v>54</v>
      </c>
      <c r="N618" s="24" t="s">
        <v>111</v>
      </c>
      <c r="O618" s="24" t="s">
        <v>88</v>
      </c>
      <c r="P618" s="24" t="s">
        <v>56</v>
      </c>
      <c r="Q618" s="24" t="s">
        <v>56</v>
      </c>
      <c r="R618" s="24" t="s">
        <v>56</v>
      </c>
      <c r="S618" s="24" t="s">
        <v>56</v>
      </c>
      <c r="T618" s="24" t="s">
        <v>56</v>
      </c>
      <c r="U618" s="24" t="s">
        <v>56</v>
      </c>
      <c r="V618" s="24" t="s">
        <v>77</v>
      </c>
      <c r="W618" s="24" t="s">
        <v>116</v>
      </c>
      <c r="X618" s="24" t="s">
        <v>79</v>
      </c>
      <c r="Y618" s="24" t="s">
        <v>2023</v>
      </c>
      <c r="Z618" s="24" t="s">
        <v>1915</v>
      </c>
      <c r="AA618" s="24" t="s">
        <v>49</v>
      </c>
      <c r="AB618" s="24" t="s">
        <v>56</v>
      </c>
      <c r="AC618" s="24" t="s">
        <v>2028</v>
      </c>
    </row>
    <row r="619" spans="1:29">
      <c r="A619" s="30" t="s">
        <v>2029</v>
      </c>
      <c r="B619" s="30" t="str">
        <f>IF(ISNUMBER(SEARCH(E619,A619)),A619,IF(OR(E619="",E619=""),A619,A619&amp;" - "&amp;E619))</f>
        <v>Cannamedical Cannabisextrakt THC20:CBD5</v>
      </c>
      <c r="C619" s="30" t="s">
        <v>48</v>
      </c>
      <c r="D619" s="30" t="s">
        <v>49</v>
      </c>
      <c r="E619" s="30" t="s">
        <v>56</v>
      </c>
      <c r="F619" s="30" t="s">
        <v>51</v>
      </c>
      <c r="G619" s="34"/>
      <c r="H619" s="35"/>
      <c r="I619" s="30">
        <v>20</v>
      </c>
      <c r="J619" s="30">
        <v>5</v>
      </c>
      <c r="K619" s="30" t="s">
        <v>1913</v>
      </c>
      <c r="L619" s="30"/>
      <c r="M619" s="30" t="s">
        <v>56</v>
      </c>
      <c r="N619" s="30"/>
      <c r="O619" s="30" t="s">
        <v>56</v>
      </c>
      <c r="P619" s="30" t="s">
        <v>56</v>
      </c>
      <c r="Q619" s="30" t="s">
        <v>56</v>
      </c>
      <c r="R619" s="30" t="s">
        <v>56</v>
      </c>
      <c r="S619" s="30" t="s">
        <v>56</v>
      </c>
      <c r="T619" s="30" t="s">
        <v>56</v>
      </c>
      <c r="U619" s="30" t="s">
        <v>56</v>
      </c>
      <c r="V619" s="30" t="s">
        <v>56</v>
      </c>
      <c r="W619" s="30"/>
      <c r="X619" s="30" t="s">
        <v>56</v>
      </c>
      <c r="Y619" s="30" t="s">
        <v>2030</v>
      </c>
      <c r="Z619" s="30" t="s">
        <v>1915</v>
      </c>
      <c r="AA619" s="30" t="s">
        <v>49</v>
      </c>
      <c r="AB619" s="30" t="s">
        <v>56</v>
      </c>
      <c r="AC619" s="30" t="s">
        <v>2031</v>
      </c>
    </row>
    <row r="620" spans="1:29">
      <c r="A620" s="24" t="s">
        <v>2032</v>
      </c>
      <c r="B620" s="24" t="str">
        <f>IF(ISNUMBER(SEARCH(E620,A620)),A620,IF(OR(E620="",E620=""),A620,A620&amp;" - "&amp;E620))</f>
        <v>Cannamedical Cannabisextrakt THC10:CBD10</v>
      </c>
      <c r="C620" s="24" t="s">
        <v>48</v>
      </c>
      <c r="D620" s="24" t="s">
        <v>49</v>
      </c>
      <c r="E620" s="24" t="s">
        <v>56</v>
      </c>
      <c r="F620" s="24" t="s">
        <v>51</v>
      </c>
      <c r="G620" s="27"/>
      <c r="H620" s="28"/>
      <c r="I620" s="24">
        <v>10</v>
      </c>
      <c r="J620" s="24">
        <v>10</v>
      </c>
      <c r="K620" s="24" t="s">
        <v>1913</v>
      </c>
      <c r="L620" s="24" t="s">
        <v>145</v>
      </c>
      <c r="M620" s="24" t="s">
        <v>56</v>
      </c>
      <c r="N620" s="24"/>
      <c r="O620" s="24" t="s">
        <v>56</v>
      </c>
      <c r="P620" s="24" t="s">
        <v>56</v>
      </c>
      <c r="Q620" s="24" t="s">
        <v>56</v>
      </c>
      <c r="R620" s="24" t="s">
        <v>56</v>
      </c>
      <c r="S620" s="24" t="s">
        <v>56</v>
      </c>
      <c r="T620" s="24" t="s">
        <v>56</v>
      </c>
      <c r="U620" s="24" t="s">
        <v>56</v>
      </c>
      <c r="V620" s="24" t="s">
        <v>56</v>
      </c>
      <c r="W620" s="24"/>
      <c r="X620" s="24" t="s">
        <v>56</v>
      </c>
      <c r="Y620" s="24" t="s">
        <v>2033</v>
      </c>
      <c r="Z620" s="24" t="s">
        <v>1915</v>
      </c>
      <c r="AA620" s="24" t="s">
        <v>49</v>
      </c>
      <c r="AB620" s="24" t="s">
        <v>56</v>
      </c>
      <c r="AC620" s="24" t="s">
        <v>2034</v>
      </c>
    </row>
    <row r="621" spans="1:29">
      <c r="A621" s="30" t="s">
        <v>2035</v>
      </c>
      <c r="B621" s="30" t="str">
        <f>IF(ISNUMBER(SEARCH(E621,A621)),A621,IF(OR(E621="",E621=""),A621,A621&amp;" - "&amp;E621))</f>
        <v>Cannamedical THC Extrakt THC25 ("El Jefe")</v>
      </c>
      <c r="C621" s="30" t="s">
        <v>48</v>
      </c>
      <c r="D621" s="30" t="s">
        <v>49</v>
      </c>
      <c r="E621" s="30" t="s">
        <v>56</v>
      </c>
      <c r="F621" s="30" t="s">
        <v>120</v>
      </c>
      <c r="G621" s="34"/>
      <c r="H621" s="35"/>
      <c r="I621" s="30">
        <v>25</v>
      </c>
      <c r="J621" s="30">
        <v>1</v>
      </c>
      <c r="K621" s="30" t="s">
        <v>1913</v>
      </c>
      <c r="L621" s="30" t="s">
        <v>70</v>
      </c>
      <c r="M621" s="30" t="s">
        <v>121</v>
      </c>
      <c r="N621" s="30" t="s">
        <v>72</v>
      </c>
      <c r="O621" s="30" t="s">
        <v>56</v>
      </c>
      <c r="P621" s="30" t="s">
        <v>56</v>
      </c>
      <c r="Q621" s="30" t="s">
        <v>56</v>
      </c>
      <c r="R621" s="30" t="s">
        <v>56</v>
      </c>
      <c r="S621" s="30" t="s">
        <v>56</v>
      </c>
      <c r="T621" s="30" t="s">
        <v>56</v>
      </c>
      <c r="U621" s="30" t="s">
        <v>56</v>
      </c>
      <c r="V621" s="30" t="s">
        <v>77</v>
      </c>
      <c r="W621" s="30" t="s">
        <v>116</v>
      </c>
      <c r="X621" s="30" t="s">
        <v>129</v>
      </c>
      <c r="Y621" s="30" t="s">
        <v>2036</v>
      </c>
      <c r="Z621" s="30" t="s">
        <v>1915</v>
      </c>
      <c r="AA621" s="30" t="s">
        <v>49</v>
      </c>
      <c r="AB621" s="30" t="s">
        <v>56</v>
      </c>
      <c r="AC621" s="30" t="s">
        <v>2037</v>
      </c>
    </row>
    <row r="622" spans="1:29">
      <c r="A622" s="24" t="s">
        <v>2038</v>
      </c>
      <c r="B622" s="24" t="str">
        <f>IF(ISNUMBER(SEARCH(E622,A622)),A622,IF(OR(E622="",E622=""),A622,A622&amp;" - "&amp;E622))</f>
        <v>Cannabisextrakt Avextra 2.5/100</v>
      </c>
      <c r="C622" s="24" t="s">
        <v>2001</v>
      </c>
      <c r="D622" s="24" t="s">
        <v>2002</v>
      </c>
      <c r="E622" s="24" t="s">
        <v>56</v>
      </c>
      <c r="F622" s="24" t="s">
        <v>51</v>
      </c>
      <c r="G622" s="27"/>
      <c r="H622" s="28"/>
      <c r="I622" s="24">
        <v>2.5</v>
      </c>
      <c r="J622" s="24">
        <v>100</v>
      </c>
      <c r="K622" s="24" t="s">
        <v>2003</v>
      </c>
      <c r="L622" s="24"/>
      <c r="M622" s="24" t="s">
        <v>88</v>
      </c>
      <c r="N622" s="24" t="s">
        <v>55</v>
      </c>
      <c r="O622" s="24" t="s">
        <v>178</v>
      </c>
      <c r="P622" s="24" t="s">
        <v>56</v>
      </c>
      <c r="Q622" s="24" t="s">
        <v>56</v>
      </c>
      <c r="R622" s="24" t="s">
        <v>56</v>
      </c>
      <c r="S622" s="24" t="s">
        <v>56</v>
      </c>
      <c r="T622" s="24" t="s">
        <v>56</v>
      </c>
      <c r="U622" s="24" t="s">
        <v>56</v>
      </c>
      <c r="V622" s="24" t="s">
        <v>92</v>
      </c>
      <c r="W622" s="24" t="s">
        <v>77</v>
      </c>
      <c r="X622" s="24" t="s">
        <v>129</v>
      </c>
      <c r="Y622" s="24" t="s">
        <v>2039</v>
      </c>
      <c r="Z622" s="24" t="s">
        <v>1915</v>
      </c>
      <c r="AA622" s="24" t="s">
        <v>2002</v>
      </c>
      <c r="AB622" s="24" t="s">
        <v>56</v>
      </c>
      <c r="AC622" s="24" t="s">
        <v>2040</v>
      </c>
    </row>
    <row r="623" spans="1:29">
      <c r="A623" s="30" t="s">
        <v>2041</v>
      </c>
      <c r="B623" s="30" t="str">
        <f>IF(ISNUMBER(SEARCH(E623,A623)),A623,IF(OR(E623="",E623=""),A623,A623&amp;" - "&amp;E623))</f>
        <v>Vertanical THC 50 (Cannabisextrakt)</v>
      </c>
      <c r="C623" s="30" t="s">
        <v>2042</v>
      </c>
      <c r="D623" s="30" t="s">
        <v>2043</v>
      </c>
      <c r="E623" s="30" t="s">
        <v>56</v>
      </c>
      <c r="F623" s="30" t="s">
        <v>51</v>
      </c>
      <c r="G623" s="34"/>
      <c r="H623" s="35"/>
      <c r="I623" s="30">
        <v>50</v>
      </c>
      <c r="J623" s="30" t="s">
        <v>1927</v>
      </c>
      <c r="K623" s="30" t="s">
        <v>1918</v>
      </c>
      <c r="L623" s="30" t="s">
        <v>87</v>
      </c>
      <c r="M623" s="30" t="s">
        <v>56</v>
      </c>
      <c r="N623" s="30"/>
      <c r="O623" s="30" t="s">
        <v>56</v>
      </c>
      <c r="P623" s="30" t="s">
        <v>56</v>
      </c>
      <c r="Q623" s="30" t="s">
        <v>56</v>
      </c>
      <c r="R623" s="30" t="s">
        <v>56</v>
      </c>
      <c r="S623" s="30" t="s">
        <v>56</v>
      </c>
      <c r="T623" s="30" t="s">
        <v>56</v>
      </c>
      <c r="U623" s="30" t="s">
        <v>56</v>
      </c>
      <c r="V623" s="30" t="s">
        <v>56</v>
      </c>
      <c r="W623" s="30"/>
      <c r="X623" s="30" t="s">
        <v>56</v>
      </c>
      <c r="Y623" s="30" t="s">
        <v>2044</v>
      </c>
      <c r="Z623" s="30" t="s">
        <v>1915</v>
      </c>
      <c r="AA623" s="30" t="s">
        <v>2043</v>
      </c>
      <c r="AB623" s="30" t="s">
        <v>56</v>
      </c>
      <c r="AC623" s="30" t="s">
        <v>2045</v>
      </c>
    </row>
    <row r="624" spans="1:29">
      <c r="A624" s="24" t="s">
        <v>2046</v>
      </c>
      <c r="B624" s="24" t="str">
        <f>IF(ISNUMBER(SEARCH(E624,A624)),A624,IF(OR(E624="",E624=""),A624,A624&amp;" - "&amp;E624))</f>
        <v>Cannamedical Hybrid Cannabisextrakt THC25:CBD25</v>
      </c>
      <c r="C624" s="24" t="s">
        <v>48</v>
      </c>
      <c r="D624" s="24" t="s">
        <v>49</v>
      </c>
      <c r="E624" s="24" t="s">
        <v>56</v>
      </c>
      <c r="F624" s="24" t="s">
        <v>51</v>
      </c>
      <c r="G624" s="27"/>
      <c r="H624" s="28"/>
      <c r="I624" s="24">
        <v>25</v>
      </c>
      <c r="J624" s="24">
        <v>25</v>
      </c>
      <c r="K624" s="24" t="s">
        <v>1918</v>
      </c>
      <c r="L624" s="24" t="s">
        <v>102</v>
      </c>
      <c r="M624" s="24" t="s">
        <v>56</v>
      </c>
      <c r="N624" s="24"/>
      <c r="O624" s="24" t="s">
        <v>56</v>
      </c>
      <c r="P624" s="24" t="s">
        <v>56</v>
      </c>
      <c r="Q624" s="24" t="s">
        <v>56</v>
      </c>
      <c r="R624" s="24" t="s">
        <v>56</v>
      </c>
      <c r="S624" s="24" t="s">
        <v>56</v>
      </c>
      <c r="T624" s="24" t="s">
        <v>56</v>
      </c>
      <c r="U624" s="24" t="s">
        <v>56</v>
      </c>
      <c r="V624" s="24" t="s">
        <v>56</v>
      </c>
      <c r="W624" s="24"/>
      <c r="X624" s="24" t="s">
        <v>56</v>
      </c>
      <c r="Y624" s="24" t="s">
        <v>2047</v>
      </c>
      <c r="Z624" s="24" t="s">
        <v>1915</v>
      </c>
      <c r="AA624" s="24" t="s">
        <v>49</v>
      </c>
      <c r="AB624" s="24" t="s">
        <v>56</v>
      </c>
      <c r="AC624" s="24" t="s">
        <v>2048</v>
      </c>
    </row>
    <row r="625" spans="1:29">
      <c r="A625" s="30" t="s">
        <v>2049</v>
      </c>
      <c r="B625" s="30" t="str">
        <f>IF(ISNUMBER(SEARCH(E625,A625)),A625,IF(OR(E625="",E625=""),A625,A625&amp;" - "&amp;E625))</f>
        <v>SOMAI Cannabisextrakt Hybrid 50:1</v>
      </c>
      <c r="C625" s="30" t="s">
        <v>1957</v>
      </c>
      <c r="D625" s="30" t="s">
        <v>1958</v>
      </c>
      <c r="E625" s="30" t="s">
        <v>56</v>
      </c>
      <c r="F625" s="30" t="s">
        <v>86</v>
      </c>
      <c r="G625" s="34"/>
      <c r="H625" s="35"/>
      <c r="I625" s="30">
        <v>50</v>
      </c>
      <c r="J625" s="30" t="s">
        <v>1927</v>
      </c>
      <c r="K625" s="30"/>
      <c r="L625" s="30" t="s">
        <v>102</v>
      </c>
      <c r="M625" s="30" t="s">
        <v>54</v>
      </c>
      <c r="N625" s="30" t="s">
        <v>88</v>
      </c>
      <c r="O625" s="30" t="s">
        <v>72</v>
      </c>
      <c r="P625" s="30" t="s">
        <v>56</v>
      </c>
      <c r="Q625" s="30" t="s">
        <v>56</v>
      </c>
      <c r="R625" s="30" t="s">
        <v>56</v>
      </c>
      <c r="S625" s="30" t="s">
        <v>106</v>
      </c>
      <c r="T625" s="30" t="s">
        <v>62</v>
      </c>
      <c r="U625" s="30" t="s">
        <v>56</v>
      </c>
      <c r="V625" s="30" t="s">
        <v>77</v>
      </c>
      <c r="W625" s="30" t="s">
        <v>107</v>
      </c>
      <c r="X625" s="30" t="s">
        <v>56</v>
      </c>
      <c r="Y625" s="30" t="s">
        <v>2050</v>
      </c>
      <c r="Z625" s="30" t="s">
        <v>1915</v>
      </c>
      <c r="AA625" s="30" t="s">
        <v>1961</v>
      </c>
      <c r="AB625" s="30" t="s">
        <v>56</v>
      </c>
      <c r="AC625" s="30" t="s">
        <v>2051</v>
      </c>
    </row>
    <row r="626" spans="1:29">
      <c r="A626" s="24" t="s">
        <v>2052</v>
      </c>
      <c r="B626" s="24" t="str">
        <f>IF(ISNUMBER(SEARCH(E626,A626)),A626,IF(OR(E626="",E626=""),A626,A626&amp;" - "&amp;E626))</f>
        <v>A+ Kineo Cannabisextrakt 10THC 10CBD</v>
      </c>
      <c r="C626" s="24" t="s">
        <v>2053</v>
      </c>
      <c r="D626" s="24" t="s">
        <v>2054</v>
      </c>
      <c r="E626" s="24" t="s">
        <v>56</v>
      </c>
      <c r="F626" s="24" t="s">
        <v>86</v>
      </c>
      <c r="G626" s="25"/>
      <c r="H626" s="28"/>
      <c r="I626" s="24">
        <v>10</v>
      </c>
      <c r="J626" s="24">
        <v>10</v>
      </c>
      <c r="K626" s="24" t="s">
        <v>1913</v>
      </c>
      <c r="L626" s="24"/>
      <c r="M626" s="24" t="s">
        <v>156</v>
      </c>
      <c r="N626" s="24" t="s">
        <v>72</v>
      </c>
      <c r="O626" s="24"/>
      <c r="P626" s="24" t="s">
        <v>56</v>
      </c>
      <c r="Q626" s="24" t="s">
        <v>56</v>
      </c>
      <c r="R626" s="24" t="s">
        <v>56</v>
      </c>
      <c r="S626" s="24" t="s">
        <v>62</v>
      </c>
      <c r="T626" s="24" t="s">
        <v>430</v>
      </c>
      <c r="U626" s="24" t="s">
        <v>56</v>
      </c>
      <c r="V626" s="24" t="s">
        <v>129</v>
      </c>
      <c r="W626" s="24" t="s">
        <v>138</v>
      </c>
      <c r="X626" s="24" t="s">
        <v>56</v>
      </c>
      <c r="Y626" s="24" t="s">
        <v>56</v>
      </c>
      <c r="Z626" s="24" t="s">
        <v>1915</v>
      </c>
      <c r="AA626" s="57" t="s">
        <v>2054</v>
      </c>
      <c r="AB626" s="24" t="s">
        <v>56</v>
      </c>
      <c r="AC626" s="24" t="s">
        <v>2055</v>
      </c>
    </row>
    <row r="627" spans="1:29">
      <c r="A627" s="30" t="s">
        <v>2056</v>
      </c>
      <c r="B627" s="30" t="str">
        <f>IF(ISNUMBER(SEARCH(E627,A627)),A627,IF(OR(E627="",E627=""),A627,A627&amp;" - "&amp;E627))</f>
        <v>ADREX 1/25 CBD Extrakt</v>
      </c>
      <c r="C627" s="30" t="s">
        <v>911</v>
      </c>
      <c r="D627" s="30" t="s">
        <v>912</v>
      </c>
      <c r="E627" s="30" t="s">
        <v>56</v>
      </c>
      <c r="F627" s="30" t="s">
        <v>51</v>
      </c>
      <c r="G627" s="34"/>
      <c r="H627" s="35"/>
      <c r="I627" s="30">
        <v>1</v>
      </c>
      <c r="J627" s="30">
        <v>25</v>
      </c>
      <c r="K627" s="30" t="s">
        <v>1918</v>
      </c>
      <c r="L627" s="30" t="s">
        <v>70</v>
      </c>
      <c r="M627" s="30" t="s">
        <v>56</v>
      </c>
      <c r="N627" s="30"/>
      <c r="O627" s="30"/>
      <c r="P627" s="30" t="s">
        <v>56</v>
      </c>
      <c r="Q627" s="30" t="s">
        <v>56</v>
      </c>
      <c r="R627" s="30" t="s">
        <v>56</v>
      </c>
      <c r="S627" s="30" t="s">
        <v>56</v>
      </c>
      <c r="T627" s="30" t="s">
        <v>56</v>
      </c>
      <c r="U627" s="30" t="s">
        <v>56</v>
      </c>
      <c r="V627" s="30" t="s">
        <v>56</v>
      </c>
      <c r="W627" s="30"/>
      <c r="X627" s="30" t="s">
        <v>56</v>
      </c>
      <c r="Y627" s="30" t="s">
        <v>2004</v>
      </c>
      <c r="Z627" s="30" t="s">
        <v>1915</v>
      </c>
      <c r="AA627" s="30" t="s">
        <v>912</v>
      </c>
      <c r="AB627" s="30" t="s">
        <v>56</v>
      </c>
      <c r="AC627" s="30" t="s">
        <v>2057</v>
      </c>
    </row>
    <row r="628" spans="1:29">
      <c r="A628" s="24" t="s">
        <v>2058</v>
      </c>
      <c r="B628" s="24" t="str">
        <f>IF(ISNUMBER(SEARCH(E628,A628)),A628,IF(OR(E628="",E628=""),A628,A628&amp;" - "&amp;E628))</f>
        <v>ADREX 10/10 Extrakt</v>
      </c>
      <c r="C628" s="24" t="s">
        <v>911</v>
      </c>
      <c r="D628" s="24" t="s">
        <v>912</v>
      </c>
      <c r="E628" s="24" t="s">
        <v>56</v>
      </c>
      <c r="F628" s="24" t="s">
        <v>51</v>
      </c>
      <c r="G628" s="25"/>
      <c r="H628" s="28"/>
      <c r="I628" s="24">
        <v>10</v>
      </c>
      <c r="J628" s="24">
        <v>10</v>
      </c>
      <c r="K628" s="24" t="s">
        <v>1918</v>
      </c>
      <c r="L628" s="24" t="s">
        <v>70</v>
      </c>
      <c r="M628" s="24" t="s">
        <v>56</v>
      </c>
      <c r="N628" s="24"/>
      <c r="O628" s="24" t="s">
        <v>56</v>
      </c>
      <c r="P628" s="24" t="s">
        <v>56</v>
      </c>
      <c r="Q628" s="24" t="s">
        <v>56</v>
      </c>
      <c r="R628" s="24" t="s">
        <v>56</v>
      </c>
      <c r="S628" s="24" t="s">
        <v>56</v>
      </c>
      <c r="T628" s="24" t="s">
        <v>56</v>
      </c>
      <c r="U628" s="24" t="s">
        <v>56</v>
      </c>
      <c r="V628" s="24" t="s">
        <v>56</v>
      </c>
      <c r="W628" s="24"/>
      <c r="X628" s="24" t="s">
        <v>56</v>
      </c>
      <c r="Y628" s="24" t="s">
        <v>2004</v>
      </c>
      <c r="Z628" s="24" t="s">
        <v>1915</v>
      </c>
      <c r="AA628" s="24" t="s">
        <v>912</v>
      </c>
      <c r="AB628" s="24" t="s">
        <v>56</v>
      </c>
      <c r="AC628" s="24" t="s">
        <v>2059</v>
      </c>
    </row>
    <row r="629" spans="1:29">
      <c r="A629" s="30" t="s">
        <v>2060</v>
      </c>
      <c r="B629" s="30" t="str">
        <f>IF(ISNUMBER(SEARCH(E629,A629)),A629,IF(OR(E629="",E629=""),A629,A629&amp;" - "&amp;E629))</f>
        <v>ADREX 25/1 THC Extrakt</v>
      </c>
      <c r="C629" s="30" t="s">
        <v>911</v>
      </c>
      <c r="D629" s="30" t="s">
        <v>912</v>
      </c>
      <c r="E629" s="30" t="s">
        <v>56</v>
      </c>
      <c r="F629" s="30" t="s">
        <v>51</v>
      </c>
      <c r="G629" s="31"/>
      <c r="H629" s="35"/>
      <c r="I629" s="30">
        <v>25</v>
      </c>
      <c r="J629" s="30">
        <v>1</v>
      </c>
      <c r="K629" s="30" t="s">
        <v>1918</v>
      </c>
      <c r="L629" s="30" t="s">
        <v>70</v>
      </c>
      <c r="M629" s="30" t="s">
        <v>56</v>
      </c>
      <c r="N629" s="30"/>
      <c r="O629" s="30" t="s">
        <v>56</v>
      </c>
      <c r="P629" s="30" t="s">
        <v>56</v>
      </c>
      <c r="Q629" s="30" t="s">
        <v>56</v>
      </c>
      <c r="R629" s="30" t="s">
        <v>56</v>
      </c>
      <c r="S629" s="30" t="s">
        <v>56</v>
      </c>
      <c r="T629" s="30" t="s">
        <v>56</v>
      </c>
      <c r="U629" s="30" t="s">
        <v>56</v>
      </c>
      <c r="V629" s="30" t="s">
        <v>56</v>
      </c>
      <c r="W629" s="30"/>
      <c r="X629" s="30" t="s">
        <v>56</v>
      </c>
      <c r="Y629" s="30" t="s">
        <v>2020</v>
      </c>
      <c r="Z629" s="30" t="s">
        <v>1915</v>
      </c>
      <c r="AA629" s="30" t="s">
        <v>912</v>
      </c>
      <c r="AB629" s="30" t="s">
        <v>56</v>
      </c>
      <c r="AC629" s="30" t="s">
        <v>2061</v>
      </c>
    </row>
    <row r="630" spans="1:29">
      <c r="A630" s="24" t="s">
        <v>2062</v>
      </c>
      <c r="B630" s="24" t="s">
        <v>2062</v>
      </c>
      <c r="C630" s="24" t="s">
        <v>911</v>
      </c>
      <c r="D630" s="24" t="s">
        <v>912</v>
      </c>
      <c r="E630" s="24" t="s">
        <v>56</v>
      </c>
      <c r="F630" s="24" t="s">
        <v>51</v>
      </c>
      <c r="G630" s="25"/>
      <c r="H630" s="28"/>
      <c r="I630" s="24">
        <v>25</v>
      </c>
      <c r="J630" s="24">
        <v>25</v>
      </c>
      <c r="K630" s="24" t="s">
        <v>1918</v>
      </c>
      <c r="L630" s="24" t="s">
        <v>70</v>
      </c>
      <c r="M630" s="24" t="s">
        <v>56</v>
      </c>
      <c r="N630" s="24"/>
      <c r="O630" s="24" t="s">
        <v>56</v>
      </c>
      <c r="P630" s="24" t="s">
        <v>56</v>
      </c>
      <c r="Q630" s="24" t="s">
        <v>56</v>
      </c>
      <c r="R630" s="24" t="s">
        <v>56</v>
      </c>
      <c r="S630" s="24" t="s">
        <v>56</v>
      </c>
      <c r="T630" s="24" t="s">
        <v>56</v>
      </c>
      <c r="U630" s="24" t="s">
        <v>56</v>
      </c>
      <c r="V630" s="24" t="s">
        <v>56</v>
      </c>
      <c r="W630" s="24"/>
      <c r="X630" s="24" t="s">
        <v>56</v>
      </c>
      <c r="Y630" s="24" t="s">
        <v>1354</v>
      </c>
      <c r="Z630" s="24" t="s">
        <v>1915</v>
      </c>
      <c r="AA630" s="24" t="s">
        <v>912</v>
      </c>
      <c r="AB630" s="24" t="s">
        <v>56</v>
      </c>
      <c r="AC630" s="24" t="s">
        <v>2063</v>
      </c>
    </row>
    <row r="631" spans="1:29">
      <c r="A631" s="30" t="s">
        <v>2064</v>
      </c>
      <c r="B631" s="30" t="str">
        <f>IF(ISNUMBER(SEARCH(E631,A631)),A631,IF(OR(E631="",E631=""),A631,A631&amp;" - "&amp;E631))</f>
        <v>Adven 0/50 (Cannabisextrakt)</v>
      </c>
      <c r="C631" s="30" t="s">
        <v>2065</v>
      </c>
      <c r="D631" s="30" t="s">
        <v>2066</v>
      </c>
      <c r="E631" s="30" t="s">
        <v>56</v>
      </c>
      <c r="F631" s="30" t="s">
        <v>51</v>
      </c>
      <c r="G631" s="34"/>
      <c r="H631" s="35"/>
      <c r="I631" s="30">
        <v>0</v>
      </c>
      <c r="J631" s="30">
        <v>50</v>
      </c>
      <c r="K631" s="30" t="s">
        <v>1918</v>
      </c>
      <c r="L631" s="30" t="s">
        <v>423</v>
      </c>
      <c r="M631" s="30" t="s">
        <v>56</v>
      </c>
      <c r="N631" s="30"/>
      <c r="O631" s="30" t="s">
        <v>56</v>
      </c>
      <c r="P631" s="30" t="s">
        <v>56</v>
      </c>
      <c r="Q631" s="30" t="s">
        <v>56</v>
      </c>
      <c r="R631" s="30" t="s">
        <v>56</v>
      </c>
      <c r="S631" s="30" t="s">
        <v>56</v>
      </c>
      <c r="T631" s="30" t="s">
        <v>56</v>
      </c>
      <c r="U631" s="30" t="s">
        <v>56</v>
      </c>
      <c r="V631" s="30" t="s">
        <v>56</v>
      </c>
      <c r="W631" s="30"/>
      <c r="X631" s="30" t="s">
        <v>56</v>
      </c>
      <c r="Y631" s="30" t="s">
        <v>1354</v>
      </c>
      <c r="Z631" s="30" t="s">
        <v>1915</v>
      </c>
      <c r="AA631" s="30" t="s">
        <v>2066</v>
      </c>
      <c r="AB631" s="30" t="s">
        <v>56</v>
      </c>
      <c r="AC631" s="30" t="s">
        <v>2067</v>
      </c>
    </row>
    <row r="632" spans="1:29">
      <c r="A632" s="24" t="s">
        <v>2068</v>
      </c>
      <c r="B632" s="24" t="str">
        <f>IF(ISNUMBER(SEARCH(E632,A632)),A632,IF(OR(E632="",E632=""),A632,A632&amp;" - "&amp;E632))</f>
        <v>Adven 10/0 (Cannabisextrakt)</v>
      </c>
      <c r="C632" s="24" t="s">
        <v>2065</v>
      </c>
      <c r="D632" s="24" t="s">
        <v>2066</v>
      </c>
      <c r="E632" s="24" t="s">
        <v>56</v>
      </c>
      <c r="F632" s="24" t="s">
        <v>120</v>
      </c>
      <c r="G632" s="27"/>
      <c r="H632" s="28"/>
      <c r="I632" s="24">
        <v>10</v>
      </c>
      <c r="J632" s="24" t="s">
        <v>1927</v>
      </c>
      <c r="K632" s="24" t="s">
        <v>1918</v>
      </c>
      <c r="L632" s="24" t="s">
        <v>423</v>
      </c>
      <c r="M632" s="24" t="s">
        <v>54</v>
      </c>
      <c r="N632" s="24" t="s">
        <v>111</v>
      </c>
      <c r="O632" s="24" t="s">
        <v>88</v>
      </c>
      <c r="P632" s="24" t="s">
        <v>56</v>
      </c>
      <c r="Q632" s="24" t="s">
        <v>56</v>
      </c>
      <c r="R632" s="24" t="s">
        <v>56</v>
      </c>
      <c r="S632" s="24" t="s">
        <v>56</v>
      </c>
      <c r="T632" s="24" t="s">
        <v>56</v>
      </c>
      <c r="U632" s="24" t="s">
        <v>56</v>
      </c>
      <c r="V632" s="24" t="s">
        <v>252</v>
      </c>
      <c r="W632" s="24" t="s">
        <v>77</v>
      </c>
      <c r="X632" s="24" t="s">
        <v>253</v>
      </c>
      <c r="Y632" s="24" t="s">
        <v>56</v>
      </c>
      <c r="Z632" s="24" t="s">
        <v>1915</v>
      </c>
      <c r="AA632" s="24" t="s">
        <v>2066</v>
      </c>
      <c r="AB632" s="24" t="s">
        <v>56</v>
      </c>
      <c r="AC632" s="24" t="s">
        <v>2069</v>
      </c>
    </row>
    <row r="633" spans="1:29">
      <c r="A633" s="30" t="s">
        <v>2070</v>
      </c>
      <c r="B633" s="30" t="str">
        <f>IF(ISNUMBER(SEARCH(E633,A633)),A633,IF(OR(E633="",E633=""),A633,A633&amp;" - "&amp;E633))</f>
        <v>Adven 10/10 (Cannabisextrakt)</v>
      </c>
      <c r="C633" s="30" t="s">
        <v>2065</v>
      </c>
      <c r="D633" s="30" t="s">
        <v>2066</v>
      </c>
      <c r="E633" s="30" t="s">
        <v>56</v>
      </c>
      <c r="F633" s="30" t="s">
        <v>120</v>
      </c>
      <c r="G633" s="31"/>
      <c r="H633" s="35"/>
      <c r="I633" s="30">
        <v>10</v>
      </c>
      <c r="J633" s="30">
        <v>10</v>
      </c>
      <c r="K633" s="30" t="s">
        <v>1918</v>
      </c>
      <c r="L633" s="30" t="s">
        <v>423</v>
      </c>
      <c r="M633" s="30" t="s">
        <v>54</v>
      </c>
      <c r="N633" s="30" t="s">
        <v>111</v>
      </c>
      <c r="O633" s="30" t="s">
        <v>88</v>
      </c>
      <c r="P633" s="30" t="s">
        <v>56</v>
      </c>
      <c r="Q633" s="30" t="s">
        <v>56</v>
      </c>
      <c r="R633" s="30" t="s">
        <v>56</v>
      </c>
      <c r="S633" s="30" t="s">
        <v>56</v>
      </c>
      <c r="T633" s="30" t="s">
        <v>56</v>
      </c>
      <c r="U633" s="30" t="s">
        <v>56</v>
      </c>
      <c r="V633" s="30" t="s">
        <v>252</v>
      </c>
      <c r="W633" s="30" t="s">
        <v>77</v>
      </c>
      <c r="X633" s="30" t="s">
        <v>253</v>
      </c>
      <c r="Y633" s="30" t="s">
        <v>2071</v>
      </c>
      <c r="Z633" s="30" t="s">
        <v>1915</v>
      </c>
      <c r="AA633" s="30" t="s">
        <v>2066</v>
      </c>
      <c r="AB633" s="30" t="s">
        <v>56</v>
      </c>
      <c r="AC633" s="30" t="s">
        <v>2072</v>
      </c>
    </row>
    <row r="634" spans="1:29">
      <c r="A634" s="24" t="s">
        <v>2073</v>
      </c>
      <c r="B634" s="24" t="str">
        <f>IF(ISNUMBER(SEARCH(E634,A634)),A634,IF(OR(E634="",E634=""),A634,A634&amp;" - "&amp;E634))</f>
        <v>Adven 10/20 (Cannabisextrakt)</v>
      </c>
      <c r="C634" s="24" t="s">
        <v>2065</v>
      </c>
      <c r="D634" s="24" t="s">
        <v>2066</v>
      </c>
      <c r="E634" s="24" t="s">
        <v>56</v>
      </c>
      <c r="F634" s="24" t="s">
        <v>120</v>
      </c>
      <c r="G634" s="27"/>
      <c r="H634" s="28"/>
      <c r="I634" s="24">
        <v>10</v>
      </c>
      <c r="J634" s="24">
        <v>20</v>
      </c>
      <c r="K634" s="24" t="s">
        <v>1918</v>
      </c>
      <c r="L634" s="24" t="s">
        <v>423</v>
      </c>
      <c r="M634" s="24" t="s">
        <v>54</v>
      </c>
      <c r="N634" s="24" t="s">
        <v>111</v>
      </c>
      <c r="O634" s="24" t="s">
        <v>88</v>
      </c>
      <c r="P634" s="24" t="s">
        <v>56</v>
      </c>
      <c r="Q634" s="24" t="s">
        <v>56</v>
      </c>
      <c r="R634" s="24" t="s">
        <v>56</v>
      </c>
      <c r="S634" s="24" t="s">
        <v>56</v>
      </c>
      <c r="T634" s="24" t="s">
        <v>56</v>
      </c>
      <c r="U634" s="24" t="s">
        <v>56</v>
      </c>
      <c r="V634" s="24" t="s">
        <v>252</v>
      </c>
      <c r="W634" s="24" t="s">
        <v>77</v>
      </c>
      <c r="X634" s="24" t="s">
        <v>253</v>
      </c>
      <c r="Y634" s="24" t="s">
        <v>56</v>
      </c>
      <c r="Z634" s="24" t="s">
        <v>1915</v>
      </c>
      <c r="AA634" s="24" t="s">
        <v>2066</v>
      </c>
      <c r="AB634" s="24" t="s">
        <v>56</v>
      </c>
      <c r="AC634" s="24" t="s">
        <v>2074</v>
      </c>
    </row>
    <row r="635" spans="1:29">
      <c r="A635" s="30" t="s">
        <v>2075</v>
      </c>
      <c r="B635" s="30" t="str">
        <f>IF(ISNUMBER(SEARCH(E635,A635)),A635,IF(OR(E635="",E635=""),A635,A635&amp;" - "&amp;E635))</f>
        <v>Adven 20/0 (Cannabisextrakt)</v>
      </c>
      <c r="C635" s="30" t="s">
        <v>2065</v>
      </c>
      <c r="D635" s="30" t="s">
        <v>2066</v>
      </c>
      <c r="E635" s="30" t="s">
        <v>56</v>
      </c>
      <c r="F635" s="30" t="s">
        <v>120</v>
      </c>
      <c r="G635" s="34"/>
      <c r="H635" s="35"/>
      <c r="I635" s="30">
        <v>20</v>
      </c>
      <c r="J635" s="30" t="s">
        <v>1927</v>
      </c>
      <c r="K635" s="30" t="s">
        <v>1918</v>
      </c>
      <c r="L635" s="30" t="s">
        <v>423</v>
      </c>
      <c r="M635" s="30" t="s">
        <v>54</v>
      </c>
      <c r="N635" s="30" t="s">
        <v>111</v>
      </c>
      <c r="O635" s="30" t="s">
        <v>88</v>
      </c>
      <c r="P635" s="30" t="s">
        <v>56</v>
      </c>
      <c r="Q635" s="30" t="s">
        <v>56</v>
      </c>
      <c r="R635" s="30" t="s">
        <v>56</v>
      </c>
      <c r="S635" s="30" t="s">
        <v>56</v>
      </c>
      <c r="T635" s="30" t="s">
        <v>56</v>
      </c>
      <c r="U635" s="30" t="s">
        <v>56</v>
      </c>
      <c r="V635" s="30" t="s">
        <v>252</v>
      </c>
      <c r="W635" s="30" t="s">
        <v>77</v>
      </c>
      <c r="X635" s="30" t="s">
        <v>253</v>
      </c>
      <c r="Y635" s="30" t="s">
        <v>2071</v>
      </c>
      <c r="Z635" s="30" t="s">
        <v>1915</v>
      </c>
      <c r="AA635" s="30" t="s">
        <v>2066</v>
      </c>
      <c r="AB635" s="30" t="s">
        <v>56</v>
      </c>
      <c r="AC635" s="30" t="s">
        <v>2076</v>
      </c>
    </row>
    <row r="636" spans="1:29">
      <c r="A636" s="24" t="s">
        <v>2077</v>
      </c>
      <c r="B636" s="24" t="str">
        <f>IF(ISNUMBER(SEARCH(E636,A636)),A636,IF(OR(E636="",E636=""),A636,A636&amp;" - "&amp;E636))</f>
        <v>Adven 25/25 Cannabisextrakt EMT-2</v>
      </c>
      <c r="C636" s="24" t="s">
        <v>2065</v>
      </c>
      <c r="D636" s="24" t="s">
        <v>2066</v>
      </c>
      <c r="E636" s="24" t="s">
        <v>56</v>
      </c>
      <c r="F636" s="24" t="s">
        <v>86</v>
      </c>
      <c r="G636" s="27"/>
      <c r="H636" s="28"/>
      <c r="I636" s="24">
        <v>25</v>
      </c>
      <c r="J636" s="24">
        <v>25</v>
      </c>
      <c r="K636" s="24" t="s">
        <v>1918</v>
      </c>
      <c r="L636" s="24"/>
      <c r="M636" s="24" t="s">
        <v>72</v>
      </c>
      <c r="N636" s="24"/>
      <c r="O636" s="24" t="s">
        <v>56</v>
      </c>
      <c r="P636" s="24" t="s">
        <v>56</v>
      </c>
      <c r="Q636" s="24" t="s">
        <v>56</v>
      </c>
      <c r="R636" s="24" t="s">
        <v>56</v>
      </c>
      <c r="S636" s="24" t="s">
        <v>123</v>
      </c>
      <c r="T636" s="24" t="s">
        <v>114</v>
      </c>
      <c r="U636" s="24" t="s">
        <v>62</v>
      </c>
      <c r="V636" s="24" t="s">
        <v>77</v>
      </c>
      <c r="W636" s="24" t="s">
        <v>116</v>
      </c>
      <c r="X636" s="24" t="s">
        <v>107</v>
      </c>
      <c r="Y636" s="24" t="s">
        <v>1741</v>
      </c>
      <c r="Z636" s="24" t="s">
        <v>1915</v>
      </c>
      <c r="AA636" s="24" t="s">
        <v>2066</v>
      </c>
      <c r="AB636" s="24" t="s">
        <v>56</v>
      </c>
      <c r="AC636" s="24" t="s">
        <v>2078</v>
      </c>
    </row>
    <row r="637" spans="1:29">
      <c r="A637" s="30" t="s">
        <v>2079</v>
      </c>
      <c r="B637" s="30" t="str">
        <f>IF(ISNUMBER(SEARCH(E637,A637)),A637,IF(OR(E637="",E637=""),A637,A637&amp;" - "&amp;E637))</f>
        <v>Afina Bedrocan Vollspektrumextrakt 50mg/ml</v>
      </c>
      <c r="C637" s="30" t="s">
        <v>2080</v>
      </c>
      <c r="D637" s="30" t="s">
        <v>2081</v>
      </c>
      <c r="E637" s="30" t="s">
        <v>56</v>
      </c>
      <c r="F637" s="30" t="s">
        <v>86</v>
      </c>
      <c r="G637" s="34"/>
      <c r="H637" s="35"/>
      <c r="I637" s="30">
        <v>50</v>
      </c>
      <c r="J637" s="30" t="s">
        <v>1927</v>
      </c>
      <c r="K637" s="30" t="s">
        <v>1918</v>
      </c>
      <c r="L637" s="30" t="s">
        <v>527</v>
      </c>
      <c r="M637" s="30" t="s">
        <v>54</v>
      </c>
      <c r="N637" s="30" t="s">
        <v>212</v>
      </c>
      <c r="O637" s="30" t="s">
        <v>88</v>
      </c>
      <c r="P637" s="30" t="s">
        <v>56</v>
      </c>
      <c r="Q637" s="30" t="s">
        <v>56</v>
      </c>
      <c r="R637" s="30" t="s">
        <v>56</v>
      </c>
      <c r="S637" s="30" t="s">
        <v>56</v>
      </c>
      <c r="T637" s="30" t="s">
        <v>56</v>
      </c>
      <c r="U637" s="30" t="s">
        <v>56</v>
      </c>
      <c r="V637" s="30" t="s">
        <v>92</v>
      </c>
      <c r="W637" s="30" t="s">
        <v>77</v>
      </c>
      <c r="X637" s="30" t="s">
        <v>165</v>
      </c>
      <c r="Y637" s="30" t="s">
        <v>264</v>
      </c>
      <c r="Z637" s="30" t="s">
        <v>1915</v>
      </c>
      <c r="AA637" s="30" t="s">
        <v>2081</v>
      </c>
      <c r="AB637" s="30" t="s">
        <v>56</v>
      </c>
      <c r="AC637" s="30" t="s">
        <v>2082</v>
      </c>
    </row>
    <row r="638" spans="1:29">
      <c r="A638" s="24" t="s">
        <v>2083</v>
      </c>
      <c r="B638" s="24" t="str">
        <f>IF(ISNUMBER(SEARCH(E638,A638)),A638,IF(OR(E638="",E638=""),A638,A638&amp;" - "&amp;E638))</f>
        <v>Afina Tropfen Bedrocan Vollspektrum Extrakt 25mg/ml</v>
      </c>
      <c r="C638" s="24" t="s">
        <v>2080</v>
      </c>
      <c r="D638" s="24" t="s">
        <v>2081</v>
      </c>
      <c r="E638" s="24" t="s">
        <v>56</v>
      </c>
      <c r="F638" s="24" t="s">
        <v>86</v>
      </c>
      <c r="G638" s="27"/>
      <c r="H638" s="28"/>
      <c r="I638" s="24">
        <v>25</v>
      </c>
      <c r="J638" s="24" t="s">
        <v>1927</v>
      </c>
      <c r="K638" s="24" t="s">
        <v>1918</v>
      </c>
      <c r="L638" s="24" t="s">
        <v>527</v>
      </c>
      <c r="M638" s="24" t="s">
        <v>54</v>
      </c>
      <c r="N638" s="24" t="s">
        <v>212</v>
      </c>
      <c r="O638" s="24" t="s">
        <v>88</v>
      </c>
      <c r="P638" s="24" t="s">
        <v>56</v>
      </c>
      <c r="Q638" s="24" t="s">
        <v>56</v>
      </c>
      <c r="R638" s="24" t="s">
        <v>56</v>
      </c>
      <c r="S638" s="24" t="s">
        <v>56</v>
      </c>
      <c r="T638" s="24" t="s">
        <v>56</v>
      </c>
      <c r="U638" s="24" t="s">
        <v>56</v>
      </c>
      <c r="V638" s="24" t="s">
        <v>92</v>
      </c>
      <c r="W638" s="24" t="s">
        <v>77</v>
      </c>
      <c r="X638" s="24" t="s">
        <v>165</v>
      </c>
      <c r="Y638" s="24" t="s">
        <v>2084</v>
      </c>
      <c r="Z638" s="24" t="s">
        <v>1915</v>
      </c>
      <c r="AA638" s="24" t="s">
        <v>2081</v>
      </c>
      <c r="AB638" s="24" t="s">
        <v>56</v>
      </c>
      <c r="AC638" s="24" t="s">
        <v>2085</v>
      </c>
    </row>
    <row r="639" spans="1:29">
      <c r="A639" s="30" t="s">
        <v>2086</v>
      </c>
      <c r="B639" s="30" t="str">
        <f>IF(ISNUMBER(SEARCH(E639,A639)),A639,IF(OR(E639="",E639=""),A639,A639&amp;" - "&amp;E639))</f>
        <v>Alpino X 10/10 (Cannabisextrakt)</v>
      </c>
      <c r="C639" s="30" t="s">
        <v>2087</v>
      </c>
      <c r="D639" s="30" t="s">
        <v>2088</v>
      </c>
      <c r="E639" s="30" t="s">
        <v>56</v>
      </c>
      <c r="F639" s="30" t="s">
        <v>51</v>
      </c>
      <c r="G639" s="34"/>
      <c r="H639" s="35"/>
      <c r="I639" s="30">
        <v>10</v>
      </c>
      <c r="J639" s="30">
        <v>10</v>
      </c>
      <c r="K639" s="30" t="s">
        <v>1913</v>
      </c>
      <c r="L639" s="30"/>
      <c r="M639" s="30" t="s">
        <v>56</v>
      </c>
      <c r="N639" s="30"/>
      <c r="O639" s="30" t="s">
        <v>56</v>
      </c>
      <c r="P639" s="30" t="s">
        <v>56</v>
      </c>
      <c r="Q639" s="30" t="s">
        <v>56</v>
      </c>
      <c r="R639" s="30" t="s">
        <v>56</v>
      </c>
      <c r="S639" s="30" t="s">
        <v>56</v>
      </c>
      <c r="T639" s="30" t="s">
        <v>56</v>
      </c>
      <c r="U639" s="30" t="s">
        <v>56</v>
      </c>
      <c r="V639" s="30" t="s">
        <v>56</v>
      </c>
      <c r="W639" s="30"/>
      <c r="X639" s="30" t="s">
        <v>56</v>
      </c>
      <c r="Y639" s="30" t="s">
        <v>56</v>
      </c>
      <c r="Z639" s="30" t="s">
        <v>1915</v>
      </c>
      <c r="AA639" s="30" t="s">
        <v>2088</v>
      </c>
      <c r="AB639" s="30" t="s">
        <v>56</v>
      </c>
      <c r="AC639" s="30" t="s">
        <v>2089</v>
      </c>
    </row>
    <row r="640" spans="1:29">
      <c r="A640" s="24" t="s">
        <v>2090</v>
      </c>
      <c r="B640" s="24" t="str">
        <f>IF(ISNUMBER(SEARCH(E640,A640)),A640,IF(OR(E640="",E640=""),A640,A640&amp;" - "&amp;E640))</f>
        <v>Alpino X 25/1 (Cannabisextrakt)</v>
      </c>
      <c r="C640" s="24" t="s">
        <v>2087</v>
      </c>
      <c r="D640" s="24" t="s">
        <v>2088</v>
      </c>
      <c r="E640" s="24" t="s">
        <v>56</v>
      </c>
      <c r="F640" s="24" t="s">
        <v>51</v>
      </c>
      <c r="G640" s="27"/>
      <c r="H640" s="28"/>
      <c r="I640" s="24">
        <v>25</v>
      </c>
      <c r="J640" s="24">
        <v>1</v>
      </c>
      <c r="K640" s="24" t="s">
        <v>1913</v>
      </c>
      <c r="L640" s="24"/>
      <c r="M640" s="24" t="s">
        <v>56</v>
      </c>
      <c r="N640" s="24"/>
      <c r="O640" s="24" t="s">
        <v>56</v>
      </c>
      <c r="P640" s="24" t="s">
        <v>56</v>
      </c>
      <c r="Q640" s="24" t="s">
        <v>56</v>
      </c>
      <c r="R640" s="24" t="s">
        <v>56</v>
      </c>
      <c r="S640" s="24" t="s">
        <v>56</v>
      </c>
      <c r="T640" s="24" t="s">
        <v>56</v>
      </c>
      <c r="U640" s="24" t="s">
        <v>56</v>
      </c>
      <c r="V640" s="24" t="s">
        <v>56</v>
      </c>
      <c r="W640" s="24"/>
      <c r="X640" s="24" t="s">
        <v>56</v>
      </c>
      <c r="Y640" s="24" t="s">
        <v>56</v>
      </c>
      <c r="Z640" s="24" t="s">
        <v>1915</v>
      </c>
      <c r="AA640" s="24" t="s">
        <v>2088</v>
      </c>
      <c r="AB640" s="24" t="s">
        <v>56</v>
      </c>
      <c r="AC640" s="24" t="s">
        <v>2091</v>
      </c>
    </row>
    <row r="641" spans="1:29">
      <c r="A641" s="30" t="s">
        <v>2092</v>
      </c>
      <c r="B641" s="30" t="str">
        <f>IF(ISNUMBER(SEARCH(E641,A641)),A641,IF(OR(E641="",E641=""),A641,A641&amp;" - "&amp;E641))</f>
        <v>Althea 10/12 Cannabis Extrakt</v>
      </c>
      <c r="C641" s="30" t="s">
        <v>141</v>
      </c>
      <c r="D641" s="30" t="s">
        <v>142</v>
      </c>
      <c r="E641" s="30" t="s">
        <v>56</v>
      </c>
      <c r="F641" s="30" t="s">
        <v>51</v>
      </c>
      <c r="G641" s="34"/>
      <c r="H641" s="35"/>
      <c r="I641" s="30">
        <v>10</v>
      </c>
      <c r="J641" s="30">
        <v>12</v>
      </c>
      <c r="K641" s="30" t="s">
        <v>1918</v>
      </c>
      <c r="L641" s="30" t="s">
        <v>70</v>
      </c>
      <c r="M641" s="30" t="s">
        <v>54</v>
      </c>
      <c r="N641" s="30" t="s">
        <v>103</v>
      </c>
      <c r="O641" s="30" t="s">
        <v>55</v>
      </c>
      <c r="P641" s="30" t="s">
        <v>56</v>
      </c>
      <c r="Q641" s="30" t="s">
        <v>56</v>
      </c>
      <c r="R641" s="30" t="s">
        <v>56</v>
      </c>
      <c r="S641" s="30" t="s">
        <v>56</v>
      </c>
      <c r="T641" s="30" t="s">
        <v>56</v>
      </c>
      <c r="U641" s="30" t="s">
        <v>56</v>
      </c>
      <c r="V641" s="30" t="s">
        <v>77</v>
      </c>
      <c r="W641" s="30" t="s">
        <v>116</v>
      </c>
      <c r="X641" s="30" t="s">
        <v>914</v>
      </c>
      <c r="Y641" s="30" t="s">
        <v>56</v>
      </c>
      <c r="Z641" s="30" t="s">
        <v>1915</v>
      </c>
      <c r="AA641" s="30" t="s">
        <v>149</v>
      </c>
      <c r="AB641" s="30" t="s">
        <v>56</v>
      </c>
      <c r="AC641" s="30" t="s">
        <v>2093</v>
      </c>
    </row>
    <row r="642" spans="1:29">
      <c r="A642" s="24" t="s">
        <v>2094</v>
      </c>
      <c r="B642" s="24" t="str">
        <f>IF(ISNUMBER(SEARCH(E642,A642)),A642,IF(OR(E642="",E642=""),A642,A642&amp;" - "&amp;E642))</f>
        <v>Althea 2/25 Cannabis Extrakt</v>
      </c>
      <c r="C642" s="24" t="s">
        <v>141</v>
      </c>
      <c r="D642" s="24" t="s">
        <v>142</v>
      </c>
      <c r="E642" s="24" t="s">
        <v>56</v>
      </c>
      <c r="F642" s="24" t="s">
        <v>51</v>
      </c>
      <c r="G642" s="27"/>
      <c r="H642" s="28"/>
      <c r="I642" s="24">
        <v>2</v>
      </c>
      <c r="J642" s="24">
        <v>25</v>
      </c>
      <c r="K642" s="24" t="s">
        <v>1918</v>
      </c>
      <c r="L642" s="24" t="s">
        <v>70</v>
      </c>
      <c r="M642" s="24" t="s">
        <v>72</v>
      </c>
      <c r="N642" s="24"/>
      <c r="O642" s="24" t="s">
        <v>56</v>
      </c>
      <c r="P642" s="24" t="s">
        <v>56</v>
      </c>
      <c r="Q642" s="24" t="s">
        <v>56</v>
      </c>
      <c r="R642" s="24" t="s">
        <v>56</v>
      </c>
      <c r="S642" s="24" t="s">
        <v>56</v>
      </c>
      <c r="T642" s="24" t="s">
        <v>56</v>
      </c>
      <c r="U642" s="24" t="s">
        <v>56</v>
      </c>
      <c r="V642" s="24" t="s">
        <v>77</v>
      </c>
      <c r="W642" s="24" t="s">
        <v>635</v>
      </c>
      <c r="X642" s="24" t="s">
        <v>138</v>
      </c>
      <c r="Y642" s="24" t="s">
        <v>56</v>
      </c>
      <c r="Z642" s="24" t="s">
        <v>1915</v>
      </c>
      <c r="AA642" s="24" t="s">
        <v>149</v>
      </c>
      <c r="AB642" s="24" t="s">
        <v>56</v>
      </c>
      <c r="AC642" s="24" t="s">
        <v>2095</v>
      </c>
    </row>
    <row r="643" spans="1:29">
      <c r="A643" s="30" t="s">
        <v>2096</v>
      </c>
      <c r="B643" s="30" t="str">
        <f>IF(ISNUMBER(SEARCH(E643,A643)),A643,IF(OR(E643="",E643=""),A643,A643&amp;" - "&amp;E643))</f>
        <v>Althea 20/1 Canabis Extrakt</v>
      </c>
      <c r="C643" s="30" t="s">
        <v>141</v>
      </c>
      <c r="D643" s="30" t="s">
        <v>142</v>
      </c>
      <c r="E643" s="30" t="s">
        <v>56</v>
      </c>
      <c r="F643" s="30" t="s">
        <v>51</v>
      </c>
      <c r="G643" s="34"/>
      <c r="H643" s="35"/>
      <c r="I643" s="30">
        <v>20</v>
      </c>
      <c r="J643" s="30">
        <v>1</v>
      </c>
      <c r="K643" s="30" t="s">
        <v>1918</v>
      </c>
      <c r="L643" s="30" t="s">
        <v>70</v>
      </c>
      <c r="M643" s="30" t="s">
        <v>54</v>
      </c>
      <c r="N643" s="30" t="s">
        <v>103</v>
      </c>
      <c r="O643" s="30" t="s">
        <v>55</v>
      </c>
      <c r="P643" s="30" t="s">
        <v>56</v>
      </c>
      <c r="Q643" s="30" t="s">
        <v>56</v>
      </c>
      <c r="R643" s="30" t="s">
        <v>56</v>
      </c>
      <c r="S643" s="30" t="s">
        <v>56</v>
      </c>
      <c r="T643" s="30" t="s">
        <v>56</v>
      </c>
      <c r="U643" s="30" t="s">
        <v>56</v>
      </c>
      <c r="V643" s="30" t="s">
        <v>77</v>
      </c>
      <c r="W643" s="30" t="s">
        <v>116</v>
      </c>
      <c r="X643" s="30" t="s">
        <v>914</v>
      </c>
      <c r="Y643" s="30" t="s">
        <v>56</v>
      </c>
      <c r="Z643" s="30" t="s">
        <v>1915</v>
      </c>
      <c r="AA643" s="30" t="s">
        <v>149</v>
      </c>
      <c r="AB643" s="30" t="s">
        <v>56</v>
      </c>
      <c r="AC643" s="30" t="s">
        <v>2097</v>
      </c>
    </row>
    <row r="644" spans="1:29">
      <c r="A644" s="24" t="s">
        <v>2098</v>
      </c>
      <c r="B644" s="24" t="str">
        <f>IF(ISNUMBER(SEARCH(E644,A644)),A644,IF(OR(E644="",E644=""),A644,A644&amp;" - "&amp;E644))</f>
        <v>Althea 5/10 Cannabis Extrakt</v>
      </c>
      <c r="C644" s="24" t="s">
        <v>141</v>
      </c>
      <c r="D644" s="24" t="s">
        <v>142</v>
      </c>
      <c r="E644" s="24" t="s">
        <v>56</v>
      </c>
      <c r="F644" s="24" t="s">
        <v>51</v>
      </c>
      <c r="G644" s="27"/>
      <c r="H644" s="28"/>
      <c r="I644" s="24">
        <v>5</v>
      </c>
      <c r="J644" s="24">
        <v>10</v>
      </c>
      <c r="K644" s="24" t="s">
        <v>1918</v>
      </c>
      <c r="L644" s="24" t="s">
        <v>70</v>
      </c>
      <c r="M644" s="24" t="s">
        <v>54</v>
      </c>
      <c r="N644" s="24" t="s">
        <v>103</v>
      </c>
      <c r="O644" s="24" t="s">
        <v>55</v>
      </c>
      <c r="P644" s="24" t="s">
        <v>56</v>
      </c>
      <c r="Q644" s="24" t="s">
        <v>56</v>
      </c>
      <c r="R644" s="24" t="s">
        <v>56</v>
      </c>
      <c r="S644" s="24" t="s">
        <v>56</v>
      </c>
      <c r="T644" s="24" t="s">
        <v>56</v>
      </c>
      <c r="U644" s="24" t="s">
        <v>56</v>
      </c>
      <c r="V644" s="24" t="s">
        <v>77</v>
      </c>
      <c r="W644" s="24" t="s">
        <v>116</v>
      </c>
      <c r="X644" s="24" t="s">
        <v>914</v>
      </c>
      <c r="Y644" s="24" t="s">
        <v>56</v>
      </c>
      <c r="Z644" s="24" t="s">
        <v>1915</v>
      </c>
      <c r="AA644" s="24" t="s">
        <v>149</v>
      </c>
      <c r="AB644" s="24" t="s">
        <v>56</v>
      </c>
      <c r="AC644" s="24" t="s">
        <v>2099</v>
      </c>
    </row>
    <row r="645" spans="1:29">
      <c r="A645" s="30" t="s">
        <v>2100</v>
      </c>
      <c r="B645" s="30" t="str">
        <f>IF(ISNUMBER(SEARCH(E645,A645)),A645,IF(OR(E645="",E645=""),A645,A645&amp;" - "&amp;E645))</f>
        <v>Aphria 10/13 Extrakt Henik / Tremblant</v>
      </c>
      <c r="C645" s="30" t="s">
        <v>133</v>
      </c>
      <c r="D645" s="30" t="s">
        <v>134</v>
      </c>
      <c r="E645" s="30" t="s">
        <v>56</v>
      </c>
      <c r="F645" s="30" t="s">
        <v>120</v>
      </c>
      <c r="G645" s="34"/>
      <c r="H645" s="35"/>
      <c r="I645" s="30">
        <v>10</v>
      </c>
      <c r="J645" s="30">
        <v>13</v>
      </c>
      <c r="K645" s="30" t="s">
        <v>1913</v>
      </c>
      <c r="L645" s="30" t="s">
        <v>53</v>
      </c>
      <c r="M645" s="30" t="s">
        <v>56</v>
      </c>
      <c r="N645" s="30"/>
      <c r="O645" s="30" t="s">
        <v>56</v>
      </c>
      <c r="P645" s="30" t="s">
        <v>56</v>
      </c>
      <c r="Q645" s="30" t="s">
        <v>56</v>
      </c>
      <c r="R645" s="30" t="s">
        <v>56</v>
      </c>
      <c r="S645" s="30" t="s">
        <v>56</v>
      </c>
      <c r="T645" s="30" t="s">
        <v>56</v>
      </c>
      <c r="U645" s="30" t="s">
        <v>56</v>
      </c>
      <c r="V645" s="30" t="s">
        <v>116</v>
      </c>
      <c r="W645" s="30" t="s">
        <v>138</v>
      </c>
      <c r="X645" s="30" t="s">
        <v>79</v>
      </c>
      <c r="Y645" s="30" t="s">
        <v>56</v>
      </c>
      <c r="Z645" s="30" t="s">
        <v>1915</v>
      </c>
      <c r="AA645" s="30" t="s">
        <v>134</v>
      </c>
      <c r="AB645" s="30" t="s">
        <v>56</v>
      </c>
      <c r="AC645" s="30" t="s">
        <v>2101</v>
      </c>
    </row>
    <row r="646" spans="1:29">
      <c r="A646" s="24" t="s">
        <v>2102</v>
      </c>
      <c r="B646" s="24" t="str">
        <f>IF(ISNUMBER(SEARCH(E646,A646)),A646,IF(OR(E646="",E646=""),A646,A646&amp;" - "&amp;E646))</f>
        <v>Apocan 10/10 CAN Extractum Normatum</v>
      </c>
      <c r="C646" s="24" t="s">
        <v>2103</v>
      </c>
      <c r="D646" s="24" t="s">
        <v>2104</v>
      </c>
      <c r="E646" s="24" t="s">
        <v>56</v>
      </c>
      <c r="F646" s="24" t="s">
        <v>69</v>
      </c>
      <c r="G646" s="27"/>
      <c r="H646" s="28"/>
      <c r="I646" s="24">
        <v>10</v>
      </c>
      <c r="J646" s="24">
        <v>10</v>
      </c>
      <c r="K646" s="24" t="s">
        <v>1918</v>
      </c>
      <c r="L646" s="24"/>
      <c r="M646" s="24" t="s">
        <v>54</v>
      </c>
      <c r="N646" s="24" t="s">
        <v>55</v>
      </c>
      <c r="O646" s="24" t="s">
        <v>178</v>
      </c>
      <c r="P646" s="24" t="s">
        <v>56</v>
      </c>
      <c r="Q646" s="24" t="s">
        <v>56</v>
      </c>
      <c r="R646" s="24" t="s">
        <v>56</v>
      </c>
      <c r="S646" s="24" t="s">
        <v>56</v>
      </c>
      <c r="T646" s="24" t="s">
        <v>56</v>
      </c>
      <c r="U646" s="24" t="s">
        <v>56</v>
      </c>
      <c r="V646" s="24" t="s">
        <v>77</v>
      </c>
      <c r="W646" s="24" t="s">
        <v>79</v>
      </c>
      <c r="X646" s="24" t="s">
        <v>107</v>
      </c>
      <c r="Y646" s="24" t="s">
        <v>56</v>
      </c>
      <c r="Z646" s="24" t="s">
        <v>1915</v>
      </c>
      <c r="AA646" s="24" t="s">
        <v>2104</v>
      </c>
      <c r="AB646" s="24" t="s">
        <v>56</v>
      </c>
      <c r="AC646" s="24" t="s">
        <v>2105</v>
      </c>
    </row>
    <row r="647" spans="1:29">
      <c r="A647" s="30" t="s">
        <v>2106</v>
      </c>
      <c r="B647" s="30" t="str">
        <f>IF(ISNUMBER(SEARCH(E647,A647)),A647,IF(OR(E647="",E647=""),A647,A647&amp;" - "&amp;E647))</f>
        <v>Apocan 25/1 CAN Extractum Normatum</v>
      </c>
      <c r="C647" s="30" t="s">
        <v>2103</v>
      </c>
      <c r="D647" s="30" t="s">
        <v>2104</v>
      </c>
      <c r="E647" s="30" t="s">
        <v>56</v>
      </c>
      <c r="F647" s="30" t="s">
        <v>69</v>
      </c>
      <c r="G647" s="34"/>
      <c r="H647" s="35"/>
      <c r="I647" s="30">
        <v>25</v>
      </c>
      <c r="J647" s="30">
        <v>1</v>
      </c>
      <c r="K647" s="30" t="s">
        <v>1918</v>
      </c>
      <c r="L647" s="30"/>
      <c r="M647" s="30" t="s">
        <v>54</v>
      </c>
      <c r="N647" s="30" t="s">
        <v>55</v>
      </c>
      <c r="O647" s="30" t="s">
        <v>178</v>
      </c>
      <c r="P647" s="30" t="s">
        <v>56</v>
      </c>
      <c r="Q647" s="30" t="s">
        <v>56</v>
      </c>
      <c r="R647" s="30" t="s">
        <v>56</v>
      </c>
      <c r="S647" s="30" t="s">
        <v>56</v>
      </c>
      <c r="T647" s="30" t="s">
        <v>56</v>
      </c>
      <c r="U647" s="30" t="s">
        <v>56</v>
      </c>
      <c r="V647" s="30" t="s">
        <v>77</v>
      </c>
      <c r="W647" s="30" t="s">
        <v>79</v>
      </c>
      <c r="X647" s="30" t="s">
        <v>107</v>
      </c>
      <c r="Y647" s="30" t="s">
        <v>56</v>
      </c>
      <c r="Z647" s="30" t="s">
        <v>1915</v>
      </c>
      <c r="AA647" s="30" t="s">
        <v>2104</v>
      </c>
      <c r="AB647" s="30" t="s">
        <v>56</v>
      </c>
      <c r="AC647" s="30" t="s">
        <v>2107</v>
      </c>
    </row>
    <row r="648" spans="1:29">
      <c r="A648" s="24" t="s">
        <v>2108</v>
      </c>
      <c r="B648" s="24" t="str">
        <f>IF(ISNUMBER(SEARCH(E648,A648)),A648,IF(OR(E648="",E648=""),A648,A648&amp;" - "&amp;E648))</f>
        <v>Aurora 12,5 : 12,5 Extract</v>
      </c>
      <c r="C648" s="24" t="s">
        <v>511</v>
      </c>
      <c r="D648" s="24" t="s">
        <v>512</v>
      </c>
      <c r="E648" s="24" t="s">
        <v>56</v>
      </c>
      <c r="F648" s="24" t="s">
        <v>86</v>
      </c>
      <c r="G648" s="27"/>
      <c r="H648" s="28"/>
      <c r="I648" s="24">
        <v>12.5</v>
      </c>
      <c r="J648" s="24">
        <v>12.5</v>
      </c>
      <c r="K648" s="24" t="s">
        <v>1913</v>
      </c>
      <c r="L648" s="24" t="s">
        <v>87</v>
      </c>
      <c r="M648" s="24" t="s">
        <v>56</v>
      </c>
      <c r="N648" s="24"/>
      <c r="O648" s="24" t="s">
        <v>56</v>
      </c>
      <c r="P648" s="24" t="s">
        <v>56</v>
      </c>
      <c r="Q648" s="24" t="s">
        <v>56</v>
      </c>
      <c r="R648" s="24" t="s">
        <v>56</v>
      </c>
      <c r="S648" s="24" t="s">
        <v>114</v>
      </c>
      <c r="T648" s="24" t="s">
        <v>62</v>
      </c>
      <c r="U648" s="24" t="s">
        <v>1572</v>
      </c>
      <c r="V648" s="24" t="s">
        <v>56</v>
      </c>
      <c r="W648" s="24"/>
      <c r="X648" s="24" t="s">
        <v>56</v>
      </c>
      <c r="Y648" s="24" t="s">
        <v>1964</v>
      </c>
      <c r="Z648" s="24" t="s">
        <v>1915</v>
      </c>
      <c r="AA648" s="24" t="s">
        <v>512</v>
      </c>
      <c r="AB648" s="24" t="s">
        <v>56</v>
      </c>
      <c r="AC648" s="24" t="s">
        <v>2109</v>
      </c>
    </row>
    <row r="649" spans="1:29">
      <c r="A649" s="30" t="s">
        <v>2110</v>
      </c>
      <c r="B649" s="30" t="str">
        <f>IF(ISNUMBER(SEARCH(E649,A649)),A649,IF(OR(E649="",E649=""),A649,A649&amp;" - "&amp;E649))</f>
        <v>Aurora 50:50 Extract</v>
      </c>
      <c r="C649" s="30" t="s">
        <v>511</v>
      </c>
      <c r="D649" s="30" t="s">
        <v>512</v>
      </c>
      <c r="E649" s="30" t="s">
        <v>56</v>
      </c>
      <c r="F649" s="30" t="s">
        <v>86</v>
      </c>
      <c r="G649" s="34"/>
      <c r="H649" s="35"/>
      <c r="I649" s="30">
        <v>50</v>
      </c>
      <c r="J649" s="30">
        <v>50</v>
      </c>
      <c r="K649" s="30" t="s">
        <v>1913</v>
      </c>
      <c r="L649" s="30" t="s">
        <v>87</v>
      </c>
      <c r="M649" s="30" t="s">
        <v>56</v>
      </c>
      <c r="N649" s="30"/>
      <c r="O649" s="30" t="s">
        <v>56</v>
      </c>
      <c r="P649" s="30" t="s">
        <v>56</v>
      </c>
      <c r="Q649" s="30" t="s">
        <v>56</v>
      </c>
      <c r="R649" s="30" t="s">
        <v>56</v>
      </c>
      <c r="S649" s="30" t="s">
        <v>114</v>
      </c>
      <c r="T649" s="30" t="s">
        <v>62</v>
      </c>
      <c r="U649" s="30" t="s">
        <v>179</v>
      </c>
      <c r="V649" s="30" t="s">
        <v>56</v>
      </c>
      <c r="W649" s="30"/>
      <c r="X649" s="30" t="s">
        <v>56</v>
      </c>
      <c r="Y649" s="30" t="s">
        <v>2111</v>
      </c>
      <c r="Z649" s="30" t="s">
        <v>1915</v>
      </c>
      <c r="AA649" s="30" t="s">
        <v>512</v>
      </c>
      <c r="AB649" s="30" t="s">
        <v>56</v>
      </c>
      <c r="AC649" s="30" t="s">
        <v>2112</v>
      </c>
    </row>
    <row r="650" spans="1:29">
      <c r="A650" s="24" t="s">
        <v>2113</v>
      </c>
      <c r="B650" s="24" t="str">
        <f>IF(ISNUMBER(SEARCH(E650,A650)),A650,IF(OR(E650="",E650=""),A650,A650&amp;" - "&amp;E650))</f>
        <v>BREEZY Vape WHW</v>
      </c>
      <c r="C650" s="24" t="s">
        <v>2114</v>
      </c>
      <c r="D650" s="24" t="s">
        <v>2115</v>
      </c>
      <c r="E650" s="24" t="s">
        <v>56</v>
      </c>
      <c r="F650" s="24" t="s">
        <v>86</v>
      </c>
      <c r="G650" s="27"/>
      <c r="H650" s="28"/>
      <c r="I650" s="24">
        <v>68</v>
      </c>
      <c r="J650" s="24">
        <v>1</v>
      </c>
      <c r="K650" s="24" t="s">
        <v>1913</v>
      </c>
      <c r="L650" s="24"/>
      <c r="M650" s="24" t="s">
        <v>54</v>
      </c>
      <c r="N650" s="24" t="s">
        <v>111</v>
      </c>
      <c r="O650" s="24" t="s">
        <v>88</v>
      </c>
      <c r="P650" s="24" t="s">
        <v>56</v>
      </c>
      <c r="Q650" s="24" t="s">
        <v>56</v>
      </c>
      <c r="R650" s="24" t="s">
        <v>56</v>
      </c>
      <c r="S650" s="24" t="s">
        <v>60</v>
      </c>
      <c r="T650" s="24" t="s">
        <v>123</v>
      </c>
      <c r="U650" s="24" t="s">
        <v>62</v>
      </c>
      <c r="V650" s="24" t="s">
        <v>252</v>
      </c>
      <c r="W650" s="24" t="s">
        <v>77</v>
      </c>
      <c r="X650" s="24" t="s">
        <v>253</v>
      </c>
      <c r="Y650" s="24" t="s">
        <v>56</v>
      </c>
      <c r="Z650" s="24" t="s">
        <v>1915</v>
      </c>
      <c r="AA650" s="24" t="s">
        <v>2115</v>
      </c>
      <c r="AB650" s="24" t="s">
        <v>56</v>
      </c>
      <c r="AC650" s="24" t="s">
        <v>2116</v>
      </c>
    </row>
    <row r="651" spans="1:29">
      <c r="A651" s="30" t="s">
        <v>2117</v>
      </c>
      <c r="B651" s="30" t="str">
        <f>IF(ISNUMBER(SEARCH(E651,A651)),A651,IF(OR(E651="",E651=""),A651,A651&amp;" - "&amp;E651))</f>
        <v>Cannabisextrakt ACA 10/10 C</v>
      </c>
      <c r="C651" s="30" t="s">
        <v>2118</v>
      </c>
      <c r="D651" s="30" t="s">
        <v>2119</v>
      </c>
      <c r="E651" s="30" t="s">
        <v>56</v>
      </c>
      <c r="F651" s="30" t="s">
        <v>51</v>
      </c>
      <c r="G651" s="34"/>
      <c r="H651" s="35"/>
      <c r="I651" s="30">
        <v>10</v>
      </c>
      <c r="J651" s="30">
        <v>10</v>
      </c>
      <c r="K651" s="30"/>
      <c r="L651" s="30"/>
      <c r="M651" s="30" t="s">
        <v>56</v>
      </c>
      <c r="N651" s="30"/>
      <c r="O651" s="30" t="s">
        <v>56</v>
      </c>
      <c r="P651" s="30" t="s">
        <v>56</v>
      </c>
      <c r="Q651" s="30" t="s">
        <v>56</v>
      </c>
      <c r="R651" s="30" t="s">
        <v>56</v>
      </c>
      <c r="S651" s="30" t="s">
        <v>56</v>
      </c>
      <c r="T651" s="30" t="s">
        <v>56</v>
      </c>
      <c r="U651" s="30" t="s">
        <v>56</v>
      </c>
      <c r="V651" s="30" t="s">
        <v>56</v>
      </c>
      <c r="W651" s="30"/>
      <c r="X651" s="30" t="s">
        <v>56</v>
      </c>
      <c r="Y651" s="30" t="s">
        <v>56</v>
      </c>
      <c r="Z651" s="30" t="s">
        <v>1915</v>
      </c>
      <c r="AA651" s="30" t="s">
        <v>2119</v>
      </c>
      <c r="AB651" s="30" t="s">
        <v>56</v>
      </c>
      <c r="AC651" s="30" t="s">
        <v>2120</v>
      </c>
    </row>
    <row r="652" spans="1:29">
      <c r="A652" s="24" t="s">
        <v>2121</v>
      </c>
      <c r="B652" s="24" t="str">
        <f>IF(ISNUMBER(SEARCH(E652,A652)),A652,IF(OR(E652="",E652=""),A652,A652&amp;" - "&amp;E652))</f>
        <v>Cannabisextrakt ACA 25/1 C</v>
      </c>
      <c r="C652" s="24" t="s">
        <v>2118</v>
      </c>
      <c r="D652" s="24" t="s">
        <v>2119</v>
      </c>
      <c r="E652" s="24" t="s">
        <v>56</v>
      </c>
      <c r="F652" s="24" t="s">
        <v>51</v>
      </c>
      <c r="G652" s="27"/>
      <c r="H652" s="28"/>
      <c r="I652" s="24">
        <v>25</v>
      </c>
      <c r="J652" s="24">
        <v>1</v>
      </c>
      <c r="K652" s="24"/>
      <c r="L652" s="24"/>
      <c r="M652" s="24" t="s">
        <v>56</v>
      </c>
      <c r="N652" s="24"/>
      <c r="O652" s="24" t="s">
        <v>56</v>
      </c>
      <c r="P652" s="24" t="s">
        <v>56</v>
      </c>
      <c r="Q652" s="24" t="s">
        <v>56</v>
      </c>
      <c r="R652" s="24" t="s">
        <v>56</v>
      </c>
      <c r="S652" s="24" t="s">
        <v>56</v>
      </c>
      <c r="T652" s="24" t="s">
        <v>56</v>
      </c>
      <c r="U652" s="24" t="s">
        <v>56</v>
      </c>
      <c r="V652" s="24" t="s">
        <v>56</v>
      </c>
      <c r="W652" s="24"/>
      <c r="X652" s="24" t="s">
        <v>56</v>
      </c>
      <c r="Y652" s="24" t="s">
        <v>884</v>
      </c>
      <c r="Z652" s="24" t="s">
        <v>1915</v>
      </c>
      <c r="AA652" s="24" t="s">
        <v>2119</v>
      </c>
      <c r="AB652" s="24" t="s">
        <v>56</v>
      </c>
      <c r="AC652" s="24" t="s">
        <v>2122</v>
      </c>
    </row>
    <row r="653" spans="1:29">
      <c r="A653" s="30" t="s">
        <v>2123</v>
      </c>
      <c r="B653" s="30" t="str">
        <f>IF(ISNUMBER(SEARCH(E653,A653)),A653,IF(OR(E653="",E653=""),A653,A653&amp;" - "&amp;E653))</f>
        <v>CannabiStada Extrakt THC 50/CBD 25 CA</v>
      </c>
      <c r="C653" s="30" t="s">
        <v>478</v>
      </c>
      <c r="D653" s="30" t="s">
        <v>479</v>
      </c>
      <c r="E653" s="30" t="s">
        <v>56</v>
      </c>
      <c r="F653" s="30" t="s">
        <v>86</v>
      </c>
      <c r="G653" s="34"/>
      <c r="H653" s="35"/>
      <c r="I653" s="30">
        <v>50</v>
      </c>
      <c r="J653" s="30">
        <v>25</v>
      </c>
      <c r="K653" s="30" t="s">
        <v>1913</v>
      </c>
      <c r="L653" s="30" t="s">
        <v>53</v>
      </c>
      <c r="M653" s="30" t="s">
        <v>103</v>
      </c>
      <c r="N653" s="30" t="s">
        <v>121</v>
      </c>
      <c r="O653" s="30" t="s">
        <v>72</v>
      </c>
      <c r="P653" s="30" t="s">
        <v>56</v>
      </c>
      <c r="Q653" s="30" t="s">
        <v>56</v>
      </c>
      <c r="R653" s="30" t="s">
        <v>56</v>
      </c>
      <c r="S653" s="30" t="s">
        <v>56</v>
      </c>
      <c r="T653" s="30" t="s">
        <v>56</v>
      </c>
      <c r="U653" s="30" t="s">
        <v>56</v>
      </c>
      <c r="V653" s="30" t="s">
        <v>257</v>
      </c>
      <c r="W653" s="30" t="s">
        <v>252</v>
      </c>
      <c r="X653" s="30" t="s">
        <v>77</v>
      </c>
      <c r="Y653" s="30" t="s">
        <v>2124</v>
      </c>
      <c r="Z653" s="30" t="s">
        <v>1915</v>
      </c>
      <c r="AA653" s="30" t="s">
        <v>481</v>
      </c>
      <c r="AB653" s="30" t="s">
        <v>56</v>
      </c>
      <c r="AC653" s="30" t="s">
        <v>2125</v>
      </c>
    </row>
    <row r="654" spans="1:29">
      <c r="A654" s="24" t="s">
        <v>2126</v>
      </c>
      <c r="B654" s="24" t="str">
        <f>IF(ISNUMBER(SEARCH(E654,A654)),A654,IF(OR(E654="",E654=""),A654,A654&amp;" - "&amp;E654))</f>
        <v>Cannamedical Cannabis Extrakt THC50:CBD50 Crazy Rntz</v>
      </c>
      <c r="C654" s="24" t="s">
        <v>48</v>
      </c>
      <c r="D654" s="24" t="s">
        <v>49</v>
      </c>
      <c r="E654" s="24" t="s">
        <v>56</v>
      </c>
      <c r="F654" s="24" t="s">
        <v>86</v>
      </c>
      <c r="G654" s="27"/>
      <c r="H654" s="28"/>
      <c r="I654" s="24">
        <v>50</v>
      </c>
      <c r="J654" s="24">
        <v>50</v>
      </c>
      <c r="K654" s="24" t="s">
        <v>1913</v>
      </c>
      <c r="L654" s="24"/>
      <c r="M654" s="24" t="s">
        <v>54</v>
      </c>
      <c r="N654" s="24" t="s">
        <v>55</v>
      </c>
      <c r="O654" s="24" t="s">
        <v>56</v>
      </c>
      <c r="P654" s="24" t="s">
        <v>56</v>
      </c>
      <c r="Q654" s="24" t="s">
        <v>56</v>
      </c>
      <c r="R654" s="24" t="s">
        <v>56</v>
      </c>
      <c r="S654" s="24" t="s">
        <v>60</v>
      </c>
      <c r="T654" s="24" t="s">
        <v>61</v>
      </c>
      <c r="U654" s="24" t="s">
        <v>62</v>
      </c>
      <c r="V654" s="24" t="s">
        <v>56</v>
      </c>
      <c r="W654" s="24"/>
      <c r="X654" s="24" t="s">
        <v>56</v>
      </c>
      <c r="Y654" s="24" t="s">
        <v>56</v>
      </c>
      <c r="Z654" s="24" t="s">
        <v>1915</v>
      </c>
      <c r="AA654" s="24" t="s">
        <v>49</v>
      </c>
      <c r="AB654" s="24" t="s">
        <v>56</v>
      </c>
      <c r="AC654" s="24" t="s">
        <v>2127</v>
      </c>
    </row>
    <row r="655" spans="1:29">
      <c r="A655" s="30" t="s">
        <v>2128</v>
      </c>
      <c r="B655" s="30" t="str">
        <f>IF(ISNUMBER(SEARCH(E655,A655)),A655,IF(OR(E655="",E655=""),A655,A655&amp;" - "&amp;E655))</f>
        <v>Cannamedical Cannabisextrakt CBD25</v>
      </c>
      <c r="C655" s="30" t="s">
        <v>48</v>
      </c>
      <c r="D655" s="30" t="s">
        <v>49</v>
      </c>
      <c r="E655" s="30" t="s">
        <v>56</v>
      </c>
      <c r="F655" s="30" t="s">
        <v>51</v>
      </c>
      <c r="G655" s="34"/>
      <c r="H655" s="35"/>
      <c r="I655" s="30">
        <v>2</v>
      </c>
      <c r="J655" s="30">
        <v>25</v>
      </c>
      <c r="K655" s="30" t="s">
        <v>1913</v>
      </c>
      <c r="L655" s="30"/>
      <c r="M655" s="30" t="s">
        <v>212</v>
      </c>
      <c r="N655" s="30" t="s">
        <v>88</v>
      </c>
      <c r="O655" s="30" t="s">
        <v>55</v>
      </c>
      <c r="P655" s="30" t="s">
        <v>56</v>
      </c>
      <c r="Q655" s="30" t="s">
        <v>56</v>
      </c>
      <c r="R655" s="30" t="s">
        <v>56</v>
      </c>
      <c r="S655" s="30" t="s">
        <v>56</v>
      </c>
      <c r="T655" s="30" t="s">
        <v>56</v>
      </c>
      <c r="U655" s="30" t="s">
        <v>56</v>
      </c>
      <c r="V655" s="30" t="s">
        <v>77</v>
      </c>
      <c r="W655" s="30" t="s">
        <v>107</v>
      </c>
      <c r="X655" s="30" t="s">
        <v>56</v>
      </c>
      <c r="Y655" s="30" t="s">
        <v>2129</v>
      </c>
      <c r="Z655" s="30" t="s">
        <v>1915</v>
      </c>
      <c r="AA655" s="30" t="s">
        <v>49</v>
      </c>
      <c r="AB655" s="30" t="s">
        <v>56</v>
      </c>
      <c r="AC655" s="30" t="s">
        <v>2130</v>
      </c>
    </row>
    <row r="656" spans="1:29">
      <c r="A656" s="24" t="s">
        <v>2131</v>
      </c>
      <c r="B656" s="24" t="str">
        <f>IF(ISNUMBER(SEARCH(E656,A656)),A656,IF(OR(E656="",E656=""),A656,A656&amp;" - "&amp;E656))</f>
        <v>Cannamedical Cannabisextrakt THC5:CBD20 Tangie Chem</v>
      </c>
      <c r="C656" s="24" t="s">
        <v>48</v>
      </c>
      <c r="D656" s="24" t="s">
        <v>49</v>
      </c>
      <c r="E656" s="24" t="s">
        <v>56</v>
      </c>
      <c r="F656" s="24" t="s">
        <v>69</v>
      </c>
      <c r="G656" s="27"/>
      <c r="H656" s="28"/>
      <c r="I656" s="24">
        <v>5</v>
      </c>
      <c r="J656" s="24">
        <v>20</v>
      </c>
      <c r="K656" s="24" t="s">
        <v>1913</v>
      </c>
      <c r="L656" s="24" t="s">
        <v>145</v>
      </c>
      <c r="M656" s="24" t="s">
        <v>71</v>
      </c>
      <c r="N656" s="24" t="s">
        <v>55</v>
      </c>
      <c r="O656" s="24" t="s">
        <v>72</v>
      </c>
      <c r="P656" s="24" t="s">
        <v>56</v>
      </c>
      <c r="Q656" s="24" t="s">
        <v>56</v>
      </c>
      <c r="R656" s="24" t="s">
        <v>56</v>
      </c>
      <c r="S656" s="24" t="s">
        <v>56</v>
      </c>
      <c r="T656" s="24" t="s">
        <v>56</v>
      </c>
      <c r="U656" s="24" t="s">
        <v>56</v>
      </c>
      <c r="V656" s="24" t="s">
        <v>77</v>
      </c>
      <c r="W656" s="24" t="s">
        <v>78</v>
      </c>
      <c r="X656" s="24" t="s">
        <v>79</v>
      </c>
      <c r="Y656" s="24" t="s">
        <v>2132</v>
      </c>
      <c r="Z656" s="24" t="s">
        <v>1915</v>
      </c>
      <c r="AA656" s="24" t="s">
        <v>49</v>
      </c>
      <c r="AB656" s="24" t="s">
        <v>56</v>
      </c>
      <c r="AC656" s="24" t="s">
        <v>2133</v>
      </c>
    </row>
    <row r="657" spans="1:29">
      <c r="A657" s="30" t="s">
        <v>2134</v>
      </c>
      <c r="B657" s="30" t="str">
        <f>IF(ISNUMBER(SEARCH(E657,A657)),A657,IF(OR(E657="",E657=""),A657,A657&amp;" - "&amp;E657))</f>
        <v>Cannamedical Cannabisextrakt THC50:CBD50</v>
      </c>
      <c r="C657" s="30" t="s">
        <v>48</v>
      </c>
      <c r="D657" s="30" t="s">
        <v>49</v>
      </c>
      <c r="E657" s="30" t="s">
        <v>56</v>
      </c>
      <c r="F657" s="30" t="s">
        <v>51</v>
      </c>
      <c r="G657" s="34"/>
      <c r="H657" s="35"/>
      <c r="I657" s="30">
        <v>50</v>
      </c>
      <c r="J657" s="30">
        <v>50</v>
      </c>
      <c r="K657" s="30" t="s">
        <v>1913</v>
      </c>
      <c r="L657" s="30"/>
      <c r="M657" s="30" t="s">
        <v>56</v>
      </c>
      <c r="N657" s="30"/>
      <c r="O657" s="30" t="s">
        <v>56</v>
      </c>
      <c r="P657" s="30" t="s">
        <v>56</v>
      </c>
      <c r="Q657" s="30" t="s">
        <v>56</v>
      </c>
      <c r="R657" s="30" t="s">
        <v>56</v>
      </c>
      <c r="S657" s="30" t="s">
        <v>56</v>
      </c>
      <c r="T657" s="30" t="s">
        <v>56</v>
      </c>
      <c r="U657" s="30" t="s">
        <v>56</v>
      </c>
      <c r="V657" s="30" t="s">
        <v>56</v>
      </c>
      <c r="W657" s="30"/>
      <c r="X657" s="30" t="s">
        <v>56</v>
      </c>
      <c r="Y657" s="30" t="s">
        <v>2135</v>
      </c>
      <c r="Z657" s="30" t="s">
        <v>1915</v>
      </c>
      <c r="AA657" s="30" t="s">
        <v>49</v>
      </c>
      <c r="AB657" s="30" t="s">
        <v>56</v>
      </c>
      <c r="AC657" s="30" t="s">
        <v>2136</v>
      </c>
    </row>
    <row r="658" spans="1:29">
      <c r="A658" s="24" t="s">
        <v>2137</v>
      </c>
      <c r="B658" s="24" t="str">
        <f>IF(ISNUMBER(SEARCH(E658,A658)),A658,IF(OR(E658="",E658=""),A658,A658&amp;" - "&amp;E658))</f>
        <v>Cannamedical THC Extrakt THC30</v>
      </c>
      <c r="C658" s="24" t="s">
        <v>48</v>
      </c>
      <c r="D658" s="24" t="s">
        <v>49</v>
      </c>
      <c r="E658" s="24" t="s">
        <v>56</v>
      </c>
      <c r="F658" s="24" t="s">
        <v>51</v>
      </c>
      <c r="G658" s="27"/>
      <c r="H658" s="28"/>
      <c r="I658" s="24">
        <v>30</v>
      </c>
      <c r="J658" s="24">
        <v>1</v>
      </c>
      <c r="K658" s="24" t="s">
        <v>1918</v>
      </c>
      <c r="L658" s="24" t="s">
        <v>145</v>
      </c>
      <c r="M658" s="24" t="s">
        <v>56</v>
      </c>
      <c r="N658" s="24"/>
      <c r="O658" s="24" t="s">
        <v>56</v>
      </c>
      <c r="P658" s="24" t="s">
        <v>56</v>
      </c>
      <c r="Q658" s="24" t="s">
        <v>56</v>
      </c>
      <c r="R658" s="24" t="s">
        <v>56</v>
      </c>
      <c r="S658" s="24" t="s">
        <v>56</v>
      </c>
      <c r="T658" s="24" t="s">
        <v>56</v>
      </c>
      <c r="U658" s="24" t="s">
        <v>56</v>
      </c>
      <c r="V658" s="24" t="s">
        <v>56</v>
      </c>
      <c r="W658" s="24"/>
      <c r="X658" s="24" t="s">
        <v>56</v>
      </c>
      <c r="Y658" s="24" t="s">
        <v>1266</v>
      </c>
      <c r="Z658" s="24" t="s">
        <v>1915</v>
      </c>
      <c r="AA658" s="24" t="s">
        <v>49</v>
      </c>
      <c r="AB658" s="24" t="s">
        <v>56</v>
      </c>
      <c r="AC658" s="24" t="s">
        <v>2138</v>
      </c>
    </row>
    <row r="659" spans="1:29">
      <c r="A659" s="30" t="s">
        <v>2139</v>
      </c>
      <c r="B659" s="30" t="str">
        <f>IF(ISNUMBER(SEARCH(E659,A659)),A659,IF(OR(E659="",E659=""),A659,A659&amp;" - "&amp;E659))</f>
        <v>CannaXan Mundspray (THC-fokussierter SmartLipid Wirkstoff) Bedrocan-Extrakt</v>
      </c>
      <c r="C659" s="30" t="s">
        <v>2140</v>
      </c>
      <c r="D659" s="30" t="s">
        <v>2141</v>
      </c>
      <c r="E659" s="30" t="s">
        <v>56</v>
      </c>
      <c r="F659" s="30" t="s">
        <v>86</v>
      </c>
      <c r="G659" s="34"/>
      <c r="H659" s="35"/>
      <c r="I659" s="30">
        <v>6.9</v>
      </c>
      <c r="J659" s="30" t="s">
        <v>1927</v>
      </c>
      <c r="K659" s="30" t="s">
        <v>1918</v>
      </c>
      <c r="L659" s="30" t="s">
        <v>527</v>
      </c>
      <c r="M659" s="30" t="s">
        <v>54</v>
      </c>
      <c r="N659" s="30" t="s">
        <v>212</v>
      </c>
      <c r="O659" s="30" t="s">
        <v>88</v>
      </c>
      <c r="P659" s="30" t="s">
        <v>56</v>
      </c>
      <c r="Q659" s="30" t="s">
        <v>56</v>
      </c>
      <c r="R659" s="30" t="s">
        <v>56</v>
      </c>
      <c r="S659" s="30" t="s">
        <v>56</v>
      </c>
      <c r="T659" s="30" t="s">
        <v>56</v>
      </c>
      <c r="U659" s="30" t="s">
        <v>56</v>
      </c>
      <c r="V659" s="30" t="s">
        <v>92</v>
      </c>
      <c r="W659" s="30" t="s">
        <v>77</v>
      </c>
      <c r="X659" s="30" t="s">
        <v>165</v>
      </c>
      <c r="Y659" s="30" t="s">
        <v>1950</v>
      </c>
      <c r="Z659" s="30" t="s">
        <v>1915</v>
      </c>
      <c r="AA659" s="30" t="s">
        <v>2142</v>
      </c>
      <c r="AB659" s="30" t="s">
        <v>56</v>
      </c>
      <c r="AC659" s="30" t="s">
        <v>2143</v>
      </c>
    </row>
    <row r="660" spans="1:29">
      <c r="A660" s="24" t="s">
        <v>2144</v>
      </c>
      <c r="B660" s="24" t="str">
        <f>IF(ISNUMBER(SEARCH(E660,A660)),A660,IF(OR(E660="",E660=""),A660,A660&amp;" - "&amp;E660))</f>
        <v>Cannovum Extrakt 10/15</v>
      </c>
      <c r="C660" s="24" t="s">
        <v>2145</v>
      </c>
      <c r="D660" s="24" t="s">
        <v>2146</v>
      </c>
      <c r="E660" s="24" t="s">
        <v>56</v>
      </c>
      <c r="F660" s="24" t="s">
        <v>51</v>
      </c>
      <c r="G660" s="27"/>
      <c r="H660" s="28"/>
      <c r="I660" s="24">
        <v>10</v>
      </c>
      <c r="J660" s="24">
        <v>15</v>
      </c>
      <c r="K660" s="24" t="s">
        <v>1918</v>
      </c>
      <c r="L660" s="24"/>
      <c r="M660" s="24" t="s">
        <v>56</v>
      </c>
      <c r="N660" s="24"/>
      <c r="O660" s="24" t="s">
        <v>56</v>
      </c>
      <c r="P660" s="24" t="s">
        <v>56</v>
      </c>
      <c r="Q660" s="24" t="s">
        <v>56</v>
      </c>
      <c r="R660" s="24" t="s">
        <v>56</v>
      </c>
      <c r="S660" s="24" t="s">
        <v>56</v>
      </c>
      <c r="T660" s="24" t="s">
        <v>56</v>
      </c>
      <c r="U660" s="24" t="s">
        <v>56</v>
      </c>
      <c r="V660" s="24" t="s">
        <v>56</v>
      </c>
      <c r="W660" s="24"/>
      <c r="X660" s="24" t="s">
        <v>56</v>
      </c>
      <c r="Y660" s="24" t="s">
        <v>1608</v>
      </c>
      <c r="Z660" s="24" t="s">
        <v>1915</v>
      </c>
      <c r="AA660" s="24" t="s">
        <v>2146</v>
      </c>
      <c r="AB660" s="24" t="s">
        <v>56</v>
      </c>
      <c r="AC660" s="24" t="s">
        <v>2147</v>
      </c>
    </row>
    <row r="661" spans="1:29">
      <c r="A661" s="30" t="s">
        <v>2148</v>
      </c>
      <c r="B661" s="30" t="str">
        <f>IF(ISNUMBER(SEARCH(E661,A661)),A661,IF(OR(E661="",E661=""),A661,A661&amp;" - "&amp;E661))</f>
        <v>Cannovum Extrakt 25</v>
      </c>
      <c r="C661" s="30" t="s">
        <v>2145</v>
      </c>
      <c r="D661" s="30" t="s">
        <v>2146</v>
      </c>
      <c r="E661" s="30" t="s">
        <v>56</v>
      </c>
      <c r="F661" s="30" t="s">
        <v>120</v>
      </c>
      <c r="G661" s="34"/>
      <c r="H661" s="35"/>
      <c r="I661" s="30">
        <v>25</v>
      </c>
      <c r="J661" s="30" t="s">
        <v>1927</v>
      </c>
      <c r="K661" s="30" t="s">
        <v>1913</v>
      </c>
      <c r="L661" s="30"/>
      <c r="M661" s="30" t="s">
        <v>54</v>
      </c>
      <c r="N661" s="30" t="s">
        <v>111</v>
      </c>
      <c r="O661" s="30" t="s">
        <v>88</v>
      </c>
      <c r="P661" s="30" t="s">
        <v>56</v>
      </c>
      <c r="Q661" s="30" t="s">
        <v>56</v>
      </c>
      <c r="R661" s="30" t="s">
        <v>56</v>
      </c>
      <c r="S661" s="30" t="s">
        <v>56</v>
      </c>
      <c r="T661" s="30" t="s">
        <v>56</v>
      </c>
      <c r="U661" s="30" t="s">
        <v>56</v>
      </c>
      <c r="V661" s="30" t="s">
        <v>252</v>
      </c>
      <c r="W661" s="30" t="s">
        <v>77</v>
      </c>
      <c r="X661" s="30" t="s">
        <v>253</v>
      </c>
      <c r="Y661" s="30" t="s">
        <v>2149</v>
      </c>
      <c r="Z661" s="30" t="s">
        <v>1915</v>
      </c>
      <c r="AA661" s="30" t="s">
        <v>2146</v>
      </c>
      <c r="AB661" s="30" t="s">
        <v>56</v>
      </c>
      <c r="AC661" s="30" t="s">
        <v>2150</v>
      </c>
    </row>
    <row r="662" spans="1:29">
      <c r="A662" s="24" t="s">
        <v>2151</v>
      </c>
      <c r="B662" s="24" t="str">
        <f>IF(ISNUMBER(SEARCH(E662,A662)),A662,IF(OR(E662="",E662=""),A662,A662&amp;" - "&amp;E662))</f>
        <v>CanPharma X1:25 (Cannabisextrakt)</v>
      </c>
      <c r="C662" s="24" t="s">
        <v>597</v>
      </c>
      <c r="D662" s="24" t="s">
        <v>598</v>
      </c>
      <c r="E662" s="24" t="s">
        <v>56</v>
      </c>
      <c r="F662" s="24" t="s">
        <v>51</v>
      </c>
      <c r="G662" s="27"/>
      <c r="H662" s="28"/>
      <c r="I662" s="24" t="s">
        <v>1927</v>
      </c>
      <c r="J662" s="24">
        <v>25</v>
      </c>
      <c r="K662" s="24" t="s">
        <v>1918</v>
      </c>
      <c r="L662" s="24"/>
      <c r="M662" s="24" t="s">
        <v>56</v>
      </c>
      <c r="N662" s="24"/>
      <c r="O662" s="24" t="s">
        <v>56</v>
      </c>
      <c r="P662" s="24" t="s">
        <v>56</v>
      </c>
      <c r="Q662" s="24" t="s">
        <v>56</v>
      </c>
      <c r="R662" s="24" t="s">
        <v>56</v>
      </c>
      <c r="S662" s="24" t="s">
        <v>56</v>
      </c>
      <c r="T662" s="24" t="s">
        <v>56</v>
      </c>
      <c r="U662" s="24" t="s">
        <v>56</v>
      </c>
      <c r="V662" s="24" t="s">
        <v>56</v>
      </c>
      <c r="W662" s="24"/>
      <c r="X662" s="24" t="s">
        <v>56</v>
      </c>
      <c r="Y662" s="24" t="s">
        <v>56</v>
      </c>
      <c r="Z662" s="24" t="s">
        <v>1915</v>
      </c>
      <c r="AA662" s="24" t="s">
        <v>598</v>
      </c>
      <c r="AB662" s="24" t="s">
        <v>56</v>
      </c>
      <c r="AC662" s="24" t="s">
        <v>2152</v>
      </c>
    </row>
    <row r="663" spans="1:29">
      <c r="A663" s="30" t="s">
        <v>2153</v>
      </c>
      <c r="B663" s="30" t="str">
        <f>IF(ISNUMBER(SEARCH(E663,A663)),A663,IF(OR(E663="",E663=""),A663,A663&amp;" - "&amp;E663))</f>
        <v>CanPharma X10:10 (Cannabisextrakt)</v>
      </c>
      <c r="C663" s="30" t="s">
        <v>597</v>
      </c>
      <c r="D663" s="30" t="s">
        <v>598</v>
      </c>
      <c r="E663" s="30" t="s">
        <v>56</v>
      </c>
      <c r="F663" s="30" t="s">
        <v>51</v>
      </c>
      <c r="G663" s="34"/>
      <c r="H663" s="35"/>
      <c r="I663" s="30">
        <v>10</v>
      </c>
      <c r="J663" s="30">
        <v>10</v>
      </c>
      <c r="K663" s="30" t="s">
        <v>1918</v>
      </c>
      <c r="L663" s="30"/>
      <c r="M663" s="30" t="s">
        <v>56</v>
      </c>
      <c r="N663" s="30"/>
      <c r="O663" s="30" t="s">
        <v>56</v>
      </c>
      <c r="P663" s="30" t="s">
        <v>56</v>
      </c>
      <c r="Q663" s="30" t="s">
        <v>56</v>
      </c>
      <c r="R663" s="30" t="s">
        <v>56</v>
      </c>
      <c r="S663" s="30" t="s">
        <v>56</v>
      </c>
      <c r="T663" s="30" t="s">
        <v>56</v>
      </c>
      <c r="U663" s="30" t="s">
        <v>56</v>
      </c>
      <c r="V663" s="30" t="s">
        <v>56</v>
      </c>
      <c r="W663" s="30"/>
      <c r="X663" s="30" t="s">
        <v>56</v>
      </c>
      <c r="Y663" s="30" t="s">
        <v>56</v>
      </c>
      <c r="Z663" s="30" t="s">
        <v>1915</v>
      </c>
      <c r="AA663" s="30" t="s">
        <v>598</v>
      </c>
      <c r="AB663" s="30" t="s">
        <v>56</v>
      </c>
      <c r="AC663" s="30" t="s">
        <v>2154</v>
      </c>
    </row>
    <row r="664" spans="1:29">
      <c r="A664" s="24" t="s">
        <v>2155</v>
      </c>
      <c r="B664" s="24" t="str">
        <f>IF(ISNUMBER(SEARCH(E664,A664)),A664,IF(OR(E664="",E664=""),A664,A664&amp;" - "&amp;E664))</f>
        <v>CanPharma X25:1 (Cannabisextrakt)</v>
      </c>
      <c r="C664" s="24" t="s">
        <v>597</v>
      </c>
      <c r="D664" s="24" t="s">
        <v>598</v>
      </c>
      <c r="E664" s="24" t="s">
        <v>56</v>
      </c>
      <c r="F664" s="24" t="s">
        <v>51</v>
      </c>
      <c r="G664" s="27"/>
      <c r="H664" s="28"/>
      <c r="I664" s="24">
        <v>25</v>
      </c>
      <c r="J664" s="24">
        <v>1</v>
      </c>
      <c r="K664" s="24" t="s">
        <v>1918</v>
      </c>
      <c r="L664" s="24"/>
      <c r="M664" s="24" t="s">
        <v>56</v>
      </c>
      <c r="N664" s="24"/>
      <c r="O664" s="24" t="s">
        <v>56</v>
      </c>
      <c r="P664" s="24" t="s">
        <v>56</v>
      </c>
      <c r="Q664" s="24" t="s">
        <v>56</v>
      </c>
      <c r="R664" s="24" t="s">
        <v>56</v>
      </c>
      <c r="S664" s="24" t="s">
        <v>56</v>
      </c>
      <c r="T664" s="24" t="s">
        <v>56</v>
      </c>
      <c r="U664" s="24" t="s">
        <v>56</v>
      </c>
      <c r="V664" s="24" t="s">
        <v>56</v>
      </c>
      <c r="W664" s="24"/>
      <c r="X664" s="24" t="s">
        <v>56</v>
      </c>
      <c r="Y664" s="24" t="s">
        <v>56</v>
      </c>
      <c r="Z664" s="24" t="s">
        <v>1915</v>
      </c>
      <c r="AA664" s="24" t="s">
        <v>598</v>
      </c>
      <c r="AB664" s="24" t="s">
        <v>56</v>
      </c>
      <c r="AC664" s="24" t="s">
        <v>2156</v>
      </c>
    </row>
    <row r="665" spans="1:29">
      <c r="A665" s="30" t="s">
        <v>2157</v>
      </c>
      <c r="B665" s="30" t="str">
        <f>IF(ISNUMBER(SEARCH(E665,A665)),A665,IF(OR(E665="",E665=""),A665,A665&amp;" - "&amp;E665))</f>
        <v>CanPharma X25:25 (Cannabisextrakt)</v>
      </c>
      <c r="C665" s="30" t="s">
        <v>597</v>
      </c>
      <c r="D665" s="30" t="s">
        <v>598</v>
      </c>
      <c r="E665" s="30" t="s">
        <v>56</v>
      </c>
      <c r="F665" s="30" t="s">
        <v>51</v>
      </c>
      <c r="G665" s="34"/>
      <c r="H665" s="35"/>
      <c r="I665" s="30">
        <v>25</v>
      </c>
      <c r="J665" s="30">
        <v>25</v>
      </c>
      <c r="K665" s="30" t="s">
        <v>1918</v>
      </c>
      <c r="L665" s="30"/>
      <c r="M665" s="30" t="s">
        <v>56</v>
      </c>
      <c r="N665" s="30"/>
      <c r="O665" s="30" t="s">
        <v>56</v>
      </c>
      <c r="P665" s="30" t="s">
        <v>56</v>
      </c>
      <c r="Q665" s="30" t="s">
        <v>56</v>
      </c>
      <c r="R665" s="30" t="s">
        <v>56</v>
      </c>
      <c r="S665" s="30" t="s">
        <v>56</v>
      </c>
      <c r="T665" s="30" t="s">
        <v>56</v>
      </c>
      <c r="U665" s="30" t="s">
        <v>56</v>
      </c>
      <c r="V665" s="30" t="s">
        <v>56</v>
      </c>
      <c r="W665" s="30"/>
      <c r="X665" s="30" t="s">
        <v>56</v>
      </c>
      <c r="Y665" s="30" t="s">
        <v>2158</v>
      </c>
      <c r="Z665" s="30" t="s">
        <v>1915</v>
      </c>
      <c r="AA665" s="30" t="s">
        <v>598</v>
      </c>
      <c r="AB665" s="30" t="s">
        <v>56</v>
      </c>
      <c r="AC665" s="30" t="s">
        <v>2159</v>
      </c>
    </row>
    <row r="666" spans="1:29">
      <c r="A666" s="24" t="s">
        <v>2160</v>
      </c>
      <c r="B666" s="24" t="str">
        <f>IF(ISNUMBER(SEARCH(E666,A666)),A666,IF(OR(E666="",E666=""),A666,A666&amp;" - "&amp;E666))</f>
        <v>Drapalin 25/1 Bafokeng Choice Extrakt</v>
      </c>
      <c r="C666" s="24" t="s">
        <v>668</v>
      </c>
      <c r="D666" s="24" t="s">
        <v>669</v>
      </c>
      <c r="E666" s="24" t="s">
        <v>56</v>
      </c>
      <c r="F666" s="24" t="s">
        <v>86</v>
      </c>
      <c r="G666" s="27"/>
      <c r="H666" s="28"/>
      <c r="I666" s="24">
        <v>25</v>
      </c>
      <c r="J666" s="24">
        <v>1</v>
      </c>
      <c r="K666" s="24" t="s">
        <v>1913</v>
      </c>
      <c r="L666" s="24" t="s">
        <v>630</v>
      </c>
      <c r="M666" s="24" t="s">
        <v>56</v>
      </c>
      <c r="N666" s="24"/>
      <c r="O666" s="24" t="s">
        <v>56</v>
      </c>
      <c r="P666" s="24" t="s">
        <v>56</v>
      </c>
      <c r="Q666" s="24" t="s">
        <v>56</v>
      </c>
      <c r="R666" s="24" t="s">
        <v>56</v>
      </c>
      <c r="S666" s="24" t="s">
        <v>123</v>
      </c>
      <c r="T666" s="24" t="s">
        <v>61</v>
      </c>
      <c r="U666" s="24" t="s">
        <v>76</v>
      </c>
      <c r="V666" s="24" t="s">
        <v>56</v>
      </c>
      <c r="W666" s="24"/>
      <c r="X666" s="24" t="s">
        <v>56</v>
      </c>
      <c r="Y666" s="24" t="s">
        <v>56</v>
      </c>
      <c r="Z666" s="24" t="s">
        <v>1915</v>
      </c>
      <c r="AA666" s="24" t="s">
        <v>671</v>
      </c>
      <c r="AB666" s="24" t="s">
        <v>672</v>
      </c>
      <c r="AC666" s="24" t="s">
        <v>2161</v>
      </c>
    </row>
    <row r="667" spans="1:29">
      <c r="A667" s="30" t="s">
        <v>2162</v>
      </c>
      <c r="B667" s="30" t="str">
        <f>IF(ISNUMBER(SEARCH(E667,A667)),A667,IF(OR(E667="",E667=""),A667,A667&amp;" - "&amp;E667))</f>
        <v>Drapalin 25/1 Cheesotho Extrakt</v>
      </c>
      <c r="C667" s="30" t="s">
        <v>668</v>
      </c>
      <c r="D667" s="30" t="s">
        <v>669</v>
      </c>
      <c r="E667" s="30" t="s">
        <v>56</v>
      </c>
      <c r="F667" s="30" t="s">
        <v>69</v>
      </c>
      <c r="G667" s="34"/>
      <c r="H667" s="35"/>
      <c r="I667" s="30">
        <v>25</v>
      </c>
      <c r="J667" s="30" t="s">
        <v>1927</v>
      </c>
      <c r="K667" s="30" t="s">
        <v>1913</v>
      </c>
      <c r="L667" s="30" t="s">
        <v>630</v>
      </c>
      <c r="M667" s="30" t="s">
        <v>88</v>
      </c>
      <c r="N667" s="30" t="s">
        <v>71</v>
      </c>
      <c r="O667" s="30" t="s">
        <v>72</v>
      </c>
      <c r="P667" s="30" t="s">
        <v>56</v>
      </c>
      <c r="Q667" s="30" t="s">
        <v>56</v>
      </c>
      <c r="R667" s="30" t="s">
        <v>56</v>
      </c>
      <c r="S667" s="30" t="s">
        <v>123</v>
      </c>
      <c r="T667" s="30" t="s">
        <v>61</v>
      </c>
      <c r="U667" s="30" t="s">
        <v>76</v>
      </c>
      <c r="V667" s="30" t="s">
        <v>77</v>
      </c>
      <c r="W667" s="30" t="s">
        <v>79</v>
      </c>
      <c r="X667" s="30" t="s">
        <v>107</v>
      </c>
      <c r="Y667" s="30" t="s">
        <v>56</v>
      </c>
      <c r="Z667" s="30" t="s">
        <v>1915</v>
      </c>
      <c r="AA667" s="30" t="s">
        <v>671</v>
      </c>
      <c r="AB667" s="30" t="s">
        <v>672</v>
      </c>
      <c r="AC667" s="30" t="s">
        <v>2163</v>
      </c>
    </row>
    <row r="668" spans="1:29">
      <c r="A668" s="24" t="s">
        <v>2164</v>
      </c>
      <c r="B668" s="24" t="str">
        <f>IF(ISNUMBER(SEARCH(E668,A668)),A668,IF(OR(E668="",E668=""),A668,A668&amp;" - "&amp;E668))</f>
        <v>Dronabinol-Lösung CAN 25 mg/ml</v>
      </c>
      <c r="C668" s="24" t="s">
        <v>564</v>
      </c>
      <c r="D668" s="24" t="s">
        <v>565</v>
      </c>
      <c r="E668" s="24" t="s">
        <v>56</v>
      </c>
      <c r="F668" s="24" t="s">
        <v>51</v>
      </c>
      <c r="G668" s="27"/>
      <c r="H668" s="28"/>
      <c r="I668" s="24">
        <v>25</v>
      </c>
      <c r="J668" s="24" t="s">
        <v>1927</v>
      </c>
      <c r="K668" s="24"/>
      <c r="L668" s="24"/>
      <c r="M668" s="24" t="s">
        <v>56</v>
      </c>
      <c r="N668" s="24"/>
      <c r="O668" s="24" t="s">
        <v>56</v>
      </c>
      <c r="P668" s="24" t="s">
        <v>56</v>
      </c>
      <c r="Q668" s="24" t="s">
        <v>56</v>
      </c>
      <c r="R668" s="24" t="s">
        <v>56</v>
      </c>
      <c r="S668" s="24" t="s">
        <v>56</v>
      </c>
      <c r="T668" s="24" t="s">
        <v>56</v>
      </c>
      <c r="U668" s="24" t="s">
        <v>56</v>
      </c>
      <c r="V668" s="24" t="s">
        <v>56</v>
      </c>
      <c r="W668" s="24"/>
      <c r="X668" s="24" t="s">
        <v>56</v>
      </c>
      <c r="Y668" s="24" t="s">
        <v>2165</v>
      </c>
      <c r="Z668" s="24" t="s">
        <v>1915</v>
      </c>
      <c r="AA668" s="24" t="s">
        <v>565</v>
      </c>
      <c r="AB668" s="24" t="s">
        <v>56</v>
      </c>
      <c r="AC668" s="24" t="s">
        <v>2166</v>
      </c>
    </row>
    <row r="669" spans="1:29">
      <c r="A669" s="30" t="s">
        <v>2167</v>
      </c>
      <c r="B669" s="30" t="str">
        <f>IF(ISNUMBER(SEARCH(E669,A669)),A669,IF(OR(E669="",E669=""),A669,A669&amp;" - "&amp;E669))</f>
        <v>EL Jefe Vollspektrumextrakt 50 mg/ml</v>
      </c>
      <c r="C669" s="30" t="s">
        <v>2080</v>
      </c>
      <c r="D669" s="30" t="s">
        <v>2081</v>
      </c>
      <c r="E669" s="30" t="s">
        <v>56</v>
      </c>
      <c r="F669" s="30" t="s">
        <v>120</v>
      </c>
      <c r="G669" s="34"/>
      <c r="H669" s="35"/>
      <c r="I669" s="30">
        <v>50</v>
      </c>
      <c r="J669" s="30" t="s">
        <v>1927</v>
      </c>
      <c r="K669" s="30" t="s">
        <v>1918</v>
      </c>
      <c r="L669" s="30" t="s">
        <v>527</v>
      </c>
      <c r="M669" s="30" t="s">
        <v>121</v>
      </c>
      <c r="N669" s="30" t="s">
        <v>72</v>
      </c>
      <c r="O669" s="30" t="s">
        <v>56</v>
      </c>
      <c r="P669" s="30" t="s">
        <v>56</v>
      </c>
      <c r="Q669" s="30" t="s">
        <v>56</v>
      </c>
      <c r="R669" s="30" t="s">
        <v>56</v>
      </c>
      <c r="S669" s="30" t="s">
        <v>56</v>
      </c>
      <c r="T669" s="30" t="s">
        <v>56</v>
      </c>
      <c r="U669" s="30" t="s">
        <v>56</v>
      </c>
      <c r="V669" s="30" t="s">
        <v>77</v>
      </c>
      <c r="W669" s="30" t="s">
        <v>116</v>
      </c>
      <c r="X669" s="30" t="s">
        <v>129</v>
      </c>
      <c r="Y669" s="30" t="s">
        <v>264</v>
      </c>
      <c r="Z669" s="30" t="s">
        <v>1915</v>
      </c>
      <c r="AA669" s="30" t="s">
        <v>2081</v>
      </c>
      <c r="AB669" s="30" t="s">
        <v>56</v>
      </c>
      <c r="AC669" s="30" t="s">
        <v>2168</v>
      </c>
    </row>
    <row r="670" spans="1:29">
      <c r="A670" s="24" t="s">
        <v>2169</v>
      </c>
      <c r="B670" s="24" t="str">
        <f>IF(ISNUMBER(SEARCH(E670,A670)),A670,IF(OR(E670="",E670=""),A670,A670&amp;" - "&amp;E670))</f>
        <v>Ethypharm CBD 100 (Cannabisextrakt)</v>
      </c>
      <c r="C670" s="24" t="s">
        <v>2170</v>
      </c>
      <c r="D670" s="24" t="s">
        <v>2171</v>
      </c>
      <c r="E670" s="24" t="s">
        <v>56</v>
      </c>
      <c r="F670" s="24" t="s">
        <v>51</v>
      </c>
      <c r="G670" s="27"/>
      <c r="H670" s="28"/>
      <c r="I670" s="24">
        <v>2.9</v>
      </c>
      <c r="J670" s="24">
        <v>100</v>
      </c>
      <c r="K670" s="24" t="s">
        <v>1913</v>
      </c>
      <c r="L670" s="24" t="s">
        <v>202</v>
      </c>
      <c r="M670" s="24" t="s">
        <v>56</v>
      </c>
      <c r="N670" s="24"/>
      <c r="O670" s="24" t="s">
        <v>56</v>
      </c>
      <c r="P670" s="24" t="s">
        <v>56</v>
      </c>
      <c r="Q670" s="24" t="s">
        <v>56</v>
      </c>
      <c r="R670" s="24" t="s">
        <v>56</v>
      </c>
      <c r="S670" s="24" t="s">
        <v>56</v>
      </c>
      <c r="T670" s="24" t="s">
        <v>56</v>
      </c>
      <c r="U670" s="24" t="s">
        <v>56</v>
      </c>
      <c r="V670" s="24" t="s">
        <v>56</v>
      </c>
      <c r="W670" s="24"/>
      <c r="X670" s="24" t="s">
        <v>56</v>
      </c>
      <c r="Y670" s="24" t="s">
        <v>2172</v>
      </c>
      <c r="Z670" s="24" t="s">
        <v>1915</v>
      </c>
      <c r="AA670" s="24" t="s">
        <v>2171</v>
      </c>
      <c r="AB670" s="24" t="s">
        <v>56</v>
      </c>
      <c r="AC670" s="24" t="s">
        <v>2173</v>
      </c>
    </row>
    <row r="671" spans="1:29">
      <c r="A671" s="30" t="s">
        <v>2174</v>
      </c>
      <c r="B671" s="30" t="str">
        <f>IF(ISNUMBER(SEARCH(E671,A671)),A671,IF(OR(E671="",E671=""),A671,A671&amp;" - "&amp;E671))</f>
        <v>Ethypharm CBD 200 (Cannabisextrakt)</v>
      </c>
      <c r="C671" s="30" t="s">
        <v>2170</v>
      </c>
      <c r="D671" s="30" t="s">
        <v>2171</v>
      </c>
      <c r="E671" s="30" t="s">
        <v>56</v>
      </c>
      <c r="F671" s="30" t="s">
        <v>51</v>
      </c>
      <c r="G671" s="34"/>
      <c r="H671" s="35"/>
      <c r="I671" s="30" t="s">
        <v>2175</v>
      </c>
      <c r="J671" s="30">
        <v>200</v>
      </c>
      <c r="K671" s="30" t="s">
        <v>1913</v>
      </c>
      <c r="L671" s="30" t="s">
        <v>202</v>
      </c>
      <c r="M671" s="30" t="s">
        <v>56</v>
      </c>
      <c r="N671" s="30"/>
      <c r="O671" s="30" t="s">
        <v>56</v>
      </c>
      <c r="P671" s="30" t="s">
        <v>56</v>
      </c>
      <c r="Q671" s="30" t="s">
        <v>56</v>
      </c>
      <c r="R671" s="30" t="s">
        <v>56</v>
      </c>
      <c r="S671" s="30" t="s">
        <v>56</v>
      </c>
      <c r="T671" s="30" t="s">
        <v>56</v>
      </c>
      <c r="U671" s="30" t="s">
        <v>56</v>
      </c>
      <c r="V671" s="30" t="s">
        <v>56</v>
      </c>
      <c r="W671" s="30"/>
      <c r="X671" s="30" t="s">
        <v>56</v>
      </c>
      <c r="Y671" s="30" t="s">
        <v>2176</v>
      </c>
      <c r="Z671" s="30" t="s">
        <v>1915</v>
      </c>
      <c r="AA671" s="30" t="s">
        <v>2171</v>
      </c>
      <c r="AB671" s="30" t="s">
        <v>56</v>
      </c>
      <c r="AC671" s="30" t="s">
        <v>2177</v>
      </c>
    </row>
    <row r="672" spans="1:29">
      <c r="A672" s="24" t="s">
        <v>2178</v>
      </c>
      <c r="B672" s="24" t="str">
        <f>IF(ISNUMBER(SEARCH(E672,A672)),A672,IF(OR(E672="",E672=""),A672,A672&amp;" - "&amp;E672))</f>
        <v>Ethypharm THC 10: CBD 10 (Cannabisextrakt)</v>
      </c>
      <c r="C672" s="24" t="s">
        <v>2170</v>
      </c>
      <c r="D672" s="24" t="s">
        <v>2171</v>
      </c>
      <c r="E672" s="24" t="s">
        <v>56</v>
      </c>
      <c r="F672" s="24" t="s">
        <v>51</v>
      </c>
      <c r="G672" s="27"/>
      <c r="H672" s="28"/>
      <c r="I672" s="24">
        <v>10</v>
      </c>
      <c r="J672" s="24">
        <v>10</v>
      </c>
      <c r="K672" s="24" t="s">
        <v>1913</v>
      </c>
      <c r="L672" s="24" t="s">
        <v>202</v>
      </c>
      <c r="M672" s="24" t="s">
        <v>56</v>
      </c>
      <c r="N672" s="24"/>
      <c r="O672" s="24" t="s">
        <v>56</v>
      </c>
      <c r="P672" s="24" t="s">
        <v>56</v>
      </c>
      <c r="Q672" s="24" t="s">
        <v>56</v>
      </c>
      <c r="R672" s="24" t="s">
        <v>56</v>
      </c>
      <c r="S672" s="24" t="s">
        <v>56</v>
      </c>
      <c r="T672" s="24" t="s">
        <v>56</v>
      </c>
      <c r="U672" s="24" t="s">
        <v>56</v>
      </c>
      <c r="V672" s="24" t="s">
        <v>56</v>
      </c>
      <c r="W672" s="24"/>
      <c r="X672" s="24" t="s">
        <v>56</v>
      </c>
      <c r="Y672" s="24" t="s">
        <v>56</v>
      </c>
      <c r="Z672" s="24" t="s">
        <v>1915</v>
      </c>
      <c r="AA672" s="24" t="s">
        <v>2171</v>
      </c>
      <c r="AB672" s="24" t="s">
        <v>56</v>
      </c>
      <c r="AC672" s="24" t="s">
        <v>2179</v>
      </c>
    </row>
    <row r="673" spans="1:29">
      <c r="A673" s="30" t="s">
        <v>2180</v>
      </c>
      <c r="B673" s="30" t="str">
        <f>IF(ISNUMBER(SEARCH(E673,A673)),A673,IF(OR(E673="",E673=""),A673,A673&amp;" - "&amp;E673))</f>
        <v>Ethypharm THC 50 (Cannabisextrakt)</v>
      </c>
      <c r="C673" s="30" t="s">
        <v>2170</v>
      </c>
      <c r="D673" s="30" t="s">
        <v>2171</v>
      </c>
      <c r="E673" s="30" t="s">
        <v>56</v>
      </c>
      <c r="F673" s="30" t="s">
        <v>51</v>
      </c>
      <c r="G673" s="34"/>
      <c r="H673" s="35"/>
      <c r="I673" s="30">
        <v>50</v>
      </c>
      <c r="J673" s="30">
        <v>1</v>
      </c>
      <c r="K673" s="30" t="s">
        <v>1913</v>
      </c>
      <c r="L673" s="30" t="s">
        <v>202</v>
      </c>
      <c r="M673" s="30" t="s">
        <v>56</v>
      </c>
      <c r="N673" s="30"/>
      <c r="O673" s="30" t="s">
        <v>56</v>
      </c>
      <c r="P673" s="30" t="s">
        <v>56</v>
      </c>
      <c r="Q673" s="30" t="s">
        <v>56</v>
      </c>
      <c r="R673" s="30" t="s">
        <v>56</v>
      </c>
      <c r="S673" s="30" t="s">
        <v>56</v>
      </c>
      <c r="T673" s="30" t="s">
        <v>56</v>
      </c>
      <c r="U673" s="30" t="s">
        <v>56</v>
      </c>
      <c r="V673" s="30" t="s">
        <v>56</v>
      </c>
      <c r="W673" s="30"/>
      <c r="X673" s="30" t="s">
        <v>56</v>
      </c>
      <c r="Y673" s="30" t="s">
        <v>56</v>
      </c>
      <c r="Z673" s="30" t="s">
        <v>1915</v>
      </c>
      <c r="AA673" s="30" t="s">
        <v>2171</v>
      </c>
      <c r="AB673" s="30" t="s">
        <v>56</v>
      </c>
      <c r="AC673" s="30" t="s">
        <v>2181</v>
      </c>
    </row>
    <row r="674" spans="1:29">
      <c r="A674" s="24" t="s">
        <v>2182</v>
      </c>
      <c r="B674" s="24" t="str">
        <f>IF(ISNUMBER(SEARCH(E674,A674)),A674,IF(OR(E674="",E674=""),A674,A674&amp;" - "&amp;E674))</f>
        <v>Eurox 10/10 Orange Hill (Cannabisextrakt)</v>
      </c>
      <c r="C674" s="24" t="s">
        <v>2001</v>
      </c>
      <c r="D674" s="24" t="s">
        <v>2002</v>
      </c>
      <c r="E674" s="24" t="s">
        <v>56</v>
      </c>
      <c r="F674" s="24" t="s">
        <v>69</v>
      </c>
      <c r="G674" s="27"/>
      <c r="H674" s="28"/>
      <c r="I674" s="24">
        <v>10</v>
      </c>
      <c r="J674" s="24">
        <v>10</v>
      </c>
      <c r="K674" s="24" t="s">
        <v>2003</v>
      </c>
      <c r="L674" s="24"/>
      <c r="M674" s="24" t="s">
        <v>111</v>
      </c>
      <c r="N674" s="24" t="s">
        <v>71</v>
      </c>
      <c r="O674" s="24" t="s">
        <v>178</v>
      </c>
      <c r="P674" s="24" t="s">
        <v>56</v>
      </c>
      <c r="Q674" s="24" t="s">
        <v>56</v>
      </c>
      <c r="R674" s="24" t="s">
        <v>56</v>
      </c>
      <c r="S674" s="24" t="s">
        <v>56</v>
      </c>
      <c r="T674" s="24" t="s">
        <v>56</v>
      </c>
      <c r="U674" s="24" t="s">
        <v>56</v>
      </c>
      <c r="V674" s="24" t="s">
        <v>92</v>
      </c>
      <c r="W674" s="24" t="s">
        <v>77</v>
      </c>
      <c r="X674" s="24" t="s">
        <v>180</v>
      </c>
      <c r="Y674" s="24" t="s">
        <v>56</v>
      </c>
      <c r="Z674" s="24" t="s">
        <v>1915</v>
      </c>
      <c r="AA674" s="24" t="s">
        <v>2002</v>
      </c>
      <c r="AB674" s="24" t="s">
        <v>56</v>
      </c>
      <c r="AC674" s="24" t="s">
        <v>2183</v>
      </c>
    </row>
    <row r="675" spans="1:29">
      <c r="A675" s="30" t="s">
        <v>2184</v>
      </c>
      <c r="B675" s="30" t="str">
        <f>IF(ISNUMBER(SEARCH(E675,A675)),A675,IF(OR(E675="",E675=""),A675,A675&amp;" - "&amp;E675))</f>
        <v>Eurox 25 Orange Hill (Cannabisextrakt)</v>
      </c>
      <c r="C675" s="30" t="s">
        <v>2001</v>
      </c>
      <c r="D675" s="30" t="s">
        <v>2002</v>
      </c>
      <c r="E675" s="30" t="s">
        <v>56</v>
      </c>
      <c r="F675" s="30" t="s">
        <v>69</v>
      </c>
      <c r="G675" s="34"/>
      <c r="H675" s="35"/>
      <c r="I675" s="30">
        <v>25</v>
      </c>
      <c r="J675" s="30" t="s">
        <v>1927</v>
      </c>
      <c r="K675" s="30" t="s">
        <v>2003</v>
      </c>
      <c r="L675" s="30"/>
      <c r="M675" s="30" t="s">
        <v>111</v>
      </c>
      <c r="N675" s="30" t="s">
        <v>71</v>
      </c>
      <c r="O675" s="30" t="s">
        <v>178</v>
      </c>
      <c r="P675" s="30" t="s">
        <v>56</v>
      </c>
      <c r="Q675" s="30" t="s">
        <v>56</v>
      </c>
      <c r="R675" s="30" t="s">
        <v>56</v>
      </c>
      <c r="S675" s="30" t="s">
        <v>56</v>
      </c>
      <c r="T675" s="30" t="s">
        <v>56</v>
      </c>
      <c r="U675" s="30" t="s">
        <v>56</v>
      </c>
      <c r="V675" s="30" t="s">
        <v>92</v>
      </c>
      <c r="W675" s="30" t="s">
        <v>77</v>
      </c>
      <c r="X675" s="30" t="s">
        <v>180</v>
      </c>
      <c r="Y675" s="30" t="s">
        <v>56</v>
      </c>
      <c r="Z675" s="30" t="s">
        <v>1915</v>
      </c>
      <c r="AA675" s="30" t="s">
        <v>2002</v>
      </c>
      <c r="AB675" s="30" t="s">
        <v>56</v>
      </c>
      <c r="AC675" s="30" t="s">
        <v>2185</v>
      </c>
    </row>
    <row r="676" spans="1:29">
      <c r="A676" s="24" t="s">
        <v>2186</v>
      </c>
      <c r="B676" s="24" t="str">
        <f>IF(ISNUMBER(SEARCH(E676,A676)),A676,IF(OR(E676="",E676=""),A676,A676&amp;" - "&amp;E676))</f>
        <v>Farmako 100 (Cannabisextrakt)</v>
      </c>
      <c r="C676" s="24" t="s">
        <v>2187</v>
      </c>
      <c r="D676" s="24" t="s">
        <v>2188</v>
      </c>
      <c r="E676" s="24" t="s">
        <v>56</v>
      </c>
      <c r="F676" s="24" t="s">
        <v>120</v>
      </c>
      <c r="G676" s="27"/>
      <c r="H676" s="28"/>
      <c r="I676" s="24">
        <v>100</v>
      </c>
      <c r="J676" s="24" t="s">
        <v>1927</v>
      </c>
      <c r="K676" s="24" t="s">
        <v>1918</v>
      </c>
      <c r="L676" s="24" t="s">
        <v>2189</v>
      </c>
      <c r="M676" s="24" t="s">
        <v>54</v>
      </c>
      <c r="N676" s="24" t="s">
        <v>111</v>
      </c>
      <c r="O676" s="24" t="s">
        <v>88</v>
      </c>
      <c r="P676" s="24" t="s">
        <v>56</v>
      </c>
      <c r="Q676" s="24" t="s">
        <v>56</v>
      </c>
      <c r="R676" s="24" t="s">
        <v>56</v>
      </c>
      <c r="S676" s="24" t="s">
        <v>56</v>
      </c>
      <c r="T676" s="24" t="s">
        <v>56</v>
      </c>
      <c r="U676" s="24" t="s">
        <v>56</v>
      </c>
      <c r="V676" s="24" t="s">
        <v>252</v>
      </c>
      <c r="W676" s="24" t="s">
        <v>77</v>
      </c>
      <c r="X676" s="24" t="s">
        <v>253</v>
      </c>
      <c r="Y676" s="24" t="s">
        <v>56</v>
      </c>
      <c r="Z676" s="24" t="s">
        <v>1915</v>
      </c>
      <c r="AA676" s="24" t="s">
        <v>2188</v>
      </c>
      <c r="AB676" s="24" t="s">
        <v>56</v>
      </c>
      <c r="AC676" s="24" t="s">
        <v>2190</v>
      </c>
    </row>
    <row r="677" spans="1:29">
      <c r="A677" s="30" t="s">
        <v>2191</v>
      </c>
      <c r="B677" s="30" t="str">
        <f>IF(ISNUMBER(SEARCH(E677,A677)),A677,IF(OR(E677="",E677=""),A677,A677&amp;" - "&amp;E677))</f>
        <v>Farmako 50 (Cannabisextrakt)</v>
      </c>
      <c r="C677" s="30" t="s">
        <v>2187</v>
      </c>
      <c r="D677" s="30" t="s">
        <v>2188</v>
      </c>
      <c r="E677" s="30" t="s">
        <v>56</v>
      </c>
      <c r="F677" s="30" t="s">
        <v>120</v>
      </c>
      <c r="G677" s="34"/>
      <c r="H677" s="35"/>
      <c r="I677" s="30">
        <v>50</v>
      </c>
      <c r="J677" s="30" t="s">
        <v>1927</v>
      </c>
      <c r="K677" s="30" t="s">
        <v>1918</v>
      </c>
      <c r="L677" s="30" t="s">
        <v>2189</v>
      </c>
      <c r="M677" s="30" t="s">
        <v>54</v>
      </c>
      <c r="N677" s="30" t="s">
        <v>111</v>
      </c>
      <c r="O677" s="30" t="s">
        <v>88</v>
      </c>
      <c r="P677" s="30" t="s">
        <v>56</v>
      </c>
      <c r="Q677" s="30" t="s">
        <v>56</v>
      </c>
      <c r="R677" s="30" t="s">
        <v>56</v>
      </c>
      <c r="S677" s="30" t="s">
        <v>56</v>
      </c>
      <c r="T677" s="30" t="s">
        <v>56</v>
      </c>
      <c r="U677" s="30" t="s">
        <v>56</v>
      </c>
      <c r="V677" s="30" t="s">
        <v>252</v>
      </c>
      <c r="W677" s="30" t="s">
        <v>77</v>
      </c>
      <c r="X677" s="30" t="s">
        <v>253</v>
      </c>
      <c r="Y677" s="30" t="s">
        <v>56</v>
      </c>
      <c r="Z677" s="30" t="s">
        <v>1915</v>
      </c>
      <c r="AA677" s="30" t="s">
        <v>2188</v>
      </c>
      <c r="AB677" s="30" t="s">
        <v>56</v>
      </c>
      <c r="AC677" s="30" t="s">
        <v>2192</v>
      </c>
    </row>
    <row r="678" spans="1:29">
      <c r="A678" s="24" t="s">
        <v>2193</v>
      </c>
      <c r="B678" s="24" t="str">
        <f>IF(ISNUMBER(SEARCH(E678,A678)),A678,IF(OR(E678="",E678=""),A678,A678&amp;" - "&amp;E678))</f>
        <v>GROW 1:25 CAN (Cannabisextrakt)</v>
      </c>
      <c r="C678" s="24" t="s">
        <v>1323</v>
      </c>
      <c r="D678" s="24" t="s">
        <v>1324</v>
      </c>
      <c r="E678" s="24" t="s">
        <v>56</v>
      </c>
      <c r="F678" s="24" t="s">
        <v>51</v>
      </c>
      <c r="G678" s="27"/>
      <c r="H678" s="28"/>
      <c r="I678" s="24" t="s">
        <v>2194</v>
      </c>
      <c r="J678" s="24">
        <v>25</v>
      </c>
      <c r="K678" s="24" t="s">
        <v>1913</v>
      </c>
      <c r="L678" s="24" t="s">
        <v>53</v>
      </c>
      <c r="M678" s="24" t="s">
        <v>212</v>
      </c>
      <c r="N678" s="24" t="s">
        <v>121</v>
      </c>
      <c r="O678" s="24" t="s">
        <v>72</v>
      </c>
      <c r="P678" s="24" t="s">
        <v>56</v>
      </c>
      <c r="Q678" s="24" t="s">
        <v>56</v>
      </c>
      <c r="R678" s="24" t="s">
        <v>56</v>
      </c>
      <c r="S678" s="24" t="s">
        <v>56</v>
      </c>
      <c r="T678" s="24" t="s">
        <v>56</v>
      </c>
      <c r="U678" s="24" t="s">
        <v>56</v>
      </c>
      <c r="V678" s="24" t="s">
        <v>77</v>
      </c>
      <c r="W678" s="24" t="s">
        <v>116</v>
      </c>
      <c r="X678" s="24" t="s">
        <v>129</v>
      </c>
      <c r="Y678" s="24" t="s">
        <v>2023</v>
      </c>
      <c r="Z678" s="24" t="s">
        <v>1915</v>
      </c>
      <c r="AA678" s="24" t="s">
        <v>1326</v>
      </c>
      <c r="AB678" s="24" t="s">
        <v>56</v>
      </c>
      <c r="AC678" s="24" t="s">
        <v>2195</v>
      </c>
    </row>
    <row r="679" spans="1:29">
      <c r="A679" s="30" t="s">
        <v>2196</v>
      </c>
      <c r="B679" s="30" t="str">
        <f>IF(ISNUMBER(SEARCH(E679,A679)),A679,IF(OR(E679="",E679=""),A679,A679&amp;" - "&amp;E679))</f>
        <v>GROW 25:1 CAN (Cannabisextrakt)</v>
      </c>
      <c r="C679" s="30" t="s">
        <v>1323</v>
      </c>
      <c r="D679" s="30" t="s">
        <v>1324</v>
      </c>
      <c r="E679" s="30" t="s">
        <v>56</v>
      </c>
      <c r="F679" s="30" t="s">
        <v>51</v>
      </c>
      <c r="G679" s="34"/>
      <c r="H679" s="35"/>
      <c r="I679" s="30">
        <v>25</v>
      </c>
      <c r="J679" s="30">
        <v>1</v>
      </c>
      <c r="K679" s="30" t="s">
        <v>1913</v>
      </c>
      <c r="L679" s="30" t="s">
        <v>53</v>
      </c>
      <c r="M679" s="30" t="s">
        <v>212</v>
      </c>
      <c r="N679" s="30" t="s">
        <v>121</v>
      </c>
      <c r="O679" s="30" t="s">
        <v>72</v>
      </c>
      <c r="P679" s="30" t="s">
        <v>56</v>
      </c>
      <c r="Q679" s="30" t="s">
        <v>56</v>
      </c>
      <c r="R679" s="30" t="s">
        <v>56</v>
      </c>
      <c r="S679" s="30" t="s">
        <v>56</v>
      </c>
      <c r="T679" s="30" t="s">
        <v>56</v>
      </c>
      <c r="U679" s="30" t="s">
        <v>56</v>
      </c>
      <c r="V679" s="30" t="s">
        <v>77</v>
      </c>
      <c r="W679" s="30" t="s">
        <v>116</v>
      </c>
      <c r="X679" s="30" t="s">
        <v>129</v>
      </c>
      <c r="Y679" s="30" t="s">
        <v>2023</v>
      </c>
      <c r="Z679" s="30" t="s">
        <v>1915</v>
      </c>
      <c r="AA679" s="30" t="s">
        <v>1326</v>
      </c>
      <c r="AB679" s="30" t="s">
        <v>56</v>
      </c>
      <c r="AC679" s="30" t="s">
        <v>2197</v>
      </c>
    </row>
    <row r="680" spans="1:29">
      <c r="A680" s="24" t="s">
        <v>2198</v>
      </c>
      <c r="B680" s="24" t="str">
        <f>IF(ISNUMBER(SEARCH(E680,A680)),A680,IF(OR(E680="",E680=""),A680,A680&amp;" - "&amp;E680))</f>
        <v>Grünhorn Cannabisextrakt Hybrid 25:1</v>
      </c>
      <c r="C680" s="24" t="s">
        <v>2080</v>
      </c>
      <c r="D680" s="24" t="s">
        <v>2081</v>
      </c>
      <c r="E680" s="41"/>
      <c r="F680" s="24" t="s">
        <v>86</v>
      </c>
      <c r="G680" s="27"/>
      <c r="H680" s="28"/>
      <c r="I680" s="24">
        <v>25</v>
      </c>
      <c r="J680" s="24">
        <v>1</v>
      </c>
      <c r="K680" s="24" t="s">
        <v>1918</v>
      </c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 t="s">
        <v>2199</v>
      </c>
      <c r="Z680" s="24" t="s">
        <v>1915</v>
      </c>
      <c r="AA680" s="24" t="s">
        <v>2081</v>
      </c>
      <c r="AB680" s="24"/>
      <c r="AC680" s="24" t="s">
        <v>2200</v>
      </c>
    </row>
    <row r="681" spans="1:29">
      <c r="A681" s="30" t="s">
        <v>2201</v>
      </c>
      <c r="B681" s="30" t="str">
        <f>IF(ISNUMBER(SEARCH(E681,A681)),A681,IF(OR(E681="",E681=""),A681,A681&amp;" - "&amp;E681))</f>
        <v>Grünhorn GG 22/1: Gorilla Glue Vollspektrumextrakt 25mg/ml</v>
      </c>
      <c r="C681" s="30" t="s">
        <v>2080</v>
      </c>
      <c r="D681" s="30" t="s">
        <v>2081</v>
      </c>
      <c r="E681" s="30" t="s">
        <v>56</v>
      </c>
      <c r="F681" s="30" t="s">
        <v>86</v>
      </c>
      <c r="G681" s="34"/>
      <c r="H681" s="35"/>
      <c r="I681" s="30">
        <v>22</v>
      </c>
      <c r="J681" s="30" t="s">
        <v>1927</v>
      </c>
      <c r="K681" s="30" t="s">
        <v>1918</v>
      </c>
      <c r="L681" s="30" t="s">
        <v>527</v>
      </c>
      <c r="M681" s="30" t="s">
        <v>103</v>
      </c>
      <c r="N681" s="30" t="s">
        <v>121</v>
      </c>
      <c r="O681" s="30" t="s">
        <v>72</v>
      </c>
      <c r="P681" s="30" t="s">
        <v>56</v>
      </c>
      <c r="Q681" s="30" t="s">
        <v>56</v>
      </c>
      <c r="R681" s="30" t="s">
        <v>56</v>
      </c>
      <c r="S681" s="30" t="s">
        <v>56</v>
      </c>
      <c r="T681" s="30" t="s">
        <v>56</v>
      </c>
      <c r="U681" s="30" t="s">
        <v>56</v>
      </c>
      <c r="V681" s="30" t="s">
        <v>257</v>
      </c>
      <c r="W681" s="30" t="s">
        <v>252</v>
      </c>
      <c r="X681" s="30" t="s">
        <v>77</v>
      </c>
      <c r="Y681" s="30" t="s">
        <v>2084</v>
      </c>
      <c r="Z681" s="30" t="s">
        <v>1915</v>
      </c>
      <c r="AA681" s="30" t="s">
        <v>2081</v>
      </c>
      <c r="AB681" s="30" t="s">
        <v>56</v>
      </c>
      <c r="AC681" s="30" t="s">
        <v>2202</v>
      </c>
    </row>
    <row r="682" spans="1:29">
      <c r="A682" s="24" t="s">
        <v>2203</v>
      </c>
      <c r="B682" s="24" t="str">
        <f>IF(ISNUMBER(SEARCH(E682,A682)),A682,IF(OR(E682="",E682=""),A682,A682&amp;" - "&amp;E682))</f>
        <v>Grünhorn GG 22/1: Gorilla Glue Vollspektrumextrakt 50mg/ml</v>
      </c>
      <c r="C682" s="24" t="s">
        <v>2080</v>
      </c>
      <c r="D682" s="24" t="s">
        <v>2081</v>
      </c>
      <c r="E682" s="24" t="s">
        <v>56</v>
      </c>
      <c r="F682" s="24" t="s">
        <v>86</v>
      </c>
      <c r="G682" s="27"/>
      <c r="H682" s="28"/>
      <c r="I682" s="24">
        <v>50</v>
      </c>
      <c r="J682" s="24" t="s">
        <v>1927</v>
      </c>
      <c r="K682" s="24" t="s">
        <v>1918</v>
      </c>
      <c r="L682" s="24" t="s">
        <v>527</v>
      </c>
      <c r="M682" s="24" t="s">
        <v>103</v>
      </c>
      <c r="N682" s="24" t="s">
        <v>121</v>
      </c>
      <c r="O682" s="24" t="s">
        <v>72</v>
      </c>
      <c r="P682" s="24" t="s">
        <v>56</v>
      </c>
      <c r="Q682" s="24" t="s">
        <v>56</v>
      </c>
      <c r="R682" s="24" t="s">
        <v>56</v>
      </c>
      <c r="S682" s="24" t="s">
        <v>56</v>
      </c>
      <c r="T682" s="24" t="s">
        <v>56</v>
      </c>
      <c r="U682" s="24" t="s">
        <v>56</v>
      </c>
      <c r="V682" s="24" t="s">
        <v>257</v>
      </c>
      <c r="W682" s="24" t="s">
        <v>252</v>
      </c>
      <c r="X682" s="24" t="s">
        <v>77</v>
      </c>
      <c r="Y682" s="24" t="s">
        <v>264</v>
      </c>
      <c r="Z682" s="24" t="s">
        <v>1915</v>
      </c>
      <c r="AA682" s="24" t="s">
        <v>2081</v>
      </c>
      <c r="AB682" s="24" t="s">
        <v>56</v>
      </c>
      <c r="AC682" s="24" t="s">
        <v>2204</v>
      </c>
    </row>
    <row r="683" spans="1:29">
      <c r="A683" s="30" t="s">
        <v>2205</v>
      </c>
      <c r="B683" s="30" t="str">
        <f>IF(ISNUMBER(SEARCH(E683,A683)),A683,IF(OR(E683="",E683=""),A683,A683&amp;" - "&amp;E683))</f>
        <v>Grünhorn SCK 25/1: Scotti´s Cake Vollspektrumextrakt 25mg/ml</v>
      </c>
      <c r="C683" s="30" t="s">
        <v>2080</v>
      </c>
      <c r="D683" s="30" t="s">
        <v>2081</v>
      </c>
      <c r="E683" s="30" t="s">
        <v>56</v>
      </c>
      <c r="F683" s="30" t="s">
        <v>2206</v>
      </c>
      <c r="G683" s="34"/>
      <c r="H683" s="35"/>
      <c r="I683" s="30">
        <v>25</v>
      </c>
      <c r="J683" s="30" t="s">
        <v>1927</v>
      </c>
      <c r="K683" s="30" t="s">
        <v>1918</v>
      </c>
      <c r="L683" s="30" t="s">
        <v>527</v>
      </c>
      <c r="M683" s="30" t="s">
        <v>71</v>
      </c>
      <c r="N683" s="30" t="s">
        <v>103</v>
      </c>
      <c r="O683" s="30" t="s">
        <v>72</v>
      </c>
      <c r="P683" s="30" t="s">
        <v>56</v>
      </c>
      <c r="Q683" s="30" t="s">
        <v>56</v>
      </c>
      <c r="R683" s="30" t="s">
        <v>56</v>
      </c>
      <c r="S683" s="30" t="s">
        <v>123</v>
      </c>
      <c r="T683" s="30" t="s">
        <v>106</v>
      </c>
      <c r="U683" s="30" t="s">
        <v>62</v>
      </c>
      <c r="V683" s="30" t="s">
        <v>77</v>
      </c>
      <c r="W683" s="30" t="s">
        <v>116</v>
      </c>
      <c r="X683" s="30" t="s">
        <v>79</v>
      </c>
      <c r="Y683" s="30" t="s">
        <v>2199</v>
      </c>
      <c r="Z683" s="30" t="s">
        <v>1915</v>
      </c>
      <c r="AA683" s="30" t="s">
        <v>2081</v>
      </c>
      <c r="AB683" s="30" t="s">
        <v>56</v>
      </c>
      <c r="AC683" s="30" t="s">
        <v>2207</v>
      </c>
    </row>
    <row r="684" spans="1:29">
      <c r="A684" s="24" t="s">
        <v>2208</v>
      </c>
      <c r="B684" s="24" t="str">
        <f>IF(ISNUMBER(SEARCH(E684,A684)),A684,IF(OR(E684="",E684=""),A684,A684&amp;" - "&amp;E684))</f>
        <v>Grünhorn SCK 25/1: Scotti´s Cake Vollspektrumextrakt 50mg/ml</v>
      </c>
      <c r="C684" s="24" t="s">
        <v>2080</v>
      </c>
      <c r="D684" s="24" t="s">
        <v>2081</v>
      </c>
      <c r="E684" s="24" t="s">
        <v>56</v>
      </c>
      <c r="F684" s="24" t="s">
        <v>120</v>
      </c>
      <c r="G684" s="27"/>
      <c r="H684" s="28"/>
      <c r="I684" s="24">
        <v>50</v>
      </c>
      <c r="J684" s="24" t="s">
        <v>1927</v>
      </c>
      <c r="K684" s="24" t="s">
        <v>1918</v>
      </c>
      <c r="L684" s="24" t="s">
        <v>527</v>
      </c>
      <c r="M684" s="24" t="s">
        <v>71</v>
      </c>
      <c r="N684" s="24" t="s">
        <v>103</v>
      </c>
      <c r="O684" s="24" t="s">
        <v>72</v>
      </c>
      <c r="P684" s="24" t="s">
        <v>56</v>
      </c>
      <c r="Q684" s="24" t="s">
        <v>56</v>
      </c>
      <c r="R684" s="24" t="s">
        <v>56</v>
      </c>
      <c r="S684" s="24" t="s">
        <v>123</v>
      </c>
      <c r="T684" s="24" t="s">
        <v>106</v>
      </c>
      <c r="U684" s="24" t="s">
        <v>62</v>
      </c>
      <c r="V684" s="24" t="s">
        <v>77</v>
      </c>
      <c r="W684" s="24" t="s">
        <v>116</v>
      </c>
      <c r="X684" s="24" t="s">
        <v>79</v>
      </c>
      <c r="Y684" s="24" t="s">
        <v>2084</v>
      </c>
      <c r="Z684" s="24" t="s">
        <v>1915</v>
      </c>
      <c r="AA684" s="24" t="s">
        <v>2081</v>
      </c>
      <c r="AB684" s="24" t="s">
        <v>56</v>
      </c>
      <c r="AC684" s="24" t="s">
        <v>2209</v>
      </c>
    </row>
    <row r="685" spans="1:29">
      <c r="A685" s="30" t="s">
        <v>2210</v>
      </c>
      <c r="B685" s="30" t="str">
        <f>IF(ISNUMBER(SEARCH(E685,A685)),A685,IF(OR(E685="",E685=""),A685,A685&amp;" - "&amp;E685))</f>
        <v>HAPA pharm THC10:CBD10</v>
      </c>
      <c r="C685" s="23" t="s">
        <v>2211</v>
      </c>
      <c r="D685" s="24" t="s">
        <v>2212</v>
      </c>
      <c r="E685" s="29" t="s">
        <v>56</v>
      </c>
      <c r="F685" s="30" t="s">
        <v>51</v>
      </c>
      <c r="G685" s="34"/>
      <c r="H685" s="35"/>
      <c r="I685" s="30">
        <v>10</v>
      </c>
      <c r="J685" s="30">
        <v>10</v>
      </c>
      <c r="K685" s="30" t="s">
        <v>1913</v>
      </c>
      <c r="L685" s="30" t="s">
        <v>145</v>
      </c>
      <c r="M685" s="30" t="s">
        <v>56</v>
      </c>
      <c r="N685" s="30"/>
      <c r="O685" s="30" t="s">
        <v>56</v>
      </c>
      <c r="P685" s="30" t="s">
        <v>56</v>
      </c>
      <c r="Q685" s="30" t="s">
        <v>56</v>
      </c>
      <c r="R685" s="30" t="s">
        <v>56</v>
      </c>
      <c r="S685" s="30" t="s">
        <v>56</v>
      </c>
      <c r="T685" s="30" t="s">
        <v>56</v>
      </c>
      <c r="U685" s="30" t="s">
        <v>56</v>
      </c>
      <c r="V685" s="30" t="s">
        <v>56</v>
      </c>
      <c r="W685" s="30"/>
      <c r="X685" s="30" t="s">
        <v>56</v>
      </c>
      <c r="Y685" s="30" t="s">
        <v>56</v>
      </c>
      <c r="Z685" s="30" t="s">
        <v>1915</v>
      </c>
      <c r="AA685" s="30" t="s">
        <v>2212</v>
      </c>
      <c r="AB685" s="30" t="s">
        <v>56</v>
      </c>
      <c r="AC685" s="30" t="s">
        <v>2213</v>
      </c>
    </row>
    <row r="686" spans="1:29">
      <c r="A686" s="24" t="s">
        <v>2214</v>
      </c>
      <c r="B686" s="24" t="str">
        <f>IF(ISNUMBER(SEARCH(E686,A686)),A686,IF(OR(E686="",E686=""),A686,A686&amp;" - "&amp;E686))</f>
        <v>Hempamed RX Extrakt 10:10</v>
      </c>
      <c r="C686" s="23" t="s">
        <v>2215</v>
      </c>
      <c r="D686" s="24" t="s">
        <v>2216</v>
      </c>
      <c r="E686" s="24" t="s">
        <v>56</v>
      </c>
      <c r="F686" s="24" t="s">
        <v>69</v>
      </c>
      <c r="G686" s="27"/>
      <c r="H686" s="28"/>
      <c r="I686" s="24">
        <v>10</v>
      </c>
      <c r="J686" s="24">
        <v>10</v>
      </c>
      <c r="K686" s="24" t="s">
        <v>1918</v>
      </c>
      <c r="L686" s="24"/>
      <c r="M686" s="24" t="s">
        <v>54</v>
      </c>
      <c r="N686" s="24" t="s">
        <v>55</v>
      </c>
      <c r="O686" s="24" t="s">
        <v>178</v>
      </c>
      <c r="P686" s="24" t="s">
        <v>56</v>
      </c>
      <c r="Q686" s="24" t="s">
        <v>56</v>
      </c>
      <c r="R686" s="24" t="s">
        <v>56</v>
      </c>
      <c r="S686" s="24" t="s">
        <v>56</v>
      </c>
      <c r="T686" s="24" t="s">
        <v>56</v>
      </c>
      <c r="U686" s="24" t="s">
        <v>56</v>
      </c>
      <c r="V686" s="24" t="s">
        <v>77</v>
      </c>
      <c r="W686" s="24" t="s">
        <v>79</v>
      </c>
      <c r="X686" s="24" t="s">
        <v>107</v>
      </c>
      <c r="Y686" s="24" t="s">
        <v>56</v>
      </c>
      <c r="Z686" s="24" t="s">
        <v>1915</v>
      </c>
      <c r="AA686" s="24" t="s">
        <v>2216</v>
      </c>
      <c r="AB686" s="24" t="s">
        <v>56</v>
      </c>
      <c r="AC686" s="24" t="s">
        <v>2217</v>
      </c>
    </row>
    <row r="687" spans="1:29">
      <c r="A687" s="30" t="s">
        <v>2218</v>
      </c>
      <c r="B687" s="30" t="str">
        <f>IF(ISNUMBER(SEARCH(E687,A687)),A687,IF(OR(E687="",E687=""),A687,A687&amp;" - "&amp;E687))</f>
        <v>Hempamed RX Extrakt 25</v>
      </c>
      <c r="C687" s="29" t="s">
        <v>2215</v>
      </c>
      <c r="D687" s="30" t="s">
        <v>2216</v>
      </c>
      <c r="E687" s="30" t="s">
        <v>56</v>
      </c>
      <c r="F687" s="30" t="s">
        <v>86</v>
      </c>
      <c r="G687" s="34"/>
      <c r="H687" s="35"/>
      <c r="I687" s="30">
        <v>25</v>
      </c>
      <c r="J687" s="30" t="s">
        <v>1927</v>
      </c>
      <c r="K687" s="30" t="s">
        <v>1918</v>
      </c>
      <c r="L687" s="30"/>
      <c r="M687" s="30" t="s">
        <v>54</v>
      </c>
      <c r="N687" s="30" t="s">
        <v>55</v>
      </c>
      <c r="O687" s="30" t="s">
        <v>178</v>
      </c>
      <c r="P687" s="30" t="s">
        <v>56</v>
      </c>
      <c r="Q687" s="30" t="s">
        <v>56</v>
      </c>
      <c r="R687" s="30" t="s">
        <v>56</v>
      </c>
      <c r="S687" s="30" t="s">
        <v>56</v>
      </c>
      <c r="T687" s="30" t="s">
        <v>56</v>
      </c>
      <c r="U687" s="30" t="s">
        <v>56</v>
      </c>
      <c r="V687" s="30" t="s">
        <v>77</v>
      </c>
      <c r="W687" s="30" t="s">
        <v>79</v>
      </c>
      <c r="X687" s="30" t="s">
        <v>107</v>
      </c>
      <c r="Y687" s="30" t="s">
        <v>56</v>
      </c>
      <c r="Z687" s="30" t="s">
        <v>1915</v>
      </c>
      <c r="AA687" s="30" t="s">
        <v>2216</v>
      </c>
      <c r="AB687" s="30" t="s">
        <v>56</v>
      </c>
      <c r="AC687" s="30" t="s">
        <v>2219</v>
      </c>
    </row>
    <row r="688" spans="1:29">
      <c r="A688" s="24" t="s">
        <v>2220</v>
      </c>
      <c r="B688" s="24" t="str">
        <f>IF(ISNUMBER(SEARCH(E688,A688)),A688,IF(OR(E688="",E688=""),A688,A688&amp;" - "&amp;E688))</f>
        <v>IMC Cannabisextrakt 25:25</v>
      </c>
      <c r="C688" s="24" t="s">
        <v>646</v>
      </c>
      <c r="D688" s="24" t="s">
        <v>646</v>
      </c>
      <c r="E688" s="24" t="s">
        <v>56</v>
      </c>
      <c r="F688" s="24" t="s">
        <v>51</v>
      </c>
      <c r="G688" s="27"/>
      <c r="H688" s="28"/>
      <c r="I688" s="24">
        <v>25</v>
      </c>
      <c r="J688" s="24">
        <v>25</v>
      </c>
      <c r="K688" s="24"/>
      <c r="L688" s="24"/>
      <c r="M688" s="24" t="s">
        <v>54</v>
      </c>
      <c r="N688" s="24" t="s">
        <v>111</v>
      </c>
      <c r="O688" s="24" t="s">
        <v>88</v>
      </c>
      <c r="P688" s="24" t="s">
        <v>56</v>
      </c>
      <c r="Q688" s="24" t="s">
        <v>56</v>
      </c>
      <c r="R688" s="24" t="s">
        <v>56</v>
      </c>
      <c r="S688" s="24" t="s">
        <v>56</v>
      </c>
      <c r="T688" s="24" t="s">
        <v>56</v>
      </c>
      <c r="U688" s="24" t="s">
        <v>56</v>
      </c>
      <c r="V688" s="24" t="s">
        <v>252</v>
      </c>
      <c r="W688" s="24" t="s">
        <v>77</v>
      </c>
      <c r="X688" s="24" t="s">
        <v>253</v>
      </c>
      <c r="Y688" s="24" t="s">
        <v>388</v>
      </c>
      <c r="Z688" s="24" t="s">
        <v>1915</v>
      </c>
      <c r="AA688" s="24" t="s">
        <v>646</v>
      </c>
      <c r="AB688" s="24" t="s">
        <v>56</v>
      </c>
      <c r="AC688" s="24" t="s">
        <v>2221</v>
      </c>
    </row>
    <row r="689" spans="1:29">
      <c r="A689" s="30" t="s">
        <v>2222</v>
      </c>
      <c r="B689" s="30" t="str">
        <f>IF(ISNUMBER(SEARCH(E689,A689)),A689,IF(OR(E689="",E689=""),A689,A689&amp;" - "&amp;E689))</f>
        <v>IUVO Balance THC10:CBD15 Tangie Chem x Eve 207</v>
      </c>
      <c r="C689" s="30" t="s">
        <v>153</v>
      </c>
      <c r="D689" s="30" t="s">
        <v>154</v>
      </c>
      <c r="E689" s="30" t="s">
        <v>56</v>
      </c>
      <c r="F689" s="30" t="s">
        <v>51</v>
      </c>
      <c r="G689" s="34"/>
      <c r="H689" s="35"/>
      <c r="I689" s="30">
        <v>10</v>
      </c>
      <c r="J689" s="30">
        <v>15</v>
      </c>
      <c r="K689" s="30" t="s">
        <v>1918</v>
      </c>
      <c r="L689" s="30"/>
      <c r="M689" s="30" t="s">
        <v>71</v>
      </c>
      <c r="N689" s="30" t="s">
        <v>55</v>
      </c>
      <c r="O689" s="30" t="s">
        <v>72</v>
      </c>
      <c r="P689" s="30" t="s">
        <v>56</v>
      </c>
      <c r="Q689" s="30" t="s">
        <v>56</v>
      </c>
      <c r="R689" s="30" t="s">
        <v>56</v>
      </c>
      <c r="S689" s="30" t="s">
        <v>56</v>
      </c>
      <c r="T689" s="30" t="s">
        <v>56</v>
      </c>
      <c r="U689" s="30" t="s">
        <v>56</v>
      </c>
      <c r="V689" s="30" t="s">
        <v>77</v>
      </c>
      <c r="W689" s="30" t="s">
        <v>78</v>
      </c>
      <c r="X689" s="30" t="s">
        <v>79</v>
      </c>
      <c r="Y689" s="30" t="s">
        <v>56</v>
      </c>
      <c r="Z689" s="30" t="s">
        <v>1915</v>
      </c>
      <c r="AA689" s="30" t="s">
        <v>154</v>
      </c>
      <c r="AB689" s="30" t="s">
        <v>56</v>
      </c>
      <c r="AC689" s="30" t="s">
        <v>2223</v>
      </c>
    </row>
    <row r="690" spans="1:29">
      <c r="A690" s="24" t="s">
        <v>2224</v>
      </c>
      <c r="B690" s="24" t="str">
        <f>IF(ISNUMBER(SEARCH(E690,A690)),A690,IF(OR(E690="",E690=""),A690,A690&amp;" - "&amp;E690))</f>
        <v>IUVO THC26 Tangie Chem</v>
      </c>
      <c r="C690" s="24" t="s">
        <v>153</v>
      </c>
      <c r="D690" s="24" t="s">
        <v>154</v>
      </c>
      <c r="E690" s="24" t="s">
        <v>56</v>
      </c>
      <c r="F690" s="24" t="s">
        <v>51</v>
      </c>
      <c r="G690" s="27"/>
      <c r="H690" s="28"/>
      <c r="I690" s="24">
        <v>26</v>
      </c>
      <c r="J690" s="24" t="s">
        <v>1927</v>
      </c>
      <c r="K690" s="24" t="s">
        <v>1918</v>
      </c>
      <c r="L690" s="24"/>
      <c r="M690" s="24" t="s">
        <v>71</v>
      </c>
      <c r="N690" s="24" t="s">
        <v>55</v>
      </c>
      <c r="O690" s="24" t="s">
        <v>72</v>
      </c>
      <c r="P690" s="24" t="s">
        <v>56</v>
      </c>
      <c r="Q690" s="24" t="s">
        <v>56</v>
      </c>
      <c r="R690" s="24" t="s">
        <v>56</v>
      </c>
      <c r="S690" s="24" t="s">
        <v>56</v>
      </c>
      <c r="T690" s="24" t="s">
        <v>56</v>
      </c>
      <c r="U690" s="24" t="s">
        <v>56</v>
      </c>
      <c r="V690" s="24" t="s">
        <v>77</v>
      </c>
      <c r="W690" s="24" t="s">
        <v>78</v>
      </c>
      <c r="X690" s="24" t="s">
        <v>79</v>
      </c>
      <c r="Y690" s="24" t="s">
        <v>56</v>
      </c>
      <c r="Z690" s="24" t="s">
        <v>1915</v>
      </c>
      <c r="AA690" s="24" t="s">
        <v>154</v>
      </c>
      <c r="AB690" s="24" t="s">
        <v>56</v>
      </c>
      <c r="AC690" s="24" t="s">
        <v>2225</v>
      </c>
    </row>
    <row r="691" spans="1:29">
      <c r="A691" s="30" t="s">
        <v>2226</v>
      </c>
      <c r="B691" s="30" t="str">
        <f>IF(ISNUMBER(SEARCH(E691,A691)),A691,IF(OR(E691="",E691=""),A691,A691&amp;" - "&amp;E691))</f>
        <v>Khiriox 12/14 (Cannabisextrakt)</v>
      </c>
      <c r="C691" s="30" t="s">
        <v>1871</v>
      </c>
      <c r="D691" s="30" t="s">
        <v>1872</v>
      </c>
      <c r="E691" s="30" t="s">
        <v>56</v>
      </c>
      <c r="F691" s="30" t="s">
        <v>86</v>
      </c>
      <c r="G691" s="34"/>
      <c r="H691" s="35"/>
      <c r="I691" s="30">
        <v>12</v>
      </c>
      <c r="J691" s="30">
        <v>14</v>
      </c>
      <c r="K691" s="30" t="s">
        <v>1913</v>
      </c>
      <c r="L691" s="30" t="s">
        <v>87</v>
      </c>
      <c r="M691" s="30" t="s">
        <v>54</v>
      </c>
      <c r="N691" s="30" t="s">
        <v>111</v>
      </c>
      <c r="O691" s="30" t="s">
        <v>88</v>
      </c>
      <c r="P691" s="30" t="s">
        <v>56</v>
      </c>
      <c r="Q691" s="30" t="s">
        <v>56</v>
      </c>
      <c r="R691" s="30" t="s">
        <v>56</v>
      </c>
      <c r="S691" s="30" t="s">
        <v>91</v>
      </c>
      <c r="T691" s="30" t="s">
        <v>203</v>
      </c>
      <c r="U691" s="30" t="s">
        <v>62</v>
      </c>
      <c r="V691" s="30" t="s">
        <v>252</v>
      </c>
      <c r="W691" s="30" t="s">
        <v>77</v>
      </c>
      <c r="X691" s="30" t="s">
        <v>253</v>
      </c>
      <c r="Y691" s="30" t="s">
        <v>2227</v>
      </c>
      <c r="Z691" s="30" t="s">
        <v>1915</v>
      </c>
      <c r="AA691" s="30" t="s">
        <v>1872</v>
      </c>
      <c r="AB691" s="30" t="s">
        <v>56</v>
      </c>
      <c r="AC691" s="30" t="s">
        <v>2228</v>
      </c>
    </row>
    <row r="692" spans="1:29">
      <c r="A692" s="24" t="s">
        <v>2229</v>
      </c>
      <c r="B692" s="24" t="str">
        <f>IF(ISNUMBER(SEARCH(E692,A692)),A692,IF(OR(E692="",E692=""),A692,A692&amp;" - "&amp;E692))</f>
        <v>Khiriox 25/1 (Cannabisextrakt)</v>
      </c>
      <c r="C692" s="24" t="s">
        <v>1871</v>
      </c>
      <c r="D692" s="24" t="s">
        <v>1872</v>
      </c>
      <c r="E692" s="24" t="s">
        <v>56</v>
      </c>
      <c r="F692" s="24" t="s">
        <v>86</v>
      </c>
      <c r="G692" s="27"/>
      <c r="H692" s="28"/>
      <c r="I692" s="24">
        <v>25</v>
      </c>
      <c r="J692" s="24">
        <v>1</v>
      </c>
      <c r="K692" s="24" t="s">
        <v>1913</v>
      </c>
      <c r="L692" s="24" t="s">
        <v>87</v>
      </c>
      <c r="M692" s="24" t="s">
        <v>54</v>
      </c>
      <c r="N692" s="24" t="s">
        <v>111</v>
      </c>
      <c r="O692" s="24" t="s">
        <v>88</v>
      </c>
      <c r="P692" s="24" t="s">
        <v>56</v>
      </c>
      <c r="Q692" s="24" t="s">
        <v>56</v>
      </c>
      <c r="R692" s="24" t="s">
        <v>56</v>
      </c>
      <c r="S692" s="24" t="s">
        <v>91</v>
      </c>
      <c r="T692" s="24" t="s">
        <v>62</v>
      </c>
      <c r="U692" s="24" t="s">
        <v>56</v>
      </c>
      <c r="V692" s="24" t="s">
        <v>252</v>
      </c>
      <c r="W692" s="24" t="s">
        <v>77</v>
      </c>
      <c r="X692" s="24" t="s">
        <v>253</v>
      </c>
      <c r="Y692" s="24" t="s">
        <v>2230</v>
      </c>
      <c r="Z692" s="24" t="s">
        <v>1915</v>
      </c>
      <c r="AA692" s="24" t="s">
        <v>1872</v>
      </c>
      <c r="AB692" s="24" t="s">
        <v>56</v>
      </c>
      <c r="AC692" s="24" t="s">
        <v>2231</v>
      </c>
    </row>
    <row r="693" spans="1:29">
      <c r="A693" s="30" t="s">
        <v>2232</v>
      </c>
      <c r="B693" s="30" t="str">
        <f>IF(ISNUMBER(SEARCH(E693,A693)),A693,IF(OR(E693="",E693=""),A693,A693&amp;" - "&amp;E693))</f>
        <v>LGP 10:10 Classic Cannabisextrakt</v>
      </c>
      <c r="C693" s="29" t="s">
        <v>2233</v>
      </c>
      <c r="D693" s="30" t="s">
        <v>2234</v>
      </c>
      <c r="E693" s="30" t="s">
        <v>56</v>
      </c>
      <c r="F693" s="30" t="s">
        <v>51</v>
      </c>
      <c r="G693" s="34"/>
      <c r="H693" s="35"/>
      <c r="I693" s="30">
        <v>10</v>
      </c>
      <c r="J693" s="30">
        <v>10</v>
      </c>
      <c r="K693" s="30" t="s">
        <v>1918</v>
      </c>
      <c r="L693" s="30"/>
      <c r="M693" s="30" t="s">
        <v>55</v>
      </c>
      <c r="N693" s="30" t="s">
        <v>178</v>
      </c>
      <c r="O693" s="30" t="s">
        <v>56</v>
      </c>
      <c r="P693" s="30" t="s">
        <v>56</v>
      </c>
      <c r="Q693" s="30" t="s">
        <v>56</v>
      </c>
      <c r="R693" s="30" t="s">
        <v>56</v>
      </c>
      <c r="S693" s="30" t="s">
        <v>56</v>
      </c>
      <c r="T693" s="30" t="s">
        <v>56</v>
      </c>
      <c r="U693" s="30" t="s">
        <v>56</v>
      </c>
      <c r="V693" s="30" t="s">
        <v>92</v>
      </c>
      <c r="W693" s="30" t="s">
        <v>77</v>
      </c>
      <c r="X693" s="30" t="s">
        <v>165</v>
      </c>
      <c r="Y693" s="30" t="s">
        <v>56</v>
      </c>
      <c r="Z693" s="30" t="s">
        <v>1915</v>
      </c>
      <c r="AA693" s="30" t="s">
        <v>2234</v>
      </c>
      <c r="AB693" s="30" t="s">
        <v>56</v>
      </c>
      <c r="AC693" s="30" t="s">
        <v>2235</v>
      </c>
    </row>
    <row r="694" spans="1:29">
      <c r="A694" s="24" t="s">
        <v>2236</v>
      </c>
      <c r="B694" s="24" t="str">
        <f>IF(ISNUMBER(SEARCH(E694,A694)),A694,IF(OR(E694="",E694=""),A694,A694&amp;" - "&amp;E694))</f>
        <v>LGP 20:5 Classic Cannabisextrakt</v>
      </c>
      <c r="C694" s="23" t="s">
        <v>2233</v>
      </c>
      <c r="D694" s="24" t="s">
        <v>2234</v>
      </c>
      <c r="E694" s="24" t="s">
        <v>56</v>
      </c>
      <c r="F694" s="24" t="s">
        <v>51</v>
      </c>
      <c r="G694" s="27"/>
      <c r="H694" s="28"/>
      <c r="I694" s="24">
        <v>20</v>
      </c>
      <c r="J694" s="24">
        <v>5</v>
      </c>
      <c r="K694" s="24" t="s">
        <v>1918</v>
      </c>
      <c r="L694" s="24"/>
      <c r="M694" s="24" t="s">
        <v>55</v>
      </c>
      <c r="N694" s="24" t="s">
        <v>178</v>
      </c>
      <c r="O694" s="24" t="s">
        <v>56</v>
      </c>
      <c r="P694" s="24" t="s">
        <v>56</v>
      </c>
      <c r="Q694" s="24" t="s">
        <v>56</v>
      </c>
      <c r="R694" s="24" t="s">
        <v>56</v>
      </c>
      <c r="S694" s="24" t="s">
        <v>56</v>
      </c>
      <c r="T694" s="24" t="s">
        <v>56</v>
      </c>
      <c r="U694" s="24" t="s">
        <v>56</v>
      </c>
      <c r="V694" s="24" t="s">
        <v>92</v>
      </c>
      <c r="W694" s="24" t="s">
        <v>77</v>
      </c>
      <c r="X694" s="24" t="s">
        <v>165</v>
      </c>
      <c r="Y694" s="24" t="s">
        <v>56</v>
      </c>
      <c r="Z694" s="24" t="s">
        <v>1915</v>
      </c>
      <c r="AA694" s="24" t="s">
        <v>2234</v>
      </c>
      <c r="AB694" s="24" t="s">
        <v>56</v>
      </c>
      <c r="AC694" s="24" t="s">
        <v>2237</v>
      </c>
    </row>
    <row r="695" spans="1:29">
      <c r="A695" s="30" t="s">
        <v>2238</v>
      </c>
      <c r="B695" s="30" t="str">
        <f>IF(ISNUMBER(SEARCH(E695,A695)),A695,IF(OR(E695="",E695=""),A695,A695&amp;" - "&amp;E695))</f>
        <v>Lumir Cannabis Extract Balanced 10:10 Blue Wizard</v>
      </c>
      <c r="C695" s="30" t="s">
        <v>564</v>
      </c>
      <c r="D695" s="30" t="s">
        <v>565</v>
      </c>
      <c r="E695" s="30" t="s">
        <v>56</v>
      </c>
      <c r="F695" s="30" t="s">
        <v>120</v>
      </c>
      <c r="G695" s="34"/>
      <c r="H695" s="35"/>
      <c r="I695" s="30">
        <v>10</v>
      </c>
      <c r="J695" s="30">
        <v>10</v>
      </c>
      <c r="K695" s="30" t="s">
        <v>1918</v>
      </c>
      <c r="L695" s="30"/>
      <c r="M695" s="30" t="s">
        <v>212</v>
      </c>
      <c r="N695" s="30" t="s">
        <v>88</v>
      </c>
      <c r="O695" s="30" t="s">
        <v>55</v>
      </c>
      <c r="P695" s="30" t="s">
        <v>56</v>
      </c>
      <c r="Q695" s="30" t="s">
        <v>56</v>
      </c>
      <c r="R695" s="30" t="s">
        <v>56</v>
      </c>
      <c r="S695" s="30" t="s">
        <v>56</v>
      </c>
      <c r="T695" s="30" t="s">
        <v>56</v>
      </c>
      <c r="U695" s="30" t="s">
        <v>56</v>
      </c>
      <c r="V695" s="30" t="s">
        <v>77</v>
      </c>
      <c r="W695" s="30" t="s">
        <v>107</v>
      </c>
      <c r="X695" s="30" t="s">
        <v>711</v>
      </c>
      <c r="Y695" s="30" t="s">
        <v>56</v>
      </c>
      <c r="Z695" s="30" t="s">
        <v>1915</v>
      </c>
      <c r="AA695" s="30" t="s">
        <v>565</v>
      </c>
      <c r="AB695" s="30" t="s">
        <v>56</v>
      </c>
      <c r="AC695" s="30" t="s">
        <v>2239</v>
      </c>
    </row>
    <row r="696" spans="1:29">
      <c r="A696" s="24" t="s">
        <v>2240</v>
      </c>
      <c r="B696" s="24" t="str">
        <f>IF(ISNUMBER(SEARCH(E696,A696)),A696,IF(OR(E696="",E696=""),A696,A696&amp;" - "&amp;E696))</f>
        <v>Lumir Cannabis Extract THC 25 Blue Wizard</v>
      </c>
      <c r="C696" s="24" t="s">
        <v>564</v>
      </c>
      <c r="D696" s="24" t="s">
        <v>565</v>
      </c>
      <c r="E696" s="24" t="s">
        <v>56</v>
      </c>
      <c r="F696" s="24" t="s">
        <v>120</v>
      </c>
      <c r="G696" s="27"/>
      <c r="H696" s="28"/>
      <c r="I696" s="24">
        <v>25</v>
      </c>
      <c r="J696" s="24" t="s">
        <v>1927</v>
      </c>
      <c r="K696" s="24" t="s">
        <v>1918</v>
      </c>
      <c r="L696" s="24"/>
      <c r="M696" s="24" t="s">
        <v>212</v>
      </c>
      <c r="N696" s="24" t="s">
        <v>88</v>
      </c>
      <c r="O696" s="24" t="s">
        <v>55</v>
      </c>
      <c r="P696" s="24" t="s">
        <v>56</v>
      </c>
      <c r="Q696" s="24" t="s">
        <v>56</v>
      </c>
      <c r="R696" s="24" t="s">
        <v>56</v>
      </c>
      <c r="S696" s="24" t="s">
        <v>56</v>
      </c>
      <c r="T696" s="24" t="s">
        <v>56</v>
      </c>
      <c r="U696" s="24" t="s">
        <v>56</v>
      </c>
      <c r="V696" s="24" t="s">
        <v>77</v>
      </c>
      <c r="W696" s="24" t="s">
        <v>107</v>
      </c>
      <c r="X696" s="24" t="s">
        <v>711</v>
      </c>
      <c r="Y696" s="24" t="s">
        <v>56</v>
      </c>
      <c r="Z696" s="24" t="s">
        <v>1915</v>
      </c>
      <c r="AA696" s="24" t="s">
        <v>565</v>
      </c>
      <c r="AB696" s="24" t="s">
        <v>56</v>
      </c>
      <c r="AC696" s="24" t="s">
        <v>2241</v>
      </c>
    </row>
    <row r="697" spans="1:29">
      <c r="A697" s="30" t="s">
        <v>2242</v>
      </c>
      <c r="B697" s="30" t="str">
        <f>IF(ISNUMBER(SEARCH(E697,A697)),A697,IF(OR(E697="",E697=""),A697,A697&amp;" - "&amp;E697))</f>
        <v>Medican Heri 25:1 (Cannabisextrakt)</v>
      </c>
      <c r="C697" s="30" t="s">
        <v>2243</v>
      </c>
      <c r="D697" s="30" t="s">
        <v>2244</v>
      </c>
      <c r="E697" s="30" t="s">
        <v>56</v>
      </c>
      <c r="F697" s="30" t="s">
        <v>51</v>
      </c>
      <c r="G697" s="34"/>
      <c r="H697" s="35"/>
      <c r="I697" s="30">
        <v>25</v>
      </c>
      <c r="J697" s="30">
        <v>1</v>
      </c>
      <c r="K697" s="30" t="s">
        <v>1918</v>
      </c>
      <c r="L697" s="30"/>
      <c r="M697" s="30" t="s">
        <v>56</v>
      </c>
      <c r="N697" s="30"/>
      <c r="O697" s="30" t="s">
        <v>56</v>
      </c>
      <c r="P697" s="30" t="s">
        <v>56</v>
      </c>
      <c r="Q697" s="30" t="s">
        <v>56</v>
      </c>
      <c r="R697" s="30" t="s">
        <v>56</v>
      </c>
      <c r="S697" s="30" t="s">
        <v>56</v>
      </c>
      <c r="T697" s="30" t="s">
        <v>56</v>
      </c>
      <c r="U697" s="30" t="s">
        <v>56</v>
      </c>
      <c r="V697" s="30" t="s">
        <v>56</v>
      </c>
      <c r="W697" s="30"/>
      <c r="X697" s="30" t="s">
        <v>56</v>
      </c>
      <c r="Y697" s="30" t="s">
        <v>56</v>
      </c>
      <c r="Z697" s="30" t="s">
        <v>1915</v>
      </c>
      <c r="AA697" s="30" t="s">
        <v>2244</v>
      </c>
      <c r="AB697" s="30" t="s">
        <v>56</v>
      </c>
      <c r="AC697" s="30" t="s">
        <v>2245</v>
      </c>
    </row>
    <row r="698" spans="1:29">
      <c r="A698" s="24" t="s">
        <v>2246</v>
      </c>
      <c r="B698" s="24" t="str">
        <f>IF(ISNUMBER(SEARCH(E698,A698)),A698,IF(OR(E698="",E698=""),A698,A698&amp;" - "&amp;E698))</f>
        <v>NAXIVA-PANAXOL CBD 25 Cannabis-Extrakt</v>
      </c>
      <c r="C698" s="24" t="s">
        <v>1984</v>
      </c>
      <c r="D698" s="24" t="s">
        <v>1985</v>
      </c>
      <c r="E698" s="24" t="s">
        <v>56</v>
      </c>
      <c r="F698" s="24" t="s">
        <v>51</v>
      </c>
      <c r="G698" s="27"/>
      <c r="H698" s="28"/>
      <c r="I698" s="24" t="s">
        <v>2194</v>
      </c>
      <c r="J698" s="24">
        <v>25</v>
      </c>
      <c r="K698" s="24" t="s">
        <v>1918</v>
      </c>
      <c r="L698" s="24" t="s">
        <v>1506</v>
      </c>
      <c r="M698" s="24" t="s">
        <v>54</v>
      </c>
      <c r="N698" s="24" t="s">
        <v>103</v>
      </c>
      <c r="O698" s="24" t="s">
        <v>55</v>
      </c>
      <c r="P698" s="24" t="s">
        <v>56</v>
      </c>
      <c r="Q698" s="24" t="s">
        <v>56</v>
      </c>
      <c r="R698" s="24" t="s">
        <v>56</v>
      </c>
      <c r="S698" s="24" t="s">
        <v>56</v>
      </c>
      <c r="T698" s="24" t="s">
        <v>56</v>
      </c>
      <c r="U698" s="24" t="s">
        <v>56</v>
      </c>
      <c r="V698" s="24" t="s">
        <v>77</v>
      </c>
      <c r="W698" s="24" t="s">
        <v>914</v>
      </c>
      <c r="X698" s="24" t="s">
        <v>173</v>
      </c>
      <c r="Y698" s="24" t="s">
        <v>1608</v>
      </c>
      <c r="Z698" s="24" t="s">
        <v>1915</v>
      </c>
      <c r="AA698" s="24" t="s">
        <v>1987</v>
      </c>
      <c r="AB698" s="24" t="s">
        <v>56</v>
      </c>
      <c r="AC698" s="24" t="s">
        <v>2247</v>
      </c>
    </row>
    <row r="699" spans="1:29">
      <c r="A699" s="30" t="s">
        <v>2248</v>
      </c>
      <c r="B699" s="30" t="str">
        <f>IF(ISNUMBER(SEARCH(E699,A699)),A699,IF(OR(E699="",E699=""),A699,A699&amp;" - "&amp;E699))</f>
        <v>NAXIVA-PANAXOL CBD 250 Cannabis-Extrakt</v>
      </c>
      <c r="C699" s="30" t="s">
        <v>1984</v>
      </c>
      <c r="D699" s="30" t="s">
        <v>1985</v>
      </c>
      <c r="E699" s="30" t="s">
        <v>56</v>
      </c>
      <c r="F699" s="30" t="s">
        <v>51</v>
      </c>
      <c r="G699" s="34"/>
      <c r="H699" s="35"/>
      <c r="I699" s="30">
        <v>15</v>
      </c>
      <c r="J699" s="30">
        <v>243</v>
      </c>
      <c r="K699" s="30" t="s">
        <v>1918</v>
      </c>
      <c r="L699" s="30" t="s">
        <v>1506</v>
      </c>
      <c r="M699" s="30" t="s">
        <v>56</v>
      </c>
      <c r="N699" s="30"/>
      <c r="O699" s="30" t="s">
        <v>56</v>
      </c>
      <c r="P699" s="30" t="s">
        <v>56</v>
      </c>
      <c r="Q699" s="30" t="s">
        <v>56</v>
      </c>
      <c r="R699" s="30" t="s">
        <v>56</v>
      </c>
      <c r="S699" s="30" t="s">
        <v>56</v>
      </c>
      <c r="T699" s="30" t="s">
        <v>56</v>
      </c>
      <c r="U699" s="30" t="s">
        <v>56</v>
      </c>
      <c r="V699" s="30" t="s">
        <v>56</v>
      </c>
      <c r="W699" s="30"/>
      <c r="X699" s="30" t="s">
        <v>56</v>
      </c>
      <c r="Y699" s="30" t="s">
        <v>2249</v>
      </c>
      <c r="Z699" s="30" t="s">
        <v>1915</v>
      </c>
      <c r="AA699" s="30" t="s">
        <v>1987</v>
      </c>
      <c r="AB699" s="30" t="s">
        <v>56</v>
      </c>
      <c r="AC699" s="30" t="s">
        <v>2250</v>
      </c>
    </row>
    <row r="700" spans="1:29">
      <c r="A700" s="24" t="s">
        <v>2251</v>
      </c>
      <c r="B700" s="24" t="str">
        <f>IF(ISNUMBER(SEARCH(E700,A700)),A700,IF(OR(E700="",E700=""),A700,A700&amp;" - "&amp;E700))</f>
        <v>NAXIVA-PANAXOL ONKO THC 100/CBD 20</v>
      </c>
      <c r="C700" s="24" t="s">
        <v>1984</v>
      </c>
      <c r="D700" s="24" t="s">
        <v>1985</v>
      </c>
      <c r="E700" s="24" t="s">
        <v>56</v>
      </c>
      <c r="F700" s="24" t="s">
        <v>51</v>
      </c>
      <c r="G700" s="27"/>
      <c r="H700" s="28"/>
      <c r="I700" s="24">
        <v>100</v>
      </c>
      <c r="J700" s="24">
        <v>20</v>
      </c>
      <c r="K700" s="24" t="s">
        <v>1918</v>
      </c>
      <c r="L700" s="24" t="s">
        <v>1506</v>
      </c>
      <c r="M700" s="24" t="s">
        <v>56</v>
      </c>
      <c r="N700" s="24"/>
      <c r="O700" s="24" t="s">
        <v>56</v>
      </c>
      <c r="P700" s="24" t="s">
        <v>56</v>
      </c>
      <c r="Q700" s="24" t="s">
        <v>56</v>
      </c>
      <c r="R700" s="24" t="s">
        <v>56</v>
      </c>
      <c r="S700" s="24" t="s">
        <v>56</v>
      </c>
      <c r="T700" s="24" t="s">
        <v>56</v>
      </c>
      <c r="U700" s="24" t="s">
        <v>56</v>
      </c>
      <c r="V700" s="24" t="s">
        <v>56</v>
      </c>
      <c r="W700" s="24"/>
      <c r="X700" s="24" t="s">
        <v>56</v>
      </c>
      <c r="Y700" s="24" t="s">
        <v>56</v>
      </c>
      <c r="Z700" s="24" t="s">
        <v>1915</v>
      </c>
      <c r="AA700" s="24" t="s">
        <v>1987</v>
      </c>
      <c r="AB700" s="24" t="s">
        <v>56</v>
      </c>
      <c r="AC700" s="24" t="s">
        <v>2252</v>
      </c>
    </row>
    <row r="701" spans="1:29">
      <c r="A701" s="30" t="s">
        <v>2253</v>
      </c>
      <c r="B701" s="30" t="str">
        <f>IF(ISNUMBER(SEARCH(E701,A701)),A701,IF(OR(E701="",E701=""),A701,A701&amp;" - "&amp;E701))</f>
        <v>NAXIVA-PANAXOL ONKO THC 50 / CBD 10  (Cannabisextrakt)</v>
      </c>
      <c r="C701" s="30" t="s">
        <v>1984</v>
      </c>
      <c r="D701" s="30" t="s">
        <v>1985</v>
      </c>
      <c r="E701" s="30" t="s">
        <v>56</v>
      </c>
      <c r="F701" s="30" t="s">
        <v>51</v>
      </c>
      <c r="G701" s="34"/>
      <c r="H701" s="35"/>
      <c r="I701" s="30">
        <v>50</v>
      </c>
      <c r="J701" s="30">
        <v>10</v>
      </c>
      <c r="K701" s="30" t="s">
        <v>1918</v>
      </c>
      <c r="L701" s="30" t="s">
        <v>1506</v>
      </c>
      <c r="M701" s="30" t="s">
        <v>56</v>
      </c>
      <c r="N701" s="30"/>
      <c r="O701" s="30" t="s">
        <v>56</v>
      </c>
      <c r="P701" s="30" t="s">
        <v>56</v>
      </c>
      <c r="Q701" s="30" t="s">
        <v>56</v>
      </c>
      <c r="R701" s="30" t="s">
        <v>56</v>
      </c>
      <c r="S701" s="30" t="s">
        <v>56</v>
      </c>
      <c r="T701" s="30" t="s">
        <v>56</v>
      </c>
      <c r="U701" s="30" t="s">
        <v>56</v>
      </c>
      <c r="V701" s="30" t="s">
        <v>56</v>
      </c>
      <c r="W701" s="30"/>
      <c r="X701" s="30" t="s">
        <v>56</v>
      </c>
      <c r="Y701" s="30" t="s">
        <v>56</v>
      </c>
      <c r="Z701" s="30" t="s">
        <v>1915</v>
      </c>
      <c r="AA701" s="30" t="s">
        <v>1987</v>
      </c>
      <c r="AB701" s="30" t="s">
        <v>56</v>
      </c>
      <c r="AC701" s="30" t="s">
        <v>2254</v>
      </c>
    </row>
    <row r="702" spans="1:29">
      <c r="A702" s="24" t="s">
        <v>2255</v>
      </c>
      <c r="B702" s="24" t="str">
        <f>IF(ISNUMBER(SEARCH(E702,A702)),A702,IF(OR(E702="",E702=""),A702,A702&amp;" - "&amp;E702))</f>
        <v>NAXIVA-PANAXOL THC 10/CBD 10 Cannabis-Extrakt</v>
      </c>
      <c r="C702" s="24" t="s">
        <v>1984</v>
      </c>
      <c r="D702" s="24" t="s">
        <v>1985</v>
      </c>
      <c r="E702" s="24" t="s">
        <v>56</v>
      </c>
      <c r="F702" s="24" t="s">
        <v>51</v>
      </c>
      <c r="G702" s="27"/>
      <c r="H702" s="28"/>
      <c r="I702" s="24">
        <v>10</v>
      </c>
      <c r="J702" s="24">
        <v>10</v>
      </c>
      <c r="K702" s="24" t="s">
        <v>1918</v>
      </c>
      <c r="L702" s="24" t="s">
        <v>1506</v>
      </c>
      <c r="M702" s="24" t="s">
        <v>56</v>
      </c>
      <c r="N702" s="24"/>
      <c r="O702" s="24" t="s">
        <v>56</v>
      </c>
      <c r="P702" s="24" t="s">
        <v>56</v>
      </c>
      <c r="Q702" s="24" t="s">
        <v>56</v>
      </c>
      <c r="R702" s="24" t="s">
        <v>56</v>
      </c>
      <c r="S702" s="24" t="s">
        <v>56</v>
      </c>
      <c r="T702" s="24" t="s">
        <v>56</v>
      </c>
      <c r="U702" s="24" t="s">
        <v>56</v>
      </c>
      <c r="V702" s="24" t="s">
        <v>56</v>
      </c>
      <c r="W702" s="24"/>
      <c r="X702" s="24" t="s">
        <v>56</v>
      </c>
      <c r="Y702" s="24" t="s">
        <v>2256</v>
      </c>
      <c r="Z702" s="24" t="s">
        <v>1915</v>
      </c>
      <c r="AA702" s="24" t="s">
        <v>1987</v>
      </c>
      <c r="AB702" s="24" t="s">
        <v>56</v>
      </c>
      <c r="AC702" s="24" t="s">
        <v>2257</v>
      </c>
    </row>
    <row r="703" spans="1:29">
      <c r="A703" s="30" t="s">
        <v>2258</v>
      </c>
      <c r="B703" s="30" t="str">
        <f>IF(ISNUMBER(SEARCH(E703,A703)),A703,IF(OR(E703="",E703=""),A703,A703&amp;" - "&amp;E703))</f>
        <v>NAXIVA-PANAXOL THC 25 Cannabis-Extrakt</v>
      </c>
      <c r="C703" s="30" t="s">
        <v>1984</v>
      </c>
      <c r="D703" s="30" t="s">
        <v>1985</v>
      </c>
      <c r="E703" s="30" t="s">
        <v>56</v>
      </c>
      <c r="F703" s="30" t="s">
        <v>51</v>
      </c>
      <c r="G703" s="34"/>
      <c r="H703" s="35"/>
      <c r="I703" s="30">
        <v>25</v>
      </c>
      <c r="J703" s="30" t="s">
        <v>1927</v>
      </c>
      <c r="K703" s="30" t="s">
        <v>1918</v>
      </c>
      <c r="L703" s="30" t="s">
        <v>1506</v>
      </c>
      <c r="M703" s="30" t="s">
        <v>56</v>
      </c>
      <c r="N703" s="30"/>
      <c r="O703" s="30" t="s">
        <v>56</v>
      </c>
      <c r="P703" s="30" t="s">
        <v>56</v>
      </c>
      <c r="Q703" s="30" t="s">
        <v>56</v>
      </c>
      <c r="R703" s="30" t="s">
        <v>56</v>
      </c>
      <c r="S703" s="30" t="s">
        <v>56</v>
      </c>
      <c r="T703" s="30" t="s">
        <v>56</v>
      </c>
      <c r="U703" s="30" t="s">
        <v>56</v>
      </c>
      <c r="V703" s="30" t="s">
        <v>56</v>
      </c>
      <c r="W703" s="30"/>
      <c r="X703" s="30" t="s">
        <v>56</v>
      </c>
      <c r="Y703" s="30" t="s">
        <v>56</v>
      </c>
      <c r="Z703" s="30" t="s">
        <v>1915</v>
      </c>
      <c r="AA703" s="30" t="s">
        <v>1987</v>
      </c>
      <c r="AB703" s="30" t="s">
        <v>56</v>
      </c>
      <c r="AC703" s="30" t="s">
        <v>2259</v>
      </c>
    </row>
    <row r="704" spans="1:29">
      <c r="A704" s="24" t="s">
        <v>2260</v>
      </c>
      <c r="B704" s="24" t="str">
        <f>IF(ISNUMBER(SEARCH(E704,A704)),A704,IF(OR(E704="",E704=""),A704,A704&amp;" - "&amp;E704))</f>
        <v>NAXIVA-PANAXOL THC 250 Cannabis-Extrakt</v>
      </c>
      <c r="C704" s="24" t="s">
        <v>1984</v>
      </c>
      <c r="D704" s="24" t="s">
        <v>1985</v>
      </c>
      <c r="E704" s="24" t="s">
        <v>56</v>
      </c>
      <c r="F704" s="24" t="s">
        <v>51</v>
      </c>
      <c r="G704" s="27"/>
      <c r="H704" s="28"/>
      <c r="I704" s="24" t="s">
        <v>2261</v>
      </c>
      <c r="J704" s="24" t="s">
        <v>1927</v>
      </c>
      <c r="K704" s="24" t="s">
        <v>1918</v>
      </c>
      <c r="L704" s="24" t="s">
        <v>1506</v>
      </c>
      <c r="M704" s="24" t="s">
        <v>54</v>
      </c>
      <c r="N704" s="24" t="s">
        <v>88</v>
      </c>
      <c r="O704" s="24" t="s">
        <v>71</v>
      </c>
      <c r="P704" s="24" t="s">
        <v>56</v>
      </c>
      <c r="Q704" s="24" t="s">
        <v>56</v>
      </c>
      <c r="R704" s="24" t="s">
        <v>56</v>
      </c>
      <c r="S704" s="24" t="s">
        <v>56</v>
      </c>
      <c r="T704" s="24" t="s">
        <v>56</v>
      </c>
      <c r="U704" s="24" t="s">
        <v>56</v>
      </c>
      <c r="V704" s="24" t="s">
        <v>116</v>
      </c>
      <c r="W704" s="24" t="s">
        <v>79</v>
      </c>
      <c r="X704" s="24" t="s">
        <v>107</v>
      </c>
      <c r="Y704" s="24" t="s">
        <v>2249</v>
      </c>
      <c r="Z704" s="24" t="s">
        <v>1915</v>
      </c>
      <c r="AA704" s="24" t="s">
        <v>1987</v>
      </c>
      <c r="AB704" s="24" t="s">
        <v>56</v>
      </c>
      <c r="AC704" s="24" t="s">
        <v>2262</v>
      </c>
    </row>
    <row r="705" spans="1:29">
      <c r="A705" s="30" t="s">
        <v>2263</v>
      </c>
      <c r="B705" s="30" t="str">
        <f>IF(ISNUMBER(SEARCH(E705,A705)),A705,IF(OR(E705="",E705=""),A705,A705&amp;" - "&amp;E705))</f>
        <v>NAXIVA-PANAXOL THC 50 Cannabis-Extrakt</v>
      </c>
      <c r="C705" s="30" t="s">
        <v>1984</v>
      </c>
      <c r="D705" s="30" t="s">
        <v>1985</v>
      </c>
      <c r="E705" s="30" t="s">
        <v>56</v>
      </c>
      <c r="F705" s="30" t="s">
        <v>51</v>
      </c>
      <c r="G705" s="34"/>
      <c r="H705" s="35"/>
      <c r="I705" s="30">
        <v>50</v>
      </c>
      <c r="J705" s="30" t="s">
        <v>1927</v>
      </c>
      <c r="K705" s="30" t="s">
        <v>1913</v>
      </c>
      <c r="L705" s="30" t="s">
        <v>1506</v>
      </c>
      <c r="M705" s="30" t="s">
        <v>56</v>
      </c>
      <c r="N705" s="30"/>
      <c r="O705" s="30" t="s">
        <v>56</v>
      </c>
      <c r="P705" s="30" t="s">
        <v>56</v>
      </c>
      <c r="Q705" s="30" t="s">
        <v>56</v>
      </c>
      <c r="R705" s="30" t="s">
        <v>56</v>
      </c>
      <c r="S705" s="30" t="s">
        <v>56</v>
      </c>
      <c r="T705" s="30" t="s">
        <v>56</v>
      </c>
      <c r="U705" s="30" t="s">
        <v>56</v>
      </c>
      <c r="V705" s="30" t="s">
        <v>56</v>
      </c>
      <c r="W705" s="30"/>
      <c r="X705" s="30" t="s">
        <v>56</v>
      </c>
      <c r="Y705" s="30" t="s">
        <v>2264</v>
      </c>
      <c r="Z705" s="30" t="s">
        <v>1915</v>
      </c>
      <c r="AA705" s="30" t="s">
        <v>1987</v>
      </c>
      <c r="AB705" s="30" t="s">
        <v>56</v>
      </c>
      <c r="AC705" s="30" t="s">
        <v>2265</v>
      </c>
    </row>
    <row r="706" spans="1:29">
      <c r="A706" s="24" t="s">
        <v>2266</v>
      </c>
      <c r="B706" s="24" t="str">
        <f>IF(ISNUMBER(SEARCH(E706,A706)),A706,IF(OR(E706="",E706=""),A706,A706&amp;" - "&amp;E706))</f>
        <v>NIMBUS VITA BALANCE 10:10</v>
      </c>
      <c r="C706" s="24" t="s">
        <v>141</v>
      </c>
      <c r="D706" s="24" t="s">
        <v>142</v>
      </c>
      <c r="E706" s="41"/>
      <c r="F706" s="24" t="s">
        <v>51</v>
      </c>
      <c r="G706" s="27"/>
      <c r="H706" s="28"/>
      <c r="I706" s="24">
        <v>10</v>
      </c>
      <c r="J706" s="24">
        <v>10</v>
      </c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 t="s">
        <v>2267</v>
      </c>
      <c r="Z706" s="24" t="s">
        <v>1915</v>
      </c>
      <c r="AA706" s="24" t="s">
        <v>149</v>
      </c>
      <c r="AB706" s="24"/>
      <c r="AC706" s="24" t="s">
        <v>2268</v>
      </c>
    </row>
    <row r="707" spans="1:29">
      <c r="A707" s="30" t="s">
        <v>2269</v>
      </c>
      <c r="B707" s="30" t="str">
        <f>IF(ISNUMBER(SEARCH(E707,A707)),A707,IF(OR(E707="",E707=""),A707,A707&amp;" - "&amp;E707))</f>
        <v>NIMBUS VITA BALANCE 50:50</v>
      </c>
      <c r="C707" s="30" t="s">
        <v>141</v>
      </c>
      <c r="D707" s="30" t="s">
        <v>142</v>
      </c>
      <c r="E707" s="30" t="s">
        <v>56</v>
      </c>
      <c r="F707" s="30" t="s">
        <v>51</v>
      </c>
      <c r="G707" s="34"/>
      <c r="H707" s="35"/>
      <c r="I707" s="30">
        <v>50</v>
      </c>
      <c r="J707" s="30">
        <v>50</v>
      </c>
      <c r="K707" s="30"/>
      <c r="L707" s="30"/>
      <c r="M707" s="30" t="s">
        <v>56</v>
      </c>
      <c r="N707" s="30"/>
      <c r="O707" s="30" t="s">
        <v>56</v>
      </c>
      <c r="P707" s="30" t="s">
        <v>56</v>
      </c>
      <c r="Q707" s="30" t="s">
        <v>56</v>
      </c>
      <c r="R707" s="30" t="s">
        <v>56</v>
      </c>
      <c r="S707" s="30" t="s">
        <v>56</v>
      </c>
      <c r="T707" s="30" t="s">
        <v>56</v>
      </c>
      <c r="U707" s="30" t="s">
        <v>56</v>
      </c>
      <c r="V707" s="30" t="s">
        <v>56</v>
      </c>
      <c r="W707" s="30"/>
      <c r="X707" s="30" t="s">
        <v>56</v>
      </c>
      <c r="Y707" s="30" t="s">
        <v>2270</v>
      </c>
      <c r="Z707" s="30" t="s">
        <v>1915</v>
      </c>
      <c r="AA707" s="30" t="s">
        <v>149</v>
      </c>
      <c r="AB707" s="30" t="s">
        <v>56</v>
      </c>
      <c r="AC707" s="30" t="s">
        <v>2271</v>
      </c>
    </row>
    <row r="708" spans="1:29">
      <c r="A708" s="24" t="s">
        <v>2272</v>
      </c>
      <c r="B708" s="24" t="str">
        <f>IF(ISNUMBER(SEARCH(E708,A708)),A708,IF(OR(E708="",E708=""),A708,A708&amp;" - "&amp;E708))</f>
        <v>Nimbus Vita Pura 10:1</v>
      </c>
      <c r="C708" s="24" t="s">
        <v>141</v>
      </c>
      <c r="D708" s="24" t="s">
        <v>142</v>
      </c>
      <c r="E708" s="41"/>
      <c r="F708" s="24" t="s">
        <v>120</v>
      </c>
      <c r="G708" s="27"/>
      <c r="H708" s="28"/>
      <c r="I708" s="24">
        <v>10</v>
      </c>
      <c r="J708" s="24">
        <v>1</v>
      </c>
      <c r="K708" s="24"/>
      <c r="L708" s="24"/>
      <c r="M708" s="24" t="s">
        <v>121</v>
      </c>
      <c r="N708" s="24" t="s">
        <v>72</v>
      </c>
      <c r="O708" s="24"/>
      <c r="P708" s="24"/>
      <c r="Q708" s="24"/>
      <c r="R708" s="24"/>
      <c r="S708" s="24"/>
      <c r="T708" s="24"/>
      <c r="U708" s="24"/>
      <c r="V708" s="24" t="s">
        <v>77</v>
      </c>
      <c r="W708" s="24" t="s">
        <v>116</v>
      </c>
      <c r="X708" s="24" t="s">
        <v>107</v>
      </c>
      <c r="Y708" s="24" t="s">
        <v>2273</v>
      </c>
      <c r="Z708" s="24" t="s">
        <v>1915</v>
      </c>
      <c r="AA708" s="24" t="s">
        <v>149</v>
      </c>
      <c r="AB708" s="24"/>
      <c r="AC708" s="24" t="s">
        <v>2274</v>
      </c>
    </row>
    <row r="709" spans="1:29">
      <c r="A709" s="30" t="s">
        <v>2275</v>
      </c>
      <c r="B709" s="30" t="str">
        <f>IF(ISNUMBER(SEARCH(E709,A709)),A709,IF(OR(E709="",E709=""),A709,A709&amp;" - "&amp;E709))</f>
        <v>Nimbus Vita Pura 50:1</v>
      </c>
      <c r="C709" s="30" t="s">
        <v>141</v>
      </c>
      <c r="D709" s="30" t="s">
        <v>142</v>
      </c>
      <c r="E709" s="30" t="s">
        <v>56</v>
      </c>
      <c r="F709" s="30" t="s">
        <v>120</v>
      </c>
      <c r="G709" s="34"/>
      <c r="H709" s="35"/>
      <c r="I709" s="30">
        <v>50</v>
      </c>
      <c r="J709" s="30">
        <v>1</v>
      </c>
      <c r="K709" s="30"/>
      <c r="L709" s="30"/>
      <c r="M709" s="30" t="s">
        <v>121</v>
      </c>
      <c r="N709" s="30" t="s">
        <v>72</v>
      </c>
      <c r="O709" s="30" t="s">
        <v>56</v>
      </c>
      <c r="P709" s="30" t="s">
        <v>56</v>
      </c>
      <c r="Q709" s="30" t="s">
        <v>56</v>
      </c>
      <c r="R709" s="30" t="s">
        <v>56</v>
      </c>
      <c r="S709" s="30" t="s">
        <v>56</v>
      </c>
      <c r="T709" s="30" t="s">
        <v>56</v>
      </c>
      <c r="U709" s="30" t="s">
        <v>56</v>
      </c>
      <c r="V709" s="30" t="s">
        <v>77</v>
      </c>
      <c r="W709" s="30" t="s">
        <v>116</v>
      </c>
      <c r="X709" s="30" t="s">
        <v>107</v>
      </c>
      <c r="Y709" s="30" t="s">
        <v>424</v>
      </c>
      <c r="Z709" s="30" t="s">
        <v>1915</v>
      </c>
      <c r="AA709" s="30" t="s">
        <v>149</v>
      </c>
      <c r="AB709" s="30" t="s">
        <v>56</v>
      </c>
      <c r="AC709" s="30" t="s">
        <v>2276</v>
      </c>
    </row>
    <row r="710" spans="1:29">
      <c r="A710" s="24" t="s">
        <v>2277</v>
      </c>
      <c r="B710" s="24" t="str">
        <f>IF(ISNUMBER(SEARCH(E710,A710)),A710,IF(OR(E710="",E710=""),A710,A710&amp;" - "&amp;E710))</f>
        <v>Pedanios 5/5 (Cannabisextrakt)</v>
      </c>
      <c r="C710" s="24" t="s">
        <v>511</v>
      </c>
      <c r="D710" s="24" t="s">
        <v>512</v>
      </c>
      <c r="E710" s="24" t="s">
        <v>56</v>
      </c>
      <c r="F710" s="24" t="s">
        <v>86</v>
      </c>
      <c r="G710" s="27"/>
      <c r="H710" s="28"/>
      <c r="I710" s="24">
        <v>5</v>
      </c>
      <c r="J710" s="24">
        <v>5</v>
      </c>
      <c r="K710" s="24" t="s">
        <v>1913</v>
      </c>
      <c r="L710" s="24"/>
      <c r="M710" s="24" t="s">
        <v>54</v>
      </c>
      <c r="N710" s="24" t="s">
        <v>111</v>
      </c>
      <c r="O710" s="24" t="s">
        <v>103</v>
      </c>
      <c r="P710" s="24" t="s">
        <v>56</v>
      </c>
      <c r="Q710" s="24" t="s">
        <v>56</v>
      </c>
      <c r="R710" s="24" t="s">
        <v>56</v>
      </c>
      <c r="S710" s="24" t="s">
        <v>56</v>
      </c>
      <c r="T710" s="24" t="s">
        <v>56</v>
      </c>
      <c r="U710" s="24" t="s">
        <v>56</v>
      </c>
      <c r="V710" s="24" t="s">
        <v>208</v>
      </c>
      <c r="W710" s="24" t="s">
        <v>292</v>
      </c>
      <c r="X710" s="24" t="s">
        <v>79</v>
      </c>
      <c r="Y710" s="24" t="s">
        <v>56</v>
      </c>
      <c r="Z710" s="24" t="s">
        <v>1915</v>
      </c>
      <c r="AA710" s="24" t="s">
        <v>512</v>
      </c>
      <c r="AB710" s="24" t="s">
        <v>56</v>
      </c>
      <c r="AC710" s="24" t="s">
        <v>2278</v>
      </c>
    </row>
    <row r="711" spans="1:29">
      <c r="A711" s="30" t="s">
        <v>2279</v>
      </c>
      <c r="B711" s="30" t="str">
        <f>IF(ISNUMBER(SEARCH(E711,A711)),A711,IF(OR(E711="",E711=""),A711,A711&amp;" - "&amp;E711))</f>
        <v>RE:CANNIS 1,5/30  (Cannabisextrakt)</v>
      </c>
      <c r="C711" s="30" t="s">
        <v>628</v>
      </c>
      <c r="D711" s="30" t="s">
        <v>629</v>
      </c>
      <c r="E711" s="30" t="s">
        <v>56</v>
      </c>
      <c r="F711" s="30" t="s">
        <v>51</v>
      </c>
      <c r="G711" s="34"/>
      <c r="H711" s="35"/>
      <c r="I711" s="30">
        <v>15</v>
      </c>
      <c r="J711" s="30">
        <v>300</v>
      </c>
      <c r="K711" s="30" t="s">
        <v>1918</v>
      </c>
      <c r="L711" s="30" t="s">
        <v>1506</v>
      </c>
      <c r="M711" s="30" t="s">
        <v>56</v>
      </c>
      <c r="N711" s="30"/>
      <c r="O711" s="30" t="s">
        <v>56</v>
      </c>
      <c r="P711" s="30" t="s">
        <v>56</v>
      </c>
      <c r="Q711" s="30" t="s">
        <v>56</v>
      </c>
      <c r="R711" s="30" t="s">
        <v>56</v>
      </c>
      <c r="S711" s="30" t="s">
        <v>56</v>
      </c>
      <c r="T711" s="30" t="s">
        <v>56</v>
      </c>
      <c r="U711" s="30" t="s">
        <v>56</v>
      </c>
      <c r="V711" s="30" t="s">
        <v>56</v>
      </c>
      <c r="W711" s="30"/>
      <c r="X711" s="30" t="s">
        <v>56</v>
      </c>
      <c r="Y711" s="30" t="s">
        <v>2280</v>
      </c>
      <c r="Z711" s="30" t="s">
        <v>1915</v>
      </c>
      <c r="AA711" s="30" t="s">
        <v>632</v>
      </c>
      <c r="AB711" s="30" t="s">
        <v>1951</v>
      </c>
      <c r="AC711" s="30" t="s">
        <v>2281</v>
      </c>
    </row>
    <row r="712" spans="1:29">
      <c r="A712" s="24" t="s">
        <v>2282</v>
      </c>
      <c r="B712" s="24" t="str">
        <f>IF(ISNUMBER(SEARCH(E712,A712)),A712,IF(OR(E712="",E712=""),A712,A712&amp;" - "&amp;E712))</f>
        <v>RE:CANNIS 10/1 (Cannabisextrakt)</v>
      </c>
      <c r="C712" s="24" t="s">
        <v>628</v>
      </c>
      <c r="D712" s="24" t="s">
        <v>629</v>
      </c>
      <c r="E712" s="24" t="s">
        <v>56</v>
      </c>
      <c r="F712" s="24" t="s">
        <v>51</v>
      </c>
      <c r="G712" s="27"/>
      <c r="H712" s="28"/>
      <c r="I712" s="24">
        <v>100</v>
      </c>
      <c r="J712" s="24">
        <v>2</v>
      </c>
      <c r="K712" s="24" t="s">
        <v>1913</v>
      </c>
      <c r="L712" s="24" t="s">
        <v>1506</v>
      </c>
      <c r="M712" s="24" t="s">
        <v>56</v>
      </c>
      <c r="N712" s="24"/>
      <c r="O712" s="24" t="s">
        <v>56</v>
      </c>
      <c r="P712" s="24" t="s">
        <v>56</v>
      </c>
      <c r="Q712" s="24" t="s">
        <v>56</v>
      </c>
      <c r="R712" s="24" t="s">
        <v>56</v>
      </c>
      <c r="S712" s="24" t="s">
        <v>56</v>
      </c>
      <c r="T712" s="24" t="s">
        <v>56</v>
      </c>
      <c r="U712" s="24" t="s">
        <v>56</v>
      </c>
      <c r="V712" s="24" t="s">
        <v>56</v>
      </c>
      <c r="W712" s="24"/>
      <c r="X712" s="24" t="s">
        <v>56</v>
      </c>
      <c r="Y712" s="24" t="s">
        <v>1954</v>
      </c>
      <c r="Z712" s="24" t="s">
        <v>1915</v>
      </c>
      <c r="AA712" s="24" t="s">
        <v>632</v>
      </c>
      <c r="AB712" s="24" t="s">
        <v>1951</v>
      </c>
      <c r="AC712" s="24" t="s">
        <v>2283</v>
      </c>
    </row>
    <row r="713" spans="1:29">
      <c r="A713" s="30" t="s">
        <v>2284</v>
      </c>
      <c r="B713" s="30" t="str">
        <f>IF(ISNUMBER(SEARCH(E713,A713)),A713,IF(OR(E713="",E713=""),A713,A713&amp;" - "&amp;E713))</f>
        <v>RE:CANNIS 3/1 (Cannabisextrakt)</v>
      </c>
      <c r="C713" s="30" t="s">
        <v>628</v>
      </c>
      <c r="D713" s="30" t="s">
        <v>629</v>
      </c>
      <c r="E713" s="30" t="s">
        <v>56</v>
      </c>
      <c r="F713" s="30" t="s">
        <v>51</v>
      </c>
      <c r="G713" s="34"/>
      <c r="H713" s="35"/>
      <c r="I713" s="30">
        <v>30</v>
      </c>
      <c r="J713" s="30">
        <v>2</v>
      </c>
      <c r="K713" s="30" t="s">
        <v>1913</v>
      </c>
      <c r="L713" s="30" t="s">
        <v>1506</v>
      </c>
      <c r="M713" s="30" t="s">
        <v>56</v>
      </c>
      <c r="N713" s="30"/>
      <c r="O713" s="30" t="s">
        <v>56</v>
      </c>
      <c r="P713" s="30" t="s">
        <v>56</v>
      </c>
      <c r="Q713" s="30" t="s">
        <v>56</v>
      </c>
      <c r="R713" s="30" t="s">
        <v>56</v>
      </c>
      <c r="S713" s="30" t="s">
        <v>56</v>
      </c>
      <c r="T713" s="30" t="s">
        <v>56</v>
      </c>
      <c r="U713" s="30" t="s">
        <v>56</v>
      </c>
      <c r="V713" s="30" t="s">
        <v>56</v>
      </c>
      <c r="W713" s="30"/>
      <c r="X713" s="30" t="s">
        <v>56</v>
      </c>
      <c r="Y713" s="30" t="s">
        <v>675</v>
      </c>
      <c r="Z713" s="30" t="s">
        <v>1915</v>
      </c>
      <c r="AA713" s="30" t="s">
        <v>632</v>
      </c>
      <c r="AB713" s="30" t="s">
        <v>1951</v>
      </c>
      <c r="AC713" s="30" t="s">
        <v>2285</v>
      </c>
    </row>
    <row r="714" spans="1:29">
      <c r="A714" s="24" t="s">
        <v>2286</v>
      </c>
      <c r="B714" s="24" t="str">
        <f>IF(ISNUMBER(SEARCH(E714,A714)),A714,IF(OR(E714="",E714=""),A714,A714&amp;" - "&amp;E714))</f>
        <v>RE:CANNIS 3/9 (Cannabisextrakt)</v>
      </c>
      <c r="C714" s="24" t="s">
        <v>628</v>
      </c>
      <c r="D714" s="24" t="s">
        <v>629</v>
      </c>
      <c r="E714" s="24" t="s">
        <v>56</v>
      </c>
      <c r="F714" s="24" t="s">
        <v>51</v>
      </c>
      <c r="G714" s="27"/>
      <c r="H714" s="28"/>
      <c r="I714" s="24">
        <v>30</v>
      </c>
      <c r="J714" s="24">
        <v>90</v>
      </c>
      <c r="K714" s="24" t="s">
        <v>1918</v>
      </c>
      <c r="L714" s="24" t="s">
        <v>1506</v>
      </c>
      <c r="M714" s="24" t="s">
        <v>56</v>
      </c>
      <c r="N714" s="24"/>
      <c r="O714" s="24" t="s">
        <v>56</v>
      </c>
      <c r="P714" s="24" t="s">
        <v>56</v>
      </c>
      <c r="Q714" s="24" t="s">
        <v>56</v>
      </c>
      <c r="R714" s="24" t="s">
        <v>56</v>
      </c>
      <c r="S714" s="24" t="s">
        <v>56</v>
      </c>
      <c r="T714" s="24" t="s">
        <v>56</v>
      </c>
      <c r="U714" s="24" t="s">
        <v>56</v>
      </c>
      <c r="V714" s="24" t="s">
        <v>56</v>
      </c>
      <c r="W714" s="24"/>
      <c r="X714" s="24" t="s">
        <v>56</v>
      </c>
      <c r="Y714" s="24" t="s">
        <v>2287</v>
      </c>
      <c r="Z714" s="24" t="s">
        <v>1915</v>
      </c>
      <c r="AA714" s="24" t="s">
        <v>632</v>
      </c>
      <c r="AB714" s="24" t="s">
        <v>1951</v>
      </c>
      <c r="AC714" s="24" t="s">
        <v>2288</v>
      </c>
    </row>
    <row r="715" spans="1:29">
      <c r="A715" s="30" t="s">
        <v>2289</v>
      </c>
      <c r="B715" s="30" t="str">
        <f>IF(ISNUMBER(SEARCH(E715,A715)),A715,IF(OR(E715="",E715=""),A715,A715&amp;" - "&amp;E715))</f>
        <v>Remextrakt 10/10 Nr.1</v>
      </c>
      <c r="C715" s="30" t="s">
        <v>83</v>
      </c>
      <c r="D715" s="30" t="s">
        <v>84</v>
      </c>
      <c r="E715" s="30" t="s">
        <v>56</v>
      </c>
      <c r="F715" s="30" t="s">
        <v>51</v>
      </c>
      <c r="G715" s="34"/>
      <c r="H715" s="35"/>
      <c r="I715" s="30">
        <v>10</v>
      </c>
      <c r="J715" s="30">
        <v>10</v>
      </c>
      <c r="K715" s="30" t="s">
        <v>1913</v>
      </c>
      <c r="L715" s="30"/>
      <c r="M715" s="30" t="s">
        <v>56</v>
      </c>
      <c r="N715" s="30"/>
      <c r="O715" s="30" t="s">
        <v>56</v>
      </c>
      <c r="P715" s="30" t="s">
        <v>56</v>
      </c>
      <c r="Q715" s="30" t="s">
        <v>56</v>
      </c>
      <c r="R715" s="30" t="s">
        <v>56</v>
      </c>
      <c r="S715" s="30" t="s">
        <v>56</v>
      </c>
      <c r="T715" s="30" t="s">
        <v>56</v>
      </c>
      <c r="U715" s="30" t="s">
        <v>56</v>
      </c>
      <c r="V715" s="30" t="s">
        <v>56</v>
      </c>
      <c r="W715" s="30"/>
      <c r="X715" s="30" t="s">
        <v>56</v>
      </c>
      <c r="Y715" s="30" t="s">
        <v>56</v>
      </c>
      <c r="Z715" s="30" t="s">
        <v>1915</v>
      </c>
      <c r="AA715" s="30" t="s">
        <v>95</v>
      </c>
      <c r="AB715" s="30" t="s">
        <v>56</v>
      </c>
      <c r="AC715" s="30" t="s">
        <v>2290</v>
      </c>
    </row>
    <row r="716" spans="1:29">
      <c r="A716" s="24" t="s">
        <v>2291</v>
      </c>
      <c r="B716" s="24" t="str">
        <f>IF(ISNUMBER(SEARCH(E716,A716)),A716,IF(OR(E716="",E716=""),A716,A716&amp;" - "&amp;E716))</f>
        <v>Remextrakt 10/15</v>
      </c>
      <c r="C716" s="24" t="s">
        <v>83</v>
      </c>
      <c r="D716" s="24" t="s">
        <v>84</v>
      </c>
      <c r="E716" s="24" t="s">
        <v>56</v>
      </c>
      <c r="F716" s="24" t="s">
        <v>86</v>
      </c>
      <c r="G716" s="27"/>
      <c r="H716" s="28"/>
      <c r="I716" s="24">
        <v>10</v>
      </c>
      <c r="J716" s="24">
        <v>15</v>
      </c>
      <c r="K716" s="24" t="s">
        <v>1918</v>
      </c>
      <c r="L716" s="24"/>
      <c r="M716" s="24" t="s">
        <v>71</v>
      </c>
      <c r="N716" s="24" t="s">
        <v>55</v>
      </c>
      <c r="O716" s="24" t="s">
        <v>72</v>
      </c>
      <c r="P716" s="24" t="s">
        <v>56</v>
      </c>
      <c r="Q716" s="24" t="s">
        <v>56</v>
      </c>
      <c r="R716" s="24" t="s">
        <v>56</v>
      </c>
      <c r="S716" s="24" t="s">
        <v>56</v>
      </c>
      <c r="T716" s="24" t="s">
        <v>56</v>
      </c>
      <c r="U716" s="24" t="s">
        <v>56</v>
      </c>
      <c r="V716" s="24" t="s">
        <v>77</v>
      </c>
      <c r="W716" s="24" t="s">
        <v>78</v>
      </c>
      <c r="X716" s="24" t="s">
        <v>79</v>
      </c>
      <c r="Y716" s="24" t="s">
        <v>56</v>
      </c>
      <c r="Z716" s="24" t="s">
        <v>1915</v>
      </c>
      <c r="AA716" s="24" t="s">
        <v>95</v>
      </c>
      <c r="AB716" s="24" t="s">
        <v>56</v>
      </c>
      <c r="AC716" s="24" t="s">
        <v>2292</v>
      </c>
    </row>
    <row r="717" spans="1:29">
      <c r="A717" s="30" t="s">
        <v>2293</v>
      </c>
      <c r="B717" s="30" t="str">
        <f>IF(ISNUMBER(SEARCH(E717,A717)),A717,IF(OR(E717="",E717=""),A717,A717&amp;" - "&amp;E717))</f>
        <v>Remextrakt 26/1</v>
      </c>
      <c r="C717" s="30" t="s">
        <v>83</v>
      </c>
      <c r="D717" s="30" t="s">
        <v>84</v>
      </c>
      <c r="E717" s="30" t="s">
        <v>56</v>
      </c>
      <c r="F717" s="30" t="s">
        <v>69</v>
      </c>
      <c r="G717" s="34"/>
      <c r="H717" s="35"/>
      <c r="I717" s="30">
        <v>26</v>
      </c>
      <c r="J717" s="30">
        <v>1</v>
      </c>
      <c r="K717" s="30" t="s">
        <v>1913</v>
      </c>
      <c r="L717" s="30"/>
      <c r="M717" s="30" t="s">
        <v>71</v>
      </c>
      <c r="N717" s="30" t="s">
        <v>55</v>
      </c>
      <c r="O717" s="30" t="s">
        <v>72</v>
      </c>
      <c r="P717" s="30" t="s">
        <v>56</v>
      </c>
      <c r="Q717" s="30" t="s">
        <v>56</v>
      </c>
      <c r="R717" s="30" t="s">
        <v>56</v>
      </c>
      <c r="S717" s="30" t="s">
        <v>56</v>
      </c>
      <c r="T717" s="30" t="s">
        <v>56</v>
      </c>
      <c r="U717" s="30" t="s">
        <v>56</v>
      </c>
      <c r="V717" s="30" t="s">
        <v>77</v>
      </c>
      <c r="W717" s="30" t="s">
        <v>78</v>
      </c>
      <c r="X717" s="30" t="s">
        <v>79</v>
      </c>
      <c r="Y717" s="30" t="s">
        <v>56</v>
      </c>
      <c r="Z717" s="30" t="s">
        <v>1915</v>
      </c>
      <c r="AA717" s="30" t="s">
        <v>95</v>
      </c>
      <c r="AB717" s="30" t="s">
        <v>56</v>
      </c>
      <c r="AC717" s="30" t="s">
        <v>2294</v>
      </c>
    </row>
    <row r="718" spans="1:29">
      <c r="A718" s="24" t="s">
        <v>2295</v>
      </c>
      <c r="B718" s="24" t="str">
        <f>IF(ISNUMBER(SEARCH(E718,A718)),A718,IF(OR(E718="",E718=""),A718,A718&amp;" - "&amp;E718))</f>
        <v>Sibanax Extrakt 25/25</v>
      </c>
      <c r="C718" s="24" t="s">
        <v>2296</v>
      </c>
      <c r="D718" s="24" t="s">
        <v>2297</v>
      </c>
      <c r="E718" s="24" t="s">
        <v>56</v>
      </c>
      <c r="F718" s="24" t="s">
        <v>120</v>
      </c>
      <c r="G718" s="27"/>
      <c r="H718" s="28"/>
      <c r="I718" s="24">
        <v>25</v>
      </c>
      <c r="J718" s="24">
        <v>25</v>
      </c>
      <c r="K718" s="24" t="s">
        <v>1918</v>
      </c>
      <c r="L718" s="24"/>
      <c r="M718" s="24" t="s">
        <v>103</v>
      </c>
      <c r="N718" s="24" t="s">
        <v>55</v>
      </c>
      <c r="O718" s="24" t="s">
        <v>178</v>
      </c>
      <c r="P718" s="24" t="s">
        <v>56</v>
      </c>
      <c r="Q718" s="24" t="s">
        <v>56</v>
      </c>
      <c r="R718" s="24" t="s">
        <v>56</v>
      </c>
      <c r="S718" s="24" t="s">
        <v>56</v>
      </c>
      <c r="T718" s="24" t="s">
        <v>56</v>
      </c>
      <c r="U718" s="24" t="s">
        <v>56</v>
      </c>
      <c r="V718" s="24" t="s">
        <v>77</v>
      </c>
      <c r="W718" s="24" t="s">
        <v>914</v>
      </c>
      <c r="X718" s="24" t="s">
        <v>79</v>
      </c>
      <c r="Y718" s="24" t="s">
        <v>437</v>
      </c>
      <c r="Z718" s="24" t="s">
        <v>1915</v>
      </c>
      <c r="AA718" s="24" t="s">
        <v>2298</v>
      </c>
      <c r="AB718" s="24" t="s">
        <v>56</v>
      </c>
      <c r="AC718" s="24" t="s">
        <v>2299</v>
      </c>
    </row>
    <row r="719" spans="1:29">
      <c r="A719" s="30" t="s">
        <v>2300</v>
      </c>
      <c r="B719" s="30" t="str">
        <f>IF(ISNUMBER(SEARCH(E719,A719)),A719,IF(OR(E719="",E719=""),A719,A719&amp;" - "&amp;E719))</f>
        <v>Somai Canify Cannabisextrakt 5/20</v>
      </c>
      <c r="C719" s="30" t="s">
        <v>1957</v>
      </c>
      <c r="D719" s="30" t="s">
        <v>1958</v>
      </c>
      <c r="E719" s="30" t="s">
        <v>56</v>
      </c>
      <c r="F719" s="30" t="s">
        <v>120</v>
      </c>
      <c r="G719" s="34"/>
      <c r="H719" s="35"/>
      <c r="I719" s="30">
        <v>5</v>
      </c>
      <c r="J719" s="30">
        <v>20</v>
      </c>
      <c r="K719" s="30" t="s">
        <v>1918</v>
      </c>
      <c r="L719" s="30" t="s">
        <v>102</v>
      </c>
      <c r="M719" s="30" t="s">
        <v>103</v>
      </c>
      <c r="N719" s="30" t="s">
        <v>121</v>
      </c>
      <c r="O719" s="30" t="s">
        <v>72</v>
      </c>
      <c r="P719" s="30" t="s">
        <v>56</v>
      </c>
      <c r="Q719" s="30" t="s">
        <v>56</v>
      </c>
      <c r="R719" s="30" t="s">
        <v>56</v>
      </c>
      <c r="S719" s="30" t="s">
        <v>62</v>
      </c>
      <c r="T719" s="30" t="s">
        <v>164</v>
      </c>
      <c r="U719" s="30" t="s">
        <v>430</v>
      </c>
      <c r="V719" s="30" t="s">
        <v>77</v>
      </c>
      <c r="W719" s="30" t="s">
        <v>78</v>
      </c>
      <c r="X719" s="30" t="s">
        <v>107</v>
      </c>
      <c r="Y719" s="30" t="s">
        <v>56</v>
      </c>
      <c r="Z719" s="30" t="s">
        <v>1915</v>
      </c>
      <c r="AA719" s="30" t="s">
        <v>1961</v>
      </c>
      <c r="AB719" s="30" t="s">
        <v>56</v>
      </c>
      <c r="AC719" s="30" t="s">
        <v>2301</v>
      </c>
    </row>
    <row r="720" spans="1:29">
      <c r="A720" s="24" t="s">
        <v>2302</v>
      </c>
      <c r="B720" s="24" t="str">
        <f>IF(ISNUMBER(SEARCH(E720,A720)),A720,IF(OR(E720="",E720=""),A720,A720&amp;" - "&amp;E720))</f>
        <v>SOMAI Cannabisextrakt Hybrid 10:10</v>
      </c>
      <c r="C720" s="24" t="s">
        <v>1957</v>
      </c>
      <c r="D720" s="24" t="s">
        <v>1958</v>
      </c>
      <c r="E720" s="24" t="s">
        <v>56</v>
      </c>
      <c r="F720" s="24" t="s">
        <v>86</v>
      </c>
      <c r="G720" s="27"/>
      <c r="H720" s="28"/>
      <c r="I720" s="24">
        <v>10</v>
      </c>
      <c r="J720" s="24">
        <v>10</v>
      </c>
      <c r="K720" s="24"/>
      <c r="L720" s="24" t="s">
        <v>102</v>
      </c>
      <c r="M720" s="24" t="s">
        <v>54</v>
      </c>
      <c r="N720" s="24" t="s">
        <v>88</v>
      </c>
      <c r="O720" s="24" t="s">
        <v>72</v>
      </c>
      <c r="P720" s="24" t="s">
        <v>56</v>
      </c>
      <c r="Q720" s="24" t="s">
        <v>56</v>
      </c>
      <c r="R720" s="24" t="s">
        <v>56</v>
      </c>
      <c r="S720" s="24" t="s">
        <v>106</v>
      </c>
      <c r="T720" s="24" t="s">
        <v>62</v>
      </c>
      <c r="U720" s="24" t="s">
        <v>56</v>
      </c>
      <c r="V720" s="24" t="s">
        <v>77</v>
      </c>
      <c r="W720" s="24" t="s">
        <v>107</v>
      </c>
      <c r="X720" s="24" t="s">
        <v>56</v>
      </c>
      <c r="Y720" s="24" t="s">
        <v>2303</v>
      </c>
      <c r="Z720" s="24" t="s">
        <v>1915</v>
      </c>
      <c r="AA720" s="24" t="s">
        <v>1961</v>
      </c>
      <c r="AB720" s="24" t="s">
        <v>56</v>
      </c>
      <c r="AC720" s="24" t="s">
        <v>2304</v>
      </c>
    </row>
    <row r="721" spans="1:29">
      <c r="A721" s="30" t="s">
        <v>2305</v>
      </c>
      <c r="B721" s="30" t="str">
        <f>IF(ISNUMBER(SEARCH(E721,A721)),A721,IF(OR(E721="",E721=""),A721,A721&amp;" - "&amp;E721))</f>
        <v>SOMAI Cannabisextrakt Hybrid 25:1</v>
      </c>
      <c r="C721" s="30" t="s">
        <v>1957</v>
      </c>
      <c r="D721" s="30" t="s">
        <v>1958</v>
      </c>
      <c r="E721" s="30" t="s">
        <v>56</v>
      </c>
      <c r="F721" s="30" t="s">
        <v>86</v>
      </c>
      <c r="G721" s="34"/>
      <c r="H721" s="35"/>
      <c r="I721" s="30">
        <v>25</v>
      </c>
      <c r="J721" s="30">
        <v>1</v>
      </c>
      <c r="K721" s="30"/>
      <c r="L721" s="30" t="s">
        <v>102</v>
      </c>
      <c r="M721" s="30" t="s">
        <v>54</v>
      </c>
      <c r="N721" s="30" t="s">
        <v>88</v>
      </c>
      <c r="O721" s="30" t="s">
        <v>72</v>
      </c>
      <c r="P721" s="30" t="s">
        <v>56</v>
      </c>
      <c r="Q721" s="30" t="s">
        <v>56</v>
      </c>
      <c r="R721" s="30" t="s">
        <v>56</v>
      </c>
      <c r="S721" s="30" t="s">
        <v>106</v>
      </c>
      <c r="T721" s="30" t="s">
        <v>62</v>
      </c>
      <c r="U721" s="30" t="s">
        <v>56</v>
      </c>
      <c r="V721" s="30" t="s">
        <v>77</v>
      </c>
      <c r="W721" s="30" t="s">
        <v>107</v>
      </c>
      <c r="X721" s="30" t="s">
        <v>56</v>
      </c>
      <c r="Y721" s="30" t="s">
        <v>2306</v>
      </c>
      <c r="Z721" s="30" t="s">
        <v>1915</v>
      </c>
      <c r="AA721" s="30" t="s">
        <v>1961</v>
      </c>
      <c r="AB721" s="30" t="s">
        <v>56</v>
      </c>
      <c r="AC721" s="30" t="s">
        <v>2307</v>
      </c>
    </row>
    <row r="722" spans="1:29">
      <c r="A722" s="24" t="s">
        <v>2308</v>
      </c>
      <c r="B722" s="24" t="str">
        <f>IF(ISNUMBER(SEARCH(E722,A722)),A722,IF(OR(E722="",E722=""),A722,A722&amp;" - "&amp;E722))</f>
        <v>SOMAI Cannabisextrakt Hybrid 25:25</v>
      </c>
      <c r="C722" s="24" t="s">
        <v>1957</v>
      </c>
      <c r="D722" s="24" t="s">
        <v>1958</v>
      </c>
      <c r="E722" s="24" t="s">
        <v>56</v>
      </c>
      <c r="F722" s="24" t="s">
        <v>86</v>
      </c>
      <c r="G722" s="27"/>
      <c r="H722" s="28"/>
      <c r="I722" s="24">
        <v>25</v>
      </c>
      <c r="J722" s="24">
        <v>25</v>
      </c>
      <c r="K722" s="24"/>
      <c r="L722" s="24" t="s">
        <v>102</v>
      </c>
      <c r="M722" s="24" t="s">
        <v>54</v>
      </c>
      <c r="N722" s="24" t="s">
        <v>88</v>
      </c>
      <c r="O722" s="24" t="s">
        <v>72</v>
      </c>
      <c r="P722" s="24" t="s">
        <v>56</v>
      </c>
      <c r="Q722" s="24" t="s">
        <v>56</v>
      </c>
      <c r="R722" s="24" t="s">
        <v>56</v>
      </c>
      <c r="S722" s="24" t="s">
        <v>106</v>
      </c>
      <c r="T722" s="24" t="s">
        <v>62</v>
      </c>
      <c r="U722" s="24" t="s">
        <v>56</v>
      </c>
      <c r="V722" s="24" t="s">
        <v>77</v>
      </c>
      <c r="W722" s="24" t="s">
        <v>107</v>
      </c>
      <c r="X722" s="24" t="s">
        <v>56</v>
      </c>
      <c r="Y722" s="24" t="s">
        <v>2309</v>
      </c>
      <c r="Z722" s="24" t="s">
        <v>1915</v>
      </c>
      <c r="AA722" s="24" t="s">
        <v>1961</v>
      </c>
      <c r="AB722" s="24" t="s">
        <v>56</v>
      </c>
      <c r="AC722" s="24" t="s">
        <v>2310</v>
      </c>
    </row>
    <row r="723" spans="1:29">
      <c r="A723" s="30" t="s">
        <v>2311</v>
      </c>
      <c r="B723" s="30" t="str">
        <f>IF(ISNUMBER(SEARCH(E723,A723)),A723,IF(OR(E723="",E723=""),A723,A723&amp;" - "&amp;E723))</f>
        <v>Somai Cannabisextrakt Mint 50/1</v>
      </c>
      <c r="C723" s="30" t="s">
        <v>1957</v>
      </c>
      <c r="D723" s="30" t="s">
        <v>1958</v>
      </c>
      <c r="E723" s="30" t="s">
        <v>56</v>
      </c>
      <c r="F723" s="30" t="s">
        <v>86</v>
      </c>
      <c r="G723" s="34"/>
      <c r="H723" s="35"/>
      <c r="I723" s="30">
        <v>50</v>
      </c>
      <c r="J723" s="30" t="s">
        <v>1927</v>
      </c>
      <c r="K723" s="30" t="s">
        <v>1918</v>
      </c>
      <c r="L723" s="30" t="s">
        <v>102</v>
      </c>
      <c r="M723" s="30" t="s">
        <v>54</v>
      </c>
      <c r="N723" s="30" t="s">
        <v>88</v>
      </c>
      <c r="O723" s="30" t="s">
        <v>72</v>
      </c>
      <c r="P723" s="30" t="s">
        <v>56</v>
      </c>
      <c r="Q723" s="30" t="s">
        <v>56</v>
      </c>
      <c r="R723" s="30" t="s">
        <v>56</v>
      </c>
      <c r="S723" s="30" t="s">
        <v>106</v>
      </c>
      <c r="T723" s="30" t="s">
        <v>62</v>
      </c>
      <c r="U723" s="30" t="s">
        <v>56</v>
      </c>
      <c r="V723" s="30" t="s">
        <v>77</v>
      </c>
      <c r="W723" s="30" t="s">
        <v>107</v>
      </c>
      <c r="X723" s="30" t="s">
        <v>56</v>
      </c>
      <c r="Y723" s="30" t="s">
        <v>348</v>
      </c>
      <c r="Z723" s="30" t="s">
        <v>1915</v>
      </c>
      <c r="AA723" s="30" t="s">
        <v>1961</v>
      </c>
      <c r="AB723" s="30" t="s">
        <v>56</v>
      </c>
      <c r="AC723" s="30" t="s">
        <v>2312</v>
      </c>
    </row>
    <row r="724" spans="1:29">
      <c r="A724" s="24" t="s">
        <v>2313</v>
      </c>
      <c r="B724" s="24" t="str">
        <f>IF(ISNUMBER(SEARCH(E724,A724)),A724,IF(OR(E724="",E724=""),A724,A724&amp;" - "&amp;E724))</f>
        <v>Stenocare AD 10-10 Cannabisextrakt</v>
      </c>
      <c r="C724" s="24" t="s">
        <v>911</v>
      </c>
      <c r="D724" s="24" t="s">
        <v>912</v>
      </c>
      <c r="E724" s="24" t="s">
        <v>56</v>
      </c>
      <c r="F724" s="24" t="s">
        <v>51</v>
      </c>
      <c r="G724" s="27"/>
      <c r="H724" s="28"/>
      <c r="I724" s="24">
        <v>10</v>
      </c>
      <c r="J724" s="24">
        <v>10</v>
      </c>
      <c r="K724" s="24"/>
      <c r="L724" s="24" t="s">
        <v>87</v>
      </c>
      <c r="M724" s="24" t="s">
        <v>56</v>
      </c>
      <c r="N724" s="24"/>
      <c r="O724" s="24" t="s">
        <v>56</v>
      </c>
      <c r="P724" s="24" t="s">
        <v>56</v>
      </c>
      <c r="Q724" s="24" t="s">
        <v>56</v>
      </c>
      <c r="R724" s="24" t="s">
        <v>56</v>
      </c>
      <c r="S724" s="24" t="s">
        <v>56</v>
      </c>
      <c r="T724" s="24" t="s">
        <v>56</v>
      </c>
      <c r="U724" s="24" t="s">
        <v>56</v>
      </c>
      <c r="V724" s="24" t="s">
        <v>56</v>
      </c>
      <c r="W724" s="24"/>
      <c r="X724" s="24" t="s">
        <v>56</v>
      </c>
      <c r="Y724" s="24" t="s">
        <v>56</v>
      </c>
      <c r="Z724" s="24" t="s">
        <v>1915</v>
      </c>
      <c r="AA724" s="24" t="s">
        <v>912</v>
      </c>
      <c r="AB724" s="24" t="s">
        <v>2314</v>
      </c>
      <c r="AC724" s="24" t="s">
        <v>2315</v>
      </c>
    </row>
    <row r="725" spans="1:29">
      <c r="A725" s="30" t="s">
        <v>2316</v>
      </c>
      <c r="B725" s="30" t="str">
        <f>IF(ISNUMBER(SEARCH(E725,A725)),A725,IF(OR(E725="",E725=""),A725,A725&amp;" - "&amp;E725))</f>
        <v>Tilray THC5:CBD20 (Cannabisextrakt)</v>
      </c>
      <c r="C725" s="30" t="s">
        <v>133</v>
      </c>
      <c r="D725" s="30" t="s">
        <v>134</v>
      </c>
      <c r="E725" s="30" t="s">
        <v>56</v>
      </c>
      <c r="F725" s="30" t="s">
        <v>51</v>
      </c>
      <c r="G725" s="34"/>
      <c r="H725" s="35"/>
      <c r="I725" s="30">
        <v>5</v>
      </c>
      <c r="J725" s="30">
        <v>20</v>
      </c>
      <c r="K725" s="30" t="s">
        <v>1918</v>
      </c>
      <c r="L725" s="30" t="s">
        <v>102</v>
      </c>
      <c r="M725" s="30" t="s">
        <v>56</v>
      </c>
      <c r="N725" s="30"/>
      <c r="O725" s="30" t="s">
        <v>56</v>
      </c>
      <c r="P725" s="30" t="s">
        <v>56</v>
      </c>
      <c r="Q725" s="30" t="s">
        <v>56</v>
      </c>
      <c r="R725" s="30" t="s">
        <v>56</v>
      </c>
      <c r="S725" s="30" t="s">
        <v>56</v>
      </c>
      <c r="T725" s="30" t="s">
        <v>56</v>
      </c>
      <c r="U725" s="30" t="s">
        <v>56</v>
      </c>
      <c r="V725" s="30" t="s">
        <v>56</v>
      </c>
      <c r="W725" s="30"/>
      <c r="X725" s="30" t="s">
        <v>56</v>
      </c>
      <c r="Y725" s="30" t="s">
        <v>1730</v>
      </c>
      <c r="Z725" s="30" t="s">
        <v>1915</v>
      </c>
      <c r="AA725" s="30" t="s">
        <v>134</v>
      </c>
      <c r="AB725" s="30" t="s">
        <v>56</v>
      </c>
      <c r="AC725" s="30" t="s">
        <v>2317</v>
      </c>
    </row>
    <row r="726" spans="1:29">
      <c r="A726" s="24" t="s">
        <v>2318</v>
      </c>
      <c r="B726" s="24" t="str">
        <f>IF(ISNUMBER(SEARCH(E726,A726)),A726,IF(OR(E726="",E726=""),A726,A726&amp;" - "&amp;E726))</f>
        <v>Tilray THC50:CBD50 (Cannabisextrakt)</v>
      </c>
      <c r="C726" s="24" t="s">
        <v>133</v>
      </c>
      <c r="D726" s="24" t="s">
        <v>134</v>
      </c>
      <c r="E726" s="24" t="s">
        <v>56</v>
      </c>
      <c r="F726" s="24" t="s">
        <v>51</v>
      </c>
      <c r="G726" s="27"/>
      <c r="H726" s="28"/>
      <c r="I726" s="24">
        <v>50</v>
      </c>
      <c r="J726" s="24">
        <v>50</v>
      </c>
      <c r="K726" s="24" t="s">
        <v>1918</v>
      </c>
      <c r="L726" s="24" t="s">
        <v>102</v>
      </c>
      <c r="M726" s="24" t="s">
        <v>56</v>
      </c>
      <c r="N726" s="24"/>
      <c r="O726" s="24" t="s">
        <v>56</v>
      </c>
      <c r="P726" s="24" t="s">
        <v>56</v>
      </c>
      <c r="Q726" s="24" t="s">
        <v>56</v>
      </c>
      <c r="R726" s="24" t="s">
        <v>56</v>
      </c>
      <c r="S726" s="24" t="s">
        <v>56</v>
      </c>
      <c r="T726" s="24" t="s">
        <v>56</v>
      </c>
      <c r="U726" s="24" t="s">
        <v>56</v>
      </c>
      <c r="V726" s="24" t="s">
        <v>56</v>
      </c>
      <c r="W726" s="24"/>
      <c r="X726" s="24" t="s">
        <v>56</v>
      </c>
      <c r="Y726" s="24" t="s">
        <v>2319</v>
      </c>
      <c r="Z726" s="24" t="s">
        <v>1915</v>
      </c>
      <c r="AA726" s="24" t="s">
        <v>134</v>
      </c>
      <c r="AB726" s="24" t="s">
        <v>56</v>
      </c>
      <c r="AC726" s="24" t="s">
        <v>2320</v>
      </c>
    </row>
    <row r="727" spans="1:29">
      <c r="A727" s="30" t="s">
        <v>2321</v>
      </c>
      <c r="B727" s="30" t="str">
        <f>IF(ISNUMBER(SEARCH(E727,A727)),A727,IF(OR(E727="",E727=""),A727,A727&amp;" - "&amp;E727))</f>
        <v>Vayamed 10/50 Cannabisextrakt</v>
      </c>
      <c r="C727" s="30" t="s">
        <v>569</v>
      </c>
      <c r="D727" s="30" t="s">
        <v>570</v>
      </c>
      <c r="E727" s="30" t="s">
        <v>56</v>
      </c>
      <c r="F727" s="30" t="s">
        <v>69</v>
      </c>
      <c r="G727" s="34"/>
      <c r="H727" s="35"/>
      <c r="I727" s="30">
        <v>10</v>
      </c>
      <c r="J727" s="30">
        <v>50</v>
      </c>
      <c r="K727" s="30" t="s">
        <v>1913</v>
      </c>
      <c r="L727" s="30" t="s">
        <v>70</v>
      </c>
      <c r="M727" s="30" t="s">
        <v>54</v>
      </c>
      <c r="N727" s="30" t="s">
        <v>55</v>
      </c>
      <c r="O727" s="30" t="s">
        <v>178</v>
      </c>
      <c r="P727" s="30" t="s">
        <v>56</v>
      </c>
      <c r="Q727" s="30" t="s">
        <v>56</v>
      </c>
      <c r="R727" s="30" t="s">
        <v>56</v>
      </c>
      <c r="S727" s="30" t="s">
        <v>56</v>
      </c>
      <c r="T727" s="30" t="s">
        <v>56</v>
      </c>
      <c r="U727" s="30" t="s">
        <v>56</v>
      </c>
      <c r="V727" s="30" t="s">
        <v>77</v>
      </c>
      <c r="W727" s="30" t="s">
        <v>79</v>
      </c>
      <c r="X727" s="30" t="s">
        <v>107</v>
      </c>
      <c r="Y727" s="30" t="s">
        <v>2322</v>
      </c>
      <c r="Z727" s="30" t="s">
        <v>1915</v>
      </c>
      <c r="AA727" s="30" t="s">
        <v>570</v>
      </c>
      <c r="AB727" s="30" t="s">
        <v>56</v>
      </c>
      <c r="AC727" s="30" t="s">
        <v>2323</v>
      </c>
    </row>
    <row r="728" spans="1:29">
      <c r="A728" s="24" t="s">
        <v>2324</v>
      </c>
      <c r="B728" s="24" t="str">
        <f>IF(ISNUMBER(SEARCH(E728,A728)),A728,IF(OR(E728="",E728=""),A728,A728&amp;" - "&amp;E728))</f>
        <v>Vayamed 20/1 Cannabisextrakt</v>
      </c>
      <c r="C728" s="24" t="s">
        <v>569</v>
      </c>
      <c r="D728" s="24" t="s">
        <v>570</v>
      </c>
      <c r="E728" s="24" t="s">
        <v>56</v>
      </c>
      <c r="F728" s="24" t="s">
        <v>120</v>
      </c>
      <c r="G728" s="27"/>
      <c r="H728" s="28"/>
      <c r="I728" s="24">
        <v>20</v>
      </c>
      <c r="J728" s="24">
        <v>1</v>
      </c>
      <c r="K728" s="24" t="s">
        <v>1918</v>
      </c>
      <c r="L728" s="24"/>
      <c r="M728" s="24" t="s">
        <v>54</v>
      </c>
      <c r="N728" s="24" t="s">
        <v>111</v>
      </c>
      <c r="O728" s="24" t="s">
        <v>88</v>
      </c>
      <c r="P728" s="24" t="s">
        <v>56</v>
      </c>
      <c r="Q728" s="24" t="s">
        <v>56</v>
      </c>
      <c r="R728" s="24" t="s">
        <v>56</v>
      </c>
      <c r="S728" s="24" t="s">
        <v>56</v>
      </c>
      <c r="T728" s="24" t="s">
        <v>56</v>
      </c>
      <c r="U728" s="24" t="s">
        <v>56</v>
      </c>
      <c r="V728" s="24" t="s">
        <v>252</v>
      </c>
      <c r="W728" s="24" t="s">
        <v>77</v>
      </c>
      <c r="X728" s="24" t="s">
        <v>253</v>
      </c>
      <c r="Y728" s="24" t="s">
        <v>56</v>
      </c>
      <c r="Z728" s="24" t="s">
        <v>1915</v>
      </c>
      <c r="AA728" s="24" t="s">
        <v>570</v>
      </c>
      <c r="AB728" s="24" t="s">
        <v>56</v>
      </c>
      <c r="AC728" s="24" t="s">
        <v>2325</v>
      </c>
    </row>
    <row r="729" spans="1:29">
      <c r="A729" s="30" t="s">
        <v>2326</v>
      </c>
      <c r="B729" s="30" t="str">
        <f>IF(ISNUMBER(SEARCH(E729,A729)),A729,IF(OR(E729="",E729=""),A729,A729&amp;" - "&amp;E729))</f>
        <v>Vayamed 25/25 Cannabisextrakt</v>
      </c>
      <c r="C729" s="30" t="s">
        <v>569</v>
      </c>
      <c r="D729" s="30" t="s">
        <v>570</v>
      </c>
      <c r="E729" s="30" t="s">
        <v>56</v>
      </c>
      <c r="F729" s="30" t="s">
        <v>69</v>
      </c>
      <c r="G729" s="34"/>
      <c r="H729" s="35"/>
      <c r="I729" s="30">
        <v>25</v>
      </c>
      <c r="J729" s="30">
        <v>25</v>
      </c>
      <c r="K729" s="30" t="s">
        <v>1913</v>
      </c>
      <c r="L729" s="30" t="s">
        <v>70</v>
      </c>
      <c r="M729" s="30" t="s">
        <v>54</v>
      </c>
      <c r="N729" s="30" t="s">
        <v>55</v>
      </c>
      <c r="O729" s="30" t="s">
        <v>178</v>
      </c>
      <c r="P729" s="30" t="s">
        <v>56</v>
      </c>
      <c r="Q729" s="30" t="s">
        <v>56</v>
      </c>
      <c r="R729" s="30" t="s">
        <v>56</v>
      </c>
      <c r="S729" s="30" t="s">
        <v>56</v>
      </c>
      <c r="T729" s="30" t="s">
        <v>56</v>
      </c>
      <c r="U729" s="30" t="s">
        <v>56</v>
      </c>
      <c r="V729" s="30" t="s">
        <v>77</v>
      </c>
      <c r="W729" s="30" t="s">
        <v>79</v>
      </c>
      <c r="X729" s="30" t="s">
        <v>107</v>
      </c>
      <c r="Y729" s="30" t="s">
        <v>555</v>
      </c>
      <c r="Z729" s="30" t="s">
        <v>1915</v>
      </c>
      <c r="AA729" s="30" t="s">
        <v>570</v>
      </c>
      <c r="AB729" s="30" t="s">
        <v>56</v>
      </c>
      <c r="AC729" s="30" t="s">
        <v>2327</v>
      </c>
    </row>
    <row r="730" spans="1:29">
      <c r="A730" s="24" t="s">
        <v>2328</v>
      </c>
      <c r="B730" s="24" t="str">
        <f>IF(ISNUMBER(SEARCH(E730,A730)),A730,IF(OR(E730="",E730=""),A730,A730&amp;" - "&amp;E730))</f>
        <v>Vayamed 50/1 Cannabisextrakt</v>
      </c>
      <c r="C730" s="24" t="s">
        <v>569</v>
      </c>
      <c r="D730" s="24" t="s">
        <v>570</v>
      </c>
      <c r="E730" s="24" t="s">
        <v>56</v>
      </c>
      <c r="F730" s="24" t="s">
        <v>120</v>
      </c>
      <c r="G730" s="27"/>
      <c r="H730" s="28"/>
      <c r="I730" s="24">
        <v>50</v>
      </c>
      <c r="J730" s="24">
        <v>1</v>
      </c>
      <c r="K730" s="24" t="s">
        <v>1918</v>
      </c>
      <c r="L730" s="24"/>
      <c r="M730" s="24" t="s">
        <v>54</v>
      </c>
      <c r="N730" s="24" t="s">
        <v>111</v>
      </c>
      <c r="O730" s="24" t="s">
        <v>88</v>
      </c>
      <c r="P730" s="24" t="s">
        <v>56</v>
      </c>
      <c r="Q730" s="24" t="s">
        <v>56</v>
      </c>
      <c r="R730" s="24" t="s">
        <v>56</v>
      </c>
      <c r="S730" s="24" t="s">
        <v>56</v>
      </c>
      <c r="T730" s="24" t="s">
        <v>56</v>
      </c>
      <c r="U730" s="24" t="s">
        <v>56</v>
      </c>
      <c r="V730" s="24" t="s">
        <v>252</v>
      </c>
      <c r="W730" s="24" t="s">
        <v>77</v>
      </c>
      <c r="X730" s="24" t="s">
        <v>253</v>
      </c>
      <c r="Y730" s="24" t="s">
        <v>2329</v>
      </c>
      <c r="Z730" s="24" t="s">
        <v>1915</v>
      </c>
      <c r="AA730" s="24" t="s">
        <v>570</v>
      </c>
      <c r="AB730" s="24" t="s">
        <v>56</v>
      </c>
      <c r="AC730" s="24" t="s">
        <v>2330</v>
      </c>
    </row>
    <row r="731" spans="1:29">
      <c r="A731" s="30" t="s">
        <v>2331</v>
      </c>
      <c r="B731" s="30" t="str">
        <f>IF(ISNUMBER(SEARCH(E731,A731)),A731,IF(OR(E731="",E731=""),A731,A731&amp;" - "&amp;E731))</f>
        <v>Vertanical CBD 50 (Cannabisextrakt)</v>
      </c>
      <c r="C731" s="30" t="s">
        <v>2042</v>
      </c>
      <c r="D731" s="30" t="s">
        <v>2043</v>
      </c>
      <c r="E731" s="30" t="s">
        <v>56</v>
      </c>
      <c r="F731" s="30" t="s">
        <v>51</v>
      </c>
      <c r="G731" s="34"/>
      <c r="H731" s="35"/>
      <c r="I731" s="30" t="s">
        <v>2194</v>
      </c>
      <c r="J731" s="30">
        <v>50</v>
      </c>
      <c r="K731" s="30" t="s">
        <v>1918</v>
      </c>
      <c r="L731" s="30" t="s">
        <v>87</v>
      </c>
      <c r="M731" s="30" t="s">
        <v>56</v>
      </c>
      <c r="N731" s="30"/>
      <c r="O731" s="30" t="s">
        <v>56</v>
      </c>
      <c r="P731" s="30" t="s">
        <v>56</v>
      </c>
      <c r="Q731" s="30" t="s">
        <v>56</v>
      </c>
      <c r="R731" s="30" t="s">
        <v>56</v>
      </c>
      <c r="S731" s="30" t="s">
        <v>56</v>
      </c>
      <c r="T731" s="30" t="s">
        <v>56</v>
      </c>
      <c r="U731" s="30" t="s">
        <v>56</v>
      </c>
      <c r="V731" s="30" t="s">
        <v>56</v>
      </c>
      <c r="W731" s="30"/>
      <c r="X731" s="30" t="s">
        <v>56</v>
      </c>
      <c r="Y731" s="30" t="s">
        <v>2044</v>
      </c>
      <c r="Z731" s="30" t="s">
        <v>1915</v>
      </c>
      <c r="AA731" s="30" t="s">
        <v>2043</v>
      </c>
      <c r="AB731" s="30" t="s">
        <v>56</v>
      </c>
      <c r="AC731" s="30" t="s">
        <v>2332</v>
      </c>
    </row>
    <row r="732" spans="1:29">
      <c r="A732" s="24" t="s">
        <v>2333</v>
      </c>
      <c r="B732" s="24" t="str">
        <f>IF(ISNUMBER(SEARCH(E732,A732)),A732,IF(OR(E732="",E732=""),A732,A732&amp;" - "&amp;E732))</f>
        <v>Vertanical THC/CBD (Cannabisextrakt)</v>
      </c>
      <c r="C732" s="24" t="s">
        <v>2042</v>
      </c>
      <c r="D732" s="24" t="s">
        <v>2043</v>
      </c>
      <c r="E732" s="24" t="s">
        <v>56</v>
      </c>
      <c r="F732" s="24" t="s">
        <v>51</v>
      </c>
      <c r="G732" s="27"/>
      <c r="H732" s="28"/>
      <c r="I732" s="24">
        <v>50</v>
      </c>
      <c r="J732" s="24">
        <v>50</v>
      </c>
      <c r="K732" s="24" t="s">
        <v>1918</v>
      </c>
      <c r="L732" s="24" t="s">
        <v>87</v>
      </c>
      <c r="M732" s="24" t="s">
        <v>56</v>
      </c>
      <c r="N732" s="24"/>
      <c r="O732" s="24" t="s">
        <v>56</v>
      </c>
      <c r="P732" s="24" t="s">
        <v>56</v>
      </c>
      <c r="Q732" s="24" t="s">
        <v>56</v>
      </c>
      <c r="R732" s="24" t="s">
        <v>56</v>
      </c>
      <c r="S732" s="24" t="s">
        <v>56</v>
      </c>
      <c r="T732" s="24" t="s">
        <v>56</v>
      </c>
      <c r="U732" s="24" t="s">
        <v>56</v>
      </c>
      <c r="V732" s="24" t="s">
        <v>56</v>
      </c>
      <c r="W732" s="24"/>
      <c r="X732" s="24" t="s">
        <v>56</v>
      </c>
      <c r="Y732" s="24" t="s">
        <v>2334</v>
      </c>
      <c r="Z732" s="24" t="s">
        <v>1915</v>
      </c>
      <c r="AA732" s="24" t="s">
        <v>2043</v>
      </c>
      <c r="AB732" s="24" t="s">
        <v>56</v>
      </c>
      <c r="AC732" s="24" t="s">
        <v>2335</v>
      </c>
    </row>
    <row r="733" spans="1:29">
      <c r="A733" s="30" t="s">
        <v>2336</v>
      </c>
      <c r="B733" s="30" t="str">
        <f>IF(ISNUMBER(SEARCH(E733,A733)),A733,IF(OR(E733="",E733=""),A733,A733&amp;" - "&amp;E733))</f>
        <v>WEECO 25/1 Cannabisextrakt WW</v>
      </c>
      <c r="C733" s="30" t="s">
        <v>905</v>
      </c>
      <c r="D733" s="30" t="s">
        <v>906</v>
      </c>
      <c r="E733" s="30" t="s">
        <v>56</v>
      </c>
      <c r="F733" s="30" t="s">
        <v>120</v>
      </c>
      <c r="G733" s="34"/>
      <c r="H733" s="35"/>
      <c r="I733" s="30">
        <v>25</v>
      </c>
      <c r="J733" s="30">
        <v>1</v>
      </c>
      <c r="K733" s="30" t="s">
        <v>1918</v>
      </c>
      <c r="L733" s="30"/>
      <c r="M733" s="30" t="s">
        <v>54</v>
      </c>
      <c r="N733" s="30" t="s">
        <v>111</v>
      </c>
      <c r="O733" s="30" t="s">
        <v>88</v>
      </c>
      <c r="P733" s="30" t="s">
        <v>56</v>
      </c>
      <c r="Q733" s="30" t="s">
        <v>56</v>
      </c>
      <c r="R733" s="30" t="s">
        <v>56</v>
      </c>
      <c r="S733" s="30" t="s">
        <v>56</v>
      </c>
      <c r="T733" s="30" t="s">
        <v>56</v>
      </c>
      <c r="U733" s="30" t="s">
        <v>56</v>
      </c>
      <c r="V733" s="30" t="s">
        <v>252</v>
      </c>
      <c r="W733" s="30" t="s">
        <v>77</v>
      </c>
      <c r="X733" s="30" t="s">
        <v>253</v>
      </c>
      <c r="Y733" s="30" t="s">
        <v>56</v>
      </c>
      <c r="Z733" s="30" t="s">
        <v>1915</v>
      </c>
      <c r="AA733" s="30" t="s">
        <v>906</v>
      </c>
      <c r="AB733" s="30" t="s">
        <v>56</v>
      </c>
      <c r="AC733" s="30" t="s">
        <v>2337</v>
      </c>
    </row>
    <row r="734" spans="1:29">
      <c r="A734" s="24" t="s">
        <v>2338</v>
      </c>
      <c r="B734" s="24" t="str">
        <f>IF(ISNUMBER(SEARCH(E734,A734)),A734,IF(OR(E734="",E734=""),A734,A734&amp;" - "&amp;E734))</f>
        <v>WVB BioCBD 10% Cannabidiol-Isolat Öl Tropfen</v>
      </c>
      <c r="C734" s="24" t="s">
        <v>2339</v>
      </c>
      <c r="D734" s="24" t="s">
        <v>2340</v>
      </c>
      <c r="E734" s="24" t="s">
        <v>56</v>
      </c>
      <c r="F734" s="24" t="s">
        <v>51</v>
      </c>
      <c r="G734" s="27"/>
      <c r="H734" s="28"/>
      <c r="I734" s="24" t="s">
        <v>2194</v>
      </c>
      <c r="J734" s="24">
        <v>10</v>
      </c>
      <c r="K734" s="24"/>
      <c r="L734" s="24"/>
      <c r="M734" s="24" t="s">
        <v>56</v>
      </c>
      <c r="N734" s="24"/>
      <c r="O734" s="24" t="s">
        <v>56</v>
      </c>
      <c r="P734" s="24" t="s">
        <v>56</v>
      </c>
      <c r="Q734" s="24" t="s">
        <v>56</v>
      </c>
      <c r="R734" s="24" t="s">
        <v>56</v>
      </c>
      <c r="S734" s="24" t="s">
        <v>56</v>
      </c>
      <c r="T734" s="24" t="s">
        <v>56</v>
      </c>
      <c r="U734" s="24" t="s">
        <v>56</v>
      </c>
      <c r="V734" s="24" t="s">
        <v>56</v>
      </c>
      <c r="W734" s="24"/>
      <c r="X734" s="24" t="s">
        <v>56</v>
      </c>
      <c r="Y734" s="24" t="s">
        <v>213</v>
      </c>
      <c r="Z734" s="24" t="s">
        <v>1915</v>
      </c>
      <c r="AA734" s="57" t="s">
        <v>2340</v>
      </c>
      <c r="AB734" s="24" t="s">
        <v>56</v>
      </c>
      <c r="AC734" s="24" t="s">
        <v>2341</v>
      </c>
    </row>
    <row r="735" spans="1:29">
      <c r="A735" s="30" t="s">
        <v>2342</v>
      </c>
      <c r="B735" s="30" t="str">
        <f>IF(ISNUMBER(SEARCH(E735,A735)),A735,IF(OR(E735="",E735=""),A735,A735&amp;" - "&amp;E735))</f>
        <v>WVB BioCBD 15% Cannabidiol-Isolat Öl Tropfen</v>
      </c>
      <c r="C735" s="30" t="s">
        <v>2339</v>
      </c>
      <c r="D735" s="30" t="s">
        <v>2340</v>
      </c>
      <c r="E735" s="30" t="s">
        <v>56</v>
      </c>
      <c r="F735" s="30" t="s">
        <v>51</v>
      </c>
      <c r="G735" s="34"/>
      <c r="H735" s="35"/>
      <c r="I735" s="30" t="s">
        <v>2194</v>
      </c>
      <c r="J735" s="30">
        <v>15</v>
      </c>
      <c r="K735" s="30"/>
      <c r="L735" s="30"/>
      <c r="M735" s="30" t="s">
        <v>56</v>
      </c>
      <c r="N735" s="30"/>
      <c r="O735" s="30" t="s">
        <v>56</v>
      </c>
      <c r="P735" s="30" t="s">
        <v>56</v>
      </c>
      <c r="Q735" s="30" t="s">
        <v>56</v>
      </c>
      <c r="R735" s="30" t="s">
        <v>56</v>
      </c>
      <c r="S735" s="30" t="s">
        <v>56</v>
      </c>
      <c r="T735" s="30" t="s">
        <v>56</v>
      </c>
      <c r="U735" s="30" t="s">
        <v>56</v>
      </c>
      <c r="V735" s="30" t="s">
        <v>56</v>
      </c>
      <c r="W735" s="30"/>
      <c r="X735" s="30" t="s">
        <v>56</v>
      </c>
      <c r="Y735" s="30" t="s">
        <v>130</v>
      </c>
      <c r="Z735" s="30" t="s">
        <v>1915</v>
      </c>
      <c r="AA735" s="58" t="s">
        <v>2340</v>
      </c>
      <c r="AB735" s="30" t="s">
        <v>56</v>
      </c>
      <c r="AC735" s="30" t="s">
        <v>2343</v>
      </c>
    </row>
    <row r="736" spans="1:29">
      <c r="A736" s="24" t="s">
        <v>2344</v>
      </c>
      <c r="B736" s="24" t="str">
        <f>IF(ISNUMBER(SEARCH(E736,A736)),A736,IF(OR(E736="",E736=""),A736,A736&amp;" - "&amp;E736))</f>
        <v>WVB BioCBD 20% Cannabidiol-Isolat Öl Tropfen</v>
      </c>
      <c r="C736" s="24" t="s">
        <v>2339</v>
      </c>
      <c r="D736" s="24" t="s">
        <v>2340</v>
      </c>
      <c r="E736" s="24" t="s">
        <v>56</v>
      </c>
      <c r="F736" s="24" t="s">
        <v>51</v>
      </c>
      <c r="G736" s="27"/>
      <c r="H736" s="28"/>
      <c r="I736" s="24" t="s">
        <v>2194</v>
      </c>
      <c r="J736" s="24">
        <v>20</v>
      </c>
      <c r="K736" s="24"/>
      <c r="L736" s="24"/>
      <c r="M736" s="24" t="s">
        <v>56</v>
      </c>
      <c r="N736" s="24"/>
      <c r="O736" s="24" t="s">
        <v>56</v>
      </c>
      <c r="P736" s="24" t="s">
        <v>56</v>
      </c>
      <c r="Q736" s="24" t="s">
        <v>56</v>
      </c>
      <c r="R736" s="24" t="s">
        <v>56</v>
      </c>
      <c r="S736" s="24" t="s">
        <v>56</v>
      </c>
      <c r="T736" s="24" t="s">
        <v>56</v>
      </c>
      <c r="U736" s="24" t="s">
        <v>56</v>
      </c>
      <c r="V736" s="24" t="s">
        <v>56</v>
      </c>
      <c r="W736" s="24"/>
      <c r="X736" s="24" t="s">
        <v>56</v>
      </c>
      <c r="Y736" s="24" t="s">
        <v>80</v>
      </c>
      <c r="Z736" s="24" t="s">
        <v>1915</v>
      </c>
      <c r="AA736" s="57" t="s">
        <v>2340</v>
      </c>
      <c r="AB736" s="24" t="s">
        <v>56</v>
      </c>
      <c r="AC736" s="24" t="s">
        <v>2345</v>
      </c>
    </row>
    <row r="737" spans="1:29">
      <c r="A737" s="30" t="s">
        <v>2346</v>
      </c>
      <c r="B737" s="30" t="str">
        <f>IF(ISNUMBER(SEARCH(E737,A737)),A737,IF(OR(E737="",E737=""),A737,A737&amp;" - "&amp;E737))</f>
        <v>WVB BioCBD 5% Cannabidiol-Isolat Öl Tropfen</v>
      </c>
      <c r="C737" s="30" t="s">
        <v>2339</v>
      </c>
      <c r="D737" s="30" t="s">
        <v>2340</v>
      </c>
      <c r="E737" s="30" t="s">
        <v>56</v>
      </c>
      <c r="F737" s="30" t="s">
        <v>51</v>
      </c>
      <c r="G737" s="34"/>
      <c r="H737" s="35"/>
      <c r="I737" s="30" t="s">
        <v>2194</v>
      </c>
      <c r="J737" s="30">
        <v>5</v>
      </c>
      <c r="K737" s="30"/>
      <c r="L737" s="30"/>
      <c r="M737" s="30" t="s">
        <v>56</v>
      </c>
      <c r="N737" s="30"/>
      <c r="O737" s="30" t="s">
        <v>56</v>
      </c>
      <c r="P737" s="30" t="s">
        <v>56</v>
      </c>
      <c r="Q737" s="30" t="s">
        <v>56</v>
      </c>
      <c r="R737" s="30" t="s">
        <v>56</v>
      </c>
      <c r="S737" s="30" t="s">
        <v>56</v>
      </c>
      <c r="T737" s="30" t="s">
        <v>56</v>
      </c>
      <c r="U737" s="30" t="s">
        <v>56</v>
      </c>
      <c r="V737" s="30" t="s">
        <v>56</v>
      </c>
      <c r="W737" s="30"/>
      <c r="X737" s="30" t="s">
        <v>56</v>
      </c>
      <c r="Y737" s="30" t="s">
        <v>2287</v>
      </c>
      <c r="Z737" s="30" t="s">
        <v>1915</v>
      </c>
      <c r="AA737" s="58" t="s">
        <v>2340</v>
      </c>
      <c r="AB737" s="30" t="s">
        <v>56</v>
      </c>
      <c r="AC737" s="30" t="s">
        <v>2347</v>
      </c>
    </row>
    <row r="738" spans="1:29">
      <c r="A738" s="24" t="s">
        <v>2348</v>
      </c>
      <c r="B738" s="24" t="str">
        <f>IF(ISNUMBER(SEARCH(E738,A738)),A738,IF(OR(E738="",E738=""),A738,A738&amp;" - "&amp;E738))</f>
        <v>Yuvigo 10/10 (Cannabisextrakt)</v>
      </c>
      <c r="C738" s="24" t="s">
        <v>2065</v>
      </c>
      <c r="D738" s="24" t="s">
        <v>2066</v>
      </c>
      <c r="E738" s="24" t="s">
        <v>56</v>
      </c>
      <c r="F738" s="24" t="s">
        <v>120</v>
      </c>
      <c r="G738" s="27"/>
      <c r="H738" s="28"/>
      <c r="I738" s="24">
        <v>10</v>
      </c>
      <c r="J738" s="24">
        <v>10</v>
      </c>
      <c r="K738" s="24" t="s">
        <v>1918</v>
      </c>
      <c r="L738" s="24" t="s">
        <v>423</v>
      </c>
      <c r="M738" s="24" t="s">
        <v>54</v>
      </c>
      <c r="N738" s="24" t="s">
        <v>111</v>
      </c>
      <c r="O738" s="24" t="s">
        <v>88</v>
      </c>
      <c r="P738" s="24" t="s">
        <v>56</v>
      </c>
      <c r="Q738" s="24" t="s">
        <v>56</v>
      </c>
      <c r="R738" s="24" t="s">
        <v>56</v>
      </c>
      <c r="S738" s="24" t="s">
        <v>56</v>
      </c>
      <c r="T738" s="24" t="s">
        <v>56</v>
      </c>
      <c r="U738" s="24" t="s">
        <v>56</v>
      </c>
      <c r="V738" s="24" t="s">
        <v>252</v>
      </c>
      <c r="W738" s="24" t="s">
        <v>77</v>
      </c>
      <c r="X738" s="24" t="s">
        <v>253</v>
      </c>
      <c r="Y738" s="24" t="s">
        <v>56</v>
      </c>
      <c r="Z738" s="24" t="s">
        <v>1915</v>
      </c>
      <c r="AA738" s="24" t="s">
        <v>2066</v>
      </c>
      <c r="AB738" s="24" t="s">
        <v>56</v>
      </c>
      <c r="AC738" s="24" t="s">
        <v>2349</v>
      </c>
    </row>
    <row r="739" spans="1:29">
      <c r="A739" s="30" t="s">
        <v>2350</v>
      </c>
      <c r="B739" s="30" t="str">
        <f>IF(ISNUMBER(SEARCH(E739,A739)),A739,IF(OR(E739="",E739=""),A739,A739&amp;" - "&amp;E739))</f>
        <v>Yuvigo 20/0 (Cannabisextrakt)</v>
      </c>
      <c r="C739" s="30" t="s">
        <v>2065</v>
      </c>
      <c r="D739" s="30" t="s">
        <v>2066</v>
      </c>
      <c r="E739" s="30" t="s">
        <v>56</v>
      </c>
      <c r="F739" s="30" t="s">
        <v>120</v>
      </c>
      <c r="G739" s="34"/>
      <c r="H739" s="35"/>
      <c r="I739" s="30">
        <v>20</v>
      </c>
      <c r="J739" s="30" t="s">
        <v>1927</v>
      </c>
      <c r="K739" s="30" t="s">
        <v>1918</v>
      </c>
      <c r="L739" s="30" t="s">
        <v>423</v>
      </c>
      <c r="M739" s="30" t="s">
        <v>54</v>
      </c>
      <c r="N739" s="30" t="s">
        <v>111</v>
      </c>
      <c r="O739" s="30" t="s">
        <v>88</v>
      </c>
      <c r="P739" s="30" t="s">
        <v>56</v>
      </c>
      <c r="Q739" s="30" t="s">
        <v>56</v>
      </c>
      <c r="R739" s="30" t="s">
        <v>56</v>
      </c>
      <c r="S739" s="30" t="s">
        <v>56</v>
      </c>
      <c r="T739" s="30" t="s">
        <v>56</v>
      </c>
      <c r="U739" s="30" t="s">
        <v>56</v>
      </c>
      <c r="V739" s="30" t="s">
        <v>252</v>
      </c>
      <c r="W739" s="30" t="s">
        <v>77</v>
      </c>
      <c r="X739" s="30" t="s">
        <v>253</v>
      </c>
      <c r="Y739" s="30" t="s">
        <v>56</v>
      </c>
      <c r="Z739" s="30" t="s">
        <v>1915</v>
      </c>
      <c r="AA739" s="30" t="s">
        <v>2066</v>
      </c>
      <c r="AB739" s="30" t="s">
        <v>56</v>
      </c>
      <c r="AC739" s="30" t="s">
        <v>2351</v>
      </c>
    </row>
    <row r="740" spans="1:29">
      <c r="A740" s="24" t="s">
        <v>2352</v>
      </c>
      <c r="B740" s="24" t="str">
        <f>IF(ISNUMBER(SEARCH(E740,A740)),A740,IF(OR(E740="",E740=""),A740,A740&amp;" - "&amp;E740))</f>
        <v>101-C Extrakt 50:0</v>
      </c>
      <c r="C740" s="24" t="s">
        <v>2296</v>
      </c>
      <c r="D740" s="24" t="s">
        <v>2297</v>
      </c>
      <c r="E740" s="24" t="s">
        <v>56</v>
      </c>
      <c r="F740" s="24" t="s">
        <v>120</v>
      </c>
      <c r="G740" s="27"/>
      <c r="H740" s="28"/>
      <c r="I740" s="25">
        <v>50</v>
      </c>
      <c r="J740" s="24" t="s">
        <v>1927</v>
      </c>
      <c r="K740" s="24" t="s">
        <v>1918</v>
      </c>
      <c r="L740" s="24"/>
      <c r="M740" s="24" t="s">
        <v>103</v>
      </c>
      <c r="N740" s="24" t="s">
        <v>55</v>
      </c>
      <c r="O740" s="24" t="s">
        <v>178</v>
      </c>
      <c r="P740" s="24" t="s">
        <v>56</v>
      </c>
      <c r="Q740" s="24" t="s">
        <v>56</v>
      </c>
      <c r="R740" s="24" t="s">
        <v>56</v>
      </c>
      <c r="S740" s="24" t="s">
        <v>56</v>
      </c>
      <c r="T740" s="24" t="s">
        <v>56</v>
      </c>
      <c r="U740" s="24" t="s">
        <v>56</v>
      </c>
      <c r="V740" s="24" t="s">
        <v>77</v>
      </c>
      <c r="W740" s="24" t="s">
        <v>914</v>
      </c>
      <c r="X740" s="24" t="s">
        <v>79</v>
      </c>
      <c r="Y740" s="24" t="s">
        <v>675</v>
      </c>
      <c r="Z740" s="24" t="s">
        <v>1915</v>
      </c>
      <c r="AA740" s="24" t="s">
        <v>2298</v>
      </c>
      <c r="AB740" s="24" t="s">
        <v>56</v>
      </c>
      <c r="AC740" s="37" t="s">
        <v>2353</v>
      </c>
    </row>
    <row r="741" spans="1:29">
      <c r="A741" s="30" t="s">
        <v>2354</v>
      </c>
      <c r="B741" s="30" t="str">
        <f>IF(ISNUMBER(SEARCH(E741,A741)),A741,IF(OR(E741="",E741=""),A741,A741&amp;" - "&amp;E741))</f>
        <v>101-C Extrakt 8:40</v>
      </c>
      <c r="C741" s="30" t="s">
        <v>2296</v>
      </c>
      <c r="D741" s="30" t="s">
        <v>2297</v>
      </c>
      <c r="E741" s="30" t="s">
        <v>56</v>
      </c>
      <c r="F741" s="30" t="s">
        <v>120</v>
      </c>
      <c r="G741" s="34"/>
      <c r="H741" s="35"/>
      <c r="I741" s="30">
        <v>8</v>
      </c>
      <c r="J741" s="30">
        <v>40</v>
      </c>
      <c r="K741" s="30" t="s">
        <v>1918</v>
      </c>
      <c r="L741" s="30"/>
      <c r="M741" s="30" t="s">
        <v>103</v>
      </c>
      <c r="N741" s="30" t="s">
        <v>55</v>
      </c>
      <c r="O741" s="30" t="s">
        <v>178</v>
      </c>
      <c r="P741" s="30" t="s">
        <v>56</v>
      </c>
      <c r="Q741" s="30" t="s">
        <v>56</v>
      </c>
      <c r="R741" s="30" t="s">
        <v>56</v>
      </c>
      <c r="S741" s="30" t="s">
        <v>56</v>
      </c>
      <c r="T741" s="30" t="s">
        <v>56</v>
      </c>
      <c r="U741" s="30" t="s">
        <v>56</v>
      </c>
      <c r="V741" s="30" t="s">
        <v>77</v>
      </c>
      <c r="W741" s="30" t="s">
        <v>914</v>
      </c>
      <c r="X741" s="30" t="s">
        <v>79</v>
      </c>
      <c r="Y741" s="30" t="s">
        <v>1454</v>
      </c>
      <c r="Z741" s="30" t="s">
        <v>1915</v>
      </c>
      <c r="AA741" s="30" t="s">
        <v>2298</v>
      </c>
      <c r="AB741" s="30" t="s">
        <v>56</v>
      </c>
      <c r="AC741" s="30" t="s">
        <v>2355</v>
      </c>
    </row>
    <row r="742" spans="1:29">
      <c r="A742" s="49" t="s">
        <v>2356</v>
      </c>
      <c r="B742" s="49" t="str">
        <f>IF(ISNUMBER(SEARCH(E742,A742)),A742,IF(OR(E742="",E742=""),A742,A742&amp;" - "&amp;E742))</f>
        <v>Somai Cannabisextrakt Mint 25/1</v>
      </c>
      <c r="C742" s="24" t="s">
        <v>1957</v>
      </c>
      <c r="D742" s="24" t="s">
        <v>1958</v>
      </c>
      <c r="E742" s="24" t="s">
        <v>56</v>
      </c>
      <c r="F742" s="24" t="s">
        <v>86</v>
      </c>
      <c r="G742" s="27"/>
      <c r="H742" s="28"/>
      <c r="I742" s="24">
        <v>25</v>
      </c>
      <c r="J742" s="24">
        <v>1</v>
      </c>
      <c r="K742" s="24" t="s">
        <v>1918</v>
      </c>
      <c r="L742" s="24" t="s">
        <v>102</v>
      </c>
      <c r="M742" s="24" t="s">
        <v>54</v>
      </c>
      <c r="N742" s="24" t="s">
        <v>88</v>
      </c>
      <c r="O742" s="24" t="s">
        <v>72</v>
      </c>
      <c r="P742" s="24" t="s">
        <v>56</v>
      </c>
      <c r="Q742" s="24" t="s">
        <v>56</v>
      </c>
      <c r="R742" s="24" t="s">
        <v>56</v>
      </c>
      <c r="S742" s="24" t="s">
        <v>106</v>
      </c>
      <c r="T742" s="24" t="s">
        <v>62</v>
      </c>
      <c r="U742" s="24" t="s">
        <v>56</v>
      </c>
      <c r="V742" s="24" t="s">
        <v>77</v>
      </c>
      <c r="W742" s="24" t="s">
        <v>107</v>
      </c>
      <c r="X742" s="24" t="s">
        <v>56</v>
      </c>
      <c r="Y742" s="24" t="s">
        <v>2017</v>
      </c>
      <c r="Z742" s="24" t="s">
        <v>1915</v>
      </c>
      <c r="AA742" s="24" t="s">
        <v>1961</v>
      </c>
      <c r="AB742" s="24" t="s">
        <v>56</v>
      </c>
      <c r="AC742" s="24" t="s">
        <v>2357</v>
      </c>
    </row>
    <row r="743" spans="1:29">
      <c r="A743" s="30" t="s">
        <v>2358</v>
      </c>
      <c r="B743" s="30" t="str">
        <f>IF(ISNUMBER(SEARCH(E743,A743)),A743,IF(OR(E743="",E743=""),A743,A743&amp;" - "&amp;E743))</f>
        <v>101-C Blüten Sativa LSAGE 22/1 - La Sage</v>
      </c>
      <c r="C743" s="30" t="s">
        <v>2296</v>
      </c>
      <c r="D743" s="30" t="s">
        <v>2297</v>
      </c>
      <c r="E743" s="30" t="s">
        <v>219</v>
      </c>
      <c r="F743" s="30" t="s">
        <v>86</v>
      </c>
      <c r="G743" s="34">
        <v>22</v>
      </c>
      <c r="H743" s="35">
        <v>1</v>
      </c>
      <c r="I743" s="30"/>
      <c r="J743" s="30"/>
      <c r="K743" s="30" t="s">
        <v>52</v>
      </c>
      <c r="L743" s="30" t="s">
        <v>145</v>
      </c>
      <c r="M743" s="30" t="s">
        <v>88</v>
      </c>
      <c r="N743" s="30" t="s">
        <v>71</v>
      </c>
      <c r="O743" s="30" t="s">
        <v>55</v>
      </c>
      <c r="P743" s="30" t="s">
        <v>146</v>
      </c>
      <c r="Q743" s="30" t="s">
        <v>75</v>
      </c>
      <c r="R743" s="30" t="s">
        <v>56</v>
      </c>
      <c r="S743" s="30" t="s">
        <v>90</v>
      </c>
      <c r="T743" s="30" t="s">
        <v>106</v>
      </c>
      <c r="U743" s="30" t="s">
        <v>115</v>
      </c>
      <c r="V743" s="30" t="s">
        <v>77</v>
      </c>
      <c r="W743" s="30" t="s">
        <v>116</v>
      </c>
      <c r="X743" s="30" t="s">
        <v>107</v>
      </c>
      <c r="Y743" s="30" t="s">
        <v>56</v>
      </c>
      <c r="Z743" s="30" t="s">
        <v>64</v>
      </c>
      <c r="AA743" s="30" t="s">
        <v>2298</v>
      </c>
      <c r="AB743" s="30" t="s">
        <v>56</v>
      </c>
      <c r="AC743" s="36" t="s">
        <v>2359</v>
      </c>
    </row>
    <row r="744" spans="1:29">
      <c r="A744" s="24" t="s">
        <v>2360</v>
      </c>
      <c r="B744" s="24" t="str">
        <f>IF(ISNUMBER(SEARCH(E744,A744)),A744,IF(OR(E744="",E744=""),A744,A744&amp;" - "&amp;E744))</f>
        <v>31/1 Amici WC - Wedding Cake</v>
      </c>
      <c r="C744" s="24" t="s">
        <v>996</v>
      </c>
      <c r="D744" s="24" t="s">
        <v>997</v>
      </c>
      <c r="E744" s="24" t="s">
        <v>1195</v>
      </c>
      <c r="F744" s="24" t="s">
        <v>86</v>
      </c>
      <c r="G744" s="27">
        <v>31</v>
      </c>
      <c r="H744" s="28">
        <v>1</v>
      </c>
      <c r="I744" s="24"/>
      <c r="J744" s="24"/>
      <c r="K744" s="24" t="s">
        <v>52</v>
      </c>
      <c r="L744" s="24" t="s">
        <v>53</v>
      </c>
      <c r="M744" s="24" t="s">
        <v>156</v>
      </c>
      <c r="N744" s="24" t="s">
        <v>72</v>
      </c>
      <c r="O744" s="24"/>
      <c r="P744" s="24" t="s">
        <v>57</v>
      </c>
      <c r="Q744" s="24" t="s">
        <v>104</v>
      </c>
      <c r="R744" s="24" t="s">
        <v>74</v>
      </c>
      <c r="S744" s="24" t="s">
        <v>123</v>
      </c>
      <c r="T744" s="24" t="s">
        <v>128</v>
      </c>
      <c r="U744" s="24" t="s">
        <v>164</v>
      </c>
      <c r="V744" s="24" t="s">
        <v>116</v>
      </c>
      <c r="W744" s="24" t="s">
        <v>107</v>
      </c>
      <c r="X744" s="24" t="s">
        <v>93</v>
      </c>
      <c r="Y744" s="24" t="s">
        <v>56</v>
      </c>
      <c r="Z744" s="24" t="s">
        <v>64</v>
      </c>
      <c r="AA744" s="24" t="s">
        <v>997</v>
      </c>
      <c r="AB744" s="24" t="s">
        <v>56</v>
      </c>
      <c r="AC744" s="24" t="s">
        <v>2361</v>
      </c>
    </row>
    <row r="745" spans="1:29">
      <c r="A745" s="30" t="s">
        <v>2362</v>
      </c>
      <c r="B745" s="30" t="str">
        <f>IF(ISNUMBER(SEARCH(E745,A745)),A745,IF(OR(E745="",E745=""),A745,A745&amp;" - "&amp;E745))</f>
        <v>420 Evolution 20/1 CA MAC - MAC 1</v>
      </c>
      <c r="C745" s="30" t="s">
        <v>463</v>
      </c>
      <c r="D745" s="30" t="s">
        <v>464</v>
      </c>
      <c r="E745" s="30" t="s">
        <v>661</v>
      </c>
      <c r="F745" s="30" t="s">
        <v>120</v>
      </c>
      <c r="G745" s="34">
        <v>20</v>
      </c>
      <c r="H745" s="35">
        <v>1</v>
      </c>
      <c r="I745" s="30"/>
      <c r="J745" s="30"/>
      <c r="K745" s="30" t="s">
        <v>52</v>
      </c>
      <c r="L745" s="30" t="s">
        <v>53</v>
      </c>
      <c r="M745" s="30" t="s">
        <v>54</v>
      </c>
      <c r="N745" s="30" t="s">
        <v>88</v>
      </c>
      <c r="O745" s="30" t="s">
        <v>71</v>
      </c>
      <c r="P745" s="30" t="s">
        <v>57</v>
      </c>
      <c r="Q745" s="30" t="s">
        <v>74</v>
      </c>
      <c r="R745" s="30" t="s">
        <v>75</v>
      </c>
      <c r="S745" s="30" t="s">
        <v>466</v>
      </c>
      <c r="T745" s="30" t="s">
        <v>123</v>
      </c>
      <c r="U745" s="30" t="s">
        <v>106</v>
      </c>
      <c r="V745" s="30" t="s">
        <v>77</v>
      </c>
      <c r="W745" s="30" t="s">
        <v>79</v>
      </c>
      <c r="X745" s="30" t="s">
        <v>173</v>
      </c>
      <c r="Y745" s="30" t="s">
        <v>56</v>
      </c>
      <c r="Z745" s="30" t="s">
        <v>64</v>
      </c>
      <c r="AA745" s="30" t="s">
        <v>468</v>
      </c>
      <c r="AB745" s="30" t="s">
        <v>56</v>
      </c>
      <c r="AC745" s="30" t="s">
        <v>2363</v>
      </c>
    </row>
    <row r="746" spans="1:29">
      <c r="A746" s="24" t="s">
        <v>2364</v>
      </c>
      <c r="B746" s="24" t="str">
        <f>IF(ISNUMBER(SEARCH(E746,A746)),A746,IF(OR(E746="",E746=""),A746,A746&amp;" - "&amp;E746))</f>
        <v>Cannamedical Sativa Forte NM - Candyland</v>
      </c>
      <c r="C746" s="24" t="s">
        <v>48</v>
      </c>
      <c r="D746" s="24" t="s">
        <v>49</v>
      </c>
      <c r="E746" s="24" t="s">
        <v>207</v>
      </c>
      <c r="F746" s="24" t="s">
        <v>69</v>
      </c>
      <c r="G746" s="27">
        <v>25</v>
      </c>
      <c r="H746" s="28">
        <v>1</v>
      </c>
      <c r="I746" s="24"/>
      <c r="J746" s="24"/>
      <c r="K746" s="24" t="s">
        <v>52</v>
      </c>
      <c r="L746" s="24" t="s">
        <v>53</v>
      </c>
      <c r="M746" s="24" t="s">
        <v>54</v>
      </c>
      <c r="N746" s="24" t="s">
        <v>71</v>
      </c>
      <c r="O746" s="24" t="s">
        <v>55</v>
      </c>
      <c r="P746" s="24" t="s">
        <v>74</v>
      </c>
      <c r="Q746" s="24" t="s">
        <v>89</v>
      </c>
      <c r="R746" s="24" t="s">
        <v>59</v>
      </c>
      <c r="S746" s="24" t="s">
        <v>123</v>
      </c>
      <c r="T746" s="24" t="s">
        <v>62</v>
      </c>
      <c r="U746" s="24" t="s">
        <v>179</v>
      </c>
      <c r="V746" s="24" t="s">
        <v>208</v>
      </c>
      <c r="W746" s="24" t="s">
        <v>180</v>
      </c>
      <c r="X746" s="24" t="s">
        <v>107</v>
      </c>
      <c r="Y746" s="24" t="s">
        <v>80</v>
      </c>
      <c r="Z746" s="24" t="s">
        <v>64</v>
      </c>
      <c r="AA746" s="24" t="s">
        <v>49</v>
      </c>
      <c r="AB746" s="24" t="s">
        <v>56</v>
      </c>
      <c r="AC746" s="24" t="s">
        <v>2365</v>
      </c>
    </row>
    <row r="747" spans="1:29">
      <c r="A747" s="30" t="s">
        <v>2366</v>
      </c>
      <c r="B747" s="30" t="str">
        <f>IF(ISNUMBER(SEARCH(E747,A747)),A747,IF(OR(E747="",E747=""),A747,A747&amp;" - "&amp;E747))</f>
        <v>420 Evolution 25/1 CA BUL - Bucket List</v>
      </c>
      <c r="C747" s="30" t="s">
        <v>463</v>
      </c>
      <c r="D747" s="30" t="s">
        <v>464</v>
      </c>
      <c r="E747" s="30" t="s">
        <v>848</v>
      </c>
      <c r="F747" s="30" t="s">
        <v>144</v>
      </c>
      <c r="G747" s="34">
        <v>24</v>
      </c>
      <c r="H747" s="35">
        <v>1</v>
      </c>
      <c r="I747" s="30"/>
      <c r="J747" s="30"/>
      <c r="K747" s="30" t="s">
        <v>52</v>
      </c>
      <c r="L747" s="30" t="s">
        <v>53</v>
      </c>
      <c r="M747" s="30" t="s">
        <v>156</v>
      </c>
      <c r="N747" s="30" t="s">
        <v>54</v>
      </c>
      <c r="O747" s="30" t="s">
        <v>111</v>
      </c>
      <c r="P747" s="30" t="s">
        <v>73</v>
      </c>
      <c r="Q747" s="30" t="s">
        <v>75</v>
      </c>
      <c r="R747" s="30" t="s">
        <v>89</v>
      </c>
      <c r="S747" s="30" t="s">
        <v>147</v>
      </c>
      <c r="T747" s="30" t="s">
        <v>106</v>
      </c>
      <c r="U747" s="30" t="s">
        <v>62</v>
      </c>
      <c r="V747" s="30" t="s">
        <v>116</v>
      </c>
      <c r="W747" s="30" t="s">
        <v>79</v>
      </c>
      <c r="X747" s="30" t="s">
        <v>107</v>
      </c>
      <c r="Y747" s="30" t="s">
        <v>240</v>
      </c>
      <c r="Z747" s="30" t="s">
        <v>64</v>
      </c>
      <c r="AA747" s="30" t="s">
        <v>468</v>
      </c>
      <c r="AB747" s="30" t="s">
        <v>56</v>
      </c>
      <c r="AC747" s="30" t="s">
        <v>2367</v>
      </c>
    </row>
    <row r="748" spans="1:29">
      <c r="A748" s="24" t="s">
        <v>2368</v>
      </c>
      <c r="B748" s="24" t="str">
        <f>IF(ISNUMBER(SEARCH(E748,A748)),A748,IF(OR(E748="",E748=""),A748,A748&amp;" - "&amp;E748))</f>
        <v>420 Evolution 25/1 CA STR - Star Struck</v>
      </c>
      <c r="C748" s="24" t="s">
        <v>463</v>
      </c>
      <c r="D748" s="24" t="s">
        <v>464</v>
      </c>
      <c r="E748" s="24" t="s">
        <v>618</v>
      </c>
      <c r="F748" s="24" t="s">
        <v>86</v>
      </c>
      <c r="G748" s="27">
        <v>25</v>
      </c>
      <c r="H748" s="28">
        <v>1</v>
      </c>
      <c r="I748" s="24"/>
      <c r="J748" s="24"/>
      <c r="K748" s="24" t="s">
        <v>52</v>
      </c>
      <c r="L748" s="24" t="s">
        <v>53</v>
      </c>
      <c r="M748" s="24" t="s">
        <v>54</v>
      </c>
      <c r="N748" s="24" t="s">
        <v>71</v>
      </c>
      <c r="O748" s="24" t="s">
        <v>121</v>
      </c>
      <c r="P748" s="24" t="s">
        <v>146</v>
      </c>
      <c r="Q748" s="24" t="s">
        <v>75</v>
      </c>
      <c r="R748" s="24" t="s">
        <v>58</v>
      </c>
      <c r="S748" s="24" t="s">
        <v>466</v>
      </c>
      <c r="T748" s="24" t="s">
        <v>493</v>
      </c>
      <c r="U748" s="24" t="s">
        <v>61</v>
      </c>
      <c r="V748" s="24" t="s">
        <v>77</v>
      </c>
      <c r="W748" s="24" t="s">
        <v>116</v>
      </c>
      <c r="X748" s="24" t="s">
        <v>165</v>
      </c>
      <c r="Y748" s="24" t="s">
        <v>56</v>
      </c>
      <c r="Z748" s="24" t="s">
        <v>64</v>
      </c>
      <c r="AA748" s="24" t="s">
        <v>468</v>
      </c>
      <c r="AB748" s="24" t="s">
        <v>56</v>
      </c>
      <c r="AC748" s="24" t="s">
        <v>2369</v>
      </c>
    </row>
    <row r="749" spans="1:29">
      <c r="A749" s="30" t="s">
        <v>2370</v>
      </c>
      <c r="B749" s="30" t="str">
        <f>IF(ISNUMBER(SEARCH(E749,A749)),A749,IF(OR(E749="",E749=""),A749,A749&amp;" - "&amp;E749))</f>
        <v>420 Evolution 25/1 CA WES - Wedding Singer</v>
      </c>
      <c r="C749" s="30" t="s">
        <v>463</v>
      </c>
      <c r="D749" s="30" t="s">
        <v>464</v>
      </c>
      <c r="E749" s="40" t="s">
        <v>832</v>
      </c>
      <c r="F749" s="30" t="s">
        <v>86</v>
      </c>
      <c r="G749" s="34">
        <v>25</v>
      </c>
      <c r="H749" s="35">
        <v>1</v>
      </c>
      <c r="I749" s="30"/>
      <c r="J749" s="30"/>
      <c r="K749" s="30" t="s">
        <v>52</v>
      </c>
      <c r="L749" s="30" t="s">
        <v>53</v>
      </c>
      <c r="M749" s="30" t="s">
        <v>88</v>
      </c>
      <c r="N749" s="30" t="s">
        <v>71</v>
      </c>
      <c r="O749" s="30" t="s">
        <v>55</v>
      </c>
      <c r="P749" s="30" t="s">
        <v>73</v>
      </c>
      <c r="Q749" s="30" t="s">
        <v>146</v>
      </c>
      <c r="R749" s="30" t="s">
        <v>104</v>
      </c>
      <c r="S749" s="30" t="s">
        <v>61</v>
      </c>
      <c r="T749" s="30" t="s">
        <v>62</v>
      </c>
      <c r="U749" s="30" t="s">
        <v>128</v>
      </c>
      <c r="V749" s="30" t="s">
        <v>77</v>
      </c>
      <c r="W749" s="30" t="s">
        <v>165</v>
      </c>
      <c r="X749" s="30" t="s">
        <v>129</v>
      </c>
      <c r="Y749" s="30" t="s">
        <v>2371</v>
      </c>
      <c r="Z749" s="30" t="s">
        <v>64</v>
      </c>
      <c r="AA749" s="30" t="s">
        <v>468</v>
      </c>
      <c r="AB749" s="30"/>
      <c r="AC749" s="30" t="s">
        <v>2372</v>
      </c>
    </row>
    <row r="750" spans="1:29">
      <c r="A750" s="57" t="s">
        <v>2373</v>
      </c>
      <c r="B750" s="24" t="str">
        <f>IF(ISNUMBER(SEARCH(E750,A750)),A750,IF(OR(E750="",E750=""),A750,A750&amp;" - "&amp;E750))</f>
        <v>420 Evolution 27/1 CA GMO - GMO Cookies</v>
      </c>
      <c r="C750" s="24" t="s">
        <v>463</v>
      </c>
      <c r="D750" s="24" t="s">
        <v>464</v>
      </c>
      <c r="E750" s="24" t="s">
        <v>816</v>
      </c>
      <c r="F750" s="24" t="s">
        <v>120</v>
      </c>
      <c r="G750" s="27">
        <v>27</v>
      </c>
      <c r="H750" s="28">
        <v>1</v>
      </c>
      <c r="I750" s="24"/>
      <c r="J750" s="24"/>
      <c r="K750" s="24" t="s">
        <v>52</v>
      </c>
      <c r="L750" s="24" t="s">
        <v>53</v>
      </c>
      <c r="M750" s="24" t="s">
        <v>88</v>
      </c>
      <c r="N750" s="24" t="s">
        <v>121</v>
      </c>
      <c r="O750" s="24" t="s">
        <v>72</v>
      </c>
      <c r="P750" s="24" t="s">
        <v>73</v>
      </c>
      <c r="Q750" s="24" t="s">
        <v>56</v>
      </c>
      <c r="R750" s="24" t="s">
        <v>56</v>
      </c>
      <c r="S750" s="24" t="s">
        <v>466</v>
      </c>
      <c r="T750" s="24" t="s">
        <v>106</v>
      </c>
      <c r="U750" s="24" t="s">
        <v>493</v>
      </c>
      <c r="V750" s="24" t="s">
        <v>92</v>
      </c>
      <c r="W750" s="24" t="s">
        <v>116</v>
      </c>
      <c r="X750" s="24" t="s">
        <v>79</v>
      </c>
      <c r="Y750" s="24" t="s">
        <v>56</v>
      </c>
      <c r="Z750" s="24" t="s">
        <v>64</v>
      </c>
      <c r="AA750" s="24" t="s">
        <v>468</v>
      </c>
      <c r="AB750" s="24" t="s">
        <v>56</v>
      </c>
      <c r="AC750" s="24" t="s">
        <v>2374</v>
      </c>
    </row>
    <row r="751" spans="1:29">
      <c r="A751" s="30" t="s">
        <v>2375</v>
      </c>
      <c r="B751" s="30" t="str">
        <f>IF(ISNUMBER(SEARCH(E751,A751)),A751,IF(OR(E751="",E751=""),A751,A751&amp;" - "&amp;E751))</f>
        <v>420 Evolution 30/1 CA STR - Star Struck</v>
      </c>
      <c r="C751" s="30" t="s">
        <v>463</v>
      </c>
      <c r="D751" s="30" t="s">
        <v>464</v>
      </c>
      <c r="E751" s="30" t="s">
        <v>618</v>
      </c>
      <c r="F751" s="30" t="s">
        <v>86</v>
      </c>
      <c r="G751" s="34">
        <v>30</v>
      </c>
      <c r="H751" s="35">
        <v>1</v>
      </c>
      <c r="I751" s="30"/>
      <c r="J751" s="30"/>
      <c r="K751" s="30" t="s">
        <v>52</v>
      </c>
      <c r="L751" s="30" t="s">
        <v>53</v>
      </c>
      <c r="M751" s="30" t="s">
        <v>54</v>
      </c>
      <c r="N751" s="30" t="s">
        <v>71</v>
      </c>
      <c r="O751" s="30" t="s">
        <v>121</v>
      </c>
      <c r="P751" s="30" t="s">
        <v>146</v>
      </c>
      <c r="Q751" s="30" t="s">
        <v>75</v>
      </c>
      <c r="R751" s="30" t="s">
        <v>58</v>
      </c>
      <c r="S751" s="30" t="s">
        <v>466</v>
      </c>
      <c r="T751" s="30" t="s">
        <v>123</v>
      </c>
      <c r="U751" s="30" t="s">
        <v>106</v>
      </c>
      <c r="V751" s="30" t="s">
        <v>77</v>
      </c>
      <c r="W751" s="30" t="s">
        <v>116</v>
      </c>
      <c r="X751" s="30" t="s">
        <v>165</v>
      </c>
      <c r="Y751" s="30" t="s">
        <v>56</v>
      </c>
      <c r="Z751" s="30" t="s">
        <v>64</v>
      </c>
      <c r="AA751" s="30" t="s">
        <v>468</v>
      </c>
      <c r="AB751" s="30" t="s">
        <v>56</v>
      </c>
      <c r="AC751" s="30" t="s">
        <v>2376</v>
      </c>
    </row>
    <row r="752" spans="1:29">
      <c r="A752" s="24" t="s">
        <v>2377</v>
      </c>
      <c r="B752" s="24" t="str">
        <f>IF(ISNUMBER(SEARCH(E752,A752)),A752,IF(OR(E752="",E752=""),A752,A752&amp;" - "&amp;E752))</f>
        <v>420 Evolution 33/1 CA ICC - Ice Cream Cake x Kush Mints</v>
      </c>
      <c r="C752" s="24" t="s">
        <v>463</v>
      </c>
      <c r="D752" s="24" t="s">
        <v>464</v>
      </c>
      <c r="E752" s="24" t="s">
        <v>465</v>
      </c>
      <c r="F752" s="24" t="s">
        <v>86</v>
      </c>
      <c r="G752" s="27">
        <v>31</v>
      </c>
      <c r="H752" s="28">
        <v>1</v>
      </c>
      <c r="I752" s="24"/>
      <c r="J752" s="24"/>
      <c r="K752" s="24" t="s">
        <v>52</v>
      </c>
      <c r="L752" s="24" t="s">
        <v>53</v>
      </c>
      <c r="M752" s="24" t="s">
        <v>111</v>
      </c>
      <c r="N752" s="24" t="s">
        <v>88</v>
      </c>
      <c r="O752" s="24" t="s">
        <v>72</v>
      </c>
      <c r="P752" s="24" t="s">
        <v>112</v>
      </c>
      <c r="Q752" s="24" t="s">
        <v>146</v>
      </c>
      <c r="R752" s="24" t="s">
        <v>89</v>
      </c>
      <c r="S752" s="24" t="s">
        <v>466</v>
      </c>
      <c r="T752" s="24" t="s">
        <v>123</v>
      </c>
      <c r="U752" s="24" t="s">
        <v>106</v>
      </c>
      <c r="V752" s="24" t="s">
        <v>77</v>
      </c>
      <c r="W752" s="24" t="s">
        <v>116</v>
      </c>
      <c r="X752" s="24" t="s">
        <v>165</v>
      </c>
      <c r="Y752" s="24" t="s">
        <v>845</v>
      </c>
      <c r="Z752" s="24" t="s">
        <v>64</v>
      </c>
      <c r="AA752" s="24" t="s">
        <v>468</v>
      </c>
      <c r="AB752" s="24" t="s">
        <v>56</v>
      </c>
      <c r="AC752" s="24" t="s">
        <v>2378</v>
      </c>
    </row>
    <row r="753" spans="1:29">
      <c r="A753" s="30" t="s">
        <v>2379</v>
      </c>
      <c r="B753" s="30" t="str">
        <f>IF(ISNUMBER(SEARCH(E753,A753)),A753,IF(OR(E753="",E753=""),A753,A753&amp;" - "&amp;E753))</f>
        <v>420 Natural 18/1 CA GG4 - Gorilla Glue</v>
      </c>
      <c r="C753" s="30" t="s">
        <v>463</v>
      </c>
      <c r="D753" s="30" t="s">
        <v>464</v>
      </c>
      <c r="E753" s="30" t="s">
        <v>363</v>
      </c>
      <c r="F753" s="30" t="s">
        <v>86</v>
      </c>
      <c r="G753" s="34">
        <v>18</v>
      </c>
      <c r="H753" s="35">
        <v>1</v>
      </c>
      <c r="I753" s="30"/>
      <c r="J753" s="30"/>
      <c r="K753" s="30" t="s">
        <v>52</v>
      </c>
      <c r="L753" s="30" t="s">
        <v>53</v>
      </c>
      <c r="M753" s="30" t="s">
        <v>103</v>
      </c>
      <c r="N753" s="30" t="s">
        <v>121</v>
      </c>
      <c r="O753" s="30" t="s">
        <v>72</v>
      </c>
      <c r="P753" s="30" t="s">
        <v>146</v>
      </c>
      <c r="Q753" s="30" t="s">
        <v>74</v>
      </c>
      <c r="R753" s="30" t="s">
        <v>59</v>
      </c>
      <c r="S753" s="30" t="s">
        <v>123</v>
      </c>
      <c r="T753" s="30" t="s">
        <v>61</v>
      </c>
      <c r="U753" s="30" t="s">
        <v>76</v>
      </c>
      <c r="V753" s="30" t="s">
        <v>257</v>
      </c>
      <c r="W753" s="30" t="s">
        <v>252</v>
      </c>
      <c r="X753" s="30" t="s">
        <v>77</v>
      </c>
      <c r="Y753" s="30" t="s">
        <v>56</v>
      </c>
      <c r="Z753" s="30" t="s">
        <v>64</v>
      </c>
      <c r="AA753" s="30" t="s">
        <v>468</v>
      </c>
      <c r="AB753" s="30" t="s">
        <v>56</v>
      </c>
      <c r="AC753" s="30" t="s">
        <v>2380</v>
      </c>
    </row>
    <row r="754" spans="1:29">
      <c r="A754" s="24" t="s">
        <v>2381</v>
      </c>
      <c r="B754" s="24" t="str">
        <f>IF(ISNUMBER(SEARCH(E754,A754)),A754,IF(OR(E754="",E754=""),A754,A754&amp;" - "&amp;E754))</f>
        <v>420 Natural 18/1 CA SK - Sour Kush</v>
      </c>
      <c r="C754" s="24" t="s">
        <v>463</v>
      </c>
      <c r="D754" s="24" t="s">
        <v>464</v>
      </c>
      <c r="E754" s="24" t="s">
        <v>490</v>
      </c>
      <c r="F754" s="24" t="s">
        <v>86</v>
      </c>
      <c r="G754" s="27">
        <v>18</v>
      </c>
      <c r="H754" s="28">
        <v>1</v>
      </c>
      <c r="I754" s="24"/>
      <c r="J754" s="24"/>
      <c r="K754" s="24" t="s">
        <v>52</v>
      </c>
      <c r="L754" s="24" t="s">
        <v>53</v>
      </c>
      <c r="M754" s="24" t="s">
        <v>212</v>
      </c>
      <c r="N754" s="24" t="s">
        <v>88</v>
      </c>
      <c r="O754" s="24" t="s">
        <v>71</v>
      </c>
      <c r="P754" s="24" t="s">
        <v>73</v>
      </c>
      <c r="Q754" s="24" t="s">
        <v>75</v>
      </c>
      <c r="R754" s="24" t="s">
        <v>89</v>
      </c>
      <c r="S754" s="24" t="s">
        <v>61</v>
      </c>
      <c r="T754" s="24" t="s">
        <v>76</v>
      </c>
      <c r="U754" s="24" t="s">
        <v>62</v>
      </c>
      <c r="V754" s="24" t="s">
        <v>77</v>
      </c>
      <c r="W754" s="24" t="s">
        <v>116</v>
      </c>
      <c r="X754" s="24" t="s">
        <v>253</v>
      </c>
      <c r="Y754" s="24" t="s">
        <v>56</v>
      </c>
      <c r="Z754" s="24" t="s">
        <v>64</v>
      </c>
      <c r="AA754" s="24" t="s">
        <v>468</v>
      </c>
      <c r="AB754" s="24" t="s">
        <v>56</v>
      </c>
      <c r="AC754" s="24" t="s">
        <v>2382</v>
      </c>
    </row>
    <row r="755" spans="1:29">
      <c r="A755" s="30" t="s">
        <v>2383</v>
      </c>
      <c r="B755" s="30" t="str">
        <f>IF(ISNUMBER(SEARCH(E755,A755)),A755,IF(OR(E755="",E755=""),A755,A755&amp;" - "&amp;E755))</f>
        <v>420 Natural 20/1 CA ZRP - Zour Apple</v>
      </c>
      <c r="C755" s="30" t="s">
        <v>463</v>
      </c>
      <c r="D755" s="30" t="s">
        <v>464</v>
      </c>
      <c r="E755" s="30" t="s">
        <v>590</v>
      </c>
      <c r="F755" s="30" t="s">
        <v>86</v>
      </c>
      <c r="G755" s="34">
        <v>20</v>
      </c>
      <c r="H755" s="35">
        <v>1</v>
      </c>
      <c r="I755" s="30"/>
      <c r="J755" s="30"/>
      <c r="K755" s="30" t="s">
        <v>52</v>
      </c>
      <c r="L755" s="30" t="s">
        <v>53</v>
      </c>
      <c r="M755" s="30" t="s">
        <v>111</v>
      </c>
      <c r="N755" s="30" t="s">
        <v>55</v>
      </c>
      <c r="O755" s="30" t="s">
        <v>178</v>
      </c>
      <c r="P755" s="30" t="s">
        <v>591</v>
      </c>
      <c r="Q755" s="30" t="s">
        <v>58</v>
      </c>
      <c r="R755" s="30" t="s">
        <v>56</v>
      </c>
      <c r="S755" s="30" t="s">
        <v>90</v>
      </c>
      <c r="T755" s="30" t="s">
        <v>105</v>
      </c>
      <c r="U755" s="30" t="s">
        <v>91</v>
      </c>
      <c r="V755" s="30" t="s">
        <v>92</v>
      </c>
      <c r="W755" s="30" t="s">
        <v>129</v>
      </c>
      <c r="X755" s="30" t="s">
        <v>107</v>
      </c>
      <c r="Y755" s="30" t="s">
        <v>56</v>
      </c>
      <c r="Z755" s="30" t="s">
        <v>64</v>
      </c>
      <c r="AA755" s="30" t="s">
        <v>468</v>
      </c>
      <c r="AB755" s="30" t="s">
        <v>56</v>
      </c>
      <c r="AC755" s="30" t="s">
        <v>2384</v>
      </c>
    </row>
    <row r="756" spans="1:29">
      <c r="A756" s="24" t="s">
        <v>2385</v>
      </c>
      <c r="B756" s="24" t="str">
        <f>IF(ISNUMBER(SEARCH(E756,A756)),A756,IF(OR(E756="",E756=""),A756,A756&amp;" - "&amp;E756))</f>
        <v>420 Natural 22/1 CA DBB - DJ Blueberry</v>
      </c>
      <c r="C756" s="24" t="s">
        <v>463</v>
      </c>
      <c r="D756" s="24" t="s">
        <v>464</v>
      </c>
      <c r="E756" s="24" t="s">
        <v>938</v>
      </c>
      <c r="F756" s="24" t="s">
        <v>120</v>
      </c>
      <c r="G756" s="27">
        <v>22</v>
      </c>
      <c r="H756" s="28">
        <v>1</v>
      </c>
      <c r="I756" s="24"/>
      <c r="J756" s="24"/>
      <c r="K756" s="24" t="s">
        <v>52</v>
      </c>
      <c r="L756" s="24" t="s">
        <v>53</v>
      </c>
      <c r="M756" s="24" t="s">
        <v>103</v>
      </c>
      <c r="N756" s="24" t="s">
        <v>72</v>
      </c>
      <c r="O756" s="24"/>
      <c r="P756" s="24" t="s">
        <v>89</v>
      </c>
      <c r="Q756" s="24" t="s">
        <v>58</v>
      </c>
      <c r="R756" s="24" t="s">
        <v>56</v>
      </c>
      <c r="S756" s="24" t="s">
        <v>106</v>
      </c>
      <c r="T756" s="24" t="s">
        <v>203</v>
      </c>
      <c r="U756" s="24" t="s">
        <v>62</v>
      </c>
      <c r="V756" s="24" t="s">
        <v>77</v>
      </c>
      <c r="W756" s="24" t="s">
        <v>116</v>
      </c>
      <c r="X756" s="24" t="s">
        <v>79</v>
      </c>
      <c r="Y756" s="24" t="s">
        <v>56</v>
      </c>
      <c r="Z756" s="24" t="s">
        <v>64</v>
      </c>
      <c r="AA756" s="24" t="s">
        <v>468</v>
      </c>
      <c r="AB756" s="24" t="s">
        <v>56</v>
      </c>
      <c r="AC756" s="24" t="s">
        <v>2386</v>
      </c>
    </row>
    <row r="757" spans="1:29">
      <c r="A757" s="30" t="s">
        <v>2387</v>
      </c>
      <c r="B757" s="30" t="str">
        <f>IF(ISNUMBER(SEARCH(E757,A757)),A757,IF(OR(E757="",E757=""),A757,A757&amp;" - "&amp;E757))</f>
        <v>420 Natural 22/1 CA SRK - Sour Kush</v>
      </c>
      <c r="C757" s="30" t="s">
        <v>463</v>
      </c>
      <c r="D757" s="30" t="s">
        <v>464</v>
      </c>
      <c r="E757" s="30" t="s">
        <v>490</v>
      </c>
      <c r="F757" s="30" t="s">
        <v>86</v>
      </c>
      <c r="G757" s="34">
        <v>22</v>
      </c>
      <c r="H757" s="35">
        <v>1</v>
      </c>
      <c r="I757" s="30"/>
      <c r="J757" s="30"/>
      <c r="K757" s="30" t="s">
        <v>52</v>
      </c>
      <c r="L757" s="30" t="s">
        <v>53</v>
      </c>
      <c r="M757" s="30" t="s">
        <v>212</v>
      </c>
      <c r="N757" s="30" t="s">
        <v>88</v>
      </c>
      <c r="O757" s="30" t="s">
        <v>71</v>
      </c>
      <c r="P757" s="30" t="s">
        <v>73</v>
      </c>
      <c r="Q757" s="30" t="s">
        <v>75</v>
      </c>
      <c r="R757" s="30" t="s">
        <v>89</v>
      </c>
      <c r="S757" s="30" t="s">
        <v>61</v>
      </c>
      <c r="T757" s="30" t="s">
        <v>76</v>
      </c>
      <c r="U757" s="30" t="s">
        <v>62</v>
      </c>
      <c r="V757" s="30" t="s">
        <v>77</v>
      </c>
      <c r="W757" s="30" t="s">
        <v>116</v>
      </c>
      <c r="X757" s="30" t="s">
        <v>253</v>
      </c>
      <c r="Y757" s="30" t="s">
        <v>56</v>
      </c>
      <c r="Z757" s="30" t="s">
        <v>64</v>
      </c>
      <c r="AA757" s="30" t="s">
        <v>468</v>
      </c>
      <c r="AB757" s="30" t="s">
        <v>56</v>
      </c>
      <c r="AC757" s="30" t="s">
        <v>2388</v>
      </c>
    </row>
    <row r="758" spans="1:29">
      <c r="A758" s="24" t="s">
        <v>2389</v>
      </c>
      <c r="B758" s="24" t="str">
        <f>IF(ISNUMBER(SEARCH(E758,A758)),A758,IF(OR(E758="",E758=""),A758,A758&amp;" - "&amp;E758))</f>
        <v>420 Natural 22/1 CA ZRP - Zour Apple</v>
      </c>
      <c r="C758" s="24" t="s">
        <v>463</v>
      </c>
      <c r="D758" s="24" t="s">
        <v>464</v>
      </c>
      <c r="E758" s="24" t="s">
        <v>590</v>
      </c>
      <c r="F758" s="24" t="s">
        <v>51</v>
      </c>
      <c r="G758" s="27">
        <v>22</v>
      </c>
      <c r="H758" s="28">
        <v>1</v>
      </c>
      <c r="I758" s="24"/>
      <c r="J758" s="24"/>
      <c r="K758" s="24" t="s">
        <v>52</v>
      </c>
      <c r="L758" s="24" t="s">
        <v>53</v>
      </c>
      <c r="M758" s="24" t="s">
        <v>111</v>
      </c>
      <c r="N758" s="24" t="s">
        <v>55</v>
      </c>
      <c r="O758" s="24" t="s">
        <v>178</v>
      </c>
      <c r="P758" s="24" t="s">
        <v>591</v>
      </c>
      <c r="Q758" s="24" t="s">
        <v>58</v>
      </c>
      <c r="R758" s="24" t="s">
        <v>56</v>
      </c>
      <c r="S758" s="24" t="s">
        <v>90</v>
      </c>
      <c r="T758" s="24" t="s">
        <v>91</v>
      </c>
      <c r="U758" s="24" t="s">
        <v>114</v>
      </c>
      <c r="V758" s="24" t="s">
        <v>92</v>
      </c>
      <c r="W758" s="24" t="s">
        <v>129</v>
      </c>
      <c r="X758" s="24" t="s">
        <v>107</v>
      </c>
      <c r="Y758" s="24" t="s">
        <v>56</v>
      </c>
      <c r="Z758" s="24" t="s">
        <v>64</v>
      </c>
      <c r="AA758" s="24" t="s">
        <v>468</v>
      </c>
      <c r="AB758" s="24" t="s">
        <v>56</v>
      </c>
      <c r="AC758" s="37" t="s">
        <v>2390</v>
      </c>
    </row>
    <row r="759" spans="1:29">
      <c r="A759" s="30" t="s">
        <v>2391</v>
      </c>
      <c r="B759" s="30" t="str">
        <f>IF(ISNUMBER(SEARCH(E759,A759)),A759,IF(OR(E759="",E759=""),A759,A759&amp;" - "&amp;E759))</f>
        <v>420 Natural 25/1 CA GG4 - Gorilla Glue</v>
      </c>
      <c r="C759" s="30" t="s">
        <v>463</v>
      </c>
      <c r="D759" s="30" t="s">
        <v>464</v>
      </c>
      <c r="E759" s="30" t="s">
        <v>363</v>
      </c>
      <c r="F759" s="30" t="s">
        <v>86</v>
      </c>
      <c r="G759" s="34">
        <v>25</v>
      </c>
      <c r="H759" s="35">
        <v>1</v>
      </c>
      <c r="I759" s="30"/>
      <c r="J759" s="30"/>
      <c r="K759" s="30" t="s">
        <v>52</v>
      </c>
      <c r="L759" s="30" t="s">
        <v>53</v>
      </c>
      <c r="M759" s="30" t="s">
        <v>103</v>
      </c>
      <c r="N759" s="30" t="s">
        <v>121</v>
      </c>
      <c r="O759" s="30" t="s">
        <v>72</v>
      </c>
      <c r="P759" s="30" t="s">
        <v>146</v>
      </c>
      <c r="Q759" s="30" t="s">
        <v>74</v>
      </c>
      <c r="R759" s="30" t="s">
        <v>59</v>
      </c>
      <c r="S759" s="30" t="s">
        <v>123</v>
      </c>
      <c r="T759" s="30" t="s">
        <v>76</v>
      </c>
      <c r="U759" s="30" t="s">
        <v>164</v>
      </c>
      <c r="V759" s="30" t="s">
        <v>257</v>
      </c>
      <c r="W759" s="30" t="s">
        <v>252</v>
      </c>
      <c r="X759" s="30" t="s">
        <v>77</v>
      </c>
      <c r="Y759" s="30" t="s">
        <v>56</v>
      </c>
      <c r="Z759" s="30" t="s">
        <v>64</v>
      </c>
      <c r="AA759" s="30" t="s">
        <v>468</v>
      </c>
      <c r="AB759" s="30" t="s">
        <v>56</v>
      </c>
      <c r="AC759" s="36" t="s">
        <v>2392</v>
      </c>
    </row>
    <row r="760" spans="1:29">
      <c r="A760" s="24" t="s">
        <v>2393</v>
      </c>
      <c r="B760" s="24" t="str">
        <f>IF(ISNUMBER(SEARCH(E760,A760)),A760,IF(OR(E760="",E760=""),A760,A760&amp;" - "&amp;E760))</f>
        <v>420 Natural 25/1 CA SRK - Sour Kush</v>
      </c>
      <c r="C760" s="24" t="s">
        <v>463</v>
      </c>
      <c r="D760" s="24" t="s">
        <v>464</v>
      </c>
      <c r="E760" s="24" t="s">
        <v>490</v>
      </c>
      <c r="F760" s="24" t="s">
        <v>86</v>
      </c>
      <c r="G760" s="27">
        <v>25</v>
      </c>
      <c r="H760" s="28">
        <v>1</v>
      </c>
      <c r="I760" s="24"/>
      <c r="J760" s="24"/>
      <c r="K760" s="24" t="s">
        <v>52</v>
      </c>
      <c r="L760" s="24" t="s">
        <v>53</v>
      </c>
      <c r="M760" s="24" t="s">
        <v>212</v>
      </c>
      <c r="N760" s="24" t="s">
        <v>88</v>
      </c>
      <c r="O760" s="24" t="s">
        <v>71</v>
      </c>
      <c r="P760" s="24" t="s">
        <v>73</v>
      </c>
      <c r="Q760" s="24" t="s">
        <v>75</v>
      </c>
      <c r="R760" s="24" t="s">
        <v>89</v>
      </c>
      <c r="S760" s="24" t="s">
        <v>61</v>
      </c>
      <c r="T760" s="24" t="s">
        <v>76</v>
      </c>
      <c r="U760" s="24" t="s">
        <v>128</v>
      </c>
      <c r="V760" s="24" t="s">
        <v>77</v>
      </c>
      <c r="W760" s="24" t="s">
        <v>116</v>
      </c>
      <c r="X760" s="24" t="s">
        <v>253</v>
      </c>
      <c r="Y760" s="24" t="s">
        <v>56</v>
      </c>
      <c r="Z760" s="24" t="s">
        <v>64</v>
      </c>
      <c r="AA760" s="24" t="s">
        <v>468</v>
      </c>
      <c r="AB760" s="24" t="s">
        <v>56</v>
      </c>
      <c r="AC760" s="24" t="s">
        <v>2394</v>
      </c>
    </row>
    <row r="761" spans="1:29">
      <c r="A761" s="30" t="s">
        <v>2395</v>
      </c>
      <c r="B761" s="30" t="str">
        <f>IF(ISNUMBER(SEARCH(E761,A761)),A761,IF(OR(E761="",E761=""),A761,A761&amp;" - "&amp;E761))</f>
        <v>420 Sungrown 25/1 CA JEL - Jealousy</v>
      </c>
      <c r="C761" s="30" t="s">
        <v>463</v>
      </c>
      <c r="D761" s="30" t="s">
        <v>464</v>
      </c>
      <c r="E761" s="30" t="s">
        <v>941</v>
      </c>
      <c r="F761" s="30" t="s">
        <v>86</v>
      </c>
      <c r="G761" s="34">
        <v>25</v>
      </c>
      <c r="H761" s="35">
        <v>1</v>
      </c>
      <c r="I761" s="30"/>
      <c r="J761" s="30"/>
      <c r="K761" s="30" t="s">
        <v>52</v>
      </c>
      <c r="L761" s="30" t="s">
        <v>53</v>
      </c>
      <c r="M761" s="30" t="s">
        <v>54</v>
      </c>
      <c r="N761" s="30" t="s">
        <v>88</v>
      </c>
      <c r="O761" s="30" t="s">
        <v>55</v>
      </c>
      <c r="P761" s="30" t="s">
        <v>74</v>
      </c>
      <c r="Q761" s="30" t="s">
        <v>59</v>
      </c>
      <c r="R761" s="30" t="s">
        <v>56</v>
      </c>
      <c r="S761" s="30" t="s">
        <v>466</v>
      </c>
      <c r="T761" s="30" t="s">
        <v>123</v>
      </c>
      <c r="U761" s="30" t="s">
        <v>493</v>
      </c>
      <c r="V761" s="30" t="s">
        <v>77</v>
      </c>
      <c r="W761" s="30" t="s">
        <v>79</v>
      </c>
      <c r="X761" s="30" t="s">
        <v>173</v>
      </c>
      <c r="Y761" s="30" t="s">
        <v>1342</v>
      </c>
      <c r="Z761" s="30" t="s">
        <v>64</v>
      </c>
      <c r="AA761" s="30" t="s">
        <v>468</v>
      </c>
      <c r="AB761" s="30" t="s">
        <v>56</v>
      </c>
      <c r="AC761" s="30" t="s">
        <v>2396</v>
      </c>
    </row>
    <row r="762" spans="1:29">
      <c r="A762" s="24" t="s">
        <v>2397</v>
      </c>
      <c r="B762" s="24" t="str">
        <f>IF(ISNUMBER(SEARCH(E762,A762)),A762,IF(OR(E762="",E762=""),A762,A762&amp;" - "&amp;E762))</f>
        <v>ACA 18/1 C - White Widow</v>
      </c>
      <c r="C762" s="24" t="s">
        <v>2118</v>
      </c>
      <c r="D762" s="24" t="s">
        <v>2119</v>
      </c>
      <c r="E762" s="24" t="s">
        <v>251</v>
      </c>
      <c r="F762" s="24" t="s">
        <v>86</v>
      </c>
      <c r="G762" s="27">
        <v>18</v>
      </c>
      <c r="H762" s="28">
        <v>1</v>
      </c>
      <c r="I762" s="24"/>
      <c r="J762" s="24"/>
      <c r="K762" s="24" t="s">
        <v>17</v>
      </c>
      <c r="L762" s="24" t="s">
        <v>87</v>
      </c>
      <c r="M762" s="24" t="s">
        <v>54</v>
      </c>
      <c r="N762" s="24" t="s">
        <v>111</v>
      </c>
      <c r="O762" s="24" t="s">
        <v>88</v>
      </c>
      <c r="P762" s="24" t="s">
        <v>146</v>
      </c>
      <c r="Q762" s="24" t="s">
        <v>74</v>
      </c>
      <c r="R762" s="24" t="s">
        <v>113</v>
      </c>
      <c r="S762" s="24" t="s">
        <v>62</v>
      </c>
      <c r="T762" s="24" t="s">
        <v>128</v>
      </c>
      <c r="U762" s="24" t="s">
        <v>179</v>
      </c>
      <c r="V762" s="24" t="s">
        <v>252</v>
      </c>
      <c r="W762" s="24" t="s">
        <v>77</v>
      </c>
      <c r="X762" s="24" t="s">
        <v>253</v>
      </c>
      <c r="Y762" s="24" t="s">
        <v>56</v>
      </c>
      <c r="Z762" s="24" t="s">
        <v>64</v>
      </c>
      <c r="AA762" s="24" t="s">
        <v>2119</v>
      </c>
      <c r="AB762" s="24" t="s">
        <v>56</v>
      </c>
      <c r="AC762" s="24" t="s">
        <v>2398</v>
      </c>
    </row>
    <row r="763" spans="1:29">
      <c r="A763" s="30" t="s">
        <v>2399</v>
      </c>
      <c r="B763" s="30" t="str">
        <f>IF(ISNUMBER(SEARCH(E763,A763)),A763,IF(OR(E763="",E763=""),A763,A763&amp;" - "&amp;E763))</f>
        <v>ACA 22/1 C - Frosted Lemon Angel</v>
      </c>
      <c r="C763" s="30" t="s">
        <v>2118</v>
      </c>
      <c r="D763" s="30" t="s">
        <v>2119</v>
      </c>
      <c r="E763" s="30" t="s">
        <v>706</v>
      </c>
      <c r="F763" s="30" t="s">
        <v>86</v>
      </c>
      <c r="G763" s="34">
        <v>22</v>
      </c>
      <c r="H763" s="35">
        <v>1</v>
      </c>
      <c r="I763" s="30"/>
      <c r="J763" s="30"/>
      <c r="K763" s="30" t="s">
        <v>17</v>
      </c>
      <c r="L763" s="30" t="s">
        <v>87</v>
      </c>
      <c r="M763" s="30" t="s">
        <v>54</v>
      </c>
      <c r="N763" s="30" t="s">
        <v>55</v>
      </c>
      <c r="O763" s="30" t="s">
        <v>72</v>
      </c>
      <c r="P763" s="30" t="s">
        <v>75</v>
      </c>
      <c r="Q763" s="30" t="s">
        <v>89</v>
      </c>
      <c r="R763" s="30" t="s">
        <v>56</v>
      </c>
      <c r="S763" s="30" t="s">
        <v>106</v>
      </c>
      <c r="T763" s="30" t="s">
        <v>62</v>
      </c>
      <c r="U763" s="30" t="s">
        <v>128</v>
      </c>
      <c r="V763" s="30" t="s">
        <v>116</v>
      </c>
      <c r="W763" s="30" t="s">
        <v>93</v>
      </c>
      <c r="X763" s="30" t="s">
        <v>173</v>
      </c>
      <c r="Y763" s="30" t="s">
        <v>2400</v>
      </c>
      <c r="Z763" s="30" t="s">
        <v>64</v>
      </c>
      <c r="AA763" s="30" t="s">
        <v>2119</v>
      </c>
      <c r="AB763" s="30" t="s">
        <v>96</v>
      </c>
      <c r="AC763" s="30" t="s">
        <v>2401</v>
      </c>
    </row>
    <row r="764" spans="1:29">
      <c r="A764" s="24" t="s">
        <v>2402</v>
      </c>
      <c r="B764" s="24" t="str">
        <f>IF(ISNUMBER(SEARCH(E764,A764)),A764,IF(OR(E764="",E764=""),A764,A764&amp;" - "&amp;E764))</f>
        <v>ACA 24/1 C - Frosted Lemon Angel</v>
      </c>
      <c r="C764" s="24" t="s">
        <v>2118</v>
      </c>
      <c r="D764" s="24" t="s">
        <v>2119</v>
      </c>
      <c r="E764" s="24" t="s">
        <v>706</v>
      </c>
      <c r="F764" s="24" t="s">
        <v>86</v>
      </c>
      <c r="G764" s="27">
        <v>24</v>
      </c>
      <c r="H764" s="28">
        <v>1</v>
      </c>
      <c r="I764" s="24"/>
      <c r="J764" s="24"/>
      <c r="K764" s="24" t="s">
        <v>17</v>
      </c>
      <c r="L764" s="24" t="s">
        <v>87</v>
      </c>
      <c r="M764" s="24" t="s">
        <v>54</v>
      </c>
      <c r="N764" s="24" t="s">
        <v>55</v>
      </c>
      <c r="O764" s="24" t="s">
        <v>72</v>
      </c>
      <c r="P764" s="24" t="s">
        <v>75</v>
      </c>
      <c r="Q764" s="24" t="s">
        <v>89</v>
      </c>
      <c r="R764" s="24" t="s">
        <v>56</v>
      </c>
      <c r="S764" s="24" t="s">
        <v>106</v>
      </c>
      <c r="T764" s="24" t="s">
        <v>62</v>
      </c>
      <c r="U764" s="24" t="s">
        <v>128</v>
      </c>
      <c r="V764" s="24" t="s">
        <v>116</v>
      </c>
      <c r="W764" s="24" t="s">
        <v>93</v>
      </c>
      <c r="X764" s="24" t="s">
        <v>173</v>
      </c>
      <c r="Y764" s="24" t="s">
        <v>56</v>
      </c>
      <c r="Z764" s="24" t="s">
        <v>64</v>
      </c>
      <c r="AA764" s="24" t="s">
        <v>2119</v>
      </c>
      <c r="AB764" s="24" t="s">
        <v>96</v>
      </c>
      <c r="AC764" s="24" t="s">
        <v>2403</v>
      </c>
    </row>
    <row r="765" spans="1:29">
      <c r="A765" s="30" t="s">
        <v>2404</v>
      </c>
      <c r="B765" s="30" t="str">
        <f>IF(ISNUMBER(SEARCH(E765,A765)),A765,IF(OR(E765="",E765=""),A765,A765&amp;" - "&amp;E765))</f>
        <v>ADREX 15/1 day COL - Gelato 45</v>
      </c>
      <c r="C765" s="30" t="s">
        <v>911</v>
      </c>
      <c r="D765" s="30" t="s">
        <v>912</v>
      </c>
      <c r="E765" s="30" t="s">
        <v>2405</v>
      </c>
      <c r="F765" s="30" t="s">
        <v>86</v>
      </c>
      <c r="G765" s="34">
        <v>15</v>
      </c>
      <c r="H765" s="35">
        <v>1</v>
      </c>
      <c r="I765" s="30"/>
      <c r="J765" s="30"/>
      <c r="K765" s="30" t="s">
        <v>52</v>
      </c>
      <c r="L765" s="30" t="s">
        <v>202</v>
      </c>
      <c r="M765" s="30" t="s">
        <v>54</v>
      </c>
      <c r="N765" s="30" t="s">
        <v>88</v>
      </c>
      <c r="O765" s="30" t="s">
        <v>178</v>
      </c>
      <c r="P765" s="30" t="s">
        <v>136</v>
      </c>
      <c r="Q765" s="30" t="s">
        <v>146</v>
      </c>
      <c r="R765" s="30" t="s">
        <v>57</v>
      </c>
      <c r="S765" s="30" t="s">
        <v>192</v>
      </c>
      <c r="T765" s="30" t="s">
        <v>106</v>
      </c>
      <c r="U765" s="30" t="s">
        <v>62</v>
      </c>
      <c r="V765" s="30" t="s">
        <v>77</v>
      </c>
      <c r="W765" s="30" t="s">
        <v>79</v>
      </c>
      <c r="X765" s="30" t="s">
        <v>107</v>
      </c>
      <c r="Y765" s="30" t="s">
        <v>245</v>
      </c>
      <c r="Z765" s="30" t="s">
        <v>64</v>
      </c>
      <c r="AA765" s="30" t="s">
        <v>912</v>
      </c>
      <c r="AB765" s="30" t="s">
        <v>56</v>
      </c>
      <c r="AC765" s="30" t="s">
        <v>2406</v>
      </c>
    </row>
    <row r="766" spans="1:29">
      <c r="A766" s="24" t="s">
        <v>2407</v>
      </c>
      <c r="B766" s="24" t="str">
        <f>IF(ISNUMBER(SEARCH(E766,A766)),A766,IF(OR(E766="",E766=""),A766,A766&amp;" - "&amp;E766))</f>
        <v>ADREX 17/1 CAN SB - Shiskaberry</v>
      </c>
      <c r="C766" s="24" t="s">
        <v>911</v>
      </c>
      <c r="D766" s="24" t="s">
        <v>912</v>
      </c>
      <c r="E766" s="24" t="s">
        <v>2408</v>
      </c>
      <c r="F766" s="24" t="s">
        <v>86</v>
      </c>
      <c r="G766" s="27">
        <v>17</v>
      </c>
      <c r="H766" s="28">
        <v>1</v>
      </c>
      <c r="I766" s="24"/>
      <c r="J766" s="24"/>
      <c r="K766" s="24" t="s">
        <v>17</v>
      </c>
      <c r="L766" s="24" t="s">
        <v>53</v>
      </c>
      <c r="M766" s="24" t="s">
        <v>212</v>
      </c>
      <c r="N766" s="24" t="s">
        <v>121</v>
      </c>
      <c r="O766" s="24" t="s">
        <v>72</v>
      </c>
      <c r="P766" s="24" t="s">
        <v>89</v>
      </c>
      <c r="Q766" s="24" t="s">
        <v>58</v>
      </c>
      <c r="R766" s="24" t="s">
        <v>56</v>
      </c>
      <c r="S766" s="24" t="s">
        <v>105</v>
      </c>
      <c r="T766" s="24" t="s">
        <v>106</v>
      </c>
      <c r="U766" s="24" t="s">
        <v>128</v>
      </c>
      <c r="V766" s="24" t="s">
        <v>77</v>
      </c>
      <c r="W766" s="24" t="s">
        <v>116</v>
      </c>
      <c r="X766" s="24" t="s">
        <v>129</v>
      </c>
      <c r="Y766" s="24" t="s">
        <v>56</v>
      </c>
      <c r="Z766" s="24" t="s">
        <v>64</v>
      </c>
      <c r="AA766" s="24" t="s">
        <v>912</v>
      </c>
      <c r="AB766" s="24" t="s">
        <v>56</v>
      </c>
      <c r="AC766" s="24" t="s">
        <v>2409</v>
      </c>
    </row>
    <row r="767" spans="1:29">
      <c r="A767" s="30" t="s">
        <v>2410</v>
      </c>
      <c r="B767" s="30" t="str">
        <f>IF(ISNUMBER(SEARCH(E767,A767)),A767,IF(OR(E767="",E767=""),A767,A767&amp;" - "&amp;E767))</f>
        <v>ADREX 18/1 CAN - Delahaze</v>
      </c>
      <c r="C767" s="30" t="s">
        <v>911</v>
      </c>
      <c r="D767" s="30" t="s">
        <v>912</v>
      </c>
      <c r="E767" s="30" t="s">
        <v>522</v>
      </c>
      <c r="F767" s="30" t="s">
        <v>69</v>
      </c>
      <c r="G767" s="34">
        <v>18</v>
      </c>
      <c r="H767" s="35">
        <v>1</v>
      </c>
      <c r="I767" s="30"/>
      <c r="J767" s="30"/>
      <c r="K767" s="30" t="s">
        <v>17</v>
      </c>
      <c r="L767" s="30" t="s">
        <v>53</v>
      </c>
      <c r="M767" s="30" t="s">
        <v>54</v>
      </c>
      <c r="N767" s="30" t="s">
        <v>111</v>
      </c>
      <c r="O767" s="30" t="s">
        <v>88</v>
      </c>
      <c r="P767" s="30" t="s">
        <v>75</v>
      </c>
      <c r="Q767" s="30" t="s">
        <v>58</v>
      </c>
      <c r="R767" s="30" t="s">
        <v>56</v>
      </c>
      <c r="S767" s="30" t="s">
        <v>90</v>
      </c>
      <c r="T767" s="30" t="s">
        <v>115</v>
      </c>
      <c r="U767" s="30" t="s">
        <v>128</v>
      </c>
      <c r="V767" s="30" t="s">
        <v>173</v>
      </c>
      <c r="W767" s="30" t="s">
        <v>56</v>
      </c>
      <c r="X767" s="30" t="s">
        <v>56</v>
      </c>
      <c r="Y767" s="30" t="s">
        <v>56</v>
      </c>
      <c r="Z767" s="30" t="s">
        <v>64</v>
      </c>
      <c r="AA767" s="30" t="s">
        <v>912</v>
      </c>
      <c r="AB767" s="30" t="s">
        <v>56</v>
      </c>
      <c r="AC767" s="30" t="s">
        <v>2411</v>
      </c>
    </row>
    <row r="768" spans="1:29">
      <c r="A768" s="24" t="s">
        <v>2412</v>
      </c>
      <c r="B768" s="24" t="str">
        <f>IF(ISNUMBER(SEARCH(E768,A768)),A768,IF(OR(E768="",E768=""),A768,A768&amp;" - "&amp;E768))</f>
        <v>ADREX 19/1 CAN - Gorilla Glue</v>
      </c>
      <c r="C768" s="24" t="s">
        <v>911</v>
      </c>
      <c r="D768" s="24" t="s">
        <v>912</v>
      </c>
      <c r="E768" s="24" t="s">
        <v>363</v>
      </c>
      <c r="F768" s="24" t="s">
        <v>86</v>
      </c>
      <c r="G768" s="27">
        <v>19</v>
      </c>
      <c r="H768" s="28">
        <v>1</v>
      </c>
      <c r="I768" s="24"/>
      <c r="J768" s="24"/>
      <c r="K768" s="24" t="s">
        <v>17</v>
      </c>
      <c r="L768" s="24" t="s">
        <v>53</v>
      </c>
      <c r="M768" s="24" t="s">
        <v>103</v>
      </c>
      <c r="N768" s="24" t="s">
        <v>121</v>
      </c>
      <c r="O768" s="24" t="s">
        <v>72</v>
      </c>
      <c r="P768" s="24" t="s">
        <v>146</v>
      </c>
      <c r="Q768" s="24" t="s">
        <v>74</v>
      </c>
      <c r="R768" s="24" t="s">
        <v>59</v>
      </c>
      <c r="S768" s="24" t="s">
        <v>91</v>
      </c>
      <c r="T768" s="24" t="s">
        <v>61</v>
      </c>
      <c r="U768" s="24" t="s">
        <v>128</v>
      </c>
      <c r="V768" s="24" t="s">
        <v>257</v>
      </c>
      <c r="W768" s="24" t="s">
        <v>252</v>
      </c>
      <c r="X768" s="24" t="s">
        <v>77</v>
      </c>
      <c r="Y768" s="24" t="s">
        <v>56</v>
      </c>
      <c r="Z768" s="24" t="s">
        <v>64</v>
      </c>
      <c r="AA768" s="24" t="s">
        <v>912</v>
      </c>
      <c r="AB768" s="24" t="s">
        <v>56</v>
      </c>
      <c r="AC768" s="24" t="s">
        <v>2413</v>
      </c>
    </row>
    <row r="769" spans="1:29">
      <c r="A769" s="30" t="s">
        <v>2414</v>
      </c>
      <c r="B769" s="30" t="str">
        <f>IF(ISNUMBER(SEARCH(E769,A769)),A769,IF(OR(E769="",E769=""),A769,A769&amp;" - "&amp;E769))</f>
        <v>ADREX 20/1 CAN - Delahaze</v>
      </c>
      <c r="C769" s="30" t="s">
        <v>911</v>
      </c>
      <c r="D769" s="30" t="s">
        <v>912</v>
      </c>
      <c r="E769" s="30" t="s">
        <v>522</v>
      </c>
      <c r="F769" s="30" t="s">
        <v>69</v>
      </c>
      <c r="G769" s="34">
        <v>20</v>
      </c>
      <c r="H769" s="35">
        <v>1</v>
      </c>
      <c r="I769" s="30"/>
      <c r="J769" s="30"/>
      <c r="K769" s="30" t="s">
        <v>17</v>
      </c>
      <c r="L769" s="30" t="s">
        <v>53</v>
      </c>
      <c r="M769" s="30" t="s">
        <v>54</v>
      </c>
      <c r="N769" s="30" t="s">
        <v>111</v>
      </c>
      <c r="O769" s="30" t="s">
        <v>88</v>
      </c>
      <c r="P769" s="30" t="s">
        <v>75</v>
      </c>
      <c r="Q769" s="30" t="s">
        <v>58</v>
      </c>
      <c r="R769" s="30" t="s">
        <v>56</v>
      </c>
      <c r="S769" s="30" t="s">
        <v>90</v>
      </c>
      <c r="T769" s="30" t="s">
        <v>147</v>
      </c>
      <c r="U769" s="30" t="s">
        <v>106</v>
      </c>
      <c r="V769" s="30" t="s">
        <v>173</v>
      </c>
      <c r="W769" s="30" t="s">
        <v>56</v>
      </c>
      <c r="X769" s="30" t="s">
        <v>56</v>
      </c>
      <c r="Y769" s="30" t="s">
        <v>56</v>
      </c>
      <c r="Z769" s="30" t="s">
        <v>64</v>
      </c>
      <c r="AA769" s="30" t="s">
        <v>912</v>
      </c>
      <c r="AB769" s="30" t="s">
        <v>56</v>
      </c>
      <c r="AC769" s="30" t="s">
        <v>2415</v>
      </c>
    </row>
    <row r="770" spans="1:29">
      <c r="A770" s="24" t="s">
        <v>2416</v>
      </c>
      <c r="B770" s="24" t="str">
        <f>IF(ISNUMBER(SEARCH(E770,A770)),A770,IF(OR(E770="",E770=""),A770,A770&amp;" - "&amp;E770))</f>
        <v>Adrex 20/1 KBN COL - Kali Banana</v>
      </c>
      <c r="C770" s="24" t="s">
        <v>911</v>
      </c>
      <c r="D770" s="24" t="s">
        <v>912</v>
      </c>
      <c r="E770" s="24" t="s">
        <v>2417</v>
      </c>
      <c r="F770" s="24" t="s">
        <v>86</v>
      </c>
      <c r="G770" s="27">
        <v>20</v>
      </c>
      <c r="H770" s="28">
        <v>1</v>
      </c>
      <c r="I770" s="24"/>
      <c r="J770" s="24"/>
      <c r="K770" s="24" t="s">
        <v>52</v>
      </c>
      <c r="L770" s="24" t="s">
        <v>202</v>
      </c>
      <c r="M770" s="24" t="s">
        <v>54</v>
      </c>
      <c r="N770" s="24" t="s">
        <v>111</v>
      </c>
      <c r="O770" s="24" t="s">
        <v>88</v>
      </c>
      <c r="P770" s="24" t="s">
        <v>136</v>
      </c>
      <c r="Q770" s="24" t="s">
        <v>74</v>
      </c>
      <c r="R770" s="24" t="s">
        <v>89</v>
      </c>
      <c r="S770" s="24" t="s">
        <v>105</v>
      </c>
      <c r="T770" s="24" t="s">
        <v>76</v>
      </c>
      <c r="U770" s="24" t="s">
        <v>128</v>
      </c>
      <c r="V770" s="24" t="s">
        <v>77</v>
      </c>
      <c r="W770" s="24" t="s">
        <v>116</v>
      </c>
      <c r="X770" s="24" t="s">
        <v>79</v>
      </c>
      <c r="Y770" s="24" t="s">
        <v>56</v>
      </c>
      <c r="Z770" s="24" t="s">
        <v>64</v>
      </c>
      <c r="AA770" s="24" t="s">
        <v>912</v>
      </c>
      <c r="AB770" s="24" t="s">
        <v>56</v>
      </c>
      <c r="AC770" s="24" t="s">
        <v>2418</v>
      </c>
    </row>
    <row r="771" spans="1:29">
      <c r="A771" s="30" t="s">
        <v>2419</v>
      </c>
      <c r="B771" s="30" t="str">
        <f>IF(ISNUMBER(SEARCH(E771,A771)),A771,IF(OR(E771="",E771=""),A771,A771&amp;" - "&amp;E771))</f>
        <v>ADREX 21/1 CAN - Gorilla Glue</v>
      </c>
      <c r="C771" s="30" t="s">
        <v>911</v>
      </c>
      <c r="D771" s="30" t="s">
        <v>912</v>
      </c>
      <c r="E771" s="30" t="s">
        <v>363</v>
      </c>
      <c r="F771" s="30" t="s">
        <v>86</v>
      </c>
      <c r="G771" s="34">
        <v>21</v>
      </c>
      <c r="H771" s="35">
        <v>1</v>
      </c>
      <c r="I771" s="30"/>
      <c r="J771" s="30"/>
      <c r="K771" s="30" t="s">
        <v>52</v>
      </c>
      <c r="L771" s="30" t="s">
        <v>53</v>
      </c>
      <c r="M771" s="30" t="s">
        <v>103</v>
      </c>
      <c r="N771" s="30" t="s">
        <v>121</v>
      </c>
      <c r="O771" s="30" t="s">
        <v>72</v>
      </c>
      <c r="P771" s="30" t="s">
        <v>146</v>
      </c>
      <c r="Q771" s="30" t="s">
        <v>74</v>
      </c>
      <c r="R771" s="30" t="s">
        <v>59</v>
      </c>
      <c r="S771" s="30" t="s">
        <v>105</v>
      </c>
      <c r="T771" s="30" t="s">
        <v>147</v>
      </c>
      <c r="U771" s="30" t="s">
        <v>203</v>
      </c>
      <c r="V771" s="30" t="s">
        <v>257</v>
      </c>
      <c r="W771" s="30" t="s">
        <v>252</v>
      </c>
      <c r="X771" s="30" t="s">
        <v>77</v>
      </c>
      <c r="Y771" s="30" t="s">
        <v>56</v>
      </c>
      <c r="Z771" s="30" t="s">
        <v>64</v>
      </c>
      <c r="AA771" s="30" t="s">
        <v>912</v>
      </c>
      <c r="AB771" s="30" t="s">
        <v>56</v>
      </c>
      <c r="AC771" s="30" t="s">
        <v>2420</v>
      </c>
    </row>
    <row r="772" spans="1:29">
      <c r="A772" s="24" t="s">
        <v>2421</v>
      </c>
      <c r="B772" s="24" t="str">
        <f>IF(ISNUMBER(SEARCH(E772,A772)),A772,IF(OR(E772="",E772=""),A772,A772&amp;" - "&amp;E772))</f>
        <v>ADREX 22 GZ COL - Gelato Zkittles</v>
      </c>
      <c r="C772" s="24" t="s">
        <v>911</v>
      </c>
      <c r="D772" s="24" t="s">
        <v>912</v>
      </c>
      <c r="E772" s="24" t="s">
        <v>2422</v>
      </c>
      <c r="F772" s="24" t="s">
        <v>86</v>
      </c>
      <c r="G772" s="27">
        <v>22</v>
      </c>
      <c r="H772" s="28">
        <v>1</v>
      </c>
      <c r="I772" s="24"/>
      <c r="J772" s="24"/>
      <c r="K772" s="24" t="s">
        <v>52</v>
      </c>
      <c r="L772" s="24" t="s">
        <v>202</v>
      </c>
      <c r="M772" s="24" t="s">
        <v>55</v>
      </c>
      <c r="N772" s="24" t="s">
        <v>72</v>
      </c>
      <c r="O772" s="24" t="s">
        <v>56</v>
      </c>
      <c r="P772" s="24" t="s">
        <v>89</v>
      </c>
      <c r="Q772" s="24" t="s">
        <v>58</v>
      </c>
      <c r="R772" s="24" t="s">
        <v>59</v>
      </c>
      <c r="S772" s="24" t="s">
        <v>147</v>
      </c>
      <c r="T772" s="24" t="s">
        <v>123</v>
      </c>
      <c r="U772" s="24" t="s">
        <v>106</v>
      </c>
      <c r="V772" s="24" t="s">
        <v>92</v>
      </c>
      <c r="W772" s="24" t="s">
        <v>77</v>
      </c>
      <c r="X772" s="24" t="s">
        <v>107</v>
      </c>
      <c r="Y772" s="24" t="s">
        <v>56</v>
      </c>
      <c r="Z772" s="24" t="s">
        <v>64</v>
      </c>
      <c r="AA772" s="24" t="s">
        <v>912</v>
      </c>
      <c r="AB772" s="24" t="s">
        <v>56</v>
      </c>
      <c r="AC772" s="24" t="s">
        <v>2423</v>
      </c>
    </row>
    <row r="773" spans="1:29">
      <c r="A773" s="30" t="s">
        <v>2424</v>
      </c>
      <c r="B773" s="30" t="str">
        <f>IF(ISNUMBER(SEARCH(E773,A773)),A773,IF(OR(E773="",E773=""),A773,A773&amp;" - "&amp;E773))</f>
        <v>ADREX 22/1 CAN - Gorilla Glue</v>
      </c>
      <c r="C773" s="30" t="s">
        <v>911</v>
      </c>
      <c r="D773" s="30" t="s">
        <v>912</v>
      </c>
      <c r="E773" s="30" t="s">
        <v>363</v>
      </c>
      <c r="F773" s="30" t="s">
        <v>86</v>
      </c>
      <c r="G773" s="34">
        <v>22</v>
      </c>
      <c r="H773" s="35">
        <v>1</v>
      </c>
      <c r="I773" s="30"/>
      <c r="J773" s="30"/>
      <c r="K773" s="30" t="s">
        <v>52</v>
      </c>
      <c r="L773" s="30" t="s">
        <v>53</v>
      </c>
      <c r="M773" s="30" t="s">
        <v>103</v>
      </c>
      <c r="N773" s="30" t="s">
        <v>121</v>
      </c>
      <c r="O773" s="30" t="s">
        <v>72</v>
      </c>
      <c r="P773" s="30" t="s">
        <v>146</v>
      </c>
      <c r="Q773" s="30" t="s">
        <v>74</v>
      </c>
      <c r="R773" s="30" t="s">
        <v>59</v>
      </c>
      <c r="S773" s="30" t="s">
        <v>91</v>
      </c>
      <c r="T773" s="30" t="s">
        <v>61</v>
      </c>
      <c r="U773" s="30" t="s">
        <v>128</v>
      </c>
      <c r="V773" s="30" t="s">
        <v>257</v>
      </c>
      <c r="W773" s="30" t="s">
        <v>252</v>
      </c>
      <c r="X773" s="30" t="s">
        <v>77</v>
      </c>
      <c r="Y773" s="30" t="s">
        <v>56</v>
      </c>
      <c r="Z773" s="30" t="s">
        <v>64</v>
      </c>
      <c r="AA773" s="30" t="s">
        <v>912</v>
      </c>
      <c r="AB773" s="30" t="s">
        <v>56</v>
      </c>
      <c r="AC773" s="30" t="s">
        <v>2425</v>
      </c>
    </row>
    <row r="774" spans="1:29">
      <c r="A774" s="24" t="s">
        <v>2426</v>
      </c>
      <c r="B774" s="24" t="str">
        <f>IF(ISNUMBER(SEARCH(E774,A774)),A774,IF(OR(E774="",E774=""),A774,A774&amp;" - "&amp;E774))</f>
        <v>ADREX 24/1 AK COL - Arequipe Kush</v>
      </c>
      <c r="C774" s="24" t="s">
        <v>911</v>
      </c>
      <c r="D774" s="24" t="s">
        <v>912</v>
      </c>
      <c r="E774" s="24" t="s">
        <v>2427</v>
      </c>
      <c r="F774" s="24" t="s">
        <v>86</v>
      </c>
      <c r="G774" s="27">
        <v>24</v>
      </c>
      <c r="H774" s="28">
        <v>1</v>
      </c>
      <c r="I774" s="24"/>
      <c r="J774" s="24"/>
      <c r="K774" s="24" t="s">
        <v>52</v>
      </c>
      <c r="L774" s="24" t="s">
        <v>202</v>
      </c>
      <c r="M774" s="24" t="s">
        <v>71</v>
      </c>
      <c r="N774" s="24" t="s">
        <v>72</v>
      </c>
      <c r="O774" s="24" t="s">
        <v>56</v>
      </c>
      <c r="P774" s="24" t="s">
        <v>74</v>
      </c>
      <c r="Q774" s="24" t="s">
        <v>89</v>
      </c>
      <c r="R774" s="24" t="s">
        <v>59</v>
      </c>
      <c r="S774" s="24" t="s">
        <v>106</v>
      </c>
      <c r="T774" s="24" t="s">
        <v>179</v>
      </c>
      <c r="U774" s="24" t="s">
        <v>56</v>
      </c>
      <c r="V774" s="24" t="s">
        <v>77</v>
      </c>
      <c r="W774" s="24" t="s">
        <v>116</v>
      </c>
      <c r="X774" s="24" t="s">
        <v>2428</v>
      </c>
      <c r="Y774" s="24" t="s">
        <v>56</v>
      </c>
      <c r="Z774" s="24" t="s">
        <v>64</v>
      </c>
      <c r="AA774" s="24" t="s">
        <v>912</v>
      </c>
      <c r="AB774" s="24" t="s">
        <v>56</v>
      </c>
      <c r="AC774" s="37" t="s">
        <v>2429</v>
      </c>
    </row>
    <row r="775" spans="1:29">
      <c r="A775" s="30" t="s">
        <v>2430</v>
      </c>
      <c r="B775" s="30" t="str">
        <f>IF(ISNUMBER(SEARCH(E775,A775)),A775,IF(OR(E775="",E775=""),A775,A775&amp;" - "&amp;E775))</f>
        <v>ADREX 24/1 CAN - Gorilla Glue</v>
      </c>
      <c r="C775" s="30" t="s">
        <v>911</v>
      </c>
      <c r="D775" s="30" t="s">
        <v>912</v>
      </c>
      <c r="E775" s="30" t="s">
        <v>363</v>
      </c>
      <c r="F775" s="30" t="s">
        <v>86</v>
      </c>
      <c r="G775" s="34">
        <v>24</v>
      </c>
      <c r="H775" s="35">
        <v>1</v>
      </c>
      <c r="I775" s="30"/>
      <c r="J775" s="30"/>
      <c r="K775" s="30" t="s">
        <v>52</v>
      </c>
      <c r="L775" s="30" t="s">
        <v>53</v>
      </c>
      <c r="M775" s="30" t="s">
        <v>103</v>
      </c>
      <c r="N775" s="30" t="s">
        <v>121</v>
      </c>
      <c r="O775" s="30" t="s">
        <v>72</v>
      </c>
      <c r="P775" s="30" t="s">
        <v>146</v>
      </c>
      <c r="Q775" s="30" t="s">
        <v>74</v>
      </c>
      <c r="R775" s="30" t="s">
        <v>59</v>
      </c>
      <c r="S775" s="30" t="s">
        <v>91</v>
      </c>
      <c r="T775" s="30" t="s">
        <v>61</v>
      </c>
      <c r="U775" s="30" t="s">
        <v>128</v>
      </c>
      <c r="V775" s="30" t="s">
        <v>257</v>
      </c>
      <c r="W775" s="30" t="s">
        <v>252</v>
      </c>
      <c r="X775" s="30" t="s">
        <v>77</v>
      </c>
      <c r="Y775" s="30" t="s">
        <v>56</v>
      </c>
      <c r="Z775" s="30" t="s">
        <v>64</v>
      </c>
      <c r="AA775" s="30" t="s">
        <v>912</v>
      </c>
      <c r="AB775" s="30" t="s">
        <v>56</v>
      </c>
      <c r="AC775" s="30" t="s">
        <v>2431</v>
      </c>
    </row>
    <row r="776" spans="1:29">
      <c r="A776" s="24" t="s">
        <v>2430</v>
      </c>
      <c r="B776" s="24" t="str">
        <f>IF(ISNUMBER(SEARCH(E776,A776)),A776,IF(OR(E776="",E776=""),A776,A776&amp;" - "&amp;E776))</f>
        <v>ADREX 24/1 CAN - Vanilla Cake</v>
      </c>
      <c r="C776" s="24" t="s">
        <v>911</v>
      </c>
      <c r="D776" s="24" t="s">
        <v>912</v>
      </c>
      <c r="E776" s="24" t="s">
        <v>2432</v>
      </c>
      <c r="F776" s="24" t="s">
        <v>120</v>
      </c>
      <c r="G776" s="27">
        <v>24</v>
      </c>
      <c r="H776" s="28">
        <v>1</v>
      </c>
      <c r="I776" s="24"/>
      <c r="J776" s="24"/>
      <c r="K776" s="24" t="s">
        <v>52</v>
      </c>
      <c r="L776" s="24" t="s">
        <v>53</v>
      </c>
      <c r="M776" s="24" t="s">
        <v>156</v>
      </c>
      <c r="N776" s="24" t="s">
        <v>88</v>
      </c>
      <c r="O776" s="24" t="s">
        <v>103</v>
      </c>
      <c r="P776" s="24" t="s">
        <v>57</v>
      </c>
      <c r="Q776" s="24" t="s">
        <v>58</v>
      </c>
      <c r="R776" s="24" t="s">
        <v>56</v>
      </c>
      <c r="S776" s="24" t="s">
        <v>90</v>
      </c>
      <c r="T776" s="24" t="s">
        <v>192</v>
      </c>
      <c r="U776" s="24" t="s">
        <v>62</v>
      </c>
      <c r="V776" s="24" t="s">
        <v>116</v>
      </c>
      <c r="W776" s="24" t="s">
        <v>93</v>
      </c>
      <c r="X776" s="24" t="s">
        <v>56</v>
      </c>
      <c r="Y776" s="24" t="s">
        <v>56</v>
      </c>
      <c r="Z776" s="24" t="s">
        <v>64</v>
      </c>
      <c r="AA776" s="24" t="s">
        <v>912</v>
      </c>
      <c r="AB776" s="24" t="s">
        <v>56</v>
      </c>
      <c r="AC776" s="24" t="s">
        <v>2433</v>
      </c>
    </row>
    <row r="777" spans="1:29">
      <c r="A777" s="30" t="s">
        <v>2434</v>
      </c>
      <c r="B777" s="30" t="str">
        <f>IF(ISNUMBER(SEARCH(E777,A777)),A777,IF(OR(E777="",E777=""),A777,A777&amp;" - "&amp;E777))</f>
        <v>ADREX 24/1 SK CAN - Sour Kush</v>
      </c>
      <c r="C777" s="30" t="s">
        <v>911</v>
      </c>
      <c r="D777" s="30" t="s">
        <v>912</v>
      </c>
      <c r="E777" s="30" t="s">
        <v>490</v>
      </c>
      <c r="F777" s="30" t="s">
        <v>86</v>
      </c>
      <c r="G777" s="34">
        <v>24</v>
      </c>
      <c r="H777" s="35">
        <v>1</v>
      </c>
      <c r="I777" s="30"/>
      <c r="J777" s="30"/>
      <c r="K777" s="30" t="s">
        <v>52</v>
      </c>
      <c r="L777" s="30" t="s">
        <v>53</v>
      </c>
      <c r="M777" s="30" t="s">
        <v>212</v>
      </c>
      <c r="N777" s="30" t="s">
        <v>88</v>
      </c>
      <c r="O777" s="30" t="s">
        <v>71</v>
      </c>
      <c r="P777" s="30" t="s">
        <v>73</v>
      </c>
      <c r="Q777" s="30" t="s">
        <v>75</v>
      </c>
      <c r="R777" s="30" t="s">
        <v>89</v>
      </c>
      <c r="S777" s="30" t="s">
        <v>90</v>
      </c>
      <c r="T777" s="30" t="s">
        <v>123</v>
      </c>
      <c r="U777" s="30" t="s">
        <v>91</v>
      </c>
      <c r="V777" s="30" t="s">
        <v>77</v>
      </c>
      <c r="W777" s="30" t="s">
        <v>116</v>
      </c>
      <c r="X777" s="30" t="s">
        <v>253</v>
      </c>
      <c r="Y777" s="30" t="s">
        <v>56</v>
      </c>
      <c r="Z777" s="30" t="s">
        <v>64</v>
      </c>
      <c r="AA777" s="30" t="s">
        <v>912</v>
      </c>
      <c r="AB777" s="30" t="s">
        <v>56</v>
      </c>
      <c r="AC777" s="30" t="s">
        <v>2435</v>
      </c>
    </row>
    <row r="778" spans="1:29">
      <c r="A778" s="24" t="s">
        <v>2436</v>
      </c>
      <c r="B778" s="24" t="str">
        <f>IF(ISNUMBER(SEARCH(E778,A778)),A778,IF(OR(E778="",E778=""),A778,A778&amp;" - "&amp;E778))</f>
        <v>ADREX 25/1 CAN - 8 Ball Kush</v>
      </c>
      <c r="C778" s="24" t="s">
        <v>911</v>
      </c>
      <c r="D778" s="24" t="s">
        <v>912</v>
      </c>
      <c r="E778" s="24" t="s">
        <v>1802</v>
      </c>
      <c r="F778" s="24" t="s">
        <v>86</v>
      </c>
      <c r="G778" s="27">
        <v>25</v>
      </c>
      <c r="H778" s="28">
        <v>1</v>
      </c>
      <c r="I778" s="24"/>
      <c r="J778" s="24"/>
      <c r="K778" s="24" t="s">
        <v>52</v>
      </c>
      <c r="L778" s="24" t="s">
        <v>53</v>
      </c>
      <c r="M778" s="24" t="s">
        <v>88</v>
      </c>
      <c r="N778" s="24" t="s">
        <v>103</v>
      </c>
      <c r="O778" s="24" t="s">
        <v>178</v>
      </c>
      <c r="P778" s="24" t="s">
        <v>146</v>
      </c>
      <c r="Q778" s="24" t="s">
        <v>112</v>
      </c>
      <c r="R778" s="24" t="s">
        <v>75</v>
      </c>
      <c r="S778" s="24" t="s">
        <v>123</v>
      </c>
      <c r="T778" s="24" t="s">
        <v>106</v>
      </c>
      <c r="U778" s="24" t="s">
        <v>91</v>
      </c>
      <c r="V778" s="24" t="s">
        <v>77</v>
      </c>
      <c r="W778" s="24" t="s">
        <v>56</v>
      </c>
      <c r="X778" s="24" t="s">
        <v>56</v>
      </c>
      <c r="Y778" s="24" t="s">
        <v>56</v>
      </c>
      <c r="Z778" s="24" t="s">
        <v>64</v>
      </c>
      <c r="AA778" s="24" t="s">
        <v>912</v>
      </c>
      <c r="AB778" s="24" t="s">
        <v>56</v>
      </c>
      <c r="AC778" s="24" t="s">
        <v>2437</v>
      </c>
    </row>
    <row r="779" spans="1:29">
      <c r="A779" s="30" t="s">
        <v>2438</v>
      </c>
      <c r="B779" s="30" t="str">
        <f>IF(ISNUMBER(SEARCH(E779,A779)),A779,IF(OR(E779="",E779=""),A779,A779&amp;" - "&amp;E779))</f>
        <v>ADREX 25/1 WM COL - Octagon Kush</v>
      </c>
      <c r="C779" s="30" t="s">
        <v>911</v>
      </c>
      <c r="D779" s="30" t="s">
        <v>912</v>
      </c>
      <c r="E779" s="30" t="s">
        <v>990</v>
      </c>
      <c r="F779" s="30" t="s">
        <v>86</v>
      </c>
      <c r="G779" s="34">
        <v>25</v>
      </c>
      <c r="H779" s="35">
        <v>1</v>
      </c>
      <c r="I779" s="30"/>
      <c r="J779" s="30"/>
      <c r="K779" s="30" t="s">
        <v>52</v>
      </c>
      <c r="L779" s="30" t="s">
        <v>202</v>
      </c>
      <c r="M779" s="30" t="s">
        <v>111</v>
      </c>
      <c r="N779" s="30" t="s">
        <v>88</v>
      </c>
      <c r="O779" s="30" t="s">
        <v>55</v>
      </c>
      <c r="P779" s="30" t="s">
        <v>73</v>
      </c>
      <c r="Q779" s="30" t="s">
        <v>157</v>
      </c>
      <c r="R779" s="30" t="s">
        <v>74</v>
      </c>
      <c r="S779" s="30" t="s">
        <v>147</v>
      </c>
      <c r="T779" s="30" t="s">
        <v>106</v>
      </c>
      <c r="U779" s="30" t="s">
        <v>62</v>
      </c>
      <c r="V779" s="30" t="s">
        <v>77</v>
      </c>
      <c r="W779" s="30" t="s">
        <v>180</v>
      </c>
      <c r="X779" s="30" t="s">
        <v>79</v>
      </c>
      <c r="Y779" s="30" t="s">
        <v>56</v>
      </c>
      <c r="Z779" s="30" t="s">
        <v>64</v>
      </c>
      <c r="AA779" s="30" t="s">
        <v>912</v>
      </c>
      <c r="AB779" s="30" t="s">
        <v>56</v>
      </c>
      <c r="AC779" s="30" t="s">
        <v>2439</v>
      </c>
    </row>
    <row r="780" spans="1:29">
      <c r="A780" s="24" t="s">
        <v>2440</v>
      </c>
      <c r="B780" s="24" t="str">
        <f>IF(ISNUMBER(SEARCH(E780,A780)),A780,IF(OR(E780="",E780=""),A780,A780&amp;" - "&amp;E780))</f>
        <v>ADREX 26/1 SK CAN - Sour Kush</v>
      </c>
      <c r="C780" s="24" t="s">
        <v>911</v>
      </c>
      <c r="D780" s="24" t="s">
        <v>912</v>
      </c>
      <c r="E780" s="24" t="s">
        <v>490</v>
      </c>
      <c r="F780" s="24" t="s">
        <v>86</v>
      </c>
      <c r="G780" s="27">
        <v>26</v>
      </c>
      <c r="H780" s="28">
        <v>1</v>
      </c>
      <c r="I780" s="24"/>
      <c r="J780" s="24"/>
      <c r="K780" s="24" t="s">
        <v>52</v>
      </c>
      <c r="L780" s="24" t="s">
        <v>53</v>
      </c>
      <c r="M780" s="24" t="s">
        <v>212</v>
      </c>
      <c r="N780" s="24" t="s">
        <v>88</v>
      </c>
      <c r="O780" s="24" t="s">
        <v>71</v>
      </c>
      <c r="P780" s="24" t="s">
        <v>73</v>
      </c>
      <c r="Q780" s="24" t="s">
        <v>75</v>
      </c>
      <c r="R780" s="24" t="s">
        <v>89</v>
      </c>
      <c r="S780" s="24" t="s">
        <v>90</v>
      </c>
      <c r="T780" s="24" t="s">
        <v>123</v>
      </c>
      <c r="U780" s="24" t="s">
        <v>91</v>
      </c>
      <c r="V780" s="24" t="s">
        <v>77</v>
      </c>
      <c r="W780" s="24" t="s">
        <v>116</v>
      </c>
      <c r="X780" s="24" t="s">
        <v>253</v>
      </c>
      <c r="Y780" s="24" t="s">
        <v>56</v>
      </c>
      <c r="Z780" s="24" t="s">
        <v>64</v>
      </c>
      <c r="AA780" s="24" t="s">
        <v>912</v>
      </c>
      <c r="AB780" s="24" t="s">
        <v>56</v>
      </c>
      <c r="AC780" s="24" t="s">
        <v>2441</v>
      </c>
    </row>
    <row r="781" spans="1:29">
      <c r="A781" s="30" t="s">
        <v>2442</v>
      </c>
      <c r="B781" s="30" t="str">
        <f>IF(ISNUMBER(SEARCH(E781,A781)),A781,IF(OR(E781="",E781=""),A781,A781&amp;" - "&amp;E781))</f>
        <v>ADREX 29/1 SCP CAN - Space Cake</v>
      </c>
      <c r="C781" s="30" t="s">
        <v>911</v>
      </c>
      <c r="D781" s="30" t="s">
        <v>912</v>
      </c>
      <c r="E781" s="30" t="s">
        <v>722</v>
      </c>
      <c r="F781" s="30" t="s">
        <v>86</v>
      </c>
      <c r="G781" s="34">
        <v>29</v>
      </c>
      <c r="H781" s="35">
        <v>1</v>
      </c>
      <c r="I781" s="30"/>
      <c r="J781" s="30"/>
      <c r="K781" s="30" t="s">
        <v>52</v>
      </c>
      <c r="L781" s="30" t="s">
        <v>53</v>
      </c>
      <c r="M781" s="30" t="s">
        <v>54</v>
      </c>
      <c r="N781" s="30" t="s">
        <v>212</v>
      </c>
      <c r="O781" s="30" t="s">
        <v>55</v>
      </c>
      <c r="P781" s="30" t="s">
        <v>57</v>
      </c>
      <c r="Q781" s="30" t="s">
        <v>74</v>
      </c>
      <c r="R781" s="30" t="s">
        <v>59</v>
      </c>
      <c r="S781" s="30" t="s">
        <v>147</v>
      </c>
      <c r="T781" s="30" t="s">
        <v>106</v>
      </c>
      <c r="U781" s="30" t="s">
        <v>62</v>
      </c>
      <c r="V781" s="30" t="s">
        <v>77</v>
      </c>
      <c r="W781" s="30" t="s">
        <v>79</v>
      </c>
      <c r="X781" s="30" t="s">
        <v>107</v>
      </c>
      <c r="Y781" s="30" t="s">
        <v>56</v>
      </c>
      <c r="Z781" s="30" t="s">
        <v>64</v>
      </c>
      <c r="AA781" s="30" t="s">
        <v>912</v>
      </c>
      <c r="AB781" s="30" t="s">
        <v>56</v>
      </c>
      <c r="AC781" s="30" t="s">
        <v>2443</v>
      </c>
    </row>
    <row r="782" spans="1:29">
      <c r="A782" s="24" t="s">
        <v>2444</v>
      </c>
      <c r="B782" s="24" t="str">
        <f>IF(ISNUMBER(SEARCH(E782,A782)),A782,IF(OR(E782="",E782=""),A782,A782&amp;" - "&amp;E782))</f>
        <v>ADREX 30/1 AK COL - Arequipe Kush</v>
      </c>
      <c r="C782" s="24" t="s">
        <v>911</v>
      </c>
      <c r="D782" s="24" t="s">
        <v>912</v>
      </c>
      <c r="E782" s="24" t="s">
        <v>2427</v>
      </c>
      <c r="F782" s="24" t="s">
        <v>86</v>
      </c>
      <c r="G782" s="27">
        <v>30</v>
      </c>
      <c r="H782" s="28">
        <v>1</v>
      </c>
      <c r="I782" s="24"/>
      <c r="J782" s="24"/>
      <c r="K782" s="24" t="s">
        <v>52</v>
      </c>
      <c r="L782" s="24" t="s">
        <v>202</v>
      </c>
      <c r="M782" s="24" t="s">
        <v>71</v>
      </c>
      <c r="N782" s="24" t="s">
        <v>72</v>
      </c>
      <c r="O782" s="24" t="s">
        <v>56</v>
      </c>
      <c r="P782" s="24" t="s">
        <v>74</v>
      </c>
      <c r="Q782" s="24" t="s">
        <v>89</v>
      </c>
      <c r="R782" s="24" t="s">
        <v>59</v>
      </c>
      <c r="S782" s="24" t="s">
        <v>90</v>
      </c>
      <c r="T782" s="24" t="s">
        <v>123</v>
      </c>
      <c r="U782" s="24" t="s">
        <v>106</v>
      </c>
      <c r="V782" s="24" t="s">
        <v>77</v>
      </c>
      <c r="W782" s="24" t="s">
        <v>116</v>
      </c>
      <c r="X782" s="24" t="s">
        <v>2428</v>
      </c>
      <c r="Y782" s="24" t="s">
        <v>56</v>
      </c>
      <c r="Z782" s="24" t="s">
        <v>64</v>
      </c>
      <c r="AA782" s="24" t="s">
        <v>912</v>
      </c>
      <c r="AB782" s="24" t="s">
        <v>56</v>
      </c>
      <c r="AC782" s="24" t="s">
        <v>2445</v>
      </c>
    </row>
    <row r="783" spans="1:29">
      <c r="A783" s="30" t="s">
        <v>2446</v>
      </c>
      <c r="B783" s="30" t="str">
        <f>IF(ISNUMBER(SEARCH(E783,A783)),A783,IF(OR(E783="",E783=""),A783,A783&amp;" - "&amp;E783))</f>
        <v>ADREX 30/1 CAN - 8 Ball Kush</v>
      </c>
      <c r="C783" s="30" t="s">
        <v>911</v>
      </c>
      <c r="D783" s="30" t="s">
        <v>912</v>
      </c>
      <c r="E783" s="30" t="s">
        <v>1802</v>
      </c>
      <c r="F783" s="30" t="s">
        <v>86</v>
      </c>
      <c r="G783" s="34">
        <v>30</v>
      </c>
      <c r="H783" s="35">
        <v>1</v>
      </c>
      <c r="I783" s="30"/>
      <c r="J783" s="30"/>
      <c r="K783" s="30" t="s">
        <v>52</v>
      </c>
      <c r="L783" s="30" t="s">
        <v>53</v>
      </c>
      <c r="M783" s="30" t="s">
        <v>88</v>
      </c>
      <c r="N783" s="30" t="s">
        <v>103</v>
      </c>
      <c r="O783" s="30" t="s">
        <v>178</v>
      </c>
      <c r="P783" s="30" t="s">
        <v>146</v>
      </c>
      <c r="Q783" s="30" t="s">
        <v>112</v>
      </c>
      <c r="R783" s="30" t="s">
        <v>75</v>
      </c>
      <c r="S783" s="30" t="s">
        <v>123</v>
      </c>
      <c r="T783" s="30" t="s">
        <v>106</v>
      </c>
      <c r="U783" s="30" t="s">
        <v>91</v>
      </c>
      <c r="V783" s="30" t="s">
        <v>77</v>
      </c>
      <c r="W783" s="30" t="s">
        <v>56</v>
      </c>
      <c r="X783" s="30" t="s">
        <v>56</v>
      </c>
      <c r="Y783" s="30" t="s">
        <v>56</v>
      </c>
      <c r="Z783" s="30" t="s">
        <v>64</v>
      </c>
      <c r="AA783" s="30" t="s">
        <v>912</v>
      </c>
      <c r="AB783" s="30" t="s">
        <v>56</v>
      </c>
      <c r="AC783" s="30" t="s">
        <v>2447</v>
      </c>
    </row>
    <row r="784" spans="1:29">
      <c r="A784" s="24" t="s">
        <v>2448</v>
      </c>
      <c r="B784" s="24" t="str">
        <f>IF(ISNUMBER(SEARCH(E784,A784)),A784,IF(OR(E784="",E784=""),A784,A784&amp;" - "&amp;E784))</f>
        <v>ADREX Mother 26 GF CAN - Garlic Funk</v>
      </c>
      <c r="C784" s="24" t="s">
        <v>911</v>
      </c>
      <c r="D784" s="24" t="s">
        <v>912</v>
      </c>
      <c r="E784" s="24" t="s">
        <v>1475</v>
      </c>
      <c r="F784" s="24" t="s">
        <v>86</v>
      </c>
      <c r="G784" s="27">
        <v>26</v>
      </c>
      <c r="H784" s="28">
        <v>1</v>
      </c>
      <c r="I784" s="24"/>
      <c r="J784" s="24"/>
      <c r="K784" s="24" t="s">
        <v>52</v>
      </c>
      <c r="L784" s="24"/>
      <c r="M784" s="24" t="s">
        <v>212</v>
      </c>
      <c r="N784" s="24" t="s">
        <v>88</v>
      </c>
      <c r="O784" s="24" t="s">
        <v>178</v>
      </c>
      <c r="P784" s="24" t="s">
        <v>73</v>
      </c>
      <c r="Q784" s="24" t="s">
        <v>104</v>
      </c>
      <c r="R784" s="24" t="s">
        <v>89</v>
      </c>
      <c r="S784" s="24" t="s">
        <v>123</v>
      </c>
      <c r="T784" s="24" t="s">
        <v>106</v>
      </c>
      <c r="U784" s="24" t="s">
        <v>62</v>
      </c>
      <c r="V784" s="24" t="s">
        <v>77</v>
      </c>
      <c r="W784" s="24" t="s">
        <v>173</v>
      </c>
      <c r="X784" s="24" t="s">
        <v>711</v>
      </c>
      <c r="Y784" s="24" t="s">
        <v>1885</v>
      </c>
      <c r="Z784" s="24" t="s">
        <v>64</v>
      </c>
      <c r="AA784" s="24" t="s">
        <v>912</v>
      </c>
      <c r="AB784" s="24" t="s">
        <v>56</v>
      </c>
      <c r="AC784" s="24" t="s">
        <v>2449</v>
      </c>
    </row>
    <row r="785" spans="1:29">
      <c r="A785" s="30" t="s">
        <v>2450</v>
      </c>
      <c r="B785" s="30" t="str">
        <f>IF(ISNUMBER(SEARCH(E785,A785)),A785,IF(OR(E785="",E785=""),A785,A785&amp;" - "&amp;E785))</f>
        <v>ADREX Mother 28 GF CAN - Garlic Funk</v>
      </c>
      <c r="C785" s="30" t="s">
        <v>911</v>
      </c>
      <c r="D785" s="30" t="s">
        <v>912</v>
      </c>
      <c r="E785" s="30" t="s">
        <v>1475</v>
      </c>
      <c r="F785" s="30" t="s">
        <v>86</v>
      </c>
      <c r="G785" s="34">
        <v>27</v>
      </c>
      <c r="H785" s="35">
        <v>1</v>
      </c>
      <c r="I785" s="30"/>
      <c r="J785" s="30"/>
      <c r="K785" s="30" t="s">
        <v>52</v>
      </c>
      <c r="L785" s="30"/>
      <c r="M785" s="30" t="s">
        <v>212</v>
      </c>
      <c r="N785" s="30" t="s">
        <v>88</v>
      </c>
      <c r="O785" s="30" t="s">
        <v>178</v>
      </c>
      <c r="P785" s="30" t="s">
        <v>73</v>
      </c>
      <c r="Q785" s="30" t="s">
        <v>104</v>
      </c>
      <c r="R785" s="30" t="s">
        <v>89</v>
      </c>
      <c r="S785" s="30" t="s">
        <v>123</v>
      </c>
      <c r="T785" s="30" t="s">
        <v>106</v>
      </c>
      <c r="U785" s="30" t="s">
        <v>62</v>
      </c>
      <c r="V785" s="30" t="s">
        <v>77</v>
      </c>
      <c r="W785" s="30" t="s">
        <v>173</v>
      </c>
      <c r="X785" s="30" t="s">
        <v>711</v>
      </c>
      <c r="Y785" s="30" t="s">
        <v>1910</v>
      </c>
      <c r="Z785" s="30" t="s">
        <v>64</v>
      </c>
      <c r="AA785" s="30" t="s">
        <v>912</v>
      </c>
      <c r="AB785" s="30" t="s">
        <v>56</v>
      </c>
      <c r="AC785" s="30" t="s">
        <v>2451</v>
      </c>
    </row>
    <row r="786" spans="1:29">
      <c r="A786" s="24" t="s">
        <v>2452</v>
      </c>
      <c r="B786" s="24" t="str">
        <f>IF(ISNUMBER(SEARCH(E786,A786)),A786,IF(OR(E786="",E786=""),A786,A786&amp;" - "&amp;E786))</f>
        <v>aleph air 22/1 - Sour Tangie</v>
      </c>
      <c r="C786" s="24" t="s">
        <v>725</v>
      </c>
      <c r="D786" s="24" t="s">
        <v>726</v>
      </c>
      <c r="E786" s="24" t="s">
        <v>1663</v>
      </c>
      <c r="F786" s="24" t="s">
        <v>144</v>
      </c>
      <c r="G786" s="27">
        <v>22</v>
      </c>
      <c r="H786" s="28">
        <v>1</v>
      </c>
      <c r="I786" s="24"/>
      <c r="J786" s="24"/>
      <c r="K786" s="24" t="s">
        <v>52</v>
      </c>
      <c r="L786" s="24" t="s">
        <v>102</v>
      </c>
      <c r="M786" s="24" t="s">
        <v>54</v>
      </c>
      <c r="N786" s="24" t="s">
        <v>111</v>
      </c>
      <c r="O786" s="24" t="s">
        <v>88</v>
      </c>
      <c r="P786" s="24" t="s">
        <v>75</v>
      </c>
      <c r="Q786" s="24" t="s">
        <v>56</v>
      </c>
      <c r="R786" s="24" t="s">
        <v>56</v>
      </c>
      <c r="S786" s="24" t="s">
        <v>147</v>
      </c>
      <c r="T786" s="24" t="s">
        <v>123</v>
      </c>
      <c r="U786" s="24" t="s">
        <v>76</v>
      </c>
      <c r="V786" s="24" t="s">
        <v>79</v>
      </c>
      <c r="W786" s="24" t="s">
        <v>107</v>
      </c>
      <c r="X786" s="24" t="s">
        <v>711</v>
      </c>
      <c r="Y786" s="24" t="s">
        <v>1762</v>
      </c>
      <c r="Z786" s="24" t="s">
        <v>64</v>
      </c>
      <c r="AA786" s="24" t="s">
        <v>726</v>
      </c>
      <c r="AB786" s="24" t="s">
        <v>56</v>
      </c>
      <c r="AC786" s="24" t="s">
        <v>2453</v>
      </c>
    </row>
    <row r="787" spans="1:29">
      <c r="A787" s="30" t="s">
        <v>2454</v>
      </c>
      <c r="B787" s="30" t="str">
        <f>IF(ISNUMBER(SEARCH(E787,A787)),A787,IF(OR(E787="",E787=""),A787,A787&amp;" - "&amp;E787))</f>
        <v>aleph citrin 25/1 - Mimosa Evo</v>
      </c>
      <c r="C787" s="30" t="s">
        <v>725</v>
      </c>
      <c r="D787" s="30" t="s">
        <v>726</v>
      </c>
      <c r="E787" s="30" t="s">
        <v>734</v>
      </c>
      <c r="F787" s="30" t="s">
        <v>51</v>
      </c>
      <c r="G787" s="34">
        <v>25</v>
      </c>
      <c r="H787" s="35">
        <v>1</v>
      </c>
      <c r="I787" s="30"/>
      <c r="J787" s="30"/>
      <c r="K787" s="30" t="s">
        <v>52</v>
      </c>
      <c r="L787" s="30" t="s">
        <v>497</v>
      </c>
      <c r="M787" s="30" t="s">
        <v>88</v>
      </c>
      <c r="N787" s="30" t="s">
        <v>71</v>
      </c>
      <c r="O787" s="30" t="s">
        <v>55</v>
      </c>
      <c r="P787" s="30" t="s">
        <v>74</v>
      </c>
      <c r="Q787" s="30" t="s">
        <v>75</v>
      </c>
      <c r="R787" s="30" t="s">
        <v>59</v>
      </c>
      <c r="S787" s="30" t="s">
        <v>147</v>
      </c>
      <c r="T787" s="30" t="s">
        <v>91</v>
      </c>
      <c r="U787" s="30" t="s">
        <v>203</v>
      </c>
      <c r="V787" s="30" t="s">
        <v>77</v>
      </c>
      <c r="W787" s="30" t="s">
        <v>79</v>
      </c>
      <c r="X787" s="30" t="s">
        <v>107</v>
      </c>
      <c r="Y787" s="30" t="s">
        <v>56</v>
      </c>
      <c r="Z787" s="30" t="s">
        <v>64</v>
      </c>
      <c r="AA787" s="30" t="s">
        <v>726</v>
      </c>
      <c r="AB787" s="30" t="s">
        <v>56</v>
      </c>
      <c r="AC787" s="30" t="s">
        <v>2455</v>
      </c>
    </row>
    <row r="788" spans="1:29">
      <c r="A788" s="24" t="s">
        <v>2456</v>
      </c>
      <c r="B788" s="24" t="str">
        <f>IF(ISNUMBER(SEARCH(E788,A788)),A788,IF(OR(E788="",E788=""),A788,A788&amp;" - "&amp;E788))</f>
        <v>Alpinolin 20/1 - French Cookies</v>
      </c>
      <c r="C788" s="24" t="s">
        <v>2087</v>
      </c>
      <c r="D788" s="24" t="s">
        <v>2088</v>
      </c>
      <c r="E788" s="24" t="s">
        <v>216</v>
      </c>
      <c r="F788" s="24" t="s">
        <v>86</v>
      </c>
      <c r="G788" s="27">
        <v>20</v>
      </c>
      <c r="H788" s="28">
        <v>1</v>
      </c>
      <c r="I788" s="24"/>
      <c r="J788" s="24"/>
      <c r="K788" s="24" t="s">
        <v>52</v>
      </c>
      <c r="L788" s="24" t="s">
        <v>145</v>
      </c>
      <c r="M788" s="24" t="s">
        <v>54</v>
      </c>
      <c r="N788" s="24" t="s">
        <v>111</v>
      </c>
      <c r="O788" s="24" t="s">
        <v>88</v>
      </c>
      <c r="P788" s="24" t="s">
        <v>104</v>
      </c>
      <c r="Q788" s="24" t="s">
        <v>74</v>
      </c>
      <c r="R788" s="24" t="s">
        <v>58</v>
      </c>
      <c r="S788" s="24" t="s">
        <v>60</v>
      </c>
      <c r="T788" s="24" t="s">
        <v>128</v>
      </c>
      <c r="U788" s="24" t="s">
        <v>62</v>
      </c>
      <c r="V788" s="24" t="s">
        <v>77</v>
      </c>
      <c r="W788" s="24" t="s">
        <v>116</v>
      </c>
      <c r="X788" s="24" t="s">
        <v>165</v>
      </c>
      <c r="Y788" s="24" t="s">
        <v>56</v>
      </c>
      <c r="Z788" s="24" t="s">
        <v>64</v>
      </c>
      <c r="AA788" s="24" t="s">
        <v>2088</v>
      </c>
      <c r="AB788" s="24" t="s">
        <v>56</v>
      </c>
      <c r="AC788" s="24" t="s">
        <v>2457</v>
      </c>
    </row>
    <row r="789" spans="1:29">
      <c r="A789" s="30" t="s">
        <v>2458</v>
      </c>
      <c r="B789" s="30" t="str">
        <f>IF(ISNUMBER(SEARCH(E789,A789)),A789,IF(OR(E789="",E789=""),A789,A789&amp;" - "&amp;E789))</f>
        <v>Alpinolin 22/1 - Strawberry Glue</v>
      </c>
      <c r="C789" s="30" t="s">
        <v>2087</v>
      </c>
      <c r="D789" s="30" t="s">
        <v>2088</v>
      </c>
      <c r="E789" s="30" t="s">
        <v>211</v>
      </c>
      <c r="F789" s="30" t="s">
        <v>86</v>
      </c>
      <c r="G789" s="34">
        <v>22</v>
      </c>
      <c r="H789" s="35">
        <v>1</v>
      </c>
      <c r="I789" s="30"/>
      <c r="J789" s="30"/>
      <c r="K789" s="30" t="s">
        <v>52</v>
      </c>
      <c r="L789" s="30" t="s">
        <v>145</v>
      </c>
      <c r="M789" s="30" t="s">
        <v>156</v>
      </c>
      <c r="N789" s="30" t="s">
        <v>212</v>
      </c>
      <c r="O789" s="30" t="s">
        <v>88</v>
      </c>
      <c r="P789" s="30" t="s">
        <v>73</v>
      </c>
      <c r="Q789" s="30" t="s">
        <v>157</v>
      </c>
      <c r="R789" s="30" t="s">
        <v>74</v>
      </c>
      <c r="S789" s="30" t="s">
        <v>60</v>
      </c>
      <c r="T789" s="30" t="s">
        <v>128</v>
      </c>
      <c r="U789" s="30" t="s">
        <v>62</v>
      </c>
      <c r="V789" s="30" t="s">
        <v>77</v>
      </c>
      <c r="W789" s="30" t="s">
        <v>116</v>
      </c>
      <c r="X789" s="30" t="s">
        <v>79</v>
      </c>
      <c r="Y789" s="30" t="s">
        <v>56</v>
      </c>
      <c r="Z789" s="30" t="s">
        <v>64</v>
      </c>
      <c r="AA789" s="30" t="s">
        <v>2088</v>
      </c>
      <c r="AB789" s="30" t="s">
        <v>56</v>
      </c>
      <c r="AC789" s="30" t="s">
        <v>2459</v>
      </c>
    </row>
    <row r="790" spans="1:29">
      <c r="A790" s="24" t="s">
        <v>2460</v>
      </c>
      <c r="B790" s="24" t="str">
        <f>IF(ISNUMBER(SEARCH(E790,A790)),A790,IF(OR(E790="",E790=""),A790,A790&amp;" - "&amp;E790))</f>
        <v>Althea THC24 - La Sage</v>
      </c>
      <c r="C790" s="24" t="s">
        <v>141</v>
      </c>
      <c r="D790" s="24" t="s">
        <v>142</v>
      </c>
      <c r="E790" s="24" t="s">
        <v>219</v>
      </c>
      <c r="F790" s="24" t="s">
        <v>69</v>
      </c>
      <c r="G790" s="27">
        <v>24</v>
      </c>
      <c r="H790" s="28">
        <v>1</v>
      </c>
      <c r="I790" s="24"/>
      <c r="J790" s="24"/>
      <c r="K790" s="24" t="s">
        <v>52</v>
      </c>
      <c r="L790" s="24" t="s">
        <v>145</v>
      </c>
      <c r="M790" s="24" t="s">
        <v>88</v>
      </c>
      <c r="N790" s="24" t="s">
        <v>71</v>
      </c>
      <c r="O790" s="24" t="s">
        <v>55</v>
      </c>
      <c r="P790" s="24" t="s">
        <v>146</v>
      </c>
      <c r="Q790" s="24" t="s">
        <v>75</v>
      </c>
      <c r="R790" s="24" t="s">
        <v>56</v>
      </c>
      <c r="S790" s="24" t="s">
        <v>90</v>
      </c>
      <c r="T790" s="24" t="s">
        <v>60</v>
      </c>
      <c r="U790" s="24" t="s">
        <v>106</v>
      </c>
      <c r="V790" s="24" t="s">
        <v>77</v>
      </c>
      <c r="W790" s="24" t="s">
        <v>116</v>
      </c>
      <c r="X790" s="24" t="s">
        <v>107</v>
      </c>
      <c r="Y790" s="24" t="s">
        <v>56</v>
      </c>
      <c r="Z790" s="24" t="s">
        <v>64</v>
      </c>
      <c r="AA790" s="24" t="s">
        <v>149</v>
      </c>
      <c r="AB790" s="24" t="s">
        <v>56</v>
      </c>
      <c r="AC790" s="24" t="s">
        <v>2461</v>
      </c>
    </row>
    <row r="791" spans="1:29">
      <c r="A791" s="30" t="s">
        <v>2462</v>
      </c>
      <c r="B791" s="30" t="str">
        <f>IF(ISNUMBER(SEARCH(E791,A791)),A791,IF(OR(E791="",E791=""),A791,A791&amp;" - "&amp;E791))</f>
        <v>Aphria medium 7 - White Widow</v>
      </c>
      <c r="C791" s="30" t="s">
        <v>133</v>
      </c>
      <c r="D791" s="30" t="s">
        <v>134</v>
      </c>
      <c r="E791" s="30" t="s">
        <v>251</v>
      </c>
      <c r="F791" s="30" t="s">
        <v>86</v>
      </c>
      <c r="G791" s="34">
        <v>16</v>
      </c>
      <c r="H791" s="35">
        <v>1</v>
      </c>
      <c r="I791" s="30"/>
      <c r="J791" s="30"/>
      <c r="K791" s="30" t="s">
        <v>17</v>
      </c>
      <c r="L791" s="30" t="s">
        <v>87</v>
      </c>
      <c r="M791" s="30" t="s">
        <v>54</v>
      </c>
      <c r="N791" s="30" t="s">
        <v>111</v>
      </c>
      <c r="O791" s="30" t="s">
        <v>88</v>
      </c>
      <c r="P791" s="30" t="s">
        <v>146</v>
      </c>
      <c r="Q791" s="30" t="s">
        <v>74</v>
      </c>
      <c r="R791" s="30" t="s">
        <v>113</v>
      </c>
      <c r="S791" s="30" t="s">
        <v>147</v>
      </c>
      <c r="T791" s="30" t="s">
        <v>123</v>
      </c>
      <c r="U791" s="30" t="s">
        <v>106</v>
      </c>
      <c r="V791" s="30" t="s">
        <v>252</v>
      </c>
      <c r="W791" s="30" t="s">
        <v>77</v>
      </c>
      <c r="X791" s="30" t="s">
        <v>253</v>
      </c>
      <c r="Y791" s="30" t="s">
        <v>56</v>
      </c>
      <c r="Z791" s="30" t="s">
        <v>64</v>
      </c>
      <c r="AA791" s="30" t="s">
        <v>575</v>
      </c>
      <c r="AB791" s="30" t="s">
        <v>56</v>
      </c>
      <c r="AC791" s="30" t="s">
        <v>2463</v>
      </c>
    </row>
    <row r="792" spans="1:29">
      <c r="A792" s="24" t="s">
        <v>2464</v>
      </c>
      <c r="B792" s="24" t="str">
        <f>IF(ISNUMBER(SEARCH(E792,A792)),A792,IF(OR(E792="",E792=""),A792,A792&amp;" - "&amp;E792))</f>
        <v>Aphria strong 8 - Alien Dawg</v>
      </c>
      <c r="C792" s="24" t="s">
        <v>133</v>
      </c>
      <c r="D792" s="24" t="s">
        <v>134</v>
      </c>
      <c r="E792" s="24" t="s">
        <v>2465</v>
      </c>
      <c r="F792" s="24" t="s">
        <v>120</v>
      </c>
      <c r="G792" s="27">
        <v>20</v>
      </c>
      <c r="H792" s="28">
        <v>1</v>
      </c>
      <c r="I792" s="24"/>
      <c r="J792" s="24"/>
      <c r="K792" s="24" t="s">
        <v>17</v>
      </c>
      <c r="L792" s="24" t="s">
        <v>53</v>
      </c>
      <c r="M792" s="24" t="s">
        <v>54</v>
      </c>
      <c r="N792" s="24" t="s">
        <v>88</v>
      </c>
      <c r="O792" s="24" t="s">
        <v>121</v>
      </c>
      <c r="P792" s="24" t="s">
        <v>74</v>
      </c>
      <c r="Q792" s="24" t="s">
        <v>113</v>
      </c>
      <c r="R792" s="24" t="s">
        <v>59</v>
      </c>
      <c r="S792" s="24" t="s">
        <v>147</v>
      </c>
      <c r="T792" s="24" t="s">
        <v>106</v>
      </c>
      <c r="U792" s="24" t="s">
        <v>91</v>
      </c>
      <c r="V792" s="24" t="s">
        <v>77</v>
      </c>
      <c r="W792" s="24" t="s">
        <v>107</v>
      </c>
      <c r="X792" s="24" t="s">
        <v>56</v>
      </c>
      <c r="Y792" s="24" t="s">
        <v>56</v>
      </c>
      <c r="Z792" s="24" t="s">
        <v>64</v>
      </c>
      <c r="AA792" s="24" t="s">
        <v>575</v>
      </c>
      <c r="AB792" s="24" t="s">
        <v>56</v>
      </c>
      <c r="AC792" s="24" t="s">
        <v>2466</v>
      </c>
    </row>
    <row r="793" spans="1:29">
      <c r="A793" s="30" t="s">
        <v>2467</v>
      </c>
      <c r="B793" s="30" t="str">
        <f>IF(ISNUMBER(SEARCH(E793,A793)),A793,IF(OR(E793="",E793=""),A793,A793&amp;" - "&amp;E793))</f>
        <v>Aphria strong 9 - Jean Guy</v>
      </c>
      <c r="C793" s="30" t="s">
        <v>133</v>
      </c>
      <c r="D793" s="30" t="s">
        <v>134</v>
      </c>
      <c r="E793" s="30" t="s">
        <v>394</v>
      </c>
      <c r="F793" s="30" t="s">
        <v>69</v>
      </c>
      <c r="G793" s="34">
        <v>20</v>
      </c>
      <c r="H793" s="35">
        <v>1</v>
      </c>
      <c r="I793" s="30"/>
      <c r="J793" s="30"/>
      <c r="K793" s="30" t="s">
        <v>17</v>
      </c>
      <c r="L793" s="30" t="s">
        <v>53</v>
      </c>
      <c r="M793" s="30" t="s">
        <v>54</v>
      </c>
      <c r="N793" s="30" t="s">
        <v>111</v>
      </c>
      <c r="O793" s="30" t="s">
        <v>88</v>
      </c>
      <c r="P793" s="30" t="s">
        <v>74</v>
      </c>
      <c r="Q793" s="30" t="s">
        <v>75</v>
      </c>
      <c r="R793" s="30" t="s">
        <v>56</v>
      </c>
      <c r="S793" s="30" t="s">
        <v>123</v>
      </c>
      <c r="T793" s="30" t="s">
        <v>106</v>
      </c>
      <c r="U793" s="30" t="s">
        <v>114</v>
      </c>
      <c r="V793" s="30" t="s">
        <v>77</v>
      </c>
      <c r="W793" s="30" t="s">
        <v>78</v>
      </c>
      <c r="X793" s="30" t="s">
        <v>395</v>
      </c>
      <c r="Y793" s="30" t="s">
        <v>56</v>
      </c>
      <c r="Z793" s="30" t="s">
        <v>64</v>
      </c>
      <c r="AA793" s="30" t="s">
        <v>575</v>
      </c>
      <c r="AB793" s="30" t="s">
        <v>56</v>
      </c>
      <c r="AC793" s="30" t="s">
        <v>2468</v>
      </c>
    </row>
    <row r="794" spans="1:29">
      <c r="A794" s="24" t="s">
        <v>2469</v>
      </c>
      <c r="B794" s="24" t="str">
        <f>IF(ISNUMBER(SEARCH(E794,A794)),A794,IF(OR(E794="",E794=""),A794,A794&amp;" - "&amp;E794))</f>
        <v>Apocan Natural GG 20/1 - Gorilla Glue</v>
      </c>
      <c r="C794" s="24" t="s">
        <v>2103</v>
      </c>
      <c r="D794" s="24" t="s">
        <v>2104</v>
      </c>
      <c r="E794" s="24" t="s">
        <v>363</v>
      </c>
      <c r="F794" s="24" t="s">
        <v>86</v>
      </c>
      <c r="G794" s="27">
        <v>20</v>
      </c>
      <c r="H794" s="28">
        <v>1</v>
      </c>
      <c r="I794" s="24"/>
      <c r="J794" s="24"/>
      <c r="K794" s="24" t="s">
        <v>52</v>
      </c>
      <c r="L794" s="24" t="s">
        <v>53</v>
      </c>
      <c r="M794" s="24" t="s">
        <v>103</v>
      </c>
      <c r="N794" s="24" t="s">
        <v>121</v>
      </c>
      <c r="O794" s="24" t="s">
        <v>72</v>
      </c>
      <c r="P794" s="24" t="s">
        <v>146</v>
      </c>
      <c r="Q794" s="24" t="s">
        <v>74</v>
      </c>
      <c r="R794" s="24" t="s">
        <v>59</v>
      </c>
      <c r="S794" s="24" t="s">
        <v>90</v>
      </c>
      <c r="T794" s="24" t="s">
        <v>123</v>
      </c>
      <c r="U794" s="24" t="s">
        <v>61</v>
      </c>
      <c r="V794" s="24" t="s">
        <v>257</v>
      </c>
      <c r="W794" s="24" t="s">
        <v>252</v>
      </c>
      <c r="X794" s="24" t="s">
        <v>77</v>
      </c>
      <c r="Y794" s="24" t="s">
        <v>56</v>
      </c>
      <c r="Z794" s="24" t="s">
        <v>64</v>
      </c>
      <c r="AA794" s="24" t="s">
        <v>2104</v>
      </c>
      <c r="AB794" s="24" t="s">
        <v>56</v>
      </c>
      <c r="AC794" s="24" t="s">
        <v>2470</v>
      </c>
    </row>
    <row r="795" spans="1:29">
      <c r="A795" s="30" t="s">
        <v>2471</v>
      </c>
      <c r="B795" s="30" t="str">
        <f>IF(ISNUMBER(SEARCH(E795,A795)),A795,IF(OR(E795="",E795=""),A795,A795&amp;" - "&amp;E795))</f>
        <v>Apocan Natural GG 22/1 - Gorilla Glue</v>
      </c>
      <c r="C795" s="30" t="s">
        <v>2103</v>
      </c>
      <c r="D795" s="30" t="s">
        <v>2104</v>
      </c>
      <c r="E795" s="30" t="s">
        <v>363</v>
      </c>
      <c r="F795" s="30" t="s">
        <v>86</v>
      </c>
      <c r="G795" s="34">
        <v>22</v>
      </c>
      <c r="H795" s="35">
        <v>1</v>
      </c>
      <c r="I795" s="30"/>
      <c r="J795" s="30"/>
      <c r="K795" s="30" t="s">
        <v>52</v>
      </c>
      <c r="L795" s="30" t="s">
        <v>53</v>
      </c>
      <c r="M795" s="30" t="s">
        <v>103</v>
      </c>
      <c r="N795" s="30" t="s">
        <v>121</v>
      </c>
      <c r="O795" s="30" t="s">
        <v>72</v>
      </c>
      <c r="P795" s="30" t="s">
        <v>146</v>
      </c>
      <c r="Q795" s="30" t="s">
        <v>74</v>
      </c>
      <c r="R795" s="30" t="s">
        <v>59</v>
      </c>
      <c r="S795" s="30" t="s">
        <v>90</v>
      </c>
      <c r="T795" s="30" t="s">
        <v>123</v>
      </c>
      <c r="U795" s="30" t="s">
        <v>61</v>
      </c>
      <c r="V795" s="30" t="s">
        <v>257</v>
      </c>
      <c r="W795" s="30" t="s">
        <v>252</v>
      </c>
      <c r="X795" s="30" t="s">
        <v>77</v>
      </c>
      <c r="Y795" s="30" t="s">
        <v>56</v>
      </c>
      <c r="Z795" s="30" t="s">
        <v>64</v>
      </c>
      <c r="AA795" s="30" t="s">
        <v>2104</v>
      </c>
      <c r="AB795" s="30" t="s">
        <v>56</v>
      </c>
      <c r="AC795" s="30" t="s">
        <v>2472</v>
      </c>
    </row>
    <row r="796" spans="1:29">
      <c r="A796" s="24" t="s">
        <v>2473</v>
      </c>
      <c r="B796" s="24" t="str">
        <f>IF(ISNUMBER(SEARCH(E796,A796)),A796,IF(OR(E796="",E796=""),A796,A796&amp;" - "&amp;E796))</f>
        <v>Aurora 1/16 VSP CA - Vespera</v>
      </c>
      <c r="C796" s="24" t="s">
        <v>511</v>
      </c>
      <c r="D796" s="24" t="s">
        <v>512</v>
      </c>
      <c r="E796" s="24" t="s">
        <v>2474</v>
      </c>
      <c r="F796" s="24" t="s">
        <v>120</v>
      </c>
      <c r="G796" s="27">
        <v>1</v>
      </c>
      <c r="H796" s="28">
        <v>16</v>
      </c>
      <c r="I796" s="24"/>
      <c r="J796" s="24"/>
      <c r="K796" s="24" t="s">
        <v>17</v>
      </c>
      <c r="L796" s="24" t="s">
        <v>53</v>
      </c>
      <c r="M796" s="24" t="s">
        <v>121</v>
      </c>
      <c r="N796" s="24" t="s">
        <v>72</v>
      </c>
      <c r="O796" s="24" t="s">
        <v>56</v>
      </c>
      <c r="P796" s="24" t="s">
        <v>157</v>
      </c>
      <c r="Q796" s="24" t="s">
        <v>146</v>
      </c>
      <c r="R796" s="24" t="s">
        <v>104</v>
      </c>
      <c r="S796" s="24" t="s">
        <v>60</v>
      </c>
      <c r="T796" s="24" t="s">
        <v>123</v>
      </c>
      <c r="U796" s="24" t="s">
        <v>76</v>
      </c>
      <c r="V796" s="24" t="s">
        <v>116</v>
      </c>
      <c r="W796" s="24" t="s">
        <v>107</v>
      </c>
      <c r="X796" s="24" t="s">
        <v>56</v>
      </c>
      <c r="Y796" s="24" t="s">
        <v>56</v>
      </c>
      <c r="Z796" s="24" t="s">
        <v>64</v>
      </c>
      <c r="AA796" s="24" t="s">
        <v>512</v>
      </c>
      <c r="AB796" s="24" t="s">
        <v>56</v>
      </c>
      <c r="AC796" s="24" t="s">
        <v>2475</v>
      </c>
    </row>
    <row r="797" spans="1:29">
      <c r="A797" s="30" t="s">
        <v>2476</v>
      </c>
      <c r="B797" s="30" t="str">
        <f>IF(ISNUMBER(SEARCH(E797,A797)),A797,IF(OR(E797="",E797=""),A797,A797&amp;" - "&amp;E797))</f>
        <v>avaay 18/1 BBH - Blueberry Haze</v>
      </c>
      <c r="C797" s="30" t="s">
        <v>569</v>
      </c>
      <c r="D797" s="30" t="s">
        <v>570</v>
      </c>
      <c r="E797" s="30" t="s">
        <v>587</v>
      </c>
      <c r="F797" s="30" t="s">
        <v>86</v>
      </c>
      <c r="G797" s="34">
        <v>18</v>
      </c>
      <c r="H797" s="35">
        <v>1</v>
      </c>
      <c r="I797" s="30"/>
      <c r="J797" s="30"/>
      <c r="K797" s="30" t="s">
        <v>52</v>
      </c>
      <c r="L797" s="30" t="s">
        <v>497</v>
      </c>
      <c r="M797" s="30" t="s">
        <v>212</v>
      </c>
      <c r="N797" s="30" t="s">
        <v>88</v>
      </c>
      <c r="O797" s="30" t="s">
        <v>55</v>
      </c>
      <c r="P797" s="30" t="s">
        <v>89</v>
      </c>
      <c r="Q797" s="30" t="s">
        <v>58</v>
      </c>
      <c r="R797" s="30" t="s">
        <v>56</v>
      </c>
      <c r="S797" s="30" t="s">
        <v>123</v>
      </c>
      <c r="T797" s="30" t="s">
        <v>106</v>
      </c>
      <c r="U797" s="30" t="s">
        <v>128</v>
      </c>
      <c r="V797" s="30" t="s">
        <v>77</v>
      </c>
      <c r="W797" s="30" t="s">
        <v>107</v>
      </c>
      <c r="X797" s="30" t="s">
        <v>56</v>
      </c>
      <c r="Y797" s="30" t="s">
        <v>56</v>
      </c>
      <c r="Z797" s="30" t="s">
        <v>64</v>
      </c>
      <c r="AA797" s="30" t="s">
        <v>572</v>
      </c>
      <c r="AB797" s="30" t="s">
        <v>56</v>
      </c>
      <c r="AC797" s="30" t="s">
        <v>2477</v>
      </c>
    </row>
    <row r="798" spans="1:29">
      <c r="A798" s="24" t="s">
        <v>2478</v>
      </c>
      <c r="B798" s="24" t="str">
        <f>IF(ISNUMBER(SEARCH(E798,A798)),A798,IF(OR(E798="",E798=""),A798,A798&amp;" - "&amp;E798))</f>
        <v>avaay 19/1 - Gorilla Glue</v>
      </c>
      <c r="C798" s="24" t="s">
        <v>569</v>
      </c>
      <c r="D798" s="24" t="s">
        <v>570</v>
      </c>
      <c r="E798" s="24" t="s">
        <v>363</v>
      </c>
      <c r="F798" s="24" t="s">
        <v>86</v>
      </c>
      <c r="G798" s="27">
        <v>19</v>
      </c>
      <c r="H798" s="28">
        <v>1</v>
      </c>
      <c r="I798" s="24"/>
      <c r="J798" s="24"/>
      <c r="K798" s="24" t="s">
        <v>52</v>
      </c>
      <c r="L798" s="24" t="s">
        <v>53</v>
      </c>
      <c r="M798" s="24" t="s">
        <v>103</v>
      </c>
      <c r="N798" s="24" t="s">
        <v>121</v>
      </c>
      <c r="O798" s="24" t="s">
        <v>72</v>
      </c>
      <c r="P798" s="24" t="s">
        <v>146</v>
      </c>
      <c r="Q798" s="24" t="s">
        <v>74</v>
      </c>
      <c r="R798" s="24" t="s">
        <v>59</v>
      </c>
      <c r="S798" s="24" t="s">
        <v>90</v>
      </c>
      <c r="T798" s="24" t="s">
        <v>147</v>
      </c>
      <c r="U798" s="24" t="s">
        <v>123</v>
      </c>
      <c r="V798" s="24" t="s">
        <v>257</v>
      </c>
      <c r="W798" s="24" t="s">
        <v>252</v>
      </c>
      <c r="X798" s="24" t="s">
        <v>77</v>
      </c>
      <c r="Y798" s="24" t="s">
        <v>56</v>
      </c>
      <c r="Z798" s="24" t="s">
        <v>64</v>
      </c>
      <c r="AA798" s="24" t="s">
        <v>572</v>
      </c>
      <c r="AB798" s="24" t="s">
        <v>56</v>
      </c>
      <c r="AC798" s="24" t="s">
        <v>2479</v>
      </c>
    </row>
    <row r="799" spans="1:29">
      <c r="A799" s="30" t="s">
        <v>2480</v>
      </c>
      <c r="B799" s="30" t="str">
        <f>IF(ISNUMBER(SEARCH(E799,A799)),A799,IF(OR(E799="",E799=""),A799,A799&amp;" - "&amp;E799))</f>
        <v>avaay 20/1 BBH - Blueberry Haze</v>
      </c>
      <c r="C799" s="30" t="s">
        <v>569</v>
      </c>
      <c r="D799" s="30" t="s">
        <v>570</v>
      </c>
      <c r="E799" s="30" t="s">
        <v>587</v>
      </c>
      <c r="F799" s="30" t="s">
        <v>86</v>
      </c>
      <c r="G799" s="34">
        <v>20</v>
      </c>
      <c r="H799" s="35">
        <v>1</v>
      </c>
      <c r="I799" s="30"/>
      <c r="J799" s="30"/>
      <c r="K799" s="30" t="s">
        <v>52</v>
      </c>
      <c r="L799" s="30" t="s">
        <v>497</v>
      </c>
      <c r="M799" s="30" t="s">
        <v>212</v>
      </c>
      <c r="N799" s="30" t="s">
        <v>88</v>
      </c>
      <c r="O799" s="30" t="s">
        <v>55</v>
      </c>
      <c r="P799" s="30" t="s">
        <v>89</v>
      </c>
      <c r="Q799" s="30" t="s">
        <v>58</v>
      </c>
      <c r="R799" s="30" t="s">
        <v>56</v>
      </c>
      <c r="S799" s="30" t="s">
        <v>123</v>
      </c>
      <c r="T799" s="30" t="s">
        <v>106</v>
      </c>
      <c r="U799" s="30" t="s">
        <v>128</v>
      </c>
      <c r="V799" s="30" t="s">
        <v>77</v>
      </c>
      <c r="W799" s="30" t="s">
        <v>107</v>
      </c>
      <c r="X799" s="30" t="s">
        <v>56</v>
      </c>
      <c r="Y799" s="30" t="s">
        <v>56</v>
      </c>
      <c r="Z799" s="30" t="s">
        <v>64</v>
      </c>
      <c r="AA799" s="30" t="s">
        <v>572</v>
      </c>
      <c r="AB799" s="30" t="s">
        <v>56</v>
      </c>
      <c r="AC799" s="30" t="s">
        <v>2481</v>
      </c>
    </row>
    <row r="800" spans="1:29">
      <c r="A800" s="24" t="s">
        <v>2482</v>
      </c>
      <c r="B800" s="24" t="str">
        <f>IF(ISNUMBER(SEARCH(E800,A800)),A800,IF(OR(E800="",E800=""),A800,A800&amp;" - "&amp;E800))</f>
        <v>avaay 20/1 RG - Royal Gorilla</v>
      </c>
      <c r="C800" s="24" t="s">
        <v>569</v>
      </c>
      <c r="D800" s="24" t="s">
        <v>570</v>
      </c>
      <c r="E800" s="24" t="s">
        <v>584</v>
      </c>
      <c r="F800" s="24" t="s">
        <v>86</v>
      </c>
      <c r="G800" s="27">
        <v>20</v>
      </c>
      <c r="H800" s="28">
        <v>1</v>
      </c>
      <c r="I800" s="24"/>
      <c r="J800" s="24"/>
      <c r="K800" s="24" t="s">
        <v>52</v>
      </c>
      <c r="L800" s="24" t="s">
        <v>497</v>
      </c>
      <c r="M800" s="24" t="s">
        <v>111</v>
      </c>
      <c r="N800" s="24" t="s">
        <v>88</v>
      </c>
      <c r="O800" s="24" t="s">
        <v>71</v>
      </c>
      <c r="P800" s="24" t="s">
        <v>112</v>
      </c>
      <c r="Q800" s="24" t="s">
        <v>74</v>
      </c>
      <c r="R800" s="24" t="s">
        <v>75</v>
      </c>
      <c r="S800" s="24" t="s">
        <v>106</v>
      </c>
      <c r="T800" s="24" t="s">
        <v>62</v>
      </c>
      <c r="U800" s="24" t="s">
        <v>128</v>
      </c>
      <c r="V800" s="24" t="s">
        <v>77</v>
      </c>
      <c r="W800" s="24" t="s">
        <v>116</v>
      </c>
      <c r="X800" s="24" t="s">
        <v>165</v>
      </c>
      <c r="Y800" s="24" t="s">
        <v>56</v>
      </c>
      <c r="Z800" s="24" t="s">
        <v>64</v>
      </c>
      <c r="AA800" s="24" t="s">
        <v>572</v>
      </c>
      <c r="AB800" s="24" t="s">
        <v>56</v>
      </c>
      <c r="AC800" s="24" t="s">
        <v>2483</v>
      </c>
    </row>
    <row r="801" spans="1:29">
      <c r="A801" s="30" t="s">
        <v>2484</v>
      </c>
      <c r="B801" s="30" t="str">
        <f>IF(ISNUMBER(SEARCH(E801,A801)),A801,IF(OR(E801="",E801=""),A801,A801&amp;" - "&amp;E801))</f>
        <v>avaay 20/1 ZKT - Zkittlez</v>
      </c>
      <c r="C801" s="30" t="s">
        <v>569</v>
      </c>
      <c r="D801" s="30" t="s">
        <v>570</v>
      </c>
      <c r="E801" s="30" t="s">
        <v>2485</v>
      </c>
      <c r="F801" s="30" t="s">
        <v>86</v>
      </c>
      <c r="G801" s="34">
        <v>20</v>
      </c>
      <c r="H801" s="35">
        <v>1</v>
      </c>
      <c r="I801" s="30"/>
      <c r="J801" s="30"/>
      <c r="K801" s="30" t="s">
        <v>52</v>
      </c>
      <c r="L801" s="30" t="s">
        <v>53</v>
      </c>
      <c r="M801" s="30" t="s">
        <v>111</v>
      </c>
      <c r="N801" s="30" t="s">
        <v>88</v>
      </c>
      <c r="O801" s="30" t="s">
        <v>72</v>
      </c>
      <c r="P801" s="30" t="s">
        <v>75</v>
      </c>
      <c r="Q801" s="30" t="s">
        <v>89</v>
      </c>
      <c r="R801" s="30" t="s">
        <v>58</v>
      </c>
      <c r="S801" s="30" t="s">
        <v>123</v>
      </c>
      <c r="T801" s="30" t="s">
        <v>91</v>
      </c>
      <c r="U801" s="30" t="s">
        <v>62</v>
      </c>
      <c r="V801" s="30" t="s">
        <v>92</v>
      </c>
      <c r="W801" s="30" t="s">
        <v>77</v>
      </c>
      <c r="X801" s="30" t="s">
        <v>116</v>
      </c>
      <c r="Y801" s="30" t="s">
        <v>56</v>
      </c>
      <c r="Z801" s="30" t="s">
        <v>64</v>
      </c>
      <c r="AA801" s="30" t="s">
        <v>572</v>
      </c>
      <c r="AB801" s="30" t="s">
        <v>56</v>
      </c>
      <c r="AC801" s="30" t="s">
        <v>2486</v>
      </c>
    </row>
    <row r="802" spans="1:29">
      <c r="A802" s="24" t="s">
        <v>2487</v>
      </c>
      <c r="B802" s="24" t="str">
        <f>IF(ISNUMBER(SEARCH(E802,A802)),A802,IF(OR(E802="",E802=""),A802,A802&amp;" - "&amp;E802))</f>
        <v>avaay 21/1 - Gorilla Glue</v>
      </c>
      <c r="C802" s="24" t="s">
        <v>569</v>
      </c>
      <c r="D802" s="24" t="s">
        <v>570</v>
      </c>
      <c r="E802" s="24" t="s">
        <v>363</v>
      </c>
      <c r="F802" s="24" t="s">
        <v>86</v>
      </c>
      <c r="G802" s="27">
        <v>21</v>
      </c>
      <c r="H802" s="28">
        <v>1</v>
      </c>
      <c r="I802" s="24"/>
      <c r="J802" s="24"/>
      <c r="K802" s="24" t="s">
        <v>52</v>
      </c>
      <c r="L802" s="24" t="s">
        <v>53</v>
      </c>
      <c r="M802" s="24" t="s">
        <v>103</v>
      </c>
      <c r="N802" s="24" t="s">
        <v>121</v>
      </c>
      <c r="O802" s="24" t="s">
        <v>72</v>
      </c>
      <c r="P802" s="24" t="s">
        <v>146</v>
      </c>
      <c r="Q802" s="24" t="s">
        <v>74</v>
      </c>
      <c r="R802" s="24" t="s">
        <v>59</v>
      </c>
      <c r="S802" s="24" t="s">
        <v>90</v>
      </c>
      <c r="T802" s="24" t="s">
        <v>147</v>
      </c>
      <c r="U802" s="24" t="s">
        <v>123</v>
      </c>
      <c r="V802" s="24" t="s">
        <v>257</v>
      </c>
      <c r="W802" s="24" t="s">
        <v>252</v>
      </c>
      <c r="X802" s="24" t="s">
        <v>77</v>
      </c>
      <c r="Y802" s="24" t="s">
        <v>56</v>
      </c>
      <c r="Z802" s="24" t="s">
        <v>64</v>
      </c>
      <c r="AA802" s="24" t="s">
        <v>572</v>
      </c>
      <c r="AB802" s="24" t="s">
        <v>56</v>
      </c>
      <c r="AC802" s="24" t="s">
        <v>2488</v>
      </c>
    </row>
    <row r="803" spans="1:29">
      <c r="A803" s="30" t="s">
        <v>2489</v>
      </c>
      <c r="B803" s="30" t="str">
        <f>IF(ISNUMBER(SEARCH(E803,A803)),A803,IF(OR(E803="",E803=""),A803,A803&amp;" - "&amp;E803))</f>
        <v>avaay 23/1 CRE - Creamy Kee's No.5</v>
      </c>
      <c r="C803" s="30" t="s">
        <v>569</v>
      </c>
      <c r="D803" s="30" t="s">
        <v>570</v>
      </c>
      <c r="E803" s="30" t="s">
        <v>2490</v>
      </c>
      <c r="F803" s="30" t="s">
        <v>86</v>
      </c>
      <c r="G803" s="34">
        <v>23</v>
      </c>
      <c r="H803" s="35">
        <v>1</v>
      </c>
      <c r="I803" s="30"/>
      <c r="J803" s="30"/>
      <c r="K803" s="30" t="s">
        <v>17</v>
      </c>
      <c r="L803" s="30" t="s">
        <v>497</v>
      </c>
      <c r="M803" s="30" t="s">
        <v>121</v>
      </c>
      <c r="N803" s="30" t="s">
        <v>72</v>
      </c>
      <c r="O803" s="30" t="s">
        <v>56</v>
      </c>
      <c r="P803" s="30" t="s">
        <v>74</v>
      </c>
      <c r="Q803" s="30" t="s">
        <v>113</v>
      </c>
      <c r="R803" s="30" t="s">
        <v>89</v>
      </c>
      <c r="S803" s="30" t="s">
        <v>60</v>
      </c>
      <c r="T803" s="30" t="s">
        <v>128</v>
      </c>
      <c r="U803" s="30" t="s">
        <v>62</v>
      </c>
      <c r="V803" s="30" t="s">
        <v>77</v>
      </c>
      <c r="W803" s="30" t="s">
        <v>116</v>
      </c>
      <c r="X803" s="30" t="s">
        <v>165</v>
      </c>
      <c r="Y803" s="30" t="s">
        <v>130</v>
      </c>
      <c r="Z803" s="30" t="s">
        <v>64</v>
      </c>
      <c r="AA803" s="30" t="s">
        <v>572</v>
      </c>
      <c r="AB803" s="30" t="s">
        <v>56</v>
      </c>
      <c r="AC803" s="36" t="s">
        <v>2491</v>
      </c>
    </row>
    <row r="804" spans="1:29">
      <c r="A804" s="24" t="s">
        <v>2492</v>
      </c>
      <c r="B804" s="24" t="str">
        <f>IF(ISNUMBER(SEARCH(E804,A804)),A804,IF(OR(E804="",E804=""),A804,A804&amp;" - "&amp;E804))</f>
        <v>avaay 23/1 PYC - Peyote Critical</v>
      </c>
      <c r="C804" s="24" t="s">
        <v>569</v>
      </c>
      <c r="D804" s="24" t="s">
        <v>570</v>
      </c>
      <c r="E804" s="24" t="s">
        <v>1248</v>
      </c>
      <c r="F804" s="24" t="s">
        <v>120</v>
      </c>
      <c r="G804" s="27">
        <v>23</v>
      </c>
      <c r="H804" s="28">
        <v>1</v>
      </c>
      <c r="I804" s="24"/>
      <c r="J804" s="24"/>
      <c r="K804" s="24" t="s">
        <v>52</v>
      </c>
      <c r="L804" s="24" t="s">
        <v>102</v>
      </c>
      <c r="M804" s="24" t="s">
        <v>55</v>
      </c>
      <c r="N804" s="24" t="s">
        <v>121</v>
      </c>
      <c r="O804" s="24" t="s">
        <v>72</v>
      </c>
      <c r="P804" s="24" t="s">
        <v>591</v>
      </c>
      <c r="Q804" s="24" t="s">
        <v>157</v>
      </c>
      <c r="R804" s="24" t="s">
        <v>57</v>
      </c>
      <c r="S804" s="24" t="s">
        <v>147</v>
      </c>
      <c r="T804" s="24" t="s">
        <v>106</v>
      </c>
      <c r="U804" s="24" t="s">
        <v>76</v>
      </c>
      <c r="V804" s="24" t="s">
        <v>77</v>
      </c>
      <c r="W804" s="24" t="s">
        <v>116</v>
      </c>
      <c r="X804" s="24" t="s">
        <v>165</v>
      </c>
      <c r="Y804" s="24" t="s">
        <v>56</v>
      </c>
      <c r="Z804" s="24" t="s">
        <v>64</v>
      </c>
      <c r="AA804" s="24" t="s">
        <v>572</v>
      </c>
      <c r="AB804" s="24" t="s">
        <v>56</v>
      </c>
      <c r="AC804" s="24" t="s">
        <v>2493</v>
      </c>
    </row>
    <row r="805" spans="1:29">
      <c r="A805" s="30" t="s">
        <v>2494</v>
      </c>
      <c r="B805" s="30" t="str">
        <f>IF(ISNUMBER(SEARCH(E805,A805)),A805,IF(OR(E805="",E805=""),A805,A805&amp;" - "&amp;E805))</f>
        <v>avaay 24/1 SK - Sour Kush</v>
      </c>
      <c r="C805" s="30" t="s">
        <v>569</v>
      </c>
      <c r="D805" s="30" t="s">
        <v>570</v>
      </c>
      <c r="E805" s="30" t="s">
        <v>490</v>
      </c>
      <c r="F805" s="30" t="s">
        <v>86</v>
      </c>
      <c r="G805" s="34">
        <v>24</v>
      </c>
      <c r="H805" s="35">
        <v>1</v>
      </c>
      <c r="I805" s="30"/>
      <c r="J805" s="30"/>
      <c r="K805" s="30" t="s">
        <v>52</v>
      </c>
      <c r="L805" s="30" t="s">
        <v>53</v>
      </c>
      <c r="M805" s="30" t="s">
        <v>212</v>
      </c>
      <c r="N805" s="30" t="s">
        <v>88</v>
      </c>
      <c r="O805" s="30" t="s">
        <v>71</v>
      </c>
      <c r="P805" s="30" t="s">
        <v>73</v>
      </c>
      <c r="Q805" s="30" t="s">
        <v>75</v>
      </c>
      <c r="R805" s="30" t="s">
        <v>89</v>
      </c>
      <c r="S805" s="30" t="s">
        <v>90</v>
      </c>
      <c r="T805" s="30" t="s">
        <v>123</v>
      </c>
      <c r="U805" s="30" t="s">
        <v>106</v>
      </c>
      <c r="V805" s="30" t="s">
        <v>77</v>
      </c>
      <c r="W805" s="30" t="s">
        <v>116</v>
      </c>
      <c r="X805" s="30" t="s">
        <v>253</v>
      </c>
      <c r="Y805" s="30" t="s">
        <v>56</v>
      </c>
      <c r="Z805" s="30" t="s">
        <v>64</v>
      </c>
      <c r="AA805" s="30" t="s">
        <v>572</v>
      </c>
      <c r="AB805" s="30" t="s">
        <v>56</v>
      </c>
      <c r="AC805" s="30" t="s">
        <v>2495</v>
      </c>
    </row>
    <row r="806" spans="1:29">
      <c r="A806" s="24" t="s">
        <v>2496</v>
      </c>
      <c r="B806" s="24" t="str">
        <f>IF(ISNUMBER(SEARCH(E806,A806)),A806,IF(OR(E806="",E806=""),A806,A806&amp;" - "&amp;E806))</f>
        <v>avaay 29/1 SCG - Super Citra G</v>
      </c>
      <c r="C806" s="24" t="s">
        <v>569</v>
      </c>
      <c r="D806" s="24" t="s">
        <v>570</v>
      </c>
      <c r="E806" s="24" t="s">
        <v>1251</v>
      </c>
      <c r="F806" s="24" t="s">
        <v>86</v>
      </c>
      <c r="G806" s="27">
        <v>29</v>
      </c>
      <c r="H806" s="28">
        <v>1</v>
      </c>
      <c r="I806" s="24"/>
      <c r="J806" s="24"/>
      <c r="K806" s="24" t="s">
        <v>52</v>
      </c>
      <c r="L806" s="24" t="s">
        <v>53</v>
      </c>
      <c r="M806" s="24" t="s">
        <v>54</v>
      </c>
      <c r="N806" s="24" t="s">
        <v>88</v>
      </c>
      <c r="O806" s="24" t="s">
        <v>71</v>
      </c>
      <c r="P806" s="24" t="s">
        <v>157</v>
      </c>
      <c r="Q806" s="24" t="s">
        <v>146</v>
      </c>
      <c r="R806" s="24" t="s">
        <v>75</v>
      </c>
      <c r="S806" s="24" t="s">
        <v>192</v>
      </c>
      <c r="T806" s="24" t="s">
        <v>105</v>
      </c>
      <c r="U806" s="24" t="s">
        <v>123</v>
      </c>
      <c r="V806" s="24" t="s">
        <v>77</v>
      </c>
      <c r="W806" s="24" t="s">
        <v>292</v>
      </c>
      <c r="X806" s="24" t="s">
        <v>79</v>
      </c>
      <c r="Y806" s="24" t="s">
        <v>516</v>
      </c>
      <c r="Z806" s="24" t="s">
        <v>64</v>
      </c>
      <c r="AA806" s="24" t="s">
        <v>572</v>
      </c>
      <c r="AB806" s="24" t="s">
        <v>1252</v>
      </c>
      <c r="AC806" s="24" t="s">
        <v>2497</v>
      </c>
    </row>
    <row r="807" spans="1:29">
      <c r="A807" s="30" t="s">
        <v>2498</v>
      </c>
      <c r="B807" s="30" t="str">
        <f>IF(ISNUMBER(SEARCH(E807,A807)),A807,IF(OR(E807="",E807=""),A807,A807&amp;" - "&amp;E807))</f>
        <v>avaay 3/1 THCV12</v>
      </c>
      <c r="C807" s="30" t="s">
        <v>569</v>
      </c>
      <c r="D807" s="30" t="s">
        <v>570</v>
      </c>
      <c r="E807" s="30" t="s">
        <v>1637</v>
      </c>
      <c r="F807" s="30" t="s">
        <v>144</v>
      </c>
      <c r="G807" s="34">
        <v>3</v>
      </c>
      <c r="H807" s="35">
        <v>1</v>
      </c>
      <c r="I807" s="30"/>
      <c r="J807" s="30"/>
      <c r="K807" s="30" t="s">
        <v>52</v>
      </c>
      <c r="L807" s="30" t="s">
        <v>53</v>
      </c>
      <c r="M807" s="30" t="s">
        <v>56</v>
      </c>
      <c r="N807" s="30"/>
      <c r="O807" s="30" t="s">
        <v>56</v>
      </c>
      <c r="P807" s="30" t="s">
        <v>146</v>
      </c>
      <c r="Q807" s="30" t="s">
        <v>74</v>
      </c>
      <c r="R807" s="30" t="s">
        <v>113</v>
      </c>
      <c r="S807" s="30" t="s">
        <v>192</v>
      </c>
      <c r="T807" s="30" t="s">
        <v>123</v>
      </c>
      <c r="U807" s="30" t="s">
        <v>106</v>
      </c>
      <c r="V807" s="30" t="s">
        <v>138</v>
      </c>
      <c r="W807" s="30" t="s">
        <v>79</v>
      </c>
      <c r="X807" s="30" t="s">
        <v>56</v>
      </c>
      <c r="Y807" s="30" t="s">
        <v>56</v>
      </c>
      <c r="Z807" s="30" t="s">
        <v>64</v>
      </c>
      <c r="AA807" s="30" t="s">
        <v>572</v>
      </c>
      <c r="AB807" s="30" t="s">
        <v>56</v>
      </c>
      <c r="AC807" s="30" t="s">
        <v>2499</v>
      </c>
    </row>
    <row r="808" spans="1:29">
      <c r="A808" s="24" t="s">
        <v>2500</v>
      </c>
      <c r="B808" s="24" t="str">
        <f>IF(ISNUMBER(SEARCH(E808,A808)),A808,IF(OR(E808="",E808=""),A808,A808&amp;" - "&amp;E808))</f>
        <v>avaay 7/1 THCV12</v>
      </c>
      <c r="C808" s="24" t="s">
        <v>569</v>
      </c>
      <c r="D808" s="24" t="s">
        <v>570</v>
      </c>
      <c r="E808" s="24" t="s">
        <v>1637</v>
      </c>
      <c r="F808" s="24" t="s">
        <v>144</v>
      </c>
      <c r="G808" s="27">
        <v>7</v>
      </c>
      <c r="H808" s="28">
        <v>1</v>
      </c>
      <c r="I808" s="24"/>
      <c r="J808" s="24"/>
      <c r="K808" s="24" t="s">
        <v>52</v>
      </c>
      <c r="L808" s="24" t="s">
        <v>53</v>
      </c>
      <c r="M808" s="24" t="s">
        <v>56</v>
      </c>
      <c r="N808" s="24"/>
      <c r="O808" s="24" t="s">
        <v>56</v>
      </c>
      <c r="P808" s="24" t="s">
        <v>146</v>
      </c>
      <c r="Q808" s="24" t="s">
        <v>74</v>
      </c>
      <c r="R808" s="24" t="s">
        <v>113</v>
      </c>
      <c r="S808" s="24" t="s">
        <v>192</v>
      </c>
      <c r="T808" s="24" t="s">
        <v>123</v>
      </c>
      <c r="U808" s="24" t="s">
        <v>106</v>
      </c>
      <c r="V808" s="24" t="s">
        <v>138</v>
      </c>
      <c r="W808" s="24" t="s">
        <v>79</v>
      </c>
      <c r="X808" s="24" t="s">
        <v>56</v>
      </c>
      <c r="Y808" s="24" t="s">
        <v>56</v>
      </c>
      <c r="Z808" s="24" t="s">
        <v>64</v>
      </c>
      <c r="AA808" s="24" t="s">
        <v>572</v>
      </c>
      <c r="AB808" s="24" t="s">
        <v>56</v>
      </c>
      <c r="AC808" s="24" t="s">
        <v>2501</v>
      </c>
    </row>
    <row r="809" spans="1:29">
      <c r="A809" s="30" t="s">
        <v>2502</v>
      </c>
      <c r="B809" s="30" t="str">
        <f>IF(ISNUMBER(SEARCH(E809,A809)),A809,IF(OR(E809="",E809=""),A809,A809&amp;" - "&amp;E809))</f>
        <v>avaay Signature 23/1 CR - Crescendo Cookies</v>
      </c>
      <c r="C809" s="30" t="s">
        <v>569</v>
      </c>
      <c r="D809" s="30" t="s">
        <v>570</v>
      </c>
      <c r="E809" s="30" t="s">
        <v>893</v>
      </c>
      <c r="F809" s="30" t="s">
        <v>69</v>
      </c>
      <c r="G809" s="34">
        <v>23</v>
      </c>
      <c r="H809" s="35">
        <v>1</v>
      </c>
      <c r="I809" s="30"/>
      <c r="J809" s="30"/>
      <c r="K809" s="30" t="s">
        <v>52</v>
      </c>
      <c r="L809" s="30" t="s">
        <v>53</v>
      </c>
      <c r="M809" s="30" t="s">
        <v>212</v>
      </c>
      <c r="N809" s="30" t="s">
        <v>88</v>
      </c>
      <c r="O809" s="30" t="s">
        <v>72</v>
      </c>
      <c r="P809" s="30" t="s">
        <v>113</v>
      </c>
      <c r="Q809" s="30" t="s">
        <v>89</v>
      </c>
      <c r="R809" s="30" t="s">
        <v>58</v>
      </c>
      <c r="S809" s="30" t="s">
        <v>801</v>
      </c>
      <c r="T809" s="30" t="s">
        <v>123</v>
      </c>
      <c r="U809" s="30" t="s">
        <v>106</v>
      </c>
      <c r="V809" s="30" t="s">
        <v>77</v>
      </c>
      <c r="W809" s="30" t="s">
        <v>116</v>
      </c>
      <c r="X809" s="30" t="s">
        <v>79</v>
      </c>
      <c r="Y809" s="30" t="s">
        <v>344</v>
      </c>
      <c r="Z809" s="30" t="s">
        <v>64</v>
      </c>
      <c r="AA809" s="30" t="s">
        <v>572</v>
      </c>
      <c r="AB809" s="30" t="s">
        <v>56</v>
      </c>
      <c r="AC809" s="30" t="s">
        <v>2503</v>
      </c>
    </row>
    <row r="810" spans="1:29">
      <c r="A810" s="24" t="s">
        <v>2504</v>
      </c>
      <c r="B810" s="24" t="str">
        <f>IF(ISNUMBER(SEARCH(E810,A810)),A810,IF(OR(E810="",E810=""),A810,A810&amp;" - "&amp;E810))</f>
        <v>avaay Signature 26/1 GPM - Gun Powder Milkshake</v>
      </c>
      <c r="C810" s="24" t="s">
        <v>569</v>
      </c>
      <c r="D810" s="24" t="s">
        <v>570</v>
      </c>
      <c r="E810" s="41" t="s">
        <v>1111</v>
      </c>
      <c r="F810" s="24" t="s">
        <v>177</v>
      </c>
      <c r="G810" s="27">
        <v>26</v>
      </c>
      <c r="H810" s="28">
        <v>1</v>
      </c>
      <c r="I810" s="24"/>
      <c r="J810" s="24"/>
      <c r="K810" s="24" t="s">
        <v>52</v>
      </c>
      <c r="L810" s="24" t="s">
        <v>53</v>
      </c>
      <c r="M810" s="24" t="s">
        <v>212</v>
      </c>
      <c r="N810" s="24" t="s">
        <v>88</v>
      </c>
      <c r="O810" s="24" t="s">
        <v>121</v>
      </c>
      <c r="P810" s="24" t="s">
        <v>604</v>
      </c>
      <c r="Q810" s="24" t="s">
        <v>73</v>
      </c>
      <c r="R810" s="24" t="s">
        <v>113</v>
      </c>
      <c r="S810" s="24" t="s">
        <v>147</v>
      </c>
      <c r="T810" s="24" t="s">
        <v>106</v>
      </c>
      <c r="U810" s="24" t="s">
        <v>62</v>
      </c>
      <c r="V810" s="24" t="s">
        <v>77</v>
      </c>
      <c r="W810" s="24" t="s">
        <v>116</v>
      </c>
      <c r="X810" s="24" t="s">
        <v>107</v>
      </c>
      <c r="Y810" s="24" t="s">
        <v>920</v>
      </c>
      <c r="Z810" s="24" t="s">
        <v>64</v>
      </c>
      <c r="AA810" s="24" t="s">
        <v>572</v>
      </c>
      <c r="AB810" s="24"/>
      <c r="AC810" s="24" t="s">
        <v>2505</v>
      </c>
    </row>
    <row r="811" spans="1:29">
      <c r="A811" s="30" t="s">
        <v>2506</v>
      </c>
      <c r="B811" s="30" t="str">
        <f>IF(ISNUMBER(SEARCH(E811,A811)),A811,IF(OR(E811="",E811=""),A811,A811&amp;" - "&amp;E811))</f>
        <v>avaay Signature 29/1 CBX - Chatterbox</v>
      </c>
      <c r="C811" s="30" t="s">
        <v>569</v>
      </c>
      <c r="D811" s="30" t="s">
        <v>570</v>
      </c>
      <c r="E811" s="30" t="s">
        <v>1033</v>
      </c>
      <c r="F811" s="30" t="s">
        <v>120</v>
      </c>
      <c r="G811" s="34">
        <v>29</v>
      </c>
      <c r="H811" s="35">
        <v>1</v>
      </c>
      <c r="I811" s="30"/>
      <c r="J811" s="30"/>
      <c r="K811" s="30" t="s">
        <v>52</v>
      </c>
      <c r="L811" s="30" t="s">
        <v>53</v>
      </c>
      <c r="M811" s="30" t="s">
        <v>178</v>
      </c>
      <c r="N811" s="30" t="s">
        <v>72</v>
      </c>
      <c r="O811" s="30" t="s">
        <v>56</v>
      </c>
      <c r="P811" s="30" t="s">
        <v>73</v>
      </c>
      <c r="Q811" s="30" t="s">
        <v>75</v>
      </c>
      <c r="R811" s="30" t="s">
        <v>56</v>
      </c>
      <c r="S811" s="30" t="s">
        <v>192</v>
      </c>
      <c r="T811" s="30" t="s">
        <v>123</v>
      </c>
      <c r="U811" s="30" t="s">
        <v>106</v>
      </c>
      <c r="V811" s="30" t="s">
        <v>77</v>
      </c>
      <c r="W811" s="30" t="s">
        <v>79</v>
      </c>
      <c r="X811" s="30" t="s">
        <v>56</v>
      </c>
      <c r="Y811" s="30" t="s">
        <v>56</v>
      </c>
      <c r="Z811" s="30" t="s">
        <v>64</v>
      </c>
      <c r="AA811" s="30" t="s">
        <v>572</v>
      </c>
      <c r="AB811" s="30" t="s">
        <v>663</v>
      </c>
      <c r="AC811" s="30" t="s">
        <v>2507</v>
      </c>
    </row>
    <row r="812" spans="1:29">
      <c r="A812" s="24" t="s">
        <v>2508</v>
      </c>
      <c r="B812" s="24" t="str">
        <f>IF(ISNUMBER(SEARCH(E812,A812)),A812,IF(OR(E812="",E812=""),A812,A812&amp;" - "&amp;E812))</f>
        <v>avaay Simple 21/1 CHM - Chem OG</v>
      </c>
      <c r="C812" s="24" t="s">
        <v>569</v>
      </c>
      <c r="D812" s="24" t="s">
        <v>570</v>
      </c>
      <c r="E812" s="24" t="s">
        <v>808</v>
      </c>
      <c r="F812" s="24" t="s">
        <v>86</v>
      </c>
      <c r="G812" s="27">
        <v>21</v>
      </c>
      <c r="H812" s="28">
        <v>1</v>
      </c>
      <c r="I812" s="24"/>
      <c r="J812" s="24"/>
      <c r="K812" s="24" t="s">
        <v>52</v>
      </c>
      <c r="L812" s="24" t="s">
        <v>102</v>
      </c>
      <c r="M812" s="24" t="s">
        <v>54</v>
      </c>
      <c r="N812" s="24" t="s">
        <v>88</v>
      </c>
      <c r="O812" s="24" t="s">
        <v>71</v>
      </c>
      <c r="P812" s="24" t="s">
        <v>73</v>
      </c>
      <c r="Q812" s="24" t="s">
        <v>146</v>
      </c>
      <c r="R812" s="24" t="s">
        <v>74</v>
      </c>
      <c r="S812" s="24" t="s">
        <v>147</v>
      </c>
      <c r="T812" s="24" t="s">
        <v>106</v>
      </c>
      <c r="U812" s="24" t="s">
        <v>62</v>
      </c>
      <c r="V812" s="24" t="s">
        <v>77</v>
      </c>
      <c r="W812" s="24" t="s">
        <v>116</v>
      </c>
      <c r="X812" s="24" t="s">
        <v>79</v>
      </c>
      <c r="Y812" s="24" t="s">
        <v>56</v>
      </c>
      <c r="Z812" s="24" t="s">
        <v>64</v>
      </c>
      <c r="AA812" s="24" t="s">
        <v>572</v>
      </c>
      <c r="AB812" s="24" t="s">
        <v>56</v>
      </c>
      <c r="AC812" s="24" t="s">
        <v>2509</v>
      </c>
    </row>
    <row r="813" spans="1:29">
      <c r="A813" s="30" t="s">
        <v>2510</v>
      </c>
      <c r="B813" s="30" t="str">
        <f>IF(ISNUMBER(SEARCH(E813,A813)),A813,IF(OR(E813="",E813=""),A813,A813&amp;" - "&amp;E813))</f>
        <v>avaay Simple 23/1 LSB - Lemon Sherbet</v>
      </c>
      <c r="C813" s="30" t="s">
        <v>569</v>
      </c>
      <c r="D813" s="30" t="s">
        <v>570</v>
      </c>
      <c r="E813" s="30" t="s">
        <v>923</v>
      </c>
      <c r="F813" s="30" t="s">
        <v>86</v>
      </c>
      <c r="G813" s="34">
        <v>23</v>
      </c>
      <c r="H813" s="35">
        <v>1</v>
      </c>
      <c r="I813" s="30"/>
      <c r="J813" s="30"/>
      <c r="K813" s="30" t="s">
        <v>52</v>
      </c>
      <c r="L813" s="30" t="s">
        <v>185</v>
      </c>
      <c r="M813" s="30" t="s">
        <v>88</v>
      </c>
      <c r="N813" s="30" t="s">
        <v>71</v>
      </c>
      <c r="O813" s="30" t="s">
        <v>55</v>
      </c>
      <c r="P813" s="30" t="s">
        <v>75</v>
      </c>
      <c r="Q813" s="30" t="s">
        <v>89</v>
      </c>
      <c r="R813" s="30" t="s">
        <v>58</v>
      </c>
      <c r="S813" s="30" t="s">
        <v>90</v>
      </c>
      <c r="T813" s="30" t="s">
        <v>192</v>
      </c>
      <c r="U813" s="30" t="s">
        <v>60</v>
      </c>
      <c r="V813" s="30" t="s">
        <v>77</v>
      </c>
      <c r="W813" s="30" t="s">
        <v>79</v>
      </c>
      <c r="X813" s="30" t="s">
        <v>107</v>
      </c>
      <c r="Y813" s="30" t="s">
        <v>56</v>
      </c>
      <c r="Z813" s="30" t="s">
        <v>64</v>
      </c>
      <c r="AA813" s="30" t="s">
        <v>572</v>
      </c>
      <c r="AB813" s="30" t="s">
        <v>924</v>
      </c>
      <c r="AC813" s="30" t="s">
        <v>2511</v>
      </c>
    </row>
    <row r="814" spans="1:29">
      <c r="A814" s="24" t="s">
        <v>2512</v>
      </c>
      <c r="B814" s="24" t="str">
        <f>IF(ISNUMBER(SEARCH(E814,A814)),A814,IF(OR(E814="",E814=""),A814,A814&amp;" - "&amp;E814))</f>
        <v>Bathera 25/1 GF - Garlic Funk</v>
      </c>
      <c r="C814" s="24" t="s">
        <v>153</v>
      </c>
      <c r="D814" s="24" t="s">
        <v>154</v>
      </c>
      <c r="E814" s="24" t="s">
        <v>1475</v>
      </c>
      <c r="F814" s="24" t="s">
        <v>177</v>
      </c>
      <c r="G814" s="27">
        <v>23</v>
      </c>
      <c r="H814" s="28">
        <v>1</v>
      </c>
      <c r="I814" s="24"/>
      <c r="J814" s="24"/>
      <c r="K814" s="24" t="s">
        <v>52</v>
      </c>
      <c r="L814" s="24" t="s">
        <v>102</v>
      </c>
      <c r="M814" s="24" t="s">
        <v>212</v>
      </c>
      <c r="N814" s="24" t="s">
        <v>88</v>
      </c>
      <c r="O814" s="24" t="s">
        <v>178</v>
      </c>
      <c r="P814" s="24" t="s">
        <v>73</v>
      </c>
      <c r="Q814" s="24" t="s">
        <v>104</v>
      </c>
      <c r="R814" s="24" t="s">
        <v>89</v>
      </c>
      <c r="S814" s="24" t="s">
        <v>106</v>
      </c>
      <c r="T814" s="24" t="s">
        <v>62</v>
      </c>
      <c r="U814" s="24" t="s">
        <v>128</v>
      </c>
      <c r="V814" s="24" t="s">
        <v>77</v>
      </c>
      <c r="W814" s="24" t="s">
        <v>173</v>
      </c>
      <c r="X814" s="24" t="s">
        <v>711</v>
      </c>
      <c r="Y814" s="24" t="s">
        <v>1354</v>
      </c>
      <c r="Z814" s="24" t="s">
        <v>64</v>
      </c>
      <c r="AA814" s="24" t="s">
        <v>154</v>
      </c>
      <c r="AB814" s="24" t="s">
        <v>160</v>
      </c>
      <c r="AC814" s="24" t="s">
        <v>2513</v>
      </c>
    </row>
    <row r="815" spans="1:29">
      <c r="A815" s="30" t="s">
        <v>2514</v>
      </c>
      <c r="B815" s="30" t="str">
        <f>IF(ISNUMBER(SEARCH(E815,A815)),A815,IF(OR(E815="",E815=""),A815,A815&amp;" - "&amp;E815))</f>
        <v>Bavaria Weed PT DAB 18/1 - Sirius</v>
      </c>
      <c r="C815" s="30" t="s">
        <v>2515</v>
      </c>
      <c r="D815" s="30" t="s">
        <v>2516</v>
      </c>
      <c r="E815" s="30" t="s">
        <v>334</v>
      </c>
      <c r="F815" s="30" t="s">
        <v>120</v>
      </c>
      <c r="G815" s="34">
        <v>18</v>
      </c>
      <c r="H815" s="35">
        <v>1</v>
      </c>
      <c r="I815" s="30"/>
      <c r="J815" s="30"/>
      <c r="K815" s="30" t="s">
        <v>17</v>
      </c>
      <c r="L815" s="30" t="s">
        <v>102</v>
      </c>
      <c r="M815" s="30" t="s">
        <v>111</v>
      </c>
      <c r="N815" s="30" t="s">
        <v>71</v>
      </c>
      <c r="O815" s="30" t="s">
        <v>178</v>
      </c>
      <c r="P815" s="30" t="s">
        <v>74</v>
      </c>
      <c r="Q815" s="30" t="s">
        <v>58</v>
      </c>
      <c r="R815" s="30" t="s">
        <v>56</v>
      </c>
      <c r="S815" s="30" t="s">
        <v>106</v>
      </c>
      <c r="T815" s="30" t="s">
        <v>62</v>
      </c>
      <c r="U815" s="30" t="s">
        <v>164</v>
      </c>
      <c r="V815" s="30" t="s">
        <v>77</v>
      </c>
      <c r="W815" s="30" t="s">
        <v>79</v>
      </c>
      <c r="X815" s="30" t="s">
        <v>107</v>
      </c>
      <c r="Y815" s="30" t="s">
        <v>56</v>
      </c>
      <c r="Z815" s="30" t="s">
        <v>64</v>
      </c>
      <c r="AA815" s="30" t="s">
        <v>2516</v>
      </c>
      <c r="AB815" s="30" t="s">
        <v>56</v>
      </c>
      <c r="AC815" s="36" t="s">
        <v>2517</v>
      </c>
    </row>
    <row r="816" spans="1:29">
      <c r="A816" s="24" t="s">
        <v>2514</v>
      </c>
      <c r="B816" s="24" t="str">
        <f>IF(ISNUMBER(SEARCH(E816,A816)),A816,IF(OR(E816="",E816=""),A816,A816&amp;" - "&amp;E816))</f>
        <v>Bavaria Weed PT DAB 18/1 - Mango</v>
      </c>
      <c r="C816" s="24" t="s">
        <v>2515</v>
      </c>
      <c r="D816" s="24" t="s">
        <v>2516</v>
      </c>
      <c r="E816" s="24" t="s">
        <v>259</v>
      </c>
      <c r="F816" s="24" t="s">
        <v>120</v>
      </c>
      <c r="G816" s="27">
        <v>18</v>
      </c>
      <c r="H816" s="28">
        <v>1</v>
      </c>
      <c r="I816" s="24"/>
      <c r="J816" s="24"/>
      <c r="K816" s="24" t="s">
        <v>17</v>
      </c>
      <c r="L816" s="24" t="s">
        <v>102</v>
      </c>
      <c r="M816" s="24" t="s">
        <v>54</v>
      </c>
      <c r="N816" s="24" t="s">
        <v>212</v>
      </c>
      <c r="O816" s="24" t="s">
        <v>88</v>
      </c>
      <c r="P816" s="24" t="s">
        <v>136</v>
      </c>
      <c r="Q816" s="24" t="s">
        <v>89</v>
      </c>
      <c r="R816" s="24" t="s">
        <v>58</v>
      </c>
      <c r="S816" s="24" t="s">
        <v>147</v>
      </c>
      <c r="T816" s="24" t="s">
        <v>106</v>
      </c>
      <c r="U816" s="24" t="s">
        <v>164</v>
      </c>
      <c r="V816" s="24" t="s">
        <v>77</v>
      </c>
      <c r="W816" s="24" t="s">
        <v>129</v>
      </c>
      <c r="X816" s="24" t="s">
        <v>79</v>
      </c>
      <c r="Y816" s="24" t="s">
        <v>56</v>
      </c>
      <c r="Z816" s="24" t="s">
        <v>64</v>
      </c>
      <c r="AA816" s="24" t="s">
        <v>2516</v>
      </c>
      <c r="AB816" s="24" t="s">
        <v>56</v>
      </c>
      <c r="AC816" s="24" t="s">
        <v>2518</v>
      </c>
    </row>
    <row r="817" spans="1:29">
      <c r="A817" s="30" t="s">
        <v>2519</v>
      </c>
      <c r="B817" s="30" t="str">
        <f>IF(ISNUMBER(SEARCH(E817,A817)),A817,IF(OR(E817="",E817=""),A817,A817&amp;" - "&amp;E817))</f>
        <v>Bavaria Weed PT DAB 22/1 - Sirius</v>
      </c>
      <c r="C817" s="30" t="s">
        <v>2515</v>
      </c>
      <c r="D817" s="30" t="s">
        <v>2516</v>
      </c>
      <c r="E817" s="30" t="s">
        <v>334</v>
      </c>
      <c r="F817" s="30" t="s">
        <v>120</v>
      </c>
      <c r="G817" s="34">
        <v>22</v>
      </c>
      <c r="H817" s="35">
        <v>1</v>
      </c>
      <c r="I817" s="30"/>
      <c r="J817" s="30"/>
      <c r="K817" s="30" t="s">
        <v>17</v>
      </c>
      <c r="L817" s="30" t="s">
        <v>102</v>
      </c>
      <c r="M817" s="30" t="s">
        <v>111</v>
      </c>
      <c r="N817" s="30" t="s">
        <v>71</v>
      </c>
      <c r="O817" s="30" t="s">
        <v>178</v>
      </c>
      <c r="P817" s="30" t="s">
        <v>74</v>
      </c>
      <c r="Q817" s="30" t="s">
        <v>58</v>
      </c>
      <c r="R817" s="30" t="s">
        <v>56</v>
      </c>
      <c r="S817" s="30" t="s">
        <v>106</v>
      </c>
      <c r="T817" s="30" t="s">
        <v>164</v>
      </c>
      <c r="U817" s="30" t="s">
        <v>234</v>
      </c>
      <c r="V817" s="30" t="s">
        <v>77</v>
      </c>
      <c r="W817" s="30" t="s">
        <v>79</v>
      </c>
      <c r="X817" s="30" t="s">
        <v>107</v>
      </c>
      <c r="Y817" s="30" t="s">
        <v>56</v>
      </c>
      <c r="Z817" s="30" t="s">
        <v>64</v>
      </c>
      <c r="AA817" s="30" t="s">
        <v>2516</v>
      </c>
      <c r="AB817" s="30" t="s">
        <v>56</v>
      </c>
      <c r="AC817" s="30" t="s">
        <v>2520</v>
      </c>
    </row>
    <row r="818" spans="1:29">
      <c r="A818" s="24" t="s">
        <v>2521</v>
      </c>
      <c r="B818" s="24" t="str">
        <f>IF(ISNUMBER(SEARCH(E818,A818)),A818,IF(OR(E818="",E818=""),A818,A818&amp;" - "&amp;E818))</f>
        <v>BC Green  27/1 HGH</v>
      </c>
      <c r="C818" s="24" t="s">
        <v>2522</v>
      </c>
      <c r="D818" s="24" t="s">
        <v>2523</v>
      </c>
      <c r="E818" s="41" t="s">
        <v>2524</v>
      </c>
      <c r="F818" s="24" t="s">
        <v>120</v>
      </c>
      <c r="G818" s="27">
        <v>27</v>
      </c>
      <c r="H818" s="28">
        <v>1</v>
      </c>
      <c r="I818" s="24"/>
      <c r="J818" s="24"/>
      <c r="K818" s="24" t="s">
        <v>52</v>
      </c>
      <c r="L818" s="24" t="s">
        <v>53</v>
      </c>
      <c r="M818" s="24" t="s">
        <v>72</v>
      </c>
      <c r="N818" s="24"/>
      <c r="O818" s="24"/>
      <c r="P818" s="24" t="s">
        <v>73</v>
      </c>
      <c r="Q818" s="24" t="s">
        <v>104</v>
      </c>
      <c r="R818" s="24" t="s">
        <v>75</v>
      </c>
      <c r="S818" s="24" t="s">
        <v>106</v>
      </c>
      <c r="T818" s="24" t="s">
        <v>91</v>
      </c>
      <c r="U818" s="24" t="s">
        <v>62</v>
      </c>
      <c r="V818" s="24" t="s">
        <v>77</v>
      </c>
      <c r="W818" s="24" t="s">
        <v>107</v>
      </c>
      <c r="X818" s="24"/>
      <c r="Y818" s="24" t="s">
        <v>130</v>
      </c>
      <c r="Z818" s="24" t="s">
        <v>64</v>
      </c>
      <c r="AA818" s="24" t="s">
        <v>2523</v>
      </c>
      <c r="AB818" s="24"/>
      <c r="AC818" s="24" t="s">
        <v>2525</v>
      </c>
    </row>
    <row r="819" spans="1:29">
      <c r="A819" s="30" t="s">
        <v>2526</v>
      </c>
      <c r="B819" s="30" t="str">
        <f>IF(ISNUMBER(SEARCH(E819,A819)),A819,IF(OR(E819="",E819=""),A819,A819&amp;" - "&amp;E819))</f>
        <v>BC Green 33/1 - Tiger Cake</v>
      </c>
      <c r="C819" s="30" t="s">
        <v>2522</v>
      </c>
      <c r="D819" s="30" t="s">
        <v>2523</v>
      </c>
      <c r="E819" s="30" t="s">
        <v>1303</v>
      </c>
      <c r="F819" s="30" t="s">
        <v>177</v>
      </c>
      <c r="G819" s="34">
        <v>34</v>
      </c>
      <c r="H819" s="35">
        <v>1</v>
      </c>
      <c r="I819" s="30"/>
      <c r="J819" s="30"/>
      <c r="K819" s="30" t="s">
        <v>52</v>
      </c>
      <c r="L819" s="30" t="s">
        <v>102</v>
      </c>
      <c r="M819" s="30" t="s">
        <v>88</v>
      </c>
      <c r="N819" s="30" t="s">
        <v>71</v>
      </c>
      <c r="O819" s="30" t="s">
        <v>103</v>
      </c>
      <c r="P819" s="30" t="s">
        <v>73</v>
      </c>
      <c r="Q819" s="30" t="s">
        <v>57</v>
      </c>
      <c r="R819" s="30" t="s">
        <v>56</v>
      </c>
      <c r="S819" s="30" t="s">
        <v>106</v>
      </c>
      <c r="T819" s="30" t="s">
        <v>128</v>
      </c>
      <c r="U819" s="30" t="s">
        <v>62</v>
      </c>
      <c r="V819" s="30" t="s">
        <v>77</v>
      </c>
      <c r="W819" s="30" t="s">
        <v>116</v>
      </c>
      <c r="X819" s="30" t="s">
        <v>107</v>
      </c>
      <c r="Y819" s="30" t="s">
        <v>978</v>
      </c>
      <c r="Z819" s="30" t="s">
        <v>64</v>
      </c>
      <c r="AA819" s="30" t="s">
        <v>2523</v>
      </c>
      <c r="AB819" s="30" t="s">
        <v>56</v>
      </c>
      <c r="AC819" s="30" t="s">
        <v>2527</v>
      </c>
    </row>
    <row r="820" spans="1:29">
      <c r="A820" s="24" t="s">
        <v>2528</v>
      </c>
      <c r="B820" s="24" t="str">
        <f>IF(ISNUMBER(SEARCH(E820,A820)),A820,IF(OR(E820="",E820=""),A820,A820&amp;" - "&amp;E820))</f>
        <v>BC Green SCK 25/1 - Scotti´s Cake</v>
      </c>
      <c r="C820" s="24" t="s">
        <v>2522</v>
      </c>
      <c r="D820" s="24" t="s">
        <v>2523</v>
      </c>
      <c r="E820" s="24" t="s">
        <v>2529</v>
      </c>
      <c r="F820" s="24" t="s">
        <v>120</v>
      </c>
      <c r="G820" s="27">
        <v>25</v>
      </c>
      <c r="H820" s="28">
        <v>1</v>
      </c>
      <c r="I820" s="24"/>
      <c r="J820" s="24"/>
      <c r="K820" s="24" t="s">
        <v>52</v>
      </c>
      <c r="L820" s="24" t="s">
        <v>53</v>
      </c>
      <c r="M820" s="24" t="s">
        <v>71</v>
      </c>
      <c r="N820" s="24" t="s">
        <v>103</v>
      </c>
      <c r="O820" s="24" t="s">
        <v>72</v>
      </c>
      <c r="P820" s="24" t="s">
        <v>104</v>
      </c>
      <c r="Q820" s="24" t="s">
        <v>89</v>
      </c>
      <c r="R820" s="24" t="s">
        <v>56</v>
      </c>
      <c r="S820" s="24" t="s">
        <v>123</v>
      </c>
      <c r="T820" s="24" t="s">
        <v>106</v>
      </c>
      <c r="U820" s="24" t="s">
        <v>62</v>
      </c>
      <c r="V820" s="24" t="s">
        <v>77</v>
      </c>
      <c r="W820" s="24" t="s">
        <v>116</v>
      </c>
      <c r="X820" s="24" t="s">
        <v>79</v>
      </c>
      <c r="Y820" s="24" t="s">
        <v>130</v>
      </c>
      <c r="Z820" s="24" t="s">
        <v>64</v>
      </c>
      <c r="AA820" s="24" t="s">
        <v>2523</v>
      </c>
      <c r="AB820" s="24" t="s">
        <v>56</v>
      </c>
      <c r="AC820" s="24" t="s">
        <v>2530</v>
      </c>
    </row>
    <row r="821" spans="1:29">
      <c r="A821" s="30" t="s">
        <v>2531</v>
      </c>
      <c r="B821" s="30" t="str">
        <f>IF(ISNUMBER(SEARCH(E821,A821)),A821,IF(OR(E821="",E821=""),A821,A821&amp;" - "&amp;E821))</f>
        <v>Beacon 30/1 GC - GMO Cookies</v>
      </c>
      <c r="C821" s="30" t="s">
        <v>911</v>
      </c>
      <c r="D821" s="30" t="s">
        <v>912</v>
      </c>
      <c r="E821" s="30" t="s">
        <v>816</v>
      </c>
      <c r="F821" s="30" t="s">
        <v>177</v>
      </c>
      <c r="G821" s="34">
        <v>30</v>
      </c>
      <c r="H821" s="35">
        <v>1</v>
      </c>
      <c r="I821" s="30"/>
      <c r="J821" s="30"/>
      <c r="K821" s="30" t="s">
        <v>52</v>
      </c>
      <c r="L821" s="30" t="s">
        <v>53</v>
      </c>
      <c r="M821" s="30" t="s">
        <v>88</v>
      </c>
      <c r="N821" s="30" t="s">
        <v>121</v>
      </c>
      <c r="O821" s="30" t="s">
        <v>72</v>
      </c>
      <c r="P821" s="30" t="s">
        <v>73</v>
      </c>
      <c r="Q821" s="30" t="s">
        <v>56</v>
      </c>
      <c r="R821" s="30" t="s">
        <v>56</v>
      </c>
      <c r="S821" s="30" t="s">
        <v>147</v>
      </c>
      <c r="T821" s="30" t="s">
        <v>106</v>
      </c>
      <c r="U821" s="30" t="s">
        <v>234</v>
      </c>
      <c r="V821" s="30" t="s">
        <v>92</v>
      </c>
      <c r="W821" s="30" t="s">
        <v>116</v>
      </c>
      <c r="X821" s="30" t="s">
        <v>79</v>
      </c>
      <c r="Y821" s="30" t="s">
        <v>2532</v>
      </c>
      <c r="Z821" s="30" t="s">
        <v>64</v>
      </c>
      <c r="AA821" s="30" t="s">
        <v>912</v>
      </c>
      <c r="AB821" s="30" t="s">
        <v>56</v>
      </c>
      <c r="AC821" s="36" t="s">
        <v>2533</v>
      </c>
    </row>
    <row r="822" spans="1:29">
      <c r="A822" s="24" t="s">
        <v>2534</v>
      </c>
      <c r="B822" s="24" t="str">
        <f>IF(ISNUMBER(SEARCH(E822,A822)),A822,IF(OR(E822="",E822=""),A822,A822&amp;" - "&amp;E822))</f>
        <v>Beacon BT T18 - Black Triangle</v>
      </c>
      <c r="C822" s="24" t="s">
        <v>911</v>
      </c>
      <c r="D822" s="24" t="s">
        <v>912</v>
      </c>
      <c r="E822" s="24" t="s">
        <v>688</v>
      </c>
      <c r="F822" s="24" t="s">
        <v>86</v>
      </c>
      <c r="G822" s="27">
        <v>18</v>
      </c>
      <c r="H822" s="28">
        <v>1</v>
      </c>
      <c r="I822" s="24"/>
      <c r="J822" s="24"/>
      <c r="K822" s="24" t="s">
        <v>52</v>
      </c>
      <c r="L822" s="24"/>
      <c r="M822" s="24" t="s">
        <v>88</v>
      </c>
      <c r="N822" s="24" t="s">
        <v>71</v>
      </c>
      <c r="O822" s="24" t="s">
        <v>178</v>
      </c>
      <c r="P822" s="24" t="s">
        <v>146</v>
      </c>
      <c r="Q822" s="24" t="s">
        <v>74</v>
      </c>
      <c r="R822" s="24" t="s">
        <v>59</v>
      </c>
      <c r="S822" s="24" t="s">
        <v>56</v>
      </c>
      <c r="T822" s="24" t="s">
        <v>56</v>
      </c>
      <c r="U822" s="24" t="s">
        <v>56</v>
      </c>
      <c r="V822" s="24" t="s">
        <v>77</v>
      </c>
      <c r="W822" s="24" t="s">
        <v>165</v>
      </c>
      <c r="X822" s="24" t="s">
        <v>180</v>
      </c>
      <c r="Y822" s="24" t="s">
        <v>307</v>
      </c>
      <c r="Z822" s="24" t="s">
        <v>64</v>
      </c>
      <c r="AA822" s="24" t="s">
        <v>912</v>
      </c>
      <c r="AB822" s="24" t="s">
        <v>56</v>
      </c>
      <c r="AC822" s="37" t="s">
        <v>2535</v>
      </c>
    </row>
    <row r="823" spans="1:29">
      <c r="A823" s="30" t="s">
        <v>2536</v>
      </c>
      <c r="B823" s="30" t="str">
        <f>IF(ISNUMBER(SEARCH(E823,A823)),A823,IF(OR(E823="",E823=""),A823,A823&amp;" - "&amp;E823))</f>
        <v>Beacon I-Hybrid THC16 - Wappa</v>
      </c>
      <c r="C823" s="30" t="s">
        <v>613</v>
      </c>
      <c r="D823" s="30" t="s">
        <v>614</v>
      </c>
      <c r="E823" s="30" t="s">
        <v>566</v>
      </c>
      <c r="F823" s="30" t="s">
        <v>86</v>
      </c>
      <c r="G823" s="34">
        <v>16</v>
      </c>
      <c r="H823" s="35">
        <v>9</v>
      </c>
      <c r="I823" s="30"/>
      <c r="J823" s="30"/>
      <c r="K823" s="30" t="s">
        <v>17</v>
      </c>
      <c r="L823" s="30" t="s">
        <v>53</v>
      </c>
      <c r="M823" s="30" t="s">
        <v>54</v>
      </c>
      <c r="N823" s="30" t="s">
        <v>111</v>
      </c>
      <c r="O823" s="30" t="s">
        <v>212</v>
      </c>
      <c r="P823" s="30" t="s">
        <v>75</v>
      </c>
      <c r="Q823" s="30" t="s">
        <v>89</v>
      </c>
      <c r="R823" s="30" t="s">
        <v>56</v>
      </c>
      <c r="S823" s="30" t="s">
        <v>105</v>
      </c>
      <c r="T823" s="30" t="s">
        <v>123</v>
      </c>
      <c r="U823" s="30" t="s">
        <v>106</v>
      </c>
      <c r="V823" s="30" t="s">
        <v>77</v>
      </c>
      <c r="W823" s="30" t="s">
        <v>116</v>
      </c>
      <c r="X823" s="30" t="s">
        <v>79</v>
      </c>
      <c r="Y823" s="30" t="s">
        <v>56</v>
      </c>
      <c r="Z823" s="30" t="s">
        <v>64</v>
      </c>
      <c r="AA823" s="30" t="s">
        <v>614</v>
      </c>
      <c r="AB823" s="30" t="s">
        <v>56</v>
      </c>
      <c r="AC823" s="30" t="s">
        <v>2537</v>
      </c>
    </row>
    <row r="824" spans="1:29">
      <c r="A824" s="24" t="s">
        <v>2538</v>
      </c>
      <c r="B824" s="24" t="str">
        <f>IF(ISNUMBER(SEARCH(E824,A824)),A824,IF(OR(E824="",E824=""),A824,A824&amp;" - "&amp;E824))</f>
        <v>Beacon I-Hybrid THC18 - Wappa</v>
      </c>
      <c r="C824" s="24" t="s">
        <v>613</v>
      </c>
      <c r="D824" s="24" t="s">
        <v>614</v>
      </c>
      <c r="E824" s="24" t="s">
        <v>566</v>
      </c>
      <c r="F824" s="24" t="s">
        <v>86</v>
      </c>
      <c r="G824" s="27">
        <v>18</v>
      </c>
      <c r="H824" s="28">
        <v>9</v>
      </c>
      <c r="I824" s="24"/>
      <c r="J824" s="24"/>
      <c r="K824" s="24" t="s">
        <v>17</v>
      </c>
      <c r="L824" s="24" t="s">
        <v>53</v>
      </c>
      <c r="M824" s="24" t="s">
        <v>54</v>
      </c>
      <c r="N824" s="24" t="s">
        <v>111</v>
      </c>
      <c r="O824" s="24" t="s">
        <v>212</v>
      </c>
      <c r="P824" s="24" t="s">
        <v>75</v>
      </c>
      <c r="Q824" s="24" t="s">
        <v>89</v>
      </c>
      <c r="R824" s="24" t="s">
        <v>56</v>
      </c>
      <c r="S824" s="24" t="s">
        <v>105</v>
      </c>
      <c r="T824" s="24" t="s">
        <v>123</v>
      </c>
      <c r="U824" s="24" t="s">
        <v>106</v>
      </c>
      <c r="V824" s="24" t="s">
        <v>77</v>
      </c>
      <c r="W824" s="24" t="s">
        <v>116</v>
      </c>
      <c r="X824" s="24" t="s">
        <v>79</v>
      </c>
      <c r="Y824" s="24" t="s">
        <v>56</v>
      </c>
      <c r="Z824" s="24" t="s">
        <v>64</v>
      </c>
      <c r="AA824" s="24" t="s">
        <v>614</v>
      </c>
      <c r="AB824" s="24" t="s">
        <v>56</v>
      </c>
      <c r="AC824" s="24" t="s">
        <v>2539</v>
      </c>
    </row>
    <row r="825" spans="1:29">
      <c r="A825" s="30" t="s">
        <v>2540</v>
      </c>
      <c r="B825" s="30" t="str">
        <f>IF(ISNUMBER(SEARCH(E825,A825)),A825,IF(OR(E825="",E825=""),A825,A825&amp;" - "&amp;E825))</f>
        <v>Beacon I-Hybrid THC22 - Wappa</v>
      </c>
      <c r="C825" s="30" t="s">
        <v>613</v>
      </c>
      <c r="D825" s="30" t="s">
        <v>614</v>
      </c>
      <c r="E825" s="30" t="s">
        <v>566</v>
      </c>
      <c r="F825" s="30" t="s">
        <v>86</v>
      </c>
      <c r="G825" s="34">
        <v>22</v>
      </c>
      <c r="H825" s="35">
        <v>1</v>
      </c>
      <c r="I825" s="30"/>
      <c r="J825" s="30"/>
      <c r="K825" s="30" t="s">
        <v>17</v>
      </c>
      <c r="L825" s="30" t="s">
        <v>53</v>
      </c>
      <c r="M825" s="30" t="s">
        <v>54</v>
      </c>
      <c r="N825" s="30" t="s">
        <v>111</v>
      </c>
      <c r="O825" s="30" t="s">
        <v>212</v>
      </c>
      <c r="P825" s="30" t="s">
        <v>75</v>
      </c>
      <c r="Q825" s="30" t="s">
        <v>89</v>
      </c>
      <c r="R825" s="30" t="s">
        <v>56</v>
      </c>
      <c r="S825" s="30" t="s">
        <v>123</v>
      </c>
      <c r="T825" s="30" t="s">
        <v>106</v>
      </c>
      <c r="U825" s="30" t="s">
        <v>128</v>
      </c>
      <c r="V825" s="30" t="s">
        <v>77</v>
      </c>
      <c r="W825" s="30" t="s">
        <v>116</v>
      </c>
      <c r="X825" s="30" t="s">
        <v>79</v>
      </c>
      <c r="Y825" s="30" t="s">
        <v>56</v>
      </c>
      <c r="Z825" s="30" t="s">
        <v>64</v>
      </c>
      <c r="AA825" s="30" t="s">
        <v>614</v>
      </c>
      <c r="AB825" s="30" t="s">
        <v>56</v>
      </c>
      <c r="AC825" s="30" t="s">
        <v>2541</v>
      </c>
    </row>
    <row r="826" spans="1:29">
      <c r="A826" s="24" t="s">
        <v>2542</v>
      </c>
      <c r="B826" s="24" t="str">
        <f>IF(ISNUMBER(SEARCH(E826,A826)),A826,IF(OR(E826="",E826=""),A826,A826&amp;" - "&amp;E826))</f>
        <v>Beacon Indica THC18 - Sensi Star</v>
      </c>
      <c r="C826" s="24" t="s">
        <v>613</v>
      </c>
      <c r="D826" s="24" t="s">
        <v>614</v>
      </c>
      <c r="E826" s="24" t="s">
        <v>615</v>
      </c>
      <c r="F826" s="24" t="s">
        <v>120</v>
      </c>
      <c r="G826" s="27">
        <v>18</v>
      </c>
      <c r="H826" s="28">
        <v>1</v>
      </c>
      <c r="I826" s="24"/>
      <c r="J826" s="24"/>
      <c r="K826" s="24" t="s">
        <v>17</v>
      </c>
      <c r="L826" s="24" t="s">
        <v>53</v>
      </c>
      <c r="M826" s="24" t="s">
        <v>212</v>
      </c>
      <c r="N826" s="24" t="s">
        <v>103</v>
      </c>
      <c r="O826" s="24" t="s">
        <v>121</v>
      </c>
      <c r="P826" s="24" t="s">
        <v>157</v>
      </c>
      <c r="Q826" s="24" t="s">
        <v>74</v>
      </c>
      <c r="R826" s="24" t="s">
        <v>75</v>
      </c>
      <c r="S826" s="24" t="s">
        <v>90</v>
      </c>
      <c r="T826" s="24" t="s">
        <v>147</v>
      </c>
      <c r="U826" s="24" t="s">
        <v>115</v>
      </c>
      <c r="V826" s="24" t="s">
        <v>77</v>
      </c>
      <c r="W826" s="24" t="s">
        <v>116</v>
      </c>
      <c r="X826" s="24" t="s">
        <v>107</v>
      </c>
      <c r="Y826" s="24" t="s">
        <v>56</v>
      </c>
      <c r="Z826" s="24" t="s">
        <v>64</v>
      </c>
      <c r="AA826" s="24" t="s">
        <v>614</v>
      </c>
      <c r="AB826" s="24" t="s">
        <v>56</v>
      </c>
      <c r="AC826" s="24" t="s">
        <v>2543</v>
      </c>
    </row>
    <row r="827" spans="1:29">
      <c r="A827" s="30" t="s">
        <v>2544</v>
      </c>
      <c r="B827" s="30" t="str">
        <f>IF(ISNUMBER(SEARCH(E827,A827)),A827,IF(OR(E827="",E827=""),A827,A827&amp;" - "&amp;E827))</f>
        <v>Bedica - Talea</v>
      </c>
      <c r="C827" s="30" t="s">
        <v>880</v>
      </c>
      <c r="D827" s="30" t="s">
        <v>881</v>
      </c>
      <c r="E827" s="30" t="s">
        <v>2545</v>
      </c>
      <c r="F827" s="30" t="s">
        <v>120</v>
      </c>
      <c r="G827" s="34">
        <v>14</v>
      </c>
      <c r="H827" s="35">
        <v>1</v>
      </c>
      <c r="I827" s="30"/>
      <c r="J827" s="30"/>
      <c r="K827" s="30" t="s">
        <v>17</v>
      </c>
      <c r="L827" s="30" t="s">
        <v>883</v>
      </c>
      <c r="M827" s="30" t="s">
        <v>72</v>
      </c>
      <c r="N827" s="30"/>
      <c r="O827" s="30" t="s">
        <v>56</v>
      </c>
      <c r="P827" s="30" t="s">
        <v>136</v>
      </c>
      <c r="Q827" s="30" t="s">
        <v>74</v>
      </c>
      <c r="R827" s="30" t="s">
        <v>59</v>
      </c>
      <c r="S827" s="30" t="s">
        <v>147</v>
      </c>
      <c r="T827" s="30" t="s">
        <v>123</v>
      </c>
      <c r="U827" s="30" t="s">
        <v>91</v>
      </c>
      <c r="V827" s="30" t="s">
        <v>77</v>
      </c>
      <c r="W827" s="30" t="s">
        <v>107</v>
      </c>
      <c r="X827" s="30" t="s">
        <v>173</v>
      </c>
      <c r="Y827" s="30" t="s">
        <v>2546</v>
      </c>
      <c r="Z827" s="30" t="s">
        <v>64</v>
      </c>
      <c r="AA827" s="30" t="s">
        <v>881</v>
      </c>
      <c r="AB827" s="30" t="s">
        <v>56</v>
      </c>
      <c r="AC827" s="30" t="s">
        <v>2547</v>
      </c>
    </row>
    <row r="828" spans="1:29">
      <c r="A828" s="24" t="s">
        <v>2548</v>
      </c>
      <c r="B828" s="24" t="str">
        <f>IF(ISNUMBER(SEARCH(E828,A828)),A828,IF(OR(E828="",E828=""),A828,A828&amp;" - "&amp;E828))</f>
        <v>Bedrobinol - Ludina</v>
      </c>
      <c r="C828" s="24" t="s">
        <v>880</v>
      </c>
      <c r="D828" s="24" t="s">
        <v>881</v>
      </c>
      <c r="E828" s="24" t="s">
        <v>2549</v>
      </c>
      <c r="F828" s="24" t="s">
        <v>69</v>
      </c>
      <c r="G828" s="27">
        <v>14</v>
      </c>
      <c r="H828" s="28">
        <v>1</v>
      </c>
      <c r="I828" s="24"/>
      <c r="J828" s="24"/>
      <c r="K828" s="24" t="s">
        <v>17</v>
      </c>
      <c r="L828" s="24" t="s">
        <v>883</v>
      </c>
      <c r="M828" s="24" t="s">
        <v>54</v>
      </c>
      <c r="N828" s="24" t="s">
        <v>111</v>
      </c>
      <c r="O828" s="24" t="s">
        <v>72</v>
      </c>
      <c r="P828" s="24" t="s">
        <v>157</v>
      </c>
      <c r="Q828" s="24" t="s">
        <v>104</v>
      </c>
      <c r="R828" s="24" t="s">
        <v>75</v>
      </c>
      <c r="S828" s="24" t="s">
        <v>147</v>
      </c>
      <c r="T828" s="24" t="s">
        <v>106</v>
      </c>
      <c r="U828" s="24" t="s">
        <v>91</v>
      </c>
      <c r="V828" s="24" t="s">
        <v>77</v>
      </c>
      <c r="W828" s="24" t="s">
        <v>116</v>
      </c>
      <c r="X828" s="24" t="s">
        <v>165</v>
      </c>
      <c r="Y828" s="24" t="s">
        <v>2550</v>
      </c>
      <c r="Z828" s="24" t="s">
        <v>64</v>
      </c>
      <c r="AA828" s="24" t="s">
        <v>881</v>
      </c>
      <c r="AB828" s="24" t="s">
        <v>56</v>
      </c>
      <c r="AC828" s="24" t="s">
        <v>2551</v>
      </c>
    </row>
    <row r="829" spans="1:29">
      <c r="A829" s="30" t="s">
        <v>2552</v>
      </c>
      <c r="B829" s="30" t="str">
        <f>IF(ISNUMBER(SEARCH(E829,A829)),A829,IF(OR(E829="",E829=""),A829,A829&amp;" - "&amp;E829))</f>
        <v>Bedrolite - Rensina</v>
      </c>
      <c r="C829" s="30" t="s">
        <v>880</v>
      </c>
      <c r="D829" s="30" t="s">
        <v>881</v>
      </c>
      <c r="E829" s="30" t="s">
        <v>2553</v>
      </c>
      <c r="F829" s="30" t="s">
        <v>69</v>
      </c>
      <c r="G829" s="34">
        <v>1</v>
      </c>
      <c r="H829" s="35">
        <v>9</v>
      </c>
      <c r="I829" s="30"/>
      <c r="J829" s="30"/>
      <c r="K829" s="30" t="s">
        <v>17</v>
      </c>
      <c r="L829" s="30" t="s">
        <v>883</v>
      </c>
      <c r="M829" s="30" t="s">
        <v>111</v>
      </c>
      <c r="N829" s="30" t="s">
        <v>72</v>
      </c>
      <c r="O829" s="30" t="s">
        <v>56</v>
      </c>
      <c r="P829" s="30" t="s">
        <v>74</v>
      </c>
      <c r="Q829" s="30" t="s">
        <v>58</v>
      </c>
      <c r="R829" s="30" t="s">
        <v>59</v>
      </c>
      <c r="S829" s="30" t="s">
        <v>2554</v>
      </c>
      <c r="T829" s="30" t="s">
        <v>90</v>
      </c>
      <c r="U829" s="30" t="s">
        <v>147</v>
      </c>
      <c r="V829" s="30" t="s">
        <v>77</v>
      </c>
      <c r="W829" s="30" t="s">
        <v>137</v>
      </c>
      <c r="X829" s="30" t="s">
        <v>2555</v>
      </c>
      <c r="Y829" s="30" t="s">
        <v>2556</v>
      </c>
      <c r="Z829" s="30" t="s">
        <v>64</v>
      </c>
      <c r="AA829" s="30" t="s">
        <v>881</v>
      </c>
      <c r="AB829" s="30" t="s">
        <v>56</v>
      </c>
      <c r="AC829" s="30" t="s">
        <v>2557</v>
      </c>
    </row>
    <row r="830" spans="1:29">
      <c r="A830" s="24" t="s">
        <v>2558</v>
      </c>
      <c r="B830" s="24" t="str">
        <f>IF(ISNUMBER(SEARCH(E830,A830)),A830,IF(OR(E830="",E830=""),A830,A830&amp;" - "&amp;E830))</f>
        <v>BG Gog - Glueberry OG</v>
      </c>
      <c r="C830" s="24" t="s">
        <v>564</v>
      </c>
      <c r="D830" s="24" t="s">
        <v>565</v>
      </c>
      <c r="E830" s="24" t="s">
        <v>2559</v>
      </c>
      <c r="F830" s="24" t="s">
        <v>2560</v>
      </c>
      <c r="G830" s="27">
        <v>24</v>
      </c>
      <c r="H830" s="28">
        <v>1</v>
      </c>
      <c r="I830" s="24"/>
      <c r="J830" s="24"/>
      <c r="K830" s="24" t="s">
        <v>52</v>
      </c>
      <c r="L830" s="24" t="s">
        <v>53</v>
      </c>
      <c r="M830" s="24" t="s">
        <v>156</v>
      </c>
      <c r="N830" s="24" t="s">
        <v>111</v>
      </c>
      <c r="O830" s="24" t="s">
        <v>178</v>
      </c>
      <c r="P830" s="24" t="s">
        <v>122</v>
      </c>
      <c r="Q830" s="24" t="s">
        <v>104</v>
      </c>
      <c r="R830" s="24" t="s">
        <v>58</v>
      </c>
      <c r="S830" s="24" t="s">
        <v>105</v>
      </c>
      <c r="T830" s="24" t="s">
        <v>128</v>
      </c>
      <c r="U830" s="24" t="s">
        <v>62</v>
      </c>
      <c r="V830" s="24" t="s">
        <v>165</v>
      </c>
      <c r="W830" s="24" t="s">
        <v>79</v>
      </c>
      <c r="X830" s="24" t="s">
        <v>56</v>
      </c>
      <c r="Y830" s="24" t="s">
        <v>56</v>
      </c>
      <c r="Z830" s="24" t="s">
        <v>64</v>
      </c>
      <c r="AA830" s="24" t="s">
        <v>565</v>
      </c>
      <c r="AB830" s="24" t="s">
        <v>56</v>
      </c>
      <c r="AC830" s="24" t="s">
        <v>2561</v>
      </c>
    </row>
    <row r="831" spans="1:29">
      <c r="A831" s="30" t="s">
        <v>2562</v>
      </c>
      <c r="B831" s="30" t="str">
        <f>IF(ISNUMBER(SEARCH(E831,A831)),A831,IF(OR(E831="",E831=""),A831,A831&amp;" - "&amp;E831))</f>
        <v>BG MI - God Bud</v>
      </c>
      <c r="C831" s="30" t="s">
        <v>564</v>
      </c>
      <c r="D831" s="30" t="s">
        <v>565</v>
      </c>
      <c r="E831" s="30" t="s">
        <v>1336</v>
      </c>
      <c r="F831" s="30" t="s">
        <v>86</v>
      </c>
      <c r="G831" s="34">
        <v>25</v>
      </c>
      <c r="H831" s="35">
        <v>1</v>
      </c>
      <c r="I831" s="30"/>
      <c r="J831" s="30"/>
      <c r="K831" s="30" t="s">
        <v>52</v>
      </c>
      <c r="L831" s="30" t="s">
        <v>53</v>
      </c>
      <c r="M831" s="30" t="s">
        <v>103</v>
      </c>
      <c r="N831" s="30" t="s">
        <v>121</v>
      </c>
      <c r="O831" s="30" t="s">
        <v>72</v>
      </c>
      <c r="P831" s="30" t="s">
        <v>104</v>
      </c>
      <c r="Q831" s="30" t="s">
        <v>59</v>
      </c>
      <c r="R831" s="30" t="s">
        <v>56</v>
      </c>
      <c r="S831" s="30" t="s">
        <v>60</v>
      </c>
      <c r="T831" s="30" t="s">
        <v>62</v>
      </c>
      <c r="U831" s="30" t="s">
        <v>128</v>
      </c>
      <c r="V831" s="30" t="s">
        <v>77</v>
      </c>
      <c r="W831" s="30" t="s">
        <v>129</v>
      </c>
      <c r="X831" s="30" t="s">
        <v>107</v>
      </c>
      <c r="Y831" s="30" t="s">
        <v>56</v>
      </c>
      <c r="Z831" s="30" t="s">
        <v>64</v>
      </c>
      <c r="AA831" s="30" t="s">
        <v>565</v>
      </c>
      <c r="AB831" s="30" t="s">
        <v>56</v>
      </c>
      <c r="AC831" s="30" t="s">
        <v>2563</v>
      </c>
    </row>
    <row r="832" spans="1:29">
      <c r="A832" s="24" t="s">
        <v>2564</v>
      </c>
      <c r="B832" s="24" t="str">
        <f>IF(ISNUMBER(SEARCH(E832,A832)),A832,IF(OR(E832="",E832=""),A832,A832&amp;" - "&amp;E832))</f>
        <v>Big Dreams 20/1 HCC DBU - Donkey Butter</v>
      </c>
      <c r="C832" s="24" t="s">
        <v>83</v>
      </c>
      <c r="D832" s="24" t="s">
        <v>84</v>
      </c>
      <c r="E832" s="41" t="s">
        <v>2565</v>
      </c>
      <c r="F832" s="24" t="s">
        <v>120</v>
      </c>
      <c r="G832" s="27">
        <v>20</v>
      </c>
      <c r="H832" s="28">
        <v>1</v>
      </c>
      <c r="I832" s="24"/>
      <c r="J832" s="24"/>
      <c r="K832" s="24" t="s">
        <v>52</v>
      </c>
      <c r="L832" s="24" t="s">
        <v>53</v>
      </c>
      <c r="M832" s="24" t="s">
        <v>72</v>
      </c>
      <c r="N832" s="24"/>
      <c r="O832" s="24"/>
      <c r="P832" s="24" t="s">
        <v>73</v>
      </c>
      <c r="Q832" s="24" t="s">
        <v>74</v>
      </c>
      <c r="R832" s="24" t="s">
        <v>59</v>
      </c>
      <c r="S832" s="24" t="s">
        <v>147</v>
      </c>
      <c r="T832" s="24" t="s">
        <v>106</v>
      </c>
      <c r="U832" s="24" t="s">
        <v>62</v>
      </c>
      <c r="V832" s="24" t="s">
        <v>77</v>
      </c>
      <c r="W832" s="24" t="s">
        <v>116</v>
      </c>
      <c r="X832" s="24" t="s">
        <v>180</v>
      </c>
      <c r="Y832" s="24"/>
      <c r="Z832" s="24" t="s">
        <v>64</v>
      </c>
      <c r="AA832" s="24" t="s">
        <v>95</v>
      </c>
      <c r="AB832" s="24"/>
      <c r="AC832" s="37" t="s">
        <v>2566</v>
      </c>
    </row>
    <row r="833" spans="1:29">
      <c r="A833" s="30" t="s">
        <v>2567</v>
      </c>
      <c r="B833" s="30" t="str">
        <f>IF(ISNUMBER(SEARCH(E833,A833)),A833,IF(OR(E833="",E833=""),A833,A833&amp;" - "&amp;E833))</f>
        <v>Big Dreams 21/1 Mini PSF - T20</v>
      </c>
      <c r="C833" s="30" t="s">
        <v>83</v>
      </c>
      <c r="D833" s="30" t="s">
        <v>84</v>
      </c>
      <c r="E833" s="40" t="s">
        <v>2568</v>
      </c>
      <c r="F833" s="30" t="s">
        <v>86</v>
      </c>
      <c r="G833" s="34">
        <v>23</v>
      </c>
      <c r="H833" s="35">
        <v>1</v>
      </c>
      <c r="I833" s="30"/>
      <c r="J833" s="30"/>
      <c r="K833" s="30" t="s">
        <v>17</v>
      </c>
      <c r="L833" s="30" t="s">
        <v>53</v>
      </c>
      <c r="M833" s="30" t="s">
        <v>54</v>
      </c>
      <c r="N833" s="30" t="s">
        <v>88</v>
      </c>
      <c r="O833" s="30" t="s">
        <v>72</v>
      </c>
      <c r="P833" s="30" t="s">
        <v>58</v>
      </c>
      <c r="Q833" s="30"/>
      <c r="R833" s="30"/>
      <c r="S833" s="30" t="s">
        <v>123</v>
      </c>
      <c r="T833" s="30" t="s">
        <v>106</v>
      </c>
      <c r="U833" s="30" t="s">
        <v>62</v>
      </c>
      <c r="V833" s="30" t="s">
        <v>116</v>
      </c>
      <c r="W833" s="30" t="s">
        <v>79</v>
      </c>
      <c r="X833" s="30" t="s">
        <v>107</v>
      </c>
      <c r="Y833" s="30" t="s">
        <v>130</v>
      </c>
      <c r="Z833" s="30" t="s">
        <v>64</v>
      </c>
      <c r="AA833" s="30" t="s">
        <v>95</v>
      </c>
      <c r="AB833" s="30"/>
      <c r="AC833" s="30" t="s">
        <v>2569</v>
      </c>
    </row>
    <row r="834" spans="1:29">
      <c r="A834" s="24" t="s">
        <v>2570</v>
      </c>
      <c r="B834" s="24" t="str">
        <f>IF(ISNUMBER(SEARCH(E834,A834)),A834,IF(OR(E834="",E834=""),A834,A834&amp;" - "&amp;E834))</f>
        <v>Big Dreams 21/1 Mini PSF BCF - Berry Cream Puff</v>
      </c>
      <c r="C834" s="24" t="s">
        <v>83</v>
      </c>
      <c r="D834" s="24" t="s">
        <v>84</v>
      </c>
      <c r="E834" s="41" t="s">
        <v>2571</v>
      </c>
      <c r="F834" s="24" t="s">
        <v>144</v>
      </c>
      <c r="G834" s="27">
        <v>21</v>
      </c>
      <c r="H834" s="28">
        <v>1</v>
      </c>
      <c r="I834" s="24"/>
      <c r="J834" s="24"/>
      <c r="K834" s="24" t="s">
        <v>52</v>
      </c>
      <c r="L834" s="24" t="s">
        <v>53</v>
      </c>
      <c r="M834" s="24" t="s">
        <v>88</v>
      </c>
      <c r="N834" s="24" t="s">
        <v>71</v>
      </c>
      <c r="O834" s="24" t="s">
        <v>72</v>
      </c>
      <c r="P834" s="24" t="s">
        <v>89</v>
      </c>
      <c r="Q834" s="24" t="s">
        <v>58</v>
      </c>
      <c r="R834" s="24"/>
      <c r="S834" s="24" t="s">
        <v>147</v>
      </c>
      <c r="T834" s="24" t="s">
        <v>106</v>
      </c>
      <c r="U834" s="24" t="s">
        <v>91</v>
      </c>
      <c r="V834" s="24" t="s">
        <v>77</v>
      </c>
      <c r="W834" s="24" t="s">
        <v>79</v>
      </c>
      <c r="X834" s="24" t="s">
        <v>173</v>
      </c>
      <c r="Y834" s="24" t="s">
        <v>130</v>
      </c>
      <c r="Z834" s="24" t="s">
        <v>64</v>
      </c>
      <c r="AA834" s="24" t="s">
        <v>95</v>
      </c>
      <c r="AB834" s="24"/>
      <c r="AC834" s="24" t="s">
        <v>2572</v>
      </c>
    </row>
    <row r="835" spans="1:29">
      <c r="A835" s="30" t="s">
        <v>2573</v>
      </c>
      <c r="B835" s="30" t="str">
        <f>IF(ISNUMBER(SEARCH(E835,A835)),A835,IF(OR(E835="",E835=""),A835,A835&amp;" - "&amp;E835))</f>
        <v>Big Dreams 21/1 Mini PSF PK - Pink Kush</v>
      </c>
      <c r="C835" s="30" t="s">
        <v>83</v>
      </c>
      <c r="D835" s="30" t="s">
        <v>84</v>
      </c>
      <c r="E835" s="40" t="s">
        <v>101</v>
      </c>
      <c r="F835" s="30" t="s">
        <v>86</v>
      </c>
      <c r="G835" s="34">
        <v>21</v>
      </c>
      <c r="H835" s="35">
        <v>1</v>
      </c>
      <c r="I835" s="30"/>
      <c r="J835" s="30"/>
      <c r="K835" s="30" t="s">
        <v>17</v>
      </c>
      <c r="L835" s="30" t="s">
        <v>102</v>
      </c>
      <c r="M835" s="30" t="s">
        <v>88</v>
      </c>
      <c r="N835" s="30" t="s">
        <v>71</v>
      </c>
      <c r="O835" s="30" t="s">
        <v>103</v>
      </c>
      <c r="P835" s="30" t="s">
        <v>57</v>
      </c>
      <c r="Q835" s="30" t="s">
        <v>104</v>
      </c>
      <c r="R835" s="30" t="s">
        <v>74</v>
      </c>
      <c r="S835" s="30" t="s">
        <v>60</v>
      </c>
      <c r="T835" s="30" t="s">
        <v>123</v>
      </c>
      <c r="U835" s="30" t="s">
        <v>106</v>
      </c>
      <c r="V835" s="30" t="s">
        <v>77</v>
      </c>
      <c r="W835" s="30" t="s">
        <v>79</v>
      </c>
      <c r="X835" s="30" t="s">
        <v>107</v>
      </c>
      <c r="Y835" s="30" t="s">
        <v>130</v>
      </c>
      <c r="Z835" s="30" t="s">
        <v>64</v>
      </c>
      <c r="AA835" s="30" t="s">
        <v>95</v>
      </c>
      <c r="AB835" s="30"/>
      <c r="AC835" s="36" t="s">
        <v>2574</v>
      </c>
    </row>
    <row r="836" spans="1:29">
      <c r="A836" s="24" t="s">
        <v>2575</v>
      </c>
      <c r="B836" s="24" t="str">
        <f>IF(ISNUMBER(SEARCH(E836,A836)),A836,IF(OR(E836="",E836=""),A836,A836&amp;" - "&amp;E836))</f>
        <v>Big Dreams 24/1 PSF BAA - Baked Animal</v>
      </c>
      <c r="C836" s="24" t="s">
        <v>83</v>
      </c>
      <c r="D836" s="24" t="s">
        <v>84</v>
      </c>
      <c r="E836" s="24" t="s">
        <v>2576</v>
      </c>
      <c r="F836" s="24" t="s">
        <v>86</v>
      </c>
      <c r="G836" s="27">
        <v>24</v>
      </c>
      <c r="H836" s="28">
        <v>1</v>
      </c>
      <c r="I836" s="24"/>
      <c r="J836" s="24"/>
      <c r="K836" s="24" t="s">
        <v>52</v>
      </c>
      <c r="L836" s="24" t="s">
        <v>53</v>
      </c>
      <c r="M836" s="24" t="s">
        <v>88</v>
      </c>
      <c r="N836" s="24" t="s">
        <v>72</v>
      </c>
      <c r="O836" s="24" t="s">
        <v>56</v>
      </c>
      <c r="P836" s="24" t="s">
        <v>73</v>
      </c>
      <c r="Q836" s="24" t="s">
        <v>89</v>
      </c>
      <c r="R836" s="24" t="s">
        <v>56</v>
      </c>
      <c r="S836" s="24" t="s">
        <v>147</v>
      </c>
      <c r="T836" s="24" t="s">
        <v>123</v>
      </c>
      <c r="U836" s="24" t="s">
        <v>106</v>
      </c>
      <c r="V836" s="24" t="s">
        <v>77</v>
      </c>
      <c r="W836" s="24" t="s">
        <v>116</v>
      </c>
      <c r="X836" s="24" t="s">
        <v>107</v>
      </c>
      <c r="Y836" s="24" t="s">
        <v>2050</v>
      </c>
      <c r="Z836" s="24" t="s">
        <v>64</v>
      </c>
      <c r="AA836" s="24" t="s">
        <v>95</v>
      </c>
      <c r="AB836" s="24" t="s">
        <v>56</v>
      </c>
      <c r="AC836" s="24" t="s">
        <v>2577</v>
      </c>
    </row>
    <row r="837" spans="1:29">
      <c r="A837" s="30" t="s">
        <v>2578</v>
      </c>
      <c r="B837" s="30" t="str">
        <f>IF(ISNUMBER(SEARCH(E837,A837)),A837,IF(OR(E837="",E837=""),A837,A837&amp;" - "&amp;E837))</f>
        <v>Blackbird Plain Indica - Kerosene Krash</v>
      </c>
      <c r="C837" s="30" t="s">
        <v>564</v>
      </c>
      <c r="D837" s="30" t="s">
        <v>565</v>
      </c>
      <c r="E837" s="30" t="s">
        <v>2579</v>
      </c>
      <c r="F837" s="30" t="s">
        <v>120</v>
      </c>
      <c r="G837" s="34">
        <v>15</v>
      </c>
      <c r="H837" s="35">
        <v>1</v>
      </c>
      <c r="I837" s="30"/>
      <c r="J837" s="30"/>
      <c r="K837" s="30" t="s">
        <v>52</v>
      </c>
      <c r="L837" s="30" t="s">
        <v>145</v>
      </c>
      <c r="M837" s="30" t="s">
        <v>54</v>
      </c>
      <c r="N837" s="30" t="s">
        <v>88</v>
      </c>
      <c r="O837" s="30" t="s">
        <v>71</v>
      </c>
      <c r="P837" s="30" t="s">
        <v>59</v>
      </c>
      <c r="Q837" s="30" t="s">
        <v>56</v>
      </c>
      <c r="R837" s="30" t="s">
        <v>56</v>
      </c>
      <c r="S837" s="30" t="s">
        <v>192</v>
      </c>
      <c r="T837" s="30" t="s">
        <v>147</v>
      </c>
      <c r="U837" s="30" t="s">
        <v>106</v>
      </c>
      <c r="V837" s="30" t="s">
        <v>77</v>
      </c>
      <c r="W837" s="30" t="s">
        <v>79</v>
      </c>
      <c r="X837" s="30" t="s">
        <v>56</v>
      </c>
      <c r="Y837" s="30" t="s">
        <v>56</v>
      </c>
      <c r="Z837" s="30" t="s">
        <v>64</v>
      </c>
      <c r="AA837" s="30" t="s">
        <v>565</v>
      </c>
      <c r="AB837" s="30" t="s">
        <v>56</v>
      </c>
      <c r="AC837" s="30" t="s">
        <v>2580</v>
      </c>
    </row>
    <row r="838" spans="1:29">
      <c r="A838" s="24" t="s">
        <v>2581</v>
      </c>
      <c r="B838" s="24" t="str">
        <f>IF(ISNUMBER(SEARCH(E838,A838)),A838,IF(OR(E838="",E838=""),A838,A838&amp;" - "&amp;E838))</f>
        <v>Blackbird Plain Sativa - Euforia</v>
      </c>
      <c r="C838" s="24" t="s">
        <v>564</v>
      </c>
      <c r="D838" s="24" t="s">
        <v>565</v>
      </c>
      <c r="E838" s="24" t="s">
        <v>1551</v>
      </c>
      <c r="F838" s="24" t="s">
        <v>69</v>
      </c>
      <c r="G838" s="27">
        <v>20</v>
      </c>
      <c r="H838" s="28">
        <v>1</v>
      </c>
      <c r="I838" s="24"/>
      <c r="J838" s="24"/>
      <c r="K838" s="24" t="s">
        <v>52</v>
      </c>
      <c r="L838" s="24" t="s">
        <v>145</v>
      </c>
      <c r="M838" s="24" t="s">
        <v>54</v>
      </c>
      <c r="N838" s="24" t="s">
        <v>111</v>
      </c>
      <c r="O838" s="24" t="s">
        <v>55</v>
      </c>
      <c r="P838" s="24" t="s">
        <v>74</v>
      </c>
      <c r="Q838" s="24" t="s">
        <v>75</v>
      </c>
      <c r="R838" s="24" t="s">
        <v>56</v>
      </c>
      <c r="S838" s="24" t="s">
        <v>123</v>
      </c>
      <c r="T838" s="24" t="s">
        <v>128</v>
      </c>
      <c r="U838" s="24" t="s">
        <v>179</v>
      </c>
      <c r="V838" s="24" t="s">
        <v>77</v>
      </c>
      <c r="W838" s="24" t="s">
        <v>56</v>
      </c>
      <c r="X838" s="24" t="s">
        <v>56</v>
      </c>
      <c r="Y838" s="24" t="s">
        <v>56</v>
      </c>
      <c r="Z838" s="24" t="s">
        <v>64</v>
      </c>
      <c r="AA838" s="24" t="s">
        <v>565</v>
      </c>
      <c r="AB838" s="24" t="s">
        <v>56</v>
      </c>
      <c r="AC838" s="24" t="s">
        <v>2582</v>
      </c>
    </row>
    <row r="839" spans="1:29">
      <c r="A839" s="30" t="s">
        <v>2583</v>
      </c>
      <c r="B839" s="30" t="str">
        <f>IF(ISNUMBER(SEARCH(E839,A839)),A839,IF(OR(E839="",E839=""),A839,A839&amp;" - "&amp;E839))</f>
        <v>Blackbird Strong Indica - Kerosene Krash</v>
      </c>
      <c r="C839" s="30" t="s">
        <v>564</v>
      </c>
      <c r="D839" s="30" t="s">
        <v>565</v>
      </c>
      <c r="E839" s="30" t="s">
        <v>2579</v>
      </c>
      <c r="F839" s="30" t="s">
        <v>120</v>
      </c>
      <c r="G839" s="34">
        <v>16</v>
      </c>
      <c r="H839" s="35">
        <v>1</v>
      </c>
      <c r="I839" s="30"/>
      <c r="J839" s="30"/>
      <c r="K839" s="30" t="s">
        <v>52</v>
      </c>
      <c r="L839" s="30" t="s">
        <v>145</v>
      </c>
      <c r="M839" s="30" t="s">
        <v>54</v>
      </c>
      <c r="N839" s="30" t="s">
        <v>88</v>
      </c>
      <c r="O839" s="30" t="s">
        <v>71</v>
      </c>
      <c r="P839" s="30" t="s">
        <v>59</v>
      </c>
      <c r="Q839" s="30" t="s">
        <v>56</v>
      </c>
      <c r="R839" s="30" t="s">
        <v>56</v>
      </c>
      <c r="S839" s="30" t="s">
        <v>90</v>
      </c>
      <c r="T839" s="30" t="s">
        <v>106</v>
      </c>
      <c r="U839" s="30" t="s">
        <v>76</v>
      </c>
      <c r="V839" s="30" t="s">
        <v>77</v>
      </c>
      <c r="W839" s="30" t="s">
        <v>79</v>
      </c>
      <c r="X839" s="30" t="s">
        <v>56</v>
      </c>
      <c r="Y839" s="30" t="s">
        <v>56</v>
      </c>
      <c r="Z839" s="30" t="s">
        <v>64</v>
      </c>
      <c r="AA839" s="30" t="s">
        <v>565</v>
      </c>
      <c r="AB839" s="30" t="s">
        <v>56</v>
      </c>
      <c r="AC839" s="30" t="s">
        <v>2584</v>
      </c>
    </row>
    <row r="840" spans="1:29">
      <c r="A840" s="24" t="s">
        <v>2585</v>
      </c>
      <c r="B840" s="24" t="str">
        <f>IF(ISNUMBER(SEARCH(E840,A840)),A840,IF(OR(E840="",E840=""),A840,A840&amp;" - "&amp;E840))</f>
        <v>BLKMKT CM THC22 BLK MLK - Cereal Milk</v>
      </c>
      <c r="C840" s="24" t="s">
        <v>646</v>
      </c>
      <c r="D840" s="24" t="s">
        <v>646</v>
      </c>
      <c r="E840" s="41" t="s">
        <v>2586</v>
      </c>
      <c r="F840" s="24" t="s">
        <v>144</v>
      </c>
      <c r="G840" s="27">
        <v>22</v>
      </c>
      <c r="H840" s="28">
        <v>1</v>
      </c>
      <c r="I840" s="24"/>
      <c r="J840" s="24"/>
      <c r="K840" s="24" t="s">
        <v>52</v>
      </c>
      <c r="L840" s="24" t="s">
        <v>53</v>
      </c>
      <c r="M840" s="24" t="s">
        <v>88</v>
      </c>
      <c r="N840" s="24" t="s">
        <v>72</v>
      </c>
      <c r="O840" s="24"/>
      <c r="P840" s="24" t="s">
        <v>57</v>
      </c>
      <c r="Q840" s="24" t="s">
        <v>75</v>
      </c>
      <c r="R840" s="24" t="s">
        <v>89</v>
      </c>
      <c r="S840" s="24" t="s">
        <v>106</v>
      </c>
      <c r="T840" s="24" t="s">
        <v>91</v>
      </c>
      <c r="U840" s="24" t="s">
        <v>62</v>
      </c>
      <c r="V840" s="24" t="s">
        <v>92</v>
      </c>
      <c r="W840" s="24" t="s">
        <v>116</v>
      </c>
      <c r="X840" s="24" t="s">
        <v>78</v>
      </c>
      <c r="Y840" s="24" t="s">
        <v>124</v>
      </c>
      <c r="Z840" s="24" t="s">
        <v>64</v>
      </c>
      <c r="AA840" s="24" t="s">
        <v>646</v>
      </c>
      <c r="AB840" s="24"/>
      <c r="AC840" s="24" t="s">
        <v>2587</v>
      </c>
    </row>
    <row r="841" spans="1:29">
      <c r="A841" s="30" t="s">
        <v>2588</v>
      </c>
      <c r="B841" s="30" t="str">
        <f>IF(ISNUMBER(SEARCH(E841,A841)),A841,IF(OR(E841="",E841=""),A841,A841&amp;" - "&amp;E841))</f>
        <v>BLKMKT RBP THC27 - Rainbow Pie</v>
      </c>
      <c r="C841" s="30" t="s">
        <v>646</v>
      </c>
      <c r="D841" s="30" t="s">
        <v>646</v>
      </c>
      <c r="E841" s="40" t="s">
        <v>1377</v>
      </c>
      <c r="F841" s="30" t="s">
        <v>86</v>
      </c>
      <c r="G841" s="34">
        <v>25</v>
      </c>
      <c r="H841" s="35">
        <v>1</v>
      </c>
      <c r="I841" s="30"/>
      <c r="J841" s="30"/>
      <c r="K841" s="30" t="s">
        <v>52</v>
      </c>
      <c r="L841" s="30" t="s">
        <v>53</v>
      </c>
      <c r="M841" s="30" t="s">
        <v>54</v>
      </c>
      <c r="N841" s="30" t="s">
        <v>88</v>
      </c>
      <c r="O841" s="30" t="s">
        <v>178</v>
      </c>
      <c r="P841" s="30" t="s">
        <v>74</v>
      </c>
      <c r="Q841" s="30" t="s">
        <v>75</v>
      </c>
      <c r="R841" s="30" t="s">
        <v>89</v>
      </c>
      <c r="S841" s="30" t="s">
        <v>123</v>
      </c>
      <c r="T841" s="30" t="s">
        <v>61</v>
      </c>
      <c r="U841" s="30" t="s">
        <v>62</v>
      </c>
      <c r="V841" s="30" t="s">
        <v>77</v>
      </c>
      <c r="W841" s="30" t="s">
        <v>79</v>
      </c>
      <c r="X841" s="30" t="s">
        <v>107</v>
      </c>
      <c r="Y841" s="30" t="s">
        <v>124</v>
      </c>
      <c r="Z841" s="30" t="s">
        <v>64</v>
      </c>
      <c r="AA841" s="30" t="s">
        <v>646</v>
      </c>
      <c r="AB841" s="30" t="s">
        <v>663</v>
      </c>
      <c r="AC841" s="30" t="s">
        <v>2589</v>
      </c>
    </row>
    <row r="842" spans="1:29">
      <c r="A842" s="24" t="s">
        <v>2590</v>
      </c>
      <c r="B842" s="24" t="str">
        <f>IF(ISNUMBER(SEARCH(E842,A842)),A842,IF(OR(E842="",E842=""),A842,A842&amp;" - "&amp;E842))</f>
        <v>BOTANICS Golden Ace 22/1 - Orange Panties</v>
      </c>
      <c r="C842" s="24" t="s">
        <v>141</v>
      </c>
      <c r="D842" s="24" t="s">
        <v>142</v>
      </c>
      <c r="E842" s="24" t="s">
        <v>1026</v>
      </c>
      <c r="F842" s="24" t="s">
        <v>86</v>
      </c>
      <c r="G842" s="27">
        <v>22</v>
      </c>
      <c r="H842" s="28">
        <v>1</v>
      </c>
      <c r="I842" s="24"/>
      <c r="J842" s="24"/>
      <c r="K842" s="24" t="s">
        <v>52</v>
      </c>
      <c r="L842" s="24" t="s">
        <v>965</v>
      </c>
      <c r="M842" s="24" t="s">
        <v>54</v>
      </c>
      <c r="N842" s="24" t="s">
        <v>88</v>
      </c>
      <c r="O842" s="24" t="s">
        <v>72</v>
      </c>
      <c r="P842" s="24" t="s">
        <v>75</v>
      </c>
      <c r="Q842" s="24" t="s">
        <v>58</v>
      </c>
      <c r="R842" s="24" t="s">
        <v>56</v>
      </c>
      <c r="S842" s="24" t="s">
        <v>123</v>
      </c>
      <c r="T842" s="24" t="s">
        <v>106</v>
      </c>
      <c r="U842" s="24" t="s">
        <v>91</v>
      </c>
      <c r="V842" s="24" t="s">
        <v>79</v>
      </c>
      <c r="W842" s="24" t="s">
        <v>107</v>
      </c>
      <c r="X842" s="24" t="s">
        <v>93</v>
      </c>
      <c r="Y842" s="24" t="s">
        <v>56</v>
      </c>
      <c r="Z842" s="24" t="s">
        <v>64</v>
      </c>
      <c r="AA842" s="24" t="s">
        <v>149</v>
      </c>
      <c r="AB842" s="24" t="s">
        <v>56</v>
      </c>
      <c r="AC842" s="24" t="s">
        <v>2591</v>
      </c>
    </row>
    <row r="843" spans="1:29">
      <c r="A843" s="30" t="s">
        <v>2592</v>
      </c>
      <c r="B843" s="30" t="str">
        <f>IF(ISNUMBER(SEARCH(E843,A843)),A843,IF(OR(E843="",E843=""),A843,A843&amp;" - "&amp;E843))</f>
        <v>BOTANICS Purple Cream 20/1 - Purple Ice Water</v>
      </c>
      <c r="C843" s="30" t="s">
        <v>141</v>
      </c>
      <c r="D843" s="30" t="s">
        <v>142</v>
      </c>
      <c r="E843" s="30" t="s">
        <v>964</v>
      </c>
      <c r="F843" s="30" t="s">
        <v>86</v>
      </c>
      <c r="G843" s="34">
        <v>20</v>
      </c>
      <c r="H843" s="35">
        <v>1</v>
      </c>
      <c r="I843" s="30"/>
      <c r="J843" s="30"/>
      <c r="K843" s="30" t="s">
        <v>52</v>
      </c>
      <c r="L843" s="30" t="s">
        <v>965</v>
      </c>
      <c r="M843" s="30" t="s">
        <v>54</v>
      </c>
      <c r="N843" s="30" t="s">
        <v>88</v>
      </c>
      <c r="O843" s="30" t="s">
        <v>71</v>
      </c>
      <c r="P843" s="30" t="s">
        <v>104</v>
      </c>
      <c r="Q843" s="30" t="s">
        <v>89</v>
      </c>
      <c r="R843" s="30" t="s">
        <v>58</v>
      </c>
      <c r="S843" s="30" t="s">
        <v>123</v>
      </c>
      <c r="T843" s="30" t="s">
        <v>106</v>
      </c>
      <c r="U843" s="30" t="s">
        <v>91</v>
      </c>
      <c r="V843" s="30" t="s">
        <v>77</v>
      </c>
      <c r="W843" s="30" t="s">
        <v>165</v>
      </c>
      <c r="X843" s="30" t="s">
        <v>129</v>
      </c>
      <c r="Y843" s="30" t="s">
        <v>56</v>
      </c>
      <c r="Z843" s="30" t="s">
        <v>64</v>
      </c>
      <c r="AA843" s="30" t="s">
        <v>149</v>
      </c>
      <c r="AB843" s="30" t="s">
        <v>967</v>
      </c>
      <c r="AC843" s="30" t="s">
        <v>2593</v>
      </c>
    </row>
    <row r="844" spans="1:29">
      <c r="A844" s="24" t="s">
        <v>2594</v>
      </c>
      <c r="B844" s="24" t="str">
        <f>IF(ISNUMBER(SEARCH(E844,A844)),A844,IF(OR(E844="",E844=""),A844,A844&amp;" - "&amp;E844))</f>
        <v>Breezy Malaga Green 25/1 N - Lemon Skunk</v>
      </c>
      <c r="C844" s="24" t="s">
        <v>2114</v>
      </c>
      <c r="D844" s="24" t="s">
        <v>2115</v>
      </c>
      <c r="E844" s="24" t="s">
        <v>2595</v>
      </c>
      <c r="F844" s="24" t="s">
        <v>86</v>
      </c>
      <c r="G844" s="27">
        <v>25</v>
      </c>
      <c r="H844" s="28">
        <v>1</v>
      </c>
      <c r="I844" s="24"/>
      <c r="J844" s="24"/>
      <c r="K844" s="24" t="s">
        <v>52</v>
      </c>
      <c r="L844" s="24" t="s">
        <v>87</v>
      </c>
      <c r="M844" s="24" t="s">
        <v>54</v>
      </c>
      <c r="N844" s="24" t="s">
        <v>111</v>
      </c>
      <c r="O844" s="24" t="s">
        <v>71</v>
      </c>
      <c r="P844" s="24" t="s">
        <v>75</v>
      </c>
      <c r="Q844" s="24" t="s">
        <v>56</v>
      </c>
      <c r="R844" s="24" t="s">
        <v>56</v>
      </c>
      <c r="S844" s="24" t="s">
        <v>147</v>
      </c>
      <c r="T844" s="24" t="s">
        <v>106</v>
      </c>
      <c r="U844" s="24" t="s">
        <v>91</v>
      </c>
      <c r="V844" s="24" t="s">
        <v>77</v>
      </c>
      <c r="W844" s="24" t="s">
        <v>79</v>
      </c>
      <c r="X844" s="24" t="s">
        <v>173</v>
      </c>
      <c r="Y844" s="24" t="s">
        <v>56</v>
      </c>
      <c r="Z844" s="24" t="s">
        <v>64</v>
      </c>
      <c r="AA844" s="24" t="s">
        <v>2115</v>
      </c>
      <c r="AB844" s="24" t="s">
        <v>56</v>
      </c>
      <c r="AC844" s="24" t="s">
        <v>2596</v>
      </c>
    </row>
    <row r="845" spans="1:29">
      <c r="A845" s="30" t="s">
        <v>2597</v>
      </c>
      <c r="B845" s="30" t="str">
        <f>IF(ISNUMBER(SEARCH(E845,A845)),A845,IF(OR(E845="",E845=""),A845,A845&amp;" - "&amp;E845))</f>
        <v>Breezy Organics GGL 20/1 - Green Gelato</v>
      </c>
      <c r="C845" s="30" t="s">
        <v>2114</v>
      </c>
      <c r="D845" s="30" t="s">
        <v>2115</v>
      </c>
      <c r="E845" s="30" t="s">
        <v>2598</v>
      </c>
      <c r="F845" s="30" t="s">
        <v>86</v>
      </c>
      <c r="G845" s="34">
        <v>20</v>
      </c>
      <c r="H845" s="35">
        <v>1</v>
      </c>
      <c r="I845" s="30"/>
      <c r="J845" s="30"/>
      <c r="K845" s="30" t="s">
        <v>52</v>
      </c>
      <c r="L845" s="30" t="s">
        <v>70</v>
      </c>
      <c r="M845" s="30" t="s">
        <v>88</v>
      </c>
      <c r="N845" s="30" t="s">
        <v>71</v>
      </c>
      <c r="O845" s="30" t="s">
        <v>178</v>
      </c>
      <c r="P845" s="30" t="s">
        <v>75</v>
      </c>
      <c r="Q845" s="30" t="s">
        <v>89</v>
      </c>
      <c r="R845" s="30" t="s">
        <v>58</v>
      </c>
      <c r="S845" s="30" t="s">
        <v>147</v>
      </c>
      <c r="T845" s="30" t="s">
        <v>56</v>
      </c>
      <c r="U845" s="30" t="s">
        <v>56</v>
      </c>
      <c r="V845" s="30" t="s">
        <v>77</v>
      </c>
      <c r="W845" s="30" t="s">
        <v>116</v>
      </c>
      <c r="X845" s="30" t="s">
        <v>107</v>
      </c>
      <c r="Y845" s="30" t="s">
        <v>335</v>
      </c>
      <c r="Z845" s="30" t="s">
        <v>64</v>
      </c>
      <c r="AA845" s="30" t="s">
        <v>2115</v>
      </c>
      <c r="AB845" s="30" t="s">
        <v>56</v>
      </c>
      <c r="AC845" s="30" t="s">
        <v>2599</v>
      </c>
    </row>
    <row r="846" spans="1:29">
      <c r="A846" s="24" t="s">
        <v>2600</v>
      </c>
      <c r="B846" s="24" t="str">
        <f>IF(ISNUMBER(SEARCH(E846,A846)),A846,IF(OR(E846="",E846=""),A846,A846&amp;" - "&amp;E846))</f>
        <v>Breezy Organics GGL 22/1 - Green Gelato</v>
      </c>
      <c r="C846" s="24" t="s">
        <v>2114</v>
      </c>
      <c r="D846" s="24" t="s">
        <v>2115</v>
      </c>
      <c r="E846" s="24" t="s">
        <v>2598</v>
      </c>
      <c r="F846" s="24" t="s">
        <v>86</v>
      </c>
      <c r="G846" s="27">
        <v>22</v>
      </c>
      <c r="H846" s="28">
        <v>1</v>
      </c>
      <c r="I846" s="24"/>
      <c r="J846" s="24"/>
      <c r="K846" s="24" t="s">
        <v>52</v>
      </c>
      <c r="L846" s="24" t="s">
        <v>70</v>
      </c>
      <c r="M846" s="24" t="s">
        <v>88</v>
      </c>
      <c r="N846" s="24" t="s">
        <v>71</v>
      </c>
      <c r="O846" s="24" t="s">
        <v>178</v>
      </c>
      <c r="P846" s="24" t="s">
        <v>75</v>
      </c>
      <c r="Q846" s="24" t="s">
        <v>89</v>
      </c>
      <c r="R846" s="24" t="s">
        <v>58</v>
      </c>
      <c r="S846" s="24" t="s">
        <v>147</v>
      </c>
      <c r="T846" s="24" t="s">
        <v>56</v>
      </c>
      <c r="U846" s="24" t="s">
        <v>56</v>
      </c>
      <c r="V846" s="24" t="s">
        <v>77</v>
      </c>
      <c r="W846" s="24" t="s">
        <v>116</v>
      </c>
      <c r="X846" s="24" t="s">
        <v>107</v>
      </c>
      <c r="Y846" s="24" t="s">
        <v>56</v>
      </c>
      <c r="Z846" s="24" t="s">
        <v>64</v>
      </c>
      <c r="AA846" s="24" t="s">
        <v>2115</v>
      </c>
      <c r="AB846" s="24" t="s">
        <v>56</v>
      </c>
      <c r="AC846" s="24" t="s">
        <v>2601</v>
      </c>
    </row>
    <row r="847" spans="1:29">
      <c r="A847" s="30" t="s">
        <v>2602</v>
      </c>
      <c r="B847" s="30" t="str">
        <f>IF(ISNUMBER(SEARCH(E847,A847)),A847,IF(OR(E847="",E847=""),A847,A847&amp;" - "&amp;E847))</f>
        <v>C&amp;C 23/1 - Frosted Lemon Angel</v>
      </c>
      <c r="C847" s="30" t="s">
        <v>905</v>
      </c>
      <c r="D847" s="30" t="s">
        <v>906</v>
      </c>
      <c r="E847" s="30" t="s">
        <v>706</v>
      </c>
      <c r="F847" s="30" t="s">
        <v>86</v>
      </c>
      <c r="G847" s="34">
        <v>23</v>
      </c>
      <c r="H847" s="35">
        <v>1</v>
      </c>
      <c r="I847" s="30"/>
      <c r="J847" s="30"/>
      <c r="K847" s="30" t="s">
        <v>17</v>
      </c>
      <c r="L847" s="30" t="s">
        <v>87</v>
      </c>
      <c r="M847" s="30" t="s">
        <v>54</v>
      </c>
      <c r="N847" s="30" t="s">
        <v>55</v>
      </c>
      <c r="O847" s="30" t="s">
        <v>72</v>
      </c>
      <c r="P847" s="30" t="s">
        <v>75</v>
      </c>
      <c r="Q847" s="30" t="s">
        <v>89</v>
      </c>
      <c r="R847" s="30" t="s">
        <v>56</v>
      </c>
      <c r="S847" s="30" t="s">
        <v>147</v>
      </c>
      <c r="T847" s="30" t="s">
        <v>123</v>
      </c>
      <c r="U847" s="30" t="s">
        <v>106</v>
      </c>
      <c r="V847" s="30" t="s">
        <v>116</v>
      </c>
      <c r="W847" s="30" t="s">
        <v>93</v>
      </c>
      <c r="X847" s="30" t="s">
        <v>173</v>
      </c>
      <c r="Y847" s="30" t="s">
        <v>2603</v>
      </c>
      <c r="Z847" s="30" t="s">
        <v>64</v>
      </c>
      <c r="AA847" s="30" t="s">
        <v>906</v>
      </c>
      <c r="AB847" s="30" t="s">
        <v>96</v>
      </c>
      <c r="AC847" s="30" t="s">
        <v>2604</v>
      </c>
    </row>
    <row r="848" spans="1:29">
      <c r="A848" s="24" t="s">
        <v>2605</v>
      </c>
      <c r="B848" s="24" t="str">
        <f>IF(ISNUMBER(SEARCH(E848,A848)),A848,IF(OR(E848="",E848=""),A848,A848&amp;" - "&amp;E848))</f>
        <v>Canify 23/1 - Frosted Lemon Angel</v>
      </c>
      <c r="C848" s="24" t="s">
        <v>99</v>
      </c>
      <c r="D848" s="24" t="s">
        <v>100</v>
      </c>
      <c r="E848" s="24" t="s">
        <v>706</v>
      </c>
      <c r="F848" s="24" t="s">
        <v>86</v>
      </c>
      <c r="G848" s="27">
        <v>23</v>
      </c>
      <c r="H848" s="28">
        <v>1</v>
      </c>
      <c r="I848" s="24"/>
      <c r="J848" s="24"/>
      <c r="K848" s="24" t="s">
        <v>17</v>
      </c>
      <c r="L848" s="24" t="s">
        <v>87</v>
      </c>
      <c r="M848" s="24" t="s">
        <v>54</v>
      </c>
      <c r="N848" s="24" t="s">
        <v>55</v>
      </c>
      <c r="O848" s="24" t="s">
        <v>72</v>
      </c>
      <c r="P848" s="24" t="s">
        <v>75</v>
      </c>
      <c r="Q848" s="24" t="s">
        <v>89</v>
      </c>
      <c r="R848" s="24" t="s">
        <v>56</v>
      </c>
      <c r="S848" s="24" t="s">
        <v>147</v>
      </c>
      <c r="T848" s="24" t="s">
        <v>123</v>
      </c>
      <c r="U848" s="24" t="s">
        <v>106</v>
      </c>
      <c r="V848" s="24" t="s">
        <v>116</v>
      </c>
      <c r="W848" s="24" t="s">
        <v>93</v>
      </c>
      <c r="X848" s="24" t="s">
        <v>173</v>
      </c>
      <c r="Y848" s="24" t="s">
        <v>56</v>
      </c>
      <c r="Z848" s="24" t="s">
        <v>64</v>
      </c>
      <c r="AA848" s="24" t="s">
        <v>100</v>
      </c>
      <c r="AB848" s="24" t="s">
        <v>96</v>
      </c>
      <c r="AC848" s="37" t="s">
        <v>2606</v>
      </c>
    </row>
    <row r="849" spans="1:29">
      <c r="A849" s="30" t="s">
        <v>2607</v>
      </c>
      <c r="B849" s="30" t="str">
        <f>IF(ISNUMBER(SEARCH(E849,A849)),A849,IF(OR(E849="",E849=""),A849,A849&amp;" - "&amp;E849))</f>
        <v>Canify 25/1 - Frosted Lemon Angel</v>
      </c>
      <c r="C849" s="30" t="s">
        <v>99</v>
      </c>
      <c r="D849" s="30" t="s">
        <v>100</v>
      </c>
      <c r="E849" s="30" t="s">
        <v>706</v>
      </c>
      <c r="F849" s="30" t="s">
        <v>86</v>
      </c>
      <c r="G849" s="34">
        <v>25</v>
      </c>
      <c r="H849" s="35">
        <v>1</v>
      </c>
      <c r="I849" s="30"/>
      <c r="J849" s="30"/>
      <c r="K849" s="30" t="s">
        <v>17</v>
      </c>
      <c r="L849" s="30" t="s">
        <v>87</v>
      </c>
      <c r="M849" s="30" t="s">
        <v>54</v>
      </c>
      <c r="N849" s="30" t="s">
        <v>55</v>
      </c>
      <c r="O849" s="30" t="s">
        <v>72</v>
      </c>
      <c r="P849" s="30" t="s">
        <v>75</v>
      </c>
      <c r="Q849" s="30" t="s">
        <v>89</v>
      </c>
      <c r="R849" s="30" t="s">
        <v>56</v>
      </c>
      <c r="S849" s="30" t="s">
        <v>147</v>
      </c>
      <c r="T849" s="30" t="s">
        <v>123</v>
      </c>
      <c r="U849" s="30" t="s">
        <v>106</v>
      </c>
      <c r="V849" s="30" t="s">
        <v>116</v>
      </c>
      <c r="W849" s="30" t="s">
        <v>93</v>
      </c>
      <c r="X849" s="30" t="s">
        <v>173</v>
      </c>
      <c r="Y849" s="30" t="s">
        <v>516</v>
      </c>
      <c r="Z849" s="30" t="s">
        <v>64</v>
      </c>
      <c r="AA849" s="30" t="s">
        <v>100</v>
      </c>
      <c r="AB849" s="30" t="s">
        <v>96</v>
      </c>
      <c r="AC849" s="30" t="s">
        <v>2608</v>
      </c>
    </row>
    <row r="850" spans="1:29">
      <c r="A850" s="24" t="s">
        <v>2609</v>
      </c>
      <c r="B850" s="24" t="str">
        <f>IF(ISNUMBER(SEARCH(E850,A850)),A850,IF(OR(E850="",E850=""),A850,A850&amp;" - "&amp;E850))</f>
        <v>Canify Cannabis flos 1/14 LS Ku - Maluti CBD</v>
      </c>
      <c r="C850" s="24" t="s">
        <v>99</v>
      </c>
      <c r="D850" s="24" t="s">
        <v>100</v>
      </c>
      <c r="E850" s="41" t="s">
        <v>863</v>
      </c>
      <c r="F850" s="24" t="s">
        <v>177</v>
      </c>
      <c r="G850" s="27">
        <v>1</v>
      </c>
      <c r="H850" s="28">
        <v>14.000000000000002</v>
      </c>
      <c r="I850" s="24"/>
      <c r="J850" s="24"/>
      <c r="K850" s="24" t="s">
        <v>52</v>
      </c>
      <c r="L850" s="24" t="s">
        <v>630</v>
      </c>
      <c r="M850" s="24" t="s">
        <v>72</v>
      </c>
      <c r="N850" s="24"/>
      <c r="O850" s="24"/>
      <c r="P850" s="24" t="s">
        <v>58</v>
      </c>
      <c r="Q850" s="24"/>
      <c r="R850" s="24"/>
      <c r="S850" s="24" t="s">
        <v>76</v>
      </c>
      <c r="T850" s="24" t="s">
        <v>62</v>
      </c>
      <c r="U850" s="24" t="s">
        <v>128</v>
      </c>
      <c r="V850" s="24" t="s">
        <v>116</v>
      </c>
      <c r="W850" s="24" t="s">
        <v>165</v>
      </c>
      <c r="X850" s="24" t="s">
        <v>138</v>
      </c>
      <c r="Y850" s="24" t="s">
        <v>130</v>
      </c>
      <c r="Z850" s="24" t="s">
        <v>64</v>
      </c>
      <c r="AA850" s="24" t="s">
        <v>100</v>
      </c>
      <c r="AB850" s="24"/>
      <c r="AC850" s="24" t="s">
        <v>2610</v>
      </c>
    </row>
    <row r="851" spans="1:29">
      <c r="A851" s="30" t="s">
        <v>2611</v>
      </c>
      <c r="B851" s="30" t="str">
        <f>IF(ISNUMBER(SEARCH(E851,A851)),A851,IF(OR(E851="",E851=""),A851,A851&amp;" - "&amp;E851))</f>
        <v>Canify Cannabis flos 20/1 CO Ku. - MAC</v>
      </c>
      <c r="C851" s="30" t="s">
        <v>99</v>
      </c>
      <c r="D851" s="30" t="s">
        <v>100</v>
      </c>
      <c r="E851" s="30" t="s">
        <v>2612</v>
      </c>
      <c r="F851" s="30" t="s">
        <v>86</v>
      </c>
      <c r="G851" s="34">
        <v>20</v>
      </c>
      <c r="H851" s="35">
        <v>1</v>
      </c>
      <c r="I851" s="30"/>
      <c r="J851" s="30"/>
      <c r="K851" s="30" t="s">
        <v>52</v>
      </c>
      <c r="L851" s="30" t="s">
        <v>202</v>
      </c>
      <c r="M851" s="30" t="s">
        <v>54</v>
      </c>
      <c r="N851" s="30" t="s">
        <v>88</v>
      </c>
      <c r="O851" s="30" t="s">
        <v>72</v>
      </c>
      <c r="P851" s="30" t="s">
        <v>104</v>
      </c>
      <c r="Q851" s="30" t="s">
        <v>74</v>
      </c>
      <c r="R851" s="30" t="s">
        <v>59</v>
      </c>
      <c r="S851" s="30" t="s">
        <v>192</v>
      </c>
      <c r="T851" s="30" t="s">
        <v>106</v>
      </c>
      <c r="U851" s="30" t="s">
        <v>62</v>
      </c>
      <c r="V851" s="30" t="s">
        <v>77</v>
      </c>
      <c r="W851" s="30" t="s">
        <v>107</v>
      </c>
      <c r="X851" s="30" t="s">
        <v>56</v>
      </c>
      <c r="Y851" s="30" t="s">
        <v>56</v>
      </c>
      <c r="Z851" s="30" t="s">
        <v>64</v>
      </c>
      <c r="AA851" s="30" t="s">
        <v>100</v>
      </c>
      <c r="AB851" s="30" t="s">
        <v>56</v>
      </c>
      <c r="AC851" s="30" t="s">
        <v>2613</v>
      </c>
    </row>
    <row r="852" spans="1:29">
      <c r="A852" s="24" t="s">
        <v>183</v>
      </c>
      <c r="B852" s="24" t="str">
        <f>IF(ISNUMBER(SEARCH(E852,A852)),A852,IF(OR(E852="",E852=""),A852,A852&amp;" - "&amp;E852))</f>
        <v>Canify Cannabis flos 20/1 UY Ku. - Gorilla Glue</v>
      </c>
      <c r="C852" s="24" t="s">
        <v>99</v>
      </c>
      <c r="D852" s="24" t="s">
        <v>100</v>
      </c>
      <c r="E852" s="24" t="s">
        <v>363</v>
      </c>
      <c r="F852" s="24" t="s">
        <v>86</v>
      </c>
      <c r="G852" s="27">
        <v>20</v>
      </c>
      <c r="H852" s="28">
        <v>1</v>
      </c>
      <c r="I852" s="24"/>
      <c r="J852" s="24"/>
      <c r="K852" s="24" t="s">
        <v>52</v>
      </c>
      <c r="L852" s="24" t="s">
        <v>185</v>
      </c>
      <c r="M852" s="24" t="s">
        <v>103</v>
      </c>
      <c r="N852" s="24" t="s">
        <v>121</v>
      </c>
      <c r="O852" s="24" t="s">
        <v>72</v>
      </c>
      <c r="P852" s="24" t="s">
        <v>146</v>
      </c>
      <c r="Q852" s="24" t="s">
        <v>74</v>
      </c>
      <c r="R852" s="24" t="s">
        <v>59</v>
      </c>
      <c r="S852" s="24" t="s">
        <v>147</v>
      </c>
      <c r="T852" s="24" t="s">
        <v>106</v>
      </c>
      <c r="U852" s="24" t="s">
        <v>62</v>
      </c>
      <c r="V852" s="24" t="s">
        <v>257</v>
      </c>
      <c r="W852" s="24" t="s">
        <v>252</v>
      </c>
      <c r="X852" s="24" t="s">
        <v>77</v>
      </c>
      <c r="Y852" s="24" t="s">
        <v>307</v>
      </c>
      <c r="Z852" s="24" t="s">
        <v>64</v>
      </c>
      <c r="AA852" s="24" t="s">
        <v>100</v>
      </c>
      <c r="AB852" s="24" t="s">
        <v>332</v>
      </c>
      <c r="AC852" s="24" t="s">
        <v>2614</v>
      </c>
    </row>
    <row r="853" spans="1:29">
      <c r="A853" s="30" t="s">
        <v>98</v>
      </c>
      <c r="B853" s="30" t="str">
        <f>IF(ISNUMBER(SEARCH(E853,A853)),A853,IF(OR(E853="",E853=""),A853,A853&amp;" - "&amp;E853))</f>
        <v>Canify Cannabis flos 22/1 PT Ku. - Headband</v>
      </c>
      <c r="C853" s="30" t="s">
        <v>99</v>
      </c>
      <c r="D853" s="30" t="s">
        <v>100</v>
      </c>
      <c r="E853" s="30" t="s">
        <v>233</v>
      </c>
      <c r="F853" s="30" t="s">
        <v>86</v>
      </c>
      <c r="G853" s="34">
        <v>22</v>
      </c>
      <c r="H853" s="35">
        <v>1</v>
      </c>
      <c r="I853" s="30"/>
      <c r="J853" s="30"/>
      <c r="K853" s="30" t="s">
        <v>52</v>
      </c>
      <c r="L853" s="30" t="s">
        <v>102</v>
      </c>
      <c r="M853" s="30" t="s">
        <v>54</v>
      </c>
      <c r="N853" s="30" t="s">
        <v>88</v>
      </c>
      <c r="O853" s="30" t="s">
        <v>178</v>
      </c>
      <c r="P853" s="30" t="s">
        <v>73</v>
      </c>
      <c r="Q853" s="30" t="s">
        <v>57</v>
      </c>
      <c r="R853" s="30" t="s">
        <v>75</v>
      </c>
      <c r="S853" s="30" t="s">
        <v>106</v>
      </c>
      <c r="T853" s="30" t="s">
        <v>62</v>
      </c>
      <c r="U853" s="30" t="s">
        <v>164</v>
      </c>
      <c r="V853" s="30" t="s">
        <v>77</v>
      </c>
      <c r="W853" s="30" t="s">
        <v>129</v>
      </c>
      <c r="X853" s="30" t="s">
        <v>79</v>
      </c>
      <c r="Y853" s="30" t="s">
        <v>56</v>
      </c>
      <c r="Z853" s="30" t="s">
        <v>64</v>
      </c>
      <c r="AA853" s="30" t="s">
        <v>100</v>
      </c>
      <c r="AB853" s="30" t="s">
        <v>56</v>
      </c>
      <c r="AC853" s="30" t="s">
        <v>2615</v>
      </c>
    </row>
    <row r="854" spans="1:29">
      <c r="A854" s="24" t="s">
        <v>2616</v>
      </c>
      <c r="B854" s="24" t="str">
        <f>IF(ISNUMBER(SEARCH(E854,A854)),A854,IF(OR(E854="",E854=""),A854,A854&amp;" - "&amp;E854))</f>
        <v>Canify Cannabis flos 22/1 PT Ku. ISS - Island Sweet Skunk</v>
      </c>
      <c r="C854" s="24" t="s">
        <v>99</v>
      </c>
      <c r="D854" s="24" t="s">
        <v>100</v>
      </c>
      <c r="E854" s="24" t="s">
        <v>135</v>
      </c>
      <c r="F854" s="24" t="s">
        <v>69</v>
      </c>
      <c r="G854" s="27">
        <v>22</v>
      </c>
      <c r="H854" s="28">
        <v>1</v>
      </c>
      <c r="I854" s="24"/>
      <c r="J854" s="24"/>
      <c r="K854" s="24" t="s">
        <v>17</v>
      </c>
      <c r="L854" s="24" t="s">
        <v>102</v>
      </c>
      <c r="M854" s="24" t="s">
        <v>54</v>
      </c>
      <c r="N854" s="24" t="s">
        <v>111</v>
      </c>
      <c r="O854" s="24" t="s">
        <v>88</v>
      </c>
      <c r="P854" s="24" t="s">
        <v>136</v>
      </c>
      <c r="Q854" s="24" t="s">
        <v>89</v>
      </c>
      <c r="R854" s="24" t="s">
        <v>58</v>
      </c>
      <c r="S854" s="24" t="s">
        <v>90</v>
      </c>
      <c r="T854" s="24" t="s">
        <v>60</v>
      </c>
      <c r="U854" s="24" t="s">
        <v>106</v>
      </c>
      <c r="V854" s="24" t="s">
        <v>77</v>
      </c>
      <c r="W854" s="24" t="s">
        <v>137</v>
      </c>
      <c r="X854" s="24" t="s">
        <v>138</v>
      </c>
      <c r="Y854" s="24" t="s">
        <v>437</v>
      </c>
      <c r="Z854" s="24" t="s">
        <v>64</v>
      </c>
      <c r="AA854" s="24" t="s">
        <v>100</v>
      </c>
      <c r="AB854" s="24" t="s">
        <v>56</v>
      </c>
      <c r="AC854" s="24" t="s">
        <v>2617</v>
      </c>
    </row>
    <row r="855" spans="1:29">
      <c r="A855" s="30" t="s">
        <v>1610</v>
      </c>
      <c r="B855" s="30" t="str">
        <f>IF(ISNUMBER(SEARCH(E855,A855)),A855,IF(OR(E855="",E855=""),A855,A855&amp;" - "&amp;E855))</f>
        <v>Canify Cannabis flos 22/1 UY Ku. - Big Buddha</v>
      </c>
      <c r="C855" s="30" t="s">
        <v>99</v>
      </c>
      <c r="D855" s="30" t="s">
        <v>100</v>
      </c>
      <c r="E855" s="40" t="s">
        <v>184</v>
      </c>
      <c r="F855" s="30" t="s">
        <v>177</v>
      </c>
      <c r="G855" s="34">
        <v>22</v>
      </c>
      <c r="H855" s="35">
        <v>1</v>
      </c>
      <c r="I855" s="30"/>
      <c r="J855" s="30"/>
      <c r="K855" s="30" t="s">
        <v>52</v>
      </c>
      <c r="L855" s="30" t="s">
        <v>185</v>
      </c>
      <c r="M855" s="30" t="s">
        <v>71</v>
      </c>
      <c r="N855" s="30" t="s">
        <v>103</v>
      </c>
      <c r="O855" s="30" t="s">
        <v>121</v>
      </c>
      <c r="P855" s="30" t="s">
        <v>186</v>
      </c>
      <c r="Q855" s="30" t="s">
        <v>74</v>
      </c>
      <c r="R855" s="30"/>
      <c r="S855" s="30" t="s">
        <v>187</v>
      </c>
      <c r="T855" s="30" t="s">
        <v>90</v>
      </c>
      <c r="U855" s="30" t="s">
        <v>106</v>
      </c>
      <c r="V855" s="30" t="s">
        <v>116</v>
      </c>
      <c r="W855" s="30" t="s">
        <v>79</v>
      </c>
      <c r="X855" s="30" t="s">
        <v>107</v>
      </c>
      <c r="Y855" s="30" t="s">
        <v>213</v>
      </c>
      <c r="Z855" s="30" t="s">
        <v>64</v>
      </c>
      <c r="AA855" s="30" t="s">
        <v>100</v>
      </c>
      <c r="AB855" s="30"/>
      <c r="AC855" s="36" t="s">
        <v>2618</v>
      </c>
    </row>
    <row r="856" spans="1:29">
      <c r="A856" s="24" t="s">
        <v>2619</v>
      </c>
      <c r="B856" s="24" t="str">
        <f>IF(ISNUMBER(SEARCH(E856,A856)),A856,IF(OR(E856="",E856=""),A856,A856&amp;" - "&amp;E856))</f>
        <v>Canify Cannabis flos 24/1 LS Ku. - Khanya Select</v>
      </c>
      <c r="C856" s="24" t="s">
        <v>99</v>
      </c>
      <c r="D856" s="24" t="s">
        <v>100</v>
      </c>
      <c r="E856" s="41" t="s">
        <v>2620</v>
      </c>
      <c r="F856" s="24" t="s">
        <v>86</v>
      </c>
      <c r="G856" s="27">
        <v>24</v>
      </c>
      <c r="H856" s="28">
        <v>1</v>
      </c>
      <c r="I856" s="24"/>
      <c r="J856" s="24"/>
      <c r="K856" s="24" t="s">
        <v>52</v>
      </c>
      <c r="L856" s="24" t="s">
        <v>630</v>
      </c>
      <c r="M856" s="24" t="s">
        <v>72</v>
      </c>
      <c r="N856" s="24"/>
      <c r="O856" s="24"/>
      <c r="P856" s="24" t="s">
        <v>74</v>
      </c>
      <c r="Q856" s="24" t="s">
        <v>75</v>
      </c>
      <c r="R856" s="24" t="s">
        <v>58</v>
      </c>
      <c r="S856" s="24" t="s">
        <v>123</v>
      </c>
      <c r="T856" s="24" t="s">
        <v>106</v>
      </c>
      <c r="U856" s="24" t="s">
        <v>76</v>
      </c>
      <c r="V856" s="24" t="s">
        <v>77</v>
      </c>
      <c r="W856" s="24" t="s">
        <v>116</v>
      </c>
      <c r="X856" s="24" t="s">
        <v>107</v>
      </c>
      <c r="Y856" s="24" t="s">
        <v>555</v>
      </c>
      <c r="Z856" s="24" t="s">
        <v>64</v>
      </c>
      <c r="AA856" s="24" t="s">
        <v>100</v>
      </c>
      <c r="AB856" s="24"/>
      <c r="AC856" s="24" t="s">
        <v>2621</v>
      </c>
    </row>
    <row r="857" spans="1:29">
      <c r="A857" s="30" t="s">
        <v>1673</v>
      </c>
      <c r="B857" s="30" t="str">
        <f>IF(ISNUMBER(SEARCH(E857,A857)),A857,IF(OR(E857="",E857=""),A857,A857&amp;" - "&amp;E857))</f>
        <v>Canify Cannabis Flos 7/8 - Blue Dream</v>
      </c>
      <c r="C857" s="30" t="s">
        <v>99</v>
      </c>
      <c r="D857" s="30" t="s">
        <v>100</v>
      </c>
      <c r="E857" s="30" t="s">
        <v>1339</v>
      </c>
      <c r="F857" s="30" t="s">
        <v>51</v>
      </c>
      <c r="G857" s="34">
        <v>7</v>
      </c>
      <c r="H857" s="35">
        <v>8</v>
      </c>
      <c r="I857" s="30"/>
      <c r="J857" s="30"/>
      <c r="K857" s="30" t="s">
        <v>52</v>
      </c>
      <c r="L857" s="30"/>
      <c r="M857" s="30" t="s">
        <v>54</v>
      </c>
      <c r="N857" s="30" t="s">
        <v>111</v>
      </c>
      <c r="O857" s="30" t="s">
        <v>103</v>
      </c>
      <c r="P857" s="30" t="s">
        <v>89</v>
      </c>
      <c r="Q857" s="30" t="s">
        <v>58</v>
      </c>
      <c r="R857" s="30" t="s">
        <v>56</v>
      </c>
      <c r="S857" s="30" t="s">
        <v>56</v>
      </c>
      <c r="T857" s="30" t="s">
        <v>56</v>
      </c>
      <c r="U857" s="30" t="s">
        <v>56</v>
      </c>
      <c r="V857" s="30" t="s">
        <v>208</v>
      </c>
      <c r="W857" s="30" t="s">
        <v>292</v>
      </c>
      <c r="X857" s="30" t="s">
        <v>79</v>
      </c>
      <c r="Y857" s="30" t="s">
        <v>56</v>
      </c>
      <c r="Z857" s="30" t="s">
        <v>64</v>
      </c>
      <c r="AA857" s="30" t="s">
        <v>100</v>
      </c>
      <c r="AB857" s="30" t="s">
        <v>56</v>
      </c>
      <c r="AC857" s="30" t="s">
        <v>2622</v>
      </c>
    </row>
    <row r="858" spans="1:29">
      <c r="A858" s="24" t="s">
        <v>1633</v>
      </c>
      <c r="B858" s="24" t="str">
        <f>IF(ISNUMBER(SEARCH(E858,A858)),A858,IF(OR(E858="",E858=""),A858,A858&amp;" - "&amp;E858))</f>
        <v>Canify Pure 24/1 LS - White Lemon X Marakabei Local</v>
      </c>
      <c r="C858" s="24" t="s">
        <v>99</v>
      </c>
      <c r="D858" s="24" t="s">
        <v>100</v>
      </c>
      <c r="E858" s="24" t="s">
        <v>2623</v>
      </c>
      <c r="F858" s="24" t="s">
        <v>51</v>
      </c>
      <c r="G858" s="27">
        <v>24</v>
      </c>
      <c r="H858" s="28">
        <v>1</v>
      </c>
      <c r="I858" s="24"/>
      <c r="J858" s="24"/>
      <c r="K858" s="24" t="s">
        <v>52</v>
      </c>
      <c r="L858" s="24"/>
      <c r="M858" s="24" t="s">
        <v>111</v>
      </c>
      <c r="N858" s="24" t="s">
        <v>72</v>
      </c>
      <c r="O858" s="24" t="s">
        <v>56</v>
      </c>
      <c r="P858" s="24" t="s">
        <v>104</v>
      </c>
      <c r="Q858" s="24" t="s">
        <v>75</v>
      </c>
      <c r="R858" s="24" t="s">
        <v>58</v>
      </c>
      <c r="S858" s="24" t="s">
        <v>123</v>
      </c>
      <c r="T858" s="24" t="s">
        <v>91</v>
      </c>
      <c r="U858" s="24" t="s">
        <v>61</v>
      </c>
      <c r="V858" s="24" t="s">
        <v>77</v>
      </c>
      <c r="W858" s="24" t="s">
        <v>107</v>
      </c>
      <c r="X858" s="24" t="s">
        <v>56</v>
      </c>
      <c r="Y858" s="24" t="s">
        <v>240</v>
      </c>
      <c r="Z858" s="24" t="s">
        <v>64</v>
      </c>
      <c r="AA858" s="24" t="s">
        <v>100</v>
      </c>
      <c r="AB858" s="24" t="s">
        <v>56</v>
      </c>
      <c r="AC858" s="24"/>
    </row>
    <row r="859" spans="1:29">
      <c r="A859" s="30" t="s">
        <v>2624</v>
      </c>
      <c r="B859" s="30" t="str">
        <f>IF(ISNUMBER(SEARCH(E859,A859)),A859,IF(OR(E859="",E859=""),A859,A859&amp;" - "&amp;E859))</f>
        <v>Cannabis FG 18.01 Flos - White Widow</v>
      </c>
      <c r="C859" s="23" t="s">
        <v>2625</v>
      </c>
      <c r="D859" s="30" t="s">
        <v>2626</v>
      </c>
      <c r="E859" s="29" t="s">
        <v>251</v>
      </c>
      <c r="F859" s="30" t="s">
        <v>86</v>
      </c>
      <c r="G859" s="34">
        <v>18</v>
      </c>
      <c r="H859" s="35">
        <v>1</v>
      </c>
      <c r="I859" s="30"/>
      <c r="J859" s="30"/>
      <c r="K859" s="30" t="s">
        <v>17</v>
      </c>
      <c r="L859" s="30" t="s">
        <v>87</v>
      </c>
      <c r="M859" s="30" t="s">
        <v>54</v>
      </c>
      <c r="N859" s="30" t="s">
        <v>111</v>
      </c>
      <c r="O859" s="30" t="s">
        <v>88</v>
      </c>
      <c r="P859" s="30" t="s">
        <v>146</v>
      </c>
      <c r="Q859" s="30" t="s">
        <v>74</v>
      </c>
      <c r="R859" s="30" t="s">
        <v>113</v>
      </c>
      <c r="S859" s="30" t="s">
        <v>62</v>
      </c>
      <c r="T859" s="30" t="s">
        <v>128</v>
      </c>
      <c r="U859" s="30" t="s">
        <v>179</v>
      </c>
      <c r="V859" s="30" t="s">
        <v>252</v>
      </c>
      <c r="W859" s="30" t="s">
        <v>77</v>
      </c>
      <c r="X859" s="30" t="s">
        <v>253</v>
      </c>
      <c r="Y859" s="30" t="s">
        <v>56</v>
      </c>
      <c r="Z859" s="30" t="s">
        <v>64</v>
      </c>
      <c r="AA859" s="30" t="s">
        <v>2626</v>
      </c>
      <c r="AB859" s="30" t="s">
        <v>56</v>
      </c>
      <c r="AC859" s="30" t="s">
        <v>2627</v>
      </c>
    </row>
    <row r="860" spans="1:29">
      <c r="A860" s="24" t="s">
        <v>2628</v>
      </c>
      <c r="B860" s="24" t="str">
        <f>IF(ISNUMBER(SEARCH(E860,A860)),A860,IF(OR(E860="",E860=""),A860,A860&amp;" - "&amp;E860))</f>
        <v>Cannabis Flos All Nations SH-001 - Stolo Haze</v>
      </c>
      <c r="C860" s="24" t="s">
        <v>564</v>
      </c>
      <c r="D860" s="24" t="s">
        <v>565</v>
      </c>
      <c r="E860" s="24" t="s">
        <v>1767</v>
      </c>
      <c r="F860" s="24" t="s">
        <v>69</v>
      </c>
      <c r="G860" s="27">
        <v>22</v>
      </c>
      <c r="H860" s="28">
        <v>1</v>
      </c>
      <c r="I860" s="24"/>
      <c r="J860" s="24"/>
      <c r="K860" s="24" t="s">
        <v>52</v>
      </c>
      <c r="L860" s="24" t="s">
        <v>53</v>
      </c>
      <c r="M860" s="24" t="s">
        <v>88</v>
      </c>
      <c r="N860" s="24" t="s">
        <v>55</v>
      </c>
      <c r="O860" s="24" t="s">
        <v>72</v>
      </c>
      <c r="P860" s="24" t="s">
        <v>146</v>
      </c>
      <c r="Q860" s="24" t="s">
        <v>74</v>
      </c>
      <c r="R860" s="24" t="s">
        <v>75</v>
      </c>
      <c r="S860" s="24" t="s">
        <v>147</v>
      </c>
      <c r="T860" s="24" t="s">
        <v>106</v>
      </c>
      <c r="U860" s="24" t="s">
        <v>91</v>
      </c>
      <c r="V860" s="24" t="s">
        <v>92</v>
      </c>
      <c r="W860" s="24" t="s">
        <v>77</v>
      </c>
      <c r="X860" s="24" t="s">
        <v>138</v>
      </c>
      <c r="Y860" s="24" t="s">
        <v>2629</v>
      </c>
      <c r="Z860" s="24" t="s">
        <v>64</v>
      </c>
      <c r="AA860" s="24" t="s">
        <v>565</v>
      </c>
      <c r="AB860" s="24" t="s">
        <v>1232</v>
      </c>
      <c r="AC860" s="24" t="s">
        <v>2630</v>
      </c>
    </row>
    <row r="861" spans="1:29">
      <c r="A861" s="30" t="s">
        <v>2631</v>
      </c>
      <c r="B861" s="30" t="str">
        <f>IF(ISNUMBER(SEARCH(E861,A861)),A861,IF(OR(E861="",E861=""),A861,A861&amp;" - "&amp;E861))</f>
        <v>CannabiStada 14/1 - White Widow</v>
      </c>
      <c r="C861" s="30" t="s">
        <v>478</v>
      </c>
      <c r="D861" s="30" t="s">
        <v>479</v>
      </c>
      <c r="E861" s="30" t="s">
        <v>251</v>
      </c>
      <c r="F861" s="30" t="s">
        <v>86</v>
      </c>
      <c r="G861" s="34">
        <v>14</v>
      </c>
      <c r="H861" s="35">
        <v>1</v>
      </c>
      <c r="I861" s="30"/>
      <c r="J861" s="30"/>
      <c r="K861" s="30" t="s">
        <v>17</v>
      </c>
      <c r="L861" s="30" t="s">
        <v>53</v>
      </c>
      <c r="M861" s="30" t="s">
        <v>54</v>
      </c>
      <c r="N861" s="30" t="s">
        <v>111</v>
      </c>
      <c r="O861" s="30" t="s">
        <v>88</v>
      </c>
      <c r="P861" s="30" t="s">
        <v>146</v>
      </c>
      <c r="Q861" s="30" t="s">
        <v>74</v>
      </c>
      <c r="R861" s="30" t="s">
        <v>113</v>
      </c>
      <c r="S861" s="30" t="s">
        <v>106</v>
      </c>
      <c r="T861" s="30" t="s">
        <v>128</v>
      </c>
      <c r="U861" s="30" t="s">
        <v>62</v>
      </c>
      <c r="V861" s="30" t="s">
        <v>252</v>
      </c>
      <c r="W861" s="30" t="s">
        <v>77</v>
      </c>
      <c r="X861" s="30" t="s">
        <v>253</v>
      </c>
      <c r="Y861" s="30" t="s">
        <v>56</v>
      </c>
      <c r="Z861" s="30" t="s">
        <v>64</v>
      </c>
      <c r="AA861" s="30" t="s">
        <v>481</v>
      </c>
      <c r="AB861" s="30" t="s">
        <v>56</v>
      </c>
      <c r="AC861" s="30" t="s">
        <v>2632</v>
      </c>
    </row>
    <row r="862" spans="1:29">
      <c r="A862" s="24" t="s">
        <v>2633</v>
      </c>
      <c r="B862" s="24" t="str">
        <f>IF(ISNUMBER(SEARCH(E862,A862)),A862,IF(OR(E862="",E862=""),A862,A862&amp;" - "&amp;E862))</f>
        <v>CannabiStada 17/1 - Shiskaberry</v>
      </c>
      <c r="C862" s="24" t="s">
        <v>478</v>
      </c>
      <c r="D862" s="24" t="s">
        <v>479</v>
      </c>
      <c r="E862" s="24" t="s">
        <v>2408</v>
      </c>
      <c r="F862" s="24" t="s">
        <v>86</v>
      </c>
      <c r="G862" s="27">
        <v>17</v>
      </c>
      <c r="H862" s="28">
        <v>1</v>
      </c>
      <c r="I862" s="24"/>
      <c r="J862" s="24"/>
      <c r="K862" s="24" t="s">
        <v>17</v>
      </c>
      <c r="L862" s="24" t="s">
        <v>53</v>
      </c>
      <c r="M862" s="24" t="s">
        <v>212</v>
      </c>
      <c r="N862" s="24" t="s">
        <v>121</v>
      </c>
      <c r="O862" s="24" t="s">
        <v>72</v>
      </c>
      <c r="P862" s="24" t="s">
        <v>89</v>
      </c>
      <c r="Q862" s="24" t="s">
        <v>58</v>
      </c>
      <c r="R862" s="24" t="s">
        <v>56</v>
      </c>
      <c r="S862" s="24" t="s">
        <v>105</v>
      </c>
      <c r="T862" s="24" t="s">
        <v>106</v>
      </c>
      <c r="U862" s="24" t="s">
        <v>128</v>
      </c>
      <c r="V862" s="24" t="s">
        <v>77</v>
      </c>
      <c r="W862" s="24" t="s">
        <v>116</v>
      </c>
      <c r="X862" s="24" t="s">
        <v>129</v>
      </c>
      <c r="Y862" s="24" t="s">
        <v>56</v>
      </c>
      <c r="Z862" s="24" t="s">
        <v>64</v>
      </c>
      <c r="AA862" s="24" t="s">
        <v>481</v>
      </c>
      <c r="AB862" s="24" t="s">
        <v>56</v>
      </c>
      <c r="AC862" s="24" t="s">
        <v>2634</v>
      </c>
    </row>
    <row r="863" spans="1:29">
      <c r="A863" s="30" t="s">
        <v>2635</v>
      </c>
      <c r="B863" s="30" t="str">
        <f>IF(ISNUMBER(SEARCH(E863,A863)),A863,IF(OR(E863="",E863=""),A863,A863&amp;" - "&amp;E863))</f>
        <v>CannabiStada 18/1 - Delahaze</v>
      </c>
      <c r="C863" s="30" t="s">
        <v>478</v>
      </c>
      <c r="D863" s="30" t="s">
        <v>479</v>
      </c>
      <c r="E863" s="30" t="s">
        <v>522</v>
      </c>
      <c r="F863" s="30" t="s">
        <v>69</v>
      </c>
      <c r="G863" s="34">
        <v>18</v>
      </c>
      <c r="H863" s="35">
        <v>1</v>
      </c>
      <c r="I863" s="30"/>
      <c r="J863" s="30"/>
      <c r="K863" s="30" t="s">
        <v>17</v>
      </c>
      <c r="L863" s="30" t="s">
        <v>53</v>
      </c>
      <c r="M863" s="30" t="s">
        <v>54</v>
      </c>
      <c r="N863" s="30" t="s">
        <v>111</v>
      </c>
      <c r="O863" s="30" t="s">
        <v>88</v>
      </c>
      <c r="P863" s="30" t="s">
        <v>75</v>
      </c>
      <c r="Q863" s="30" t="s">
        <v>58</v>
      </c>
      <c r="R863" s="30" t="s">
        <v>56</v>
      </c>
      <c r="S863" s="30" t="s">
        <v>90</v>
      </c>
      <c r="T863" s="30" t="s">
        <v>128</v>
      </c>
      <c r="U863" s="30" t="s">
        <v>56</v>
      </c>
      <c r="V863" s="30" t="s">
        <v>173</v>
      </c>
      <c r="W863" s="30" t="s">
        <v>56</v>
      </c>
      <c r="X863" s="30" t="s">
        <v>56</v>
      </c>
      <c r="Y863" s="30" t="s">
        <v>56</v>
      </c>
      <c r="Z863" s="30" t="s">
        <v>64</v>
      </c>
      <c r="AA863" s="30" t="s">
        <v>481</v>
      </c>
      <c r="AB863" s="30" t="s">
        <v>56</v>
      </c>
      <c r="AC863" s="30" t="s">
        <v>2636</v>
      </c>
    </row>
    <row r="864" spans="1:29">
      <c r="A864" s="24" t="s">
        <v>2637</v>
      </c>
      <c r="B864" s="24" t="str">
        <f>IF(ISNUMBER(SEARCH(E864,A864)),A864,IF(OR(E864="",E864=""),A864,A864&amp;" - "&amp;E864))</f>
        <v>CannabiStada 19/1 - Gorilla Glue</v>
      </c>
      <c r="C864" s="24" t="s">
        <v>478</v>
      </c>
      <c r="D864" s="24" t="s">
        <v>479</v>
      </c>
      <c r="E864" s="24" t="s">
        <v>363</v>
      </c>
      <c r="F864" s="24" t="s">
        <v>86</v>
      </c>
      <c r="G864" s="27">
        <v>19</v>
      </c>
      <c r="H864" s="28">
        <v>1</v>
      </c>
      <c r="I864" s="24"/>
      <c r="J864" s="24"/>
      <c r="K864" s="24" t="s">
        <v>17</v>
      </c>
      <c r="L864" s="24" t="s">
        <v>53</v>
      </c>
      <c r="M864" s="24" t="s">
        <v>103</v>
      </c>
      <c r="N864" s="24" t="s">
        <v>121</v>
      </c>
      <c r="O864" s="24" t="s">
        <v>72</v>
      </c>
      <c r="P864" s="24" t="s">
        <v>146</v>
      </c>
      <c r="Q864" s="24" t="s">
        <v>74</v>
      </c>
      <c r="R864" s="24" t="s">
        <v>59</v>
      </c>
      <c r="S864" s="24" t="s">
        <v>91</v>
      </c>
      <c r="T864" s="24" t="s">
        <v>61</v>
      </c>
      <c r="U864" s="24" t="s">
        <v>128</v>
      </c>
      <c r="V864" s="24" t="s">
        <v>257</v>
      </c>
      <c r="W864" s="24" t="s">
        <v>252</v>
      </c>
      <c r="X864" s="24" t="s">
        <v>77</v>
      </c>
      <c r="Y864" s="24" t="s">
        <v>56</v>
      </c>
      <c r="Z864" s="24" t="s">
        <v>64</v>
      </c>
      <c r="AA864" s="24" t="s">
        <v>481</v>
      </c>
      <c r="AB864" s="24" t="s">
        <v>56</v>
      </c>
      <c r="AC864" s="24" t="s">
        <v>2638</v>
      </c>
    </row>
    <row r="865" spans="1:29">
      <c r="A865" s="30" t="s">
        <v>2639</v>
      </c>
      <c r="B865" s="30" t="str">
        <f>IF(ISNUMBER(SEARCH(E865,A865)),A865,IF(OR(E865="",E865=""),A865,A865&amp;" - "&amp;E865))</f>
        <v>CannabiStada 20/1 - Delahaze</v>
      </c>
      <c r="C865" s="30" t="s">
        <v>478</v>
      </c>
      <c r="D865" s="30" t="s">
        <v>479</v>
      </c>
      <c r="E865" s="30" t="s">
        <v>522</v>
      </c>
      <c r="F865" s="30" t="s">
        <v>69</v>
      </c>
      <c r="G865" s="34">
        <v>20</v>
      </c>
      <c r="H865" s="35">
        <v>1</v>
      </c>
      <c r="I865" s="30"/>
      <c r="J865" s="30"/>
      <c r="K865" s="30" t="s">
        <v>17</v>
      </c>
      <c r="L865" s="30" t="s">
        <v>53</v>
      </c>
      <c r="M865" s="30" t="s">
        <v>54</v>
      </c>
      <c r="N865" s="30" t="s">
        <v>111</v>
      </c>
      <c r="O865" s="30" t="s">
        <v>88</v>
      </c>
      <c r="P865" s="30" t="s">
        <v>75</v>
      </c>
      <c r="Q865" s="30" t="s">
        <v>58</v>
      </c>
      <c r="R865" s="30" t="s">
        <v>56</v>
      </c>
      <c r="S865" s="30" t="s">
        <v>90</v>
      </c>
      <c r="T865" s="30" t="s">
        <v>128</v>
      </c>
      <c r="U865" s="30" t="s">
        <v>56</v>
      </c>
      <c r="V865" s="30" t="s">
        <v>173</v>
      </c>
      <c r="W865" s="30" t="s">
        <v>56</v>
      </c>
      <c r="X865" s="30" t="s">
        <v>56</v>
      </c>
      <c r="Y865" s="30" t="s">
        <v>56</v>
      </c>
      <c r="Z865" s="30" t="s">
        <v>64</v>
      </c>
      <c r="AA865" s="30" t="s">
        <v>481</v>
      </c>
      <c r="AB865" s="30" t="s">
        <v>56</v>
      </c>
      <c r="AC865" s="30" t="s">
        <v>2640</v>
      </c>
    </row>
    <row r="866" spans="1:29">
      <c r="A866" s="24" t="s">
        <v>2641</v>
      </c>
      <c r="B866" s="24" t="str">
        <f>IF(ISNUMBER(SEARCH(E866,A866)),A866,IF(OR(E866="",E866=""),A866,A866&amp;" - "&amp;E866))</f>
        <v>CannabiStada 22/1 - Gorilla Glue</v>
      </c>
      <c r="C866" s="24" t="s">
        <v>478</v>
      </c>
      <c r="D866" s="24" t="s">
        <v>479</v>
      </c>
      <c r="E866" s="24" t="s">
        <v>363</v>
      </c>
      <c r="F866" s="24" t="s">
        <v>86</v>
      </c>
      <c r="G866" s="27">
        <v>22</v>
      </c>
      <c r="H866" s="28">
        <v>1</v>
      </c>
      <c r="I866" s="24"/>
      <c r="J866" s="24"/>
      <c r="K866" s="24" t="s">
        <v>52</v>
      </c>
      <c r="L866" s="24" t="s">
        <v>53</v>
      </c>
      <c r="M866" s="24" t="s">
        <v>103</v>
      </c>
      <c r="N866" s="24" t="s">
        <v>121</v>
      </c>
      <c r="O866" s="24" t="s">
        <v>72</v>
      </c>
      <c r="P866" s="24" t="s">
        <v>146</v>
      </c>
      <c r="Q866" s="24" t="s">
        <v>74</v>
      </c>
      <c r="R866" s="24" t="s">
        <v>59</v>
      </c>
      <c r="S866" s="24" t="s">
        <v>91</v>
      </c>
      <c r="T866" s="24" t="s">
        <v>61</v>
      </c>
      <c r="U866" s="24" t="s">
        <v>128</v>
      </c>
      <c r="V866" s="24" t="s">
        <v>257</v>
      </c>
      <c r="W866" s="24" t="s">
        <v>252</v>
      </c>
      <c r="X866" s="24" t="s">
        <v>77</v>
      </c>
      <c r="Y866" s="24" t="s">
        <v>1112</v>
      </c>
      <c r="Z866" s="24" t="s">
        <v>64</v>
      </c>
      <c r="AA866" s="24" t="s">
        <v>481</v>
      </c>
      <c r="AB866" s="24" t="s">
        <v>56</v>
      </c>
      <c r="AC866" s="24" t="s">
        <v>2642</v>
      </c>
    </row>
    <row r="867" spans="1:29">
      <c r="A867" s="30" t="s">
        <v>2643</v>
      </c>
      <c r="B867" s="30" t="str">
        <f>IF(ISNUMBER(SEARCH(E867,A867)),A867,IF(OR(E867="",E867=""),A867,A867&amp;" - "&amp;E867))</f>
        <v>Cannabistada 22/1 WAP - Wappa</v>
      </c>
      <c r="C867" s="30" t="s">
        <v>478</v>
      </c>
      <c r="D867" s="30" t="s">
        <v>479</v>
      </c>
      <c r="E867" s="30" t="s">
        <v>566</v>
      </c>
      <c r="F867" s="30" t="s">
        <v>86</v>
      </c>
      <c r="G867" s="34">
        <v>22</v>
      </c>
      <c r="H867" s="35">
        <v>1</v>
      </c>
      <c r="I867" s="30"/>
      <c r="J867" s="30"/>
      <c r="K867" s="30" t="s">
        <v>52</v>
      </c>
      <c r="L867" s="30" t="s">
        <v>53</v>
      </c>
      <c r="M867" s="30" t="s">
        <v>54</v>
      </c>
      <c r="N867" s="30" t="s">
        <v>111</v>
      </c>
      <c r="O867" s="30" t="s">
        <v>212</v>
      </c>
      <c r="P867" s="30" t="s">
        <v>75</v>
      </c>
      <c r="Q867" s="30" t="s">
        <v>89</v>
      </c>
      <c r="R867" s="30" t="s">
        <v>56</v>
      </c>
      <c r="S867" s="30" t="s">
        <v>192</v>
      </c>
      <c r="T867" s="30" t="s">
        <v>62</v>
      </c>
      <c r="U867" s="30" t="s">
        <v>128</v>
      </c>
      <c r="V867" s="30" t="s">
        <v>77</v>
      </c>
      <c r="W867" s="30" t="s">
        <v>116</v>
      </c>
      <c r="X867" s="30" t="s">
        <v>79</v>
      </c>
      <c r="Y867" s="30" t="s">
        <v>2644</v>
      </c>
      <c r="Z867" s="30" t="s">
        <v>64</v>
      </c>
      <c r="AA867" s="30" t="s">
        <v>481</v>
      </c>
      <c r="AB867" s="30" t="s">
        <v>56</v>
      </c>
      <c r="AC867" s="30" t="s">
        <v>2645</v>
      </c>
    </row>
    <row r="868" spans="1:29">
      <c r="A868" s="24" t="s">
        <v>2646</v>
      </c>
      <c r="B868" s="24" t="str">
        <f>IF(ISNUMBER(SEARCH(E868,A868)),A868,IF(OR(E868="",E868=""),A868,A868&amp;" - "&amp;E868))</f>
        <v>CannabiStada 24/1 SEN - Sensi Star</v>
      </c>
      <c r="C868" s="24" t="s">
        <v>478</v>
      </c>
      <c r="D868" s="24" t="s">
        <v>479</v>
      </c>
      <c r="E868" s="24" t="s">
        <v>615</v>
      </c>
      <c r="F868" s="24" t="s">
        <v>177</v>
      </c>
      <c r="G868" s="27">
        <v>24</v>
      </c>
      <c r="H868" s="28">
        <v>1</v>
      </c>
      <c r="I868" s="24"/>
      <c r="J868" s="24"/>
      <c r="K868" s="24" t="s">
        <v>52</v>
      </c>
      <c r="L868" s="24" t="s">
        <v>53</v>
      </c>
      <c r="M868" s="24" t="s">
        <v>212</v>
      </c>
      <c r="N868" s="24" t="s">
        <v>103</v>
      </c>
      <c r="O868" s="24" t="s">
        <v>121</v>
      </c>
      <c r="P868" s="24" t="s">
        <v>157</v>
      </c>
      <c r="Q868" s="24" t="s">
        <v>74</v>
      </c>
      <c r="R868" s="24" t="s">
        <v>75</v>
      </c>
      <c r="S868" s="24" t="s">
        <v>90</v>
      </c>
      <c r="T868" s="24" t="s">
        <v>105</v>
      </c>
      <c r="U868" s="24" t="s">
        <v>147</v>
      </c>
      <c r="V868" s="24" t="s">
        <v>77</v>
      </c>
      <c r="W868" s="24" t="s">
        <v>116</v>
      </c>
      <c r="X868" s="24" t="s">
        <v>107</v>
      </c>
      <c r="Y868" s="24" t="s">
        <v>2644</v>
      </c>
      <c r="Z868" s="24" t="s">
        <v>64</v>
      </c>
      <c r="AA868" s="24" t="s">
        <v>481</v>
      </c>
      <c r="AB868" s="24" t="s">
        <v>56</v>
      </c>
      <c r="AC868" s="24" t="s">
        <v>2647</v>
      </c>
    </row>
    <row r="869" spans="1:29">
      <c r="A869" s="30" t="s">
        <v>2648</v>
      </c>
      <c r="B869" s="30" t="str">
        <f>IF(ISNUMBER(SEARCH(E869,A869)),A869,IF(OR(E869="",E869=""),A869,A869&amp;" - "&amp;E869))</f>
        <v>CannabiStada 25/1 GG - Gorilla Glue</v>
      </c>
      <c r="C869" s="30" t="s">
        <v>478</v>
      </c>
      <c r="D869" s="30" t="s">
        <v>479</v>
      </c>
      <c r="E869" s="30" t="s">
        <v>363</v>
      </c>
      <c r="F869" s="30" t="s">
        <v>86</v>
      </c>
      <c r="G869" s="34">
        <v>25</v>
      </c>
      <c r="H869" s="35">
        <v>1</v>
      </c>
      <c r="I869" s="30"/>
      <c r="J869" s="30"/>
      <c r="K869" s="30" t="s">
        <v>52</v>
      </c>
      <c r="L869" s="30" t="s">
        <v>53</v>
      </c>
      <c r="M869" s="30" t="s">
        <v>103</v>
      </c>
      <c r="N869" s="30" t="s">
        <v>121</v>
      </c>
      <c r="O869" s="30" t="s">
        <v>72</v>
      </c>
      <c r="P869" s="30" t="s">
        <v>146</v>
      </c>
      <c r="Q869" s="30" t="s">
        <v>74</v>
      </c>
      <c r="R869" s="30" t="s">
        <v>59</v>
      </c>
      <c r="S869" s="30" t="s">
        <v>91</v>
      </c>
      <c r="T869" s="30" t="s">
        <v>61</v>
      </c>
      <c r="U869" s="30" t="s">
        <v>128</v>
      </c>
      <c r="V869" s="30" t="s">
        <v>257</v>
      </c>
      <c r="W869" s="30" t="s">
        <v>252</v>
      </c>
      <c r="X869" s="30" t="s">
        <v>77</v>
      </c>
      <c r="Y869" s="30" t="s">
        <v>56</v>
      </c>
      <c r="Z869" s="30" t="s">
        <v>64</v>
      </c>
      <c r="AA869" s="30" t="s">
        <v>481</v>
      </c>
      <c r="AB869" s="30" t="s">
        <v>56</v>
      </c>
      <c r="AC869" s="30" t="s">
        <v>2649</v>
      </c>
    </row>
    <row r="870" spans="1:29">
      <c r="A870" s="24" t="s">
        <v>2650</v>
      </c>
      <c r="B870" s="24" t="str">
        <f>IF(ISNUMBER(SEARCH(E870,A870)),A870,IF(OR(E870="",E870=""),A870,A870&amp;" - "&amp;E870))</f>
        <v>CannabiStada TRO 17 - Tropicana Cookies</v>
      </c>
      <c r="C870" s="24" t="s">
        <v>478</v>
      </c>
      <c r="D870" s="24" t="s">
        <v>479</v>
      </c>
      <c r="E870" s="24" t="s">
        <v>624</v>
      </c>
      <c r="F870" s="24" t="s">
        <v>86</v>
      </c>
      <c r="G870" s="27">
        <v>17</v>
      </c>
      <c r="H870" s="28">
        <v>1</v>
      </c>
      <c r="I870" s="24"/>
      <c r="J870" s="24"/>
      <c r="K870" s="24" t="s">
        <v>52</v>
      </c>
      <c r="L870" s="24" t="s">
        <v>53</v>
      </c>
      <c r="M870" s="24" t="s">
        <v>54</v>
      </c>
      <c r="N870" s="24" t="s">
        <v>111</v>
      </c>
      <c r="O870" s="24" t="s">
        <v>55</v>
      </c>
      <c r="P870" s="24" t="s">
        <v>136</v>
      </c>
      <c r="Q870" s="24" t="s">
        <v>57</v>
      </c>
      <c r="R870" s="24" t="s">
        <v>75</v>
      </c>
      <c r="S870" s="24" t="s">
        <v>91</v>
      </c>
      <c r="T870" s="24" t="s">
        <v>128</v>
      </c>
      <c r="U870" s="24" t="s">
        <v>62</v>
      </c>
      <c r="V870" s="24" t="s">
        <v>77</v>
      </c>
      <c r="W870" s="24" t="s">
        <v>79</v>
      </c>
      <c r="X870" s="24" t="s">
        <v>93</v>
      </c>
      <c r="Y870" s="24" t="s">
        <v>56</v>
      </c>
      <c r="Z870" s="24" t="s">
        <v>64</v>
      </c>
      <c r="AA870" s="24" t="s">
        <v>481</v>
      </c>
      <c r="AB870" s="24" t="s">
        <v>56</v>
      </c>
      <c r="AC870" s="24" t="s">
        <v>2651</v>
      </c>
    </row>
    <row r="871" spans="1:29">
      <c r="A871" s="30" t="s">
        <v>2652</v>
      </c>
      <c r="B871" s="30" t="str">
        <f>IF(ISNUMBER(SEARCH(E871,A871)),A871,IF(OR(E871="",E871=""),A871,A871&amp;" - "&amp;E871))</f>
        <v>CannabiStada WEM 25 - Wedding Mints</v>
      </c>
      <c r="C871" s="30" t="s">
        <v>478</v>
      </c>
      <c r="D871" s="30" t="s">
        <v>479</v>
      </c>
      <c r="E871" s="30" t="s">
        <v>2653</v>
      </c>
      <c r="F871" s="30" t="s">
        <v>86</v>
      </c>
      <c r="G871" s="34">
        <v>25</v>
      </c>
      <c r="H871" s="35">
        <v>1</v>
      </c>
      <c r="I871" s="30"/>
      <c r="J871" s="30"/>
      <c r="K871" s="30" t="s">
        <v>52</v>
      </c>
      <c r="L871" s="30" t="s">
        <v>53</v>
      </c>
      <c r="M871" s="30" t="s">
        <v>71</v>
      </c>
      <c r="N871" s="30" t="s">
        <v>72</v>
      </c>
      <c r="O871" s="30" t="s">
        <v>56</v>
      </c>
      <c r="P871" s="30" t="s">
        <v>112</v>
      </c>
      <c r="Q871" s="30" t="s">
        <v>89</v>
      </c>
      <c r="R871" s="30" t="s">
        <v>58</v>
      </c>
      <c r="S871" s="30" t="s">
        <v>147</v>
      </c>
      <c r="T871" s="30" t="s">
        <v>106</v>
      </c>
      <c r="U871" s="30" t="s">
        <v>224</v>
      </c>
      <c r="V871" s="30" t="s">
        <v>77</v>
      </c>
      <c r="W871" s="30" t="s">
        <v>165</v>
      </c>
      <c r="X871" s="30" t="s">
        <v>129</v>
      </c>
      <c r="Y871" s="30" t="s">
        <v>56</v>
      </c>
      <c r="Z871" s="30" t="s">
        <v>64</v>
      </c>
      <c r="AA871" s="30" t="s">
        <v>481</v>
      </c>
      <c r="AB871" s="30" t="s">
        <v>56</v>
      </c>
      <c r="AC871" s="30" t="s">
        <v>2654</v>
      </c>
    </row>
    <row r="872" spans="1:29">
      <c r="A872" s="24" t="s">
        <v>2655</v>
      </c>
      <c r="B872" s="24" t="str">
        <f>IF(ISNUMBER(SEARCH(E872,A872)),A872,IF(OR(E872="",E872=""),A872,A872&amp;" - "&amp;E872))</f>
        <v>Cannabixir medium</v>
      </c>
      <c r="C872" s="24" t="s">
        <v>2656</v>
      </c>
      <c r="D872" s="24" t="s">
        <v>2657</v>
      </c>
      <c r="E872" s="24" t="s">
        <v>2655</v>
      </c>
      <c r="F872" s="24" t="s">
        <v>86</v>
      </c>
      <c r="G872" s="27">
        <v>17</v>
      </c>
      <c r="H872" s="28">
        <v>1</v>
      </c>
      <c r="I872" s="24"/>
      <c r="J872" s="24"/>
      <c r="K872" s="24" t="s">
        <v>17</v>
      </c>
      <c r="L872" s="24" t="s">
        <v>102</v>
      </c>
      <c r="M872" s="24" t="s">
        <v>72</v>
      </c>
      <c r="N872" s="24"/>
      <c r="O872" s="24" t="s">
        <v>56</v>
      </c>
      <c r="P872" s="24" t="s">
        <v>74</v>
      </c>
      <c r="Q872" s="24" t="s">
        <v>58</v>
      </c>
      <c r="R872" s="24" t="s">
        <v>56</v>
      </c>
      <c r="S872" s="24" t="s">
        <v>56</v>
      </c>
      <c r="T872" s="24" t="s">
        <v>56</v>
      </c>
      <c r="U872" s="24" t="s">
        <v>56</v>
      </c>
      <c r="V872" s="24" t="s">
        <v>77</v>
      </c>
      <c r="W872" s="24" t="s">
        <v>56</v>
      </c>
      <c r="X872" s="24" t="s">
        <v>56</v>
      </c>
      <c r="Y872" s="24" t="s">
        <v>56</v>
      </c>
      <c r="Z872" s="24" t="s">
        <v>64</v>
      </c>
      <c r="AA872" s="24" t="s">
        <v>2657</v>
      </c>
      <c r="AB872" s="24" t="s">
        <v>56</v>
      </c>
      <c r="AC872" s="24" t="s">
        <v>2658</v>
      </c>
    </row>
    <row r="873" spans="1:29">
      <c r="A873" s="30" t="s">
        <v>2659</v>
      </c>
      <c r="B873" s="30" t="str">
        <f>IF(ISNUMBER(SEARCH(E873,A873)),A873,IF(OR(E873="",E873=""),A873,A873&amp;" - "&amp;E873))</f>
        <v>Cannamedical 16/1 - Dave's Kush</v>
      </c>
      <c r="C873" s="30" t="s">
        <v>48</v>
      </c>
      <c r="D873" s="30" t="s">
        <v>49</v>
      </c>
      <c r="E873" s="30" t="s">
        <v>2660</v>
      </c>
      <c r="F873" s="30" t="s">
        <v>51</v>
      </c>
      <c r="G873" s="34">
        <v>18</v>
      </c>
      <c r="H873" s="35">
        <v>1</v>
      </c>
      <c r="I873" s="30"/>
      <c r="J873" s="30"/>
      <c r="K873" s="30" t="s">
        <v>17</v>
      </c>
      <c r="L873" s="30" t="s">
        <v>423</v>
      </c>
      <c r="M873" s="30" t="s">
        <v>72</v>
      </c>
      <c r="N873" s="30"/>
      <c r="O873" s="30" t="s">
        <v>56</v>
      </c>
      <c r="P873" s="30" t="s">
        <v>74</v>
      </c>
      <c r="Q873" s="30" t="s">
        <v>59</v>
      </c>
      <c r="R873" s="30" t="s">
        <v>56</v>
      </c>
      <c r="S873" s="30" t="s">
        <v>76</v>
      </c>
      <c r="T873" s="30" t="s">
        <v>115</v>
      </c>
      <c r="U873" s="30" t="s">
        <v>128</v>
      </c>
      <c r="V873" s="30" t="s">
        <v>116</v>
      </c>
      <c r="W873" s="30" t="s">
        <v>56</v>
      </c>
      <c r="X873" s="30" t="s">
        <v>56</v>
      </c>
      <c r="Y873" s="30" t="s">
        <v>56</v>
      </c>
      <c r="Z873" s="30" t="s">
        <v>64</v>
      </c>
      <c r="AA873" s="30" t="s">
        <v>49</v>
      </c>
      <c r="AB873" s="30" t="s">
        <v>56</v>
      </c>
      <c r="AC873" s="30" t="s">
        <v>2661</v>
      </c>
    </row>
    <row r="874" spans="1:29">
      <c r="A874" s="24" t="s">
        <v>2662</v>
      </c>
      <c r="B874" s="24" t="str">
        <f>IF(ISNUMBER(SEARCH(E874,A874)),A874,IF(OR(E874="",E874=""),A874,A874&amp;" - "&amp;E874))</f>
        <v>Cannamedical 20/1 - Dave's Kush</v>
      </c>
      <c r="C874" s="24" t="s">
        <v>48</v>
      </c>
      <c r="D874" s="24" t="s">
        <v>49</v>
      </c>
      <c r="E874" s="24" t="s">
        <v>2660</v>
      </c>
      <c r="F874" s="24" t="s">
        <v>120</v>
      </c>
      <c r="G874" s="27">
        <v>20</v>
      </c>
      <c r="H874" s="28">
        <v>1</v>
      </c>
      <c r="I874" s="24"/>
      <c r="J874" s="24"/>
      <c r="K874" s="24" t="s">
        <v>17</v>
      </c>
      <c r="L874" s="24" t="s">
        <v>423</v>
      </c>
      <c r="M874" s="24" t="s">
        <v>72</v>
      </c>
      <c r="N874" s="24"/>
      <c r="O874" s="24" t="s">
        <v>56</v>
      </c>
      <c r="P874" s="24" t="s">
        <v>74</v>
      </c>
      <c r="Q874" s="24" t="s">
        <v>59</v>
      </c>
      <c r="R874" s="24" t="s">
        <v>56</v>
      </c>
      <c r="S874" s="24" t="s">
        <v>76</v>
      </c>
      <c r="T874" s="24" t="s">
        <v>115</v>
      </c>
      <c r="U874" s="24" t="s">
        <v>128</v>
      </c>
      <c r="V874" s="24" t="s">
        <v>116</v>
      </c>
      <c r="W874" s="24" t="s">
        <v>56</v>
      </c>
      <c r="X874" s="24" t="s">
        <v>56</v>
      </c>
      <c r="Y874" s="24" t="s">
        <v>56</v>
      </c>
      <c r="Z874" s="24" t="s">
        <v>64</v>
      </c>
      <c r="AA874" s="24" t="s">
        <v>49</v>
      </c>
      <c r="AB874" s="24" t="s">
        <v>56</v>
      </c>
      <c r="AC874" s="24" t="s">
        <v>2663</v>
      </c>
    </row>
    <row r="875" spans="1:29">
      <c r="A875" s="30" t="s">
        <v>2664</v>
      </c>
      <c r="B875" s="30" t="str">
        <f>IF(ISNUMBER(SEARCH(E875,A875)),A875,IF(OR(E875="",E875=""),A875,A875&amp;" - "&amp;E875))</f>
        <v>Cannamedical Balanced classic - Mango Haze</v>
      </c>
      <c r="C875" s="30" t="s">
        <v>48</v>
      </c>
      <c r="D875" s="30" t="s">
        <v>49</v>
      </c>
      <c r="E875" s="30" t="s">
        <v>838</v>
      </c>
      <c r="F875" s="30" t="s">
        <v>86</v>
      </c>
      <c r="G875" s="34">
        <v>6</v>
      </c>
      <c r="H875" s="35">
        <v>10</v>
      </c>
      <c r="I875" s="30"/>
      <c r="J875" s="30"/>
      <c r="K875" s="30" t="s">
        <v>52</v>
      </c>
      <c r="L875" s="30" t="s">
        <v>53</v>
      </c>
      <c r="M875" s="30" t="s">
        <v>54</v>
      </c>
      <c r="N875" s="30" t="s">
        <v>88</v>
      </c>
      <c r="O875" s="30" t="s">
        <v>71</v>
      </c>
      <c r="P875" s="30" t="s">
        <v>136</v>
      </c>
      <c r="Q875" s="30" t="s">
        <v>89</v>
      </c>
      <c r="R875" s="30" t="s">
        <v>58</v>
      </c>
      <c r="S875" s="30" t="s">
        <v>91</v>
      </c>
      <c r="T875" s="30" t="s">
        <v>128</v>
      </c>
      <c r="U875" s="30" t="s">
        <v>62</v>
      </c>
      <c r="V875" s="30" t="s">
        <v>77</v>
      </c>
      <c r="W875" s="30" t="s">
        <v>635</v>
      </c>
      <c r="X875" s="30" t="s">
        <v>79</v>
      </c>
      <c r="Y875" s="30" t="s">
        <v>56</v>
      </c>
      <c r="Z875" s="30" t="s">
        <v>64</v>
      </c>
      <c r="AA875" s="30" t="s">
        <v>49</v>
      </c>
      <c r="AB875" s="30" t="s">
        <v>56</v>
      </c>
      <c r="AC875" s="30" t="s">
        <v>2665</v>
      </c>
    </row>
    <row r="876" spans="1:29">
      <c r="A876" s="24" t="s">
        <v>2666</v>
      </c>
      <c r="B876" s="24" t="str">
        <f>IF(ISNUMBER(SEARCH(E876,A876)),A876,IF(OR(E876="",E876=""),A876,A876&amp;" - "&amp;E876))</f>
        <v>Cannamedical Balanced classic 6/10 - California Orange</v>
      </c>
      <c r="C876" s="24" t="s">
        <v>48</v>
      </c>
      <c r="D876" s="24" t="s">
        <v>49</v>
      </c>
      <c r="E876" s="24" t="s">
        <v>754</v>
      </c>
      <c r="F876" s="24" t="s">
        <v>86</v>
      </c>
      <c r="G876" s="27">
        <v>6</v>
      </c>
      <c r="H876" s="28">
        <v>10</v>
      </c>
      <c r="I876" s="24"/>
      <c r="J876" s="24"/>
      <c r="K876" s="24" t="s">
        <v>52</v>
      </c>
      <c r="L876" s="24" t="s">
        <v>53</v>
      </c>
      <c r="M876" s="24" t="s">
        <v>156</v>
      </c>
      <c r="N876" s="24" t="s">
        <v>88</v>
      </c>
      <c r="O876" s="24" t="s">
        <v>71</v>
      </c>
      <c r="P876" s="24" t="s">
        <v>74</v>
      </c>
      <c r="Q876" s="24" t="s">
        <v>75</v>
      </c>
      <c r="R876" s="24" t="s">
        <v>89</v>
      </c>
      <c r="S876" s="24" t="s">
        <v>61</v>
      </c>
      <c r="T876" s="24" t="s">
        <v>128</v>
      </c>
      <c r="U876" s="24" t="s">
        <v>179</v>
      </c>
      <c r="V876" s="24" t="s">
        <v>77</v>
      </c>
      <c r="W876" s="24" t="s">
        <v>79</v>
      </c>
      <c r="X876" s="24" t="s">
        <v>173</v>
      </c>
      <c r="Y876" s="24" t="s">
        <v>1687</v>
      </c>
      <c r="Z876" s="24" t="s">
        <v>64</v>
      </c>
      <c r="AA876" s="24" t="s">
        <v>49</v>
      </c>
      <c r="AB876" s="24" t="s">
        <v>56</v>
      </c>
      <c r="AC876" s="24" t="s">
        <v>2667</v>
      </c>
    </row>
    <row r="877" spans="1:29">
      <c r="A877" s="30" t="s">
        <v>2668</v>
      </c>
      <c r="B877" s="30" t="str">
        <f>IF(ISNUMBER(SEARCH(E877,A877)),A877,IF(OR(E877="",E877=""),A877,A877&amp;" - "&amp;E877))</f>
        <v>Cannamedical Balanced Forte 10/10 - California Orange</v>
      </c>
      <c r="C877" s="30" t="s">
        <v>48</v>
      </c>
      <c r="D877" s="30" t="s">
        <v>49</v>
      </c>
      <c r="E877" s="30" t="s">
        <v>754</v>
      </c>
      <c r="F877" s="30" t="s">
        <v>86</v>
      </c>
      <c r="G877" s="34">
        <v>10</v>
      </c>
      <c r="H877" s="35">
        <v>10</v>
      </c>
      <c r="I877" s="30"/>
      <c r="J877" s="30"/>
      <c r="K877" s="30" t="s">
        <v>17</v>
      </c>
      <c r="L877" s="30" t="s">
        <v>53</v>
      </c>
      <c r="M877" s="30" t="s">
        <v>156</v>
      </c>
      <c r="N877" s="30" t="s">
        <v>88</v>
      </c>
      <c r="O877" s="30" t="s">
        <v>71</v>
      </c>
      <c r="P877" s="30" t="s">
        <v>74</v>
      </c>
      <c r="Q877" s="30" t="s">
        <v>75</v>
      </c>
      <c r="R877" s="30" t="s">
        <v>89</v>
      </c>
      <c r="S877" s="30" t="s">
        <v>61</v>
      </c>
      <c r="T877" s="30" t="s">
        <v>128</v>
      </c>
      <c r="U877" s="30" t="s">
        <v>179</v>
      </c>
      <c r="V877" s="30" t="s">
        <v>77</v>
      </c>
      <c r="W877" s="30" t="s">
        <v>79</v>
      </c>
      <c r="X877" s="30" t="s">
        <v>173</v>
      </c>
      <c r="Y877" s="30" t="s">
        <v>56</v>
      </c>
      <c r="Z877" s="30" t="s">
        <v>64</v>
      </c>
      <c r="AA877" s="30" t="s">
        <v>49</v>
      </c>
      <c r="AB877" s="30" t="s">
        <v>56</v>
      </c>
      <c r="AC877" s="30" t="s">
        <v>2669</v>
      </c>
    </row>
    <row r="878" spans="1:29">
      <c r="A878" s="24" t="s">
        <v>2670</v>
      </c>
      <c r="B878" s="24" t="str">
        <f>IF(ISNUMBER(SEARCH(E878,A878)),A878,IF(OR(E878="",E878=""),A878,A878&amp;" - "&amp;E878))</f>
        <v>Cannamedical Balanced light 4/7 - California Orange</v>
      </c>
      <c r="C878" s="24" t="s">
        <v>48</v>
      </c>
      <c r="D878" s="24" t="s">
        <v>49</v>
      </c>
      <c r="E878" s="24" t="s">
        <v>754</v>
      </c>
      <c r="F878" s="24" t="s">
        <v>86</v>
      </c>
      <c r="G878" s="27">
        <v>4</v>
      </c>
      <c r="H878" s="28">
        <v>7.0000000000000009</v>
      </c>
      <c r="I878" s="24"/>
      <c r="J878" s="24"/>
      <c r="K878" s="24" t="s">
        <v>52</v>
      </c>
      <c r="L878" s="24" t="s">
        <v>53</v>
      </c>
      <c r="M878" s="24" t="s">
        <v>156</v>
      </c>
      <c r="N878" s="24" t="s">
        <v>88</v>
      </c>
      <c r="O878" s="24" t="s">
        <v>71</v>
      </c>
      <c r="P878" s="24" t="s">
        <v>74</v>
      </c>
      <c r="Q878" s="24" t="s">
        <v>75</v>
      </c>
      <c r="R878" s="24" t="s">
        <v>89</v>
      </c>
      <c r="S878" s="24" t="s">
        <v>61</v>
      </c>
      <c r="T878" s="24" t="s">
        <v>128</v>
      </c>
      <c r="U878" s="24" t="s">
        <v>179</v>
      </c>
      <c r="V878" s="24" t="s">
        <v>77</v>
      </c>
      <c r="W878" s="24" t="s">
        <v>79</v>
      </c>
      <c r="X878" s="24" t="s">
        <v>173</v>
      </c>
      <c r="Y878" s="24" t="s">
        <v>2671</v>
      </c>
      <c r="Z878" s="24" t="s">
        <v>64</v>
      </c>
      <c r="AA878" s="24" t="s">
        <v>49</v>
      </c>
      <c r="AB878" s="24" t="s">
        <v>56</v>
      </c>
      <c r="AC878" s="24" t="s">
        <v>2672</v>
      </c>
    </row>
    <row r="879" spans="1:29">
      <c r="A879" s="30" t="s">
        <v>2673</v>
      </c>
      <c r="B879" s="30" t="str">
        <f>IF(ISNUMBER(SEARCH(E879,A879)),A879,IF(OR(E879="",E879=""),A879,A879&amp;" - "&amp;E879))</f>
        <v>Cannamedical Balanced light 6/6 - California Orange</v>
      </c>
      <c r="C879" s="30" t="s">
        <v>48</v>
      </c>
      <c r="D879" s="30" t="s">
        <v>49</v>
      </c>
      <c r="E879" s="30" t="s">
        <v>754</v>
      </c>
      <c r="F879" s="30" t="s">
        <v>86</v>
      </c>
      <c r="G879" s="34">
        <v>6</v>
      </c>
      <c r="H879" s="35">
        <v>6</v>
      </c>
      <c r="I879" s="30"/>
      <c r="J879" s="30"/>
      <c r="K879" s="30" t="s">
        <v>52</v>
      </c>
      <c r="L879" s="30" t="s">
        <v>53</v>
      </c>
      <c r="M879" s="30" t="s">
        <v>156</v>
      </c>
      <c r="N879" s="30" t="s">
        <v>88</v>
      </c>
      <c r="O879" s="30" t="s">
        <v>71</v>
      </c>
      <c r="P879" s="30" t="s">
        <v>74</v>
      </c>
      <c r="Q879" s="30" t="s">
        <v>75</v>
      </c>
      <c r="R879" s="30" t="s">
        <v>89</v>
      </c>
      <c r="S879" s="30" t="s">
        <v>61</v>
      </c>
      <c r="T879" s="30" t="s">
        <v>128</v>
      </c>
      <c r="U879" s="30" t="s">
        <v>179</v>
      </c>
      <c r="V879" s="30" t="s">
        <v>77</v>
      </c>
      <c r="W879" s="30" t="s">
        <v>79</v>
      </c>
      <c r="X879" s="30" t="s">
        <v>173</v>
      </c>
      <c r="Y879" s="30" t="s">
        <v>1266</v>
      </c>
      <c r="Z879" s="30" t="s">
        <v>64</v>
      </c>
      <c r="AA879" s="30" t="s">
        <v>49</v>
      </c>
      <c r="AB879" s="30" t="s">
        <v>56</v>
      </c>
      <c r="AC879" s="30" t="s">
        <v>2674</v>
      </c>
    </row>
    <row r="880" spans="1:29">
      <c r="A880" s="24" t="s">
        <v>2675</v>
      </c>
      <c r="B880" s="24" t="str">
        <f>IF(ISNUMBER(SEARCH(E880,A880)),A880,IF(OR(E880="",E880=""),A880,A880&amp;" - "&amp;E880))</f>
        <v>Cannamedical Balanced vita 1/10 - California Orange</v>
      </c>
      <c r="C880" s="24" t="s">
        <v>48</v>
      </c>
      <c r="D880" s="24" t="s">
        <v>49</v>
      </c>
      <c r="E880" s="24" t="s">
        <v>754</v>
      </c>
      <c r="F880" s="24" t="s">
        <v>86</v>
      </c>
      <c r="G880" s="27">
        <v>1</v>
      </c>
      <c r="H880" s="28">
        <v>10</v>
      </c>
      <c r="I880" s="24"/>
      <c r="J880" s="24"/>
      <c r="K880" s="24" t="s">
        <v>52</v>
      </c>
      <c r="L880" s="24" t="s">
        <v>53</v>
      </c>
      <c r="M880" s="24" t="s">
        <v>156</v>
      </c>
      <c r="N880" s="24" t="s">
        <v>88</v>
      </c>
      <c r="O880" s="24" t="s">
        <v>71</v>
      </c>
      <c r="P880" s="24" t="s">
        <v>74</v>
      </c>
      <c r="Q880" s="24" t="s">
        <v>75</v>
      </c>
      <c r="R880" s="24" t="s">
        <v>89</v>
      </c>
      <c r="S880" s="24" t="s">
        <v>61</v>
      </c>
      <c r="T880" s="24" t="s">
        <v>128</v>
      </c>
      <c r="U880" s="24" t="s">
        <v>179</v>
      </c>
      <c r="V880" s="24" t="s">
        <v>77</v>
      </c>
      <c r="W880" s="24" t="s">
        <v>79</v>
      </c>
      <c r="X880" s="24" t="s">
        <v>173</v>
      </c>
      <c r="Y880" s="24" t="s">
        <v>56</v>
      </c>
      <c r="Z880" s="24" t="s">
        <v>64</v>
      </c>
      <c r="AA880" s="24" t="s">
        <v>49</v>
      </c>
      <c r="AB880" s="24" t="s">
        <v>56</v>
      </c>
      <c r="AC880" s="24" t="s">
        <v>2676</v>
      </c>
    </row>
    <row r="881" spans="1:29">
      <c r="A881" s="30" t="s">
        <v>2677</v>
      </c>
      <c r="B881" s="30" t="str">
        <f>IF(ISNUMBER(SEARCH(E881,A881)),A881,IF(OR(E881="",E881=""),A881,A881&amp;" - "&amp;E881))</f>
        <v>Cannamedical CM 20/1 CRM - Creamy Kee's No.5</v>
      </c>
      <c r="C881" s="30" t="s">
        <v>48</v>
      </c>
      <c r="D881" s="30" t="s">
        <v>49</v>
      </c>
      <c r="E881" s="30" t="s">
        <v>2490</v>
      </c>
      <c r="F881" s="30" t="s">
        <v>86</v>
      </c>
      <c r="G881" s="34">
        <v>22</v>
      </c>
      <c r="H881" s="35">
        <v>1</v>
      </c>
      <c r="I881" s="30"/>
      <c r="J881" s="30"/>
      <c r="K881" s="30" t="s">
        <v>17</v>
      </c>
      <c r="L881" s="30" t="s">
        <v>497</v>
      </c>
      <c r="M881" s="30" t="s">
        <v>121</v>
      </c>
      <c r="N881" s="30" t="s">
        <v>72</v>
      </c>
      <c r="O881" s="30" t="s">
        <v>56</v>
      </c>
      <c r="P881" s="30" t="s">
        <v>74</v>
      </c>
      <c r="Q881" s="30" t="s">
        <v>113</v>
      </c>
      <c r="R881" s="30" t="s">
        <v>89</v>
      </c>
      <c r="S881" s="30" t="s">
        <v>60</v>
      </c>
      <c r="T881" s="30" t="s">
        <v>128</v>
      </c>
      <c r="U881" s="30" t="s">
        <v>62</v>
      </c>
      <c r="V881" s="30" t="s">
        <v>77</v>
      </c>
      <c r="W881" s="30" t="s">
        <v>116</v>
      </c>
      <c r="X881" s="30" t="s">
        <v>165</v>
      </c>
      <c r="Y881" s="30" t="s">
        <v>335</v>
      </c>
      <c r="Z881" s="30" t="s">
        <v>64</v>
      </c>
      <c r="AA881" s="30" t="s">
        <v>49</v>
      </c>
      <c r="AB881" s="30" t="s">
        <v>56</v>
      </c>
      <c r="AC881" s="30" t="s">
        <v>2678</v>
      </c>
    </row>
    <row r="882" spans="1:29">
      <c r="A882" s="24" t="s">
        <v>2679</v>
      </c>
      <c r="B882" s="24" t="str">
        <f>IF(ISNUMBER(SEARCH(E882,A882)),A882,IF(OR(E882="",E882=""),A882,A882&amp;" - "&amp;E882))</f>
        <v>Cannamedical CM 20/1 GG4 - Gorilla Glue</v>
      </c>
      <c r="C882" s="24" t="s">
        <v>48</v>
      </c>
      <c r="D882" s="24" t="s">
        <v>49</v>
      </c>
      <c r="E882" s="24" t="s">
        <v>363</v>
      </c>
      <c r="F882" s="24" t="s">
        <v>86</v>
      </c>
      <c r="G882" s="27">
        <v>20</v>
      </c>
      <c r="H882" s="28">
        <v>1</v>
      </c>
      <c r="I882" s="24"/>
      <c r="J882" s="24"/>
      <c r="K882" s="24" t="s">
        <v>52</v>
      </c>
      <c r="L882" s="24" t="s">
        <v>145</v>
      </c>
      <c r="M882" s="24" t="s">
        <v>103</v>
      </c>
      <c r="N882" s="24" t="s">
        <v>121</v>
      </c>
      <c r="O882" s="24" t="s">
        <v>72</v>
      </c>
      <c r="P882" s="24" t="s">
        <v>146</v>
      </c>
      <c r="Q882" s="24" t="s">
        <v>74</v>
      </c>
      <c r="R882" s="24" t="s">
        <v>59</v>
      </c>
      <c r="S882" s="24" t="s">
        <v>147</v>
      </c>
      <c r="T882" s="24" t="s">
        <v>106</v>
      </c>
      <c r="U882" s="24" t="s">
        <v>62</v>
      </c>
      <c r="V882" s="24" t="s">
        <v>257</v>
      </c>
      <c r="W882" s="24" t="s">
        <v>252</v>
      </c>
      <c r="X882" s="24" t="s">
        <v>77</v>
      </c>
      <c r="Y882" s="24" t="s">
        <v>2680</v>
      </c>
      <c r="Z882" s="24" t="s">
        <v>64</v>
      </c>
      <c r="AA882" s="24" t="s">
        <v>49</v>
      </c>
      <c r="AB882" s="24" t="s">
        <v>298</v>
      </c>
      <c r="AC882" s="24" t="s">
        <v>2681</v>
      </c>
    </row>
    <row r="883" spans="1:29">
      <c r="A883" s="30" t="s">
        <v>2682</v>
      </c>
      <c r="B883" s="30" t="str">
        <f>IF(ISNUMBER(SEARCH(E883,A883)),A883,IF(OR(E883="",E883=""),A883,A883&amp;" - "&amp;E883))</f>
        <v>Cannamedical CM 20/1 LLY - Legendary Larry</v>
      </c>
      <c r="C883" s="30" t="s">
        <v>48</v>
      </c>
      <c r="D883" s="30" t="s">
        <v>49</v>
      </c>
      <c r="E883" s="30" t="s">
        <v>746</v>
      </c>
      <c r="F883" s="30" t="s">
        <v>120</v>
      </c>
      <c r="G883" s="34">
        <v>20</v>
      </c>
      <c r="H883" s="35">
        <v>1</v>
      </c>
      <c r="I883" s="30"/>
      <c r="J883" s="30"/>
      <c r="K883" s="30" t="s">
        <v>52</v>
      </c>
      <c r="L883" s="30" t="s">
        <v>53</v>
      </c>
      <c r="M883" s="30" t="s">
        <v>72</v>
      </c>
      <c r="N883" s="30"/>
      <c r="O883" s="30" t="s">
        <v>56</v>
      </c>
      <c r="P883" s="30" t="s">
        <v>74</v>
      </c>
      <c r="Q883" s="30" t="s">
        <v>75</v>
      </c>
      <c r="R883" s="30" t="s">
        <v>59</v>
      </c>
      <c r="S883" s="30" t="s">
        <v>192</v>
      </c>
      <c r="T883" s="30" t="s">
        <v>123</v>
      </c>
      <c r="U883" s="30" t="s">
        <v>106</v>
      </c>
      <c r="V883" s="30" t="s">
        <v>77</v>
      </c>
      <c r="W883" s="30" t="s">
        <v>116</v>
      </c>
      <c r="X883" s="30" t="s">
        <v>165</v>
      </c>
      <c r="Y883" s="30" t="s">
        <v>437</v>
      </c>
      <c r="Z883" s="30" t="s">
        <v>64</v>
      </c>
      <c r="AA883" s="30" t="s">
        <v>49</v>
      </c>
      <c r="AB883" s="30" t="s">
        <v>56</v>
      </c>
      <c r="AC883" s="30" t="s">
        <v>2683</v>
      </c>
    </row>
    <row r="884" spans="1:29">
      <c r="A884" s="24" t="s">
        <v>200</v>
      </c>
      <c r="B884" s="24" t="str">
        <f>IF(ISNUMBER(SEARCH(E884,A884)),A884,IF(OR(E884="",E884=""),A884,A884&amp;" - "&amp;E884))</f>
        <v>Cannamedical CM 24/1 - Blue Cookies Spritzer</v>
      </c>
      <c r="C884" s="24" t="s">
        <v>48</v>
      </c>
      <c r="D884" s="24" t="s">
        <v>49</v>
      </c>
      <c r="E884" s="24" t="s">
        <v>2684</v>
      </c>
      <c r="F884" s="24" t="s">
        <v>86</v>
      </c>
      <c r="G884" s="27">
        <v>24</v>
      </c>
      <c r="H884" s="28">
        <v>1</v>
      </c>
      <c r="I884" s="24"/>
      <c r="J884" s="24"/>
      <c r="K884" s="24" t="s">
        <v>17</v>
      </c>
      <c r="L884" s="24" t="s">
        <v>202</v>
      </c>
      <c r="M884" s="24" t="s">
        <v>54</v>
      </c>
      <c r="N884" s="24" t="s">
        <v>111</v>
      </c>
      <c r="O884" s="24" t="s">
        <v>88</v>
      </c>
      <c r="P884" s="24" t="s">
        <v>74</v>
      </c>
      <c r="Q884" s="24" t="s">
        <v>75</v>
      </c>
      <c r="R884" s="24" t="s">
        <v>89</v>
      </c>
      <c r="S884" s="24" t="s">
        <v>123</v>
      </c>
      <c r="T884" s="24" t="s">
        <v>61</v>
      </c>
      <c r="U884" s="24" t="s">
        <v>62</v>
      </c>
      <c r="V884" s="24" t="s">
        <v>77</v>
      </c>
      <c r="W884" s="24" t="s">
        <v>79</v>
      </c>
      <c r="X884" s="24" t="s">
        <v>173</v>
      </c>
      <c r="Y884" s="24" t="s">
        <v>56</v>
      </c>
      <c r="Z884" s="24" t="s">
        <v>64</v>
      </c>
      <c r="AA884" s="24" t="s">
        <v>49</v>
      </c>
      <c r="AB884" s="24" t="s">
        <v>56</v>
      </c>
      <c r="AC884" s="24" t="s">
        <v>2685</v>
      </c>
    </row>
    <row r="885" spans="1:29">
      <c r="A885" s="30" t="s">
        <v>2686</v>
      </c>
      <c r="B885" s="30" t="str">
        <f>IF(ISNUMBER(SEARCH(E885,A885)),A885,IF(OR(E885="",E885=""),A885,A885&amp;" - "&amp;E885))</f>
        <v>Cannamedical CM 24/1 PG - Platinum Grapes</v>
      </c>
      <c r="C885" s="30" t="s">
        <v>48</v>
      </c>
      <c r="D885" s="30" t="s">
        <v>49</v>
      </c>
      <c r="E885" s="30" t="s">
        <v>2687</v>
      </c>
      <c r="F885" s="30" t="s">
        <v>86</v>
      </c>
      <c r="G885" s="34">
        <v>24</v>
      </c>
      <c r="H885" s="35">
        <v>1</v>
      </c>
      <c r="I885" s="30"/>
      <c r="J885" s="30"/>
      <c r="K885" s="30" t="s">
        <v>52</v>
      </c>
      <c r="L885" s="30" t="s">
        <v>53</v>
      </c>
      <c r="M885" s="30" t="s">
        <v>71</v>
      </c>
      <c r="N885" s="30" t="s">
        <v>121</v>
      </c>
      <c r="O885" s="30" t="s">
        <v>72</v>
      </c>
      <c r="P885" s="30" t="s">
        <v>73</v>
      </c>
      <c r="Q885" s="30" t="s">
        <v>58</v>
      </c>
      <c r="R885" s="30" t="s">
        <v>56</v>
      </c>
      <c r="S885" s="30" t="s">
        <v>106</v>
      </c>
      <c r="T885" s="30" t="s">
        <v>493</v>
      </c>
      <c r="U885" s="30" t="s">
        <v>62</v>
      </c>
      <c r="V885" s="30" t="s">
        <v>116</v>
      </c>
      <c r="W885" s="30" t="s">
        <v>180</v>
      </c>
      <c r="X885" s="30" t="s">
        <v>107</v>
      </c>
      <c r="Y885" s="30" t="s">
        <v>605</v>
      </c>
      <c r="Z885" s="30" t="s">
        <v>64</v>
      </c>
      <c r="AA885" s="30" t="s">
        <v>49</v>
      </c>
      <c r="AB885" s="30" t="s">
        <v>56</v>
      </c>
      <c r="AC885" s="30" t="s">
        <v>2688</v>
      </c>
    </row>
    <row r="886" spans="1:29">
      <c r="A886" s="24" t="s">
        <v>2689</v>
      </c>
      <c r="B886" s="24" t="str">
        <f>IF(ISNUMBER(SEARCH(E886,A886)),A886,IF(OR(E886="",E886=""),A886,A886&amp;" - "&amp;E886))</f>
        <v>Cannamedical CM 27/1 - Gelati Punch</v>
      </c>
      <c r="C886" s="24" t="s">
        <v>48</v>
      </c>
      <c r="D886" s="24" t="s">
        <v>49</v>
      </c>
      <c r="E886" s="24" t="s">
        <v>201</v>
      </c>
      <c r="F886" s="24" t="s">
        <v>120</v>
      </c>
      <c r="G886" s="27">
        <v>29</v>
      </c>
      <c r="H886" s="28">
        <v>1</v>
      </c>
      <c r="I886" s="24"/>
      <c r="J886" s="24"/>
      <c r="K886" s="24" t="s">
        <v>52</v>
      </c>
      <c r="L886" s="24" t="s">
        <v>202</v>
      </c>
      <c r="M886" s="24" t="s">
        <v>88</v>
      </c>
      <c r="N886" s="24" t="s">
        <v>71</v>
      </c>
      <c r="O886" s="24" t="s">
        <v>72</v>
      </c>
      <c r="P886" s="24" t="s">
        <v>112</v>
      </c>
      <c r="Q886" s="24" t="s">
        <v>104</v>
      </c>
      <c r="R886" s="24" t="s">
        <v>58</v>
      </c>
      <c r="S886" s="24" t="s">
        <v>90</v>
      </c>
      <c r="T886" s="24" t="s">
        <v>106</v>
      </c>
      <c r="U886" s="24" t="s">
        <v>203</v>
      </c>
      <c r="V886" s="24" t="s">
        <v>77</v>
      </c>
      <c r="W886" s="24" t="s">
        <v>138</v>
      </c>
      <c r="X886" s="24" t="s">
        <v>107</v>
      </c>
      <c r="Y886" s="24" t="s">
        <v>56</v>
      </c>
      <c r="Z886" s="24" t="s">
        <v>64</v>
      </c>
      <c r="AA886" s="24" t="s">
        <v>49</v>
      </c>
      <c r="AB886" s="24" t="s">
        <v>56</v>
      </c>
      <c r="AC886" s="24" t="s">
        <v>2690</v>
      </c>
    </row>
    <row r="887" spans="1:29">
      <c r="A887" s="30" t="s">
        <v>2691</v>
      </c>
      <c r="B887" s="30" t="str">
        <f>IF(ISNUMBER(SEARCH(E887,A887)),A887,IF(OR(E887="",E887=""),A887,A887&amp;" - "&amp;E887))</f>
        <v>Cannamedical CM 27/1 PO - Platinum Oranges</v>
      </c>
      <c r="C887" s="30" t="s">
        <v>48</v>
      </c>
      <c r="D887" s="30" t="s">
        <v>49</v>
      </c>
      <c r="E887" s="30" t="s">
        <v>2692</v>
      </c>
      <c r="F887" s="30" t="s">
        <v>86</v>
      </c>
      <c r="G887" s="34">
        <v>27</v>
      </c>
      <c r="H887" s="35">
        <v>1</v>
      </c>
      <c r="I887" s="30"/>
      <c r="J887" s="30"/>
      <c r="K887" s="30" t="s">
        <v>52</v>
      </c>
      <c r="L887" s="30" t="s">
        <v>53</v>
      </c>
      <c r="M887" s="30" t="s">
        <v>111</v>
      </c>
      <c r="N887" s="30" t="s">
        <v>88</v>
      </c>
      <c r="O887" s="30" t="s">
        <v>71</v>
      </c>
      <c r="P887" s="30" t="s">
        <v>75</v>
      </c>
      <c r="Q887" s="30" t="s">
        <v>89</v>
      </c>
      <c r="R887" s="30" t="s">
        <v>58</v>
      </c>
      <c r="S887" s="30" t="s">
        <v>106</v>
      </c>
      <c r="T887" s="30" t="s">
        <v>493</v>
      </c>
      <c r="U887" s="30" t="s">
        <v>62</v>
      </c>
      <c r="V887" s="30" t="s">
        <v>77</v>
      </c>
      <c r="W887" s="30" t="s">
        <v>107</v>
      </c>
      <c r="X887" s="30" t="s">
        <v>711</v>
      </c>
      <c r="Y887" s="30" t="s">
        <v>56</v>
      </c>
      <c r="Z887" s="30" t="s">
        <v>64</v>
      </c>
      <c r="AA887" s="30" t="s">
        <v>49</v>
      </c>
      <c r="AB887" s="30" t="s">
        <v>2693</v>
      </c>
      <c r="AC887" s="30" t="s">
        <v>2694</v>
      </c>
    </row>
    <row r="888" spans="1:29">
      <c r="A888" s="24" t="s">
        <v>2695</v>
      </c>
      <c r="B888" s="24" t="str">
        <f>IF(ISNUMBER(SEARCH(E888,A888)),A888,IF(OR(E888="",E888=""),A888,A888&amp;" - "&amp;E888))</f>
        <v>Cannamedical CM 28/1 CRM - Creamy Kee's No.5</v>
      </c>
      <c r="C888" s="24" t="s">
        <v>48</v>
      </c>
      <c r="D888" s="24" t="s">
        <v>49</v>
      </c>
      <c r="E888" s="24" t="s">
        <v>2490</v>
      </c>
      <c r="F888" s="24" t="s">
        <v>86</v>
      </c>
      <c r="G888" s="27">
        <v>28</v>
      </c>
      <c r="H888" s="28">
        <v>1</v>
      </c>
      <c r="I888" s="24"/>
      <c r="J888" s="24"/>
      <c r="K888" s="24" t="s">
        <v>17</v>
      </c>
      <c r="L888" s="24" t="s">
        <v>497</v>
      </c>
      <c r="M888" s="24" t="s">
        <v>121</v>
      </c>
      <c r="N888" s="24" t="s">
        <v>72</v>
      </c>
      <c r="O888" s="24" t="s">
        <v>56</v>
      </c>
      <c r="P888" s="24" t="s">
        <v>74</v>
      </c>
      <c r="Q888" s="24" t="s">
        <v>113</v>
      </c>
      <c r="R888" s="24" t="s">
        <v>89</v>
      </c>
      <c r="S888" s="24" t="s">
        <v>60</v>
      </c>
      <c r="T888" s="24" t="s">
        <v>128</v>
      </c>
      <c r="U888" s="24" t="s">
        <v>62</v>
      </c>
      <c r="V888" s="24" t="s">
        <v>77</v>
      </c>
      <c r="W888" s="24" t="s">
        <v>116</v>
      </c>
      <c r="X888" s="24" t="s">
        <v>165</v>
      </c>
      <c r="Y888" s="24" t="s">
        <v>2696</v>
      </c>
      <c r="Z888" s="24" t="s">
        <v>64</v>
      </c>
      <c r="AA888" s="24" t="s">
        <v>49</v>
      </c>
      <c r="AB888" s="24" t="s">
        <v>56</v>
      </c>
      <c r="AC888" s="24" t="s">
        <v>2697</v>
      </c>
    </row>
    <row r="889" spans="1:29">
      <c r="A889" s="30" t="s">
        <v>2698</v>
      </c>
      <c r="B889" s="30" t="str">
        <f>IF(ISNUMBER(SEARCH(E889,A889)),A889,IF(OR(E889="",E889=""),A889,A889&amp;" - "&amp;E889))</f>
        <v>Cannamedical CM 28/1 ZA - Zour Apple</v>
      </c>
      <c r="C889" s="30" t="s">
        <v>48</v>
      </c>
      <c r="D889" s="30" t="s">
        <v>49</v>
      </c>
      <c r="E889" s="30" t="s">
        <v>590</v>
      </c>
      <c r="F889" s="30" t="s">
        <v>86</v>
      </c>
      <c r="G889" s="34">
        <v>28</v>
      </c>
      <c r="H889" s="35">
        <v>1</v>
      </c>
      <c r="I889" s="30"/>
      <c r="J889" s="30"/>
      <c r="K889" s="30" t="s">
        <v>52</v>
      </c>
      <c r="L889" s="30" t="s">
        <v>53</v>
      </c>
      <c r="M889" s="30" t="s">
        <v>111</v>
      </c>
      <c r="N889" s="30" t="s">
        <v>55</v>
      </c>
      <c r="O889" s="30" t="s">
        <v>178</v>
      </c>
      <c r="P889" s="30" t="s">
        <v>591</v>
      </c>
      <c r="Q889" s="30" t="s">
        <v>58</v>
      </c>
      <c r="R889" s="30" t="s">
        <v>56</v>
      </c>
      <c r="S889" s="30" t="s">
        <v>90</v>
      </c>
      <c r="T889" s="30" t="s">
        <v>60</v>
      </c>
      <c r="U889" s="30" t="s">
        <v>106</v>
      </c>
      <c r="V889" s="30" t="s">
        <v>92</v>
      </c>
      <c r="W889" s="30" t="s">
        <v>129</v>
      </c>
      <c r="X889" s="30" t="s">
        <v>107</v>
      </c>
      <c r="Y889" s="30" t="s">
        <v>311</v>
      </c>
      <c r="Z889" s="30" t="s">
        <v>64</v>
      </c>
      <c r="AA889" s="30" t="s">
        <v>49</v>
      </c>
      <c r="AB889" s="30" t="s">
        <v>56</v>
      </c>
      <c r="AC889" s="30" t="s">
        <v>2699</v>
      </c>
    </row>
    <row r="890" spans="1:29">
      <c r="A890" s="24" t="s">
        <v>2700</v>
      </c>
      <c r="B890" s="24" t="str">
        <f>IF(ISNUMBER(SEARCH(E890,A890)),A890,IF(OR(E890="",E890=""),A890,A890&amp;" - "&amp;E890))</f>
        <v>Cannamedical CM 31/1 SPC - Space Cake</v>
      </c>
      <c r="C890" s="24" t="s">
        <v>48</v>
      </c>
      <c r="D890" s="24" t="s">
        <v>49</v>
      </c>
      <c r="E890" s="41" t="s">
        <v>722</v>
      </c>
      <c r="F890" s="24" t="s">
        <v>120</v>
      </c>
      <c r="G890" s="27">
        <v>32</v>
      </c>
      <c r="H890" s="28">
        <v>1</v>
      </c>
      <c r="I890" s="24"/>
      <c r="J890" s="24"/>
      <c r="K890" s="24" t="s">
        <v>52</v>
      </c>
      <c r="L890" s="24" t="s">
        <v>53</v>
      </c>
      <c r="M890" s="24" t="s">
        <v>54</v>
      </c>
      <c r="N890" s="24" t="s">
        <v>212</v>
      </c>
      <c r="O890" s="24" t="s">
        <v>55</v>
      </c>
      <c r="P890" s="24" t="s">
        <v>57</v>
      </c>
      <c r="Q890" s="24" t="s">
        <v>74</v>
      </c>
      <c r="R890" s="24" t="s">
        <v>59</v>
      </c>
      <c r="S890" s="24" t="s">
        <v>61</v>
      </c>
      <c r="T890" s="24" t="s">
        <v>128</v>
      </c>
      <c r="U890" s="24" t="s">
        <v>62</v>
      </c>
      <c r="V890" s="24" t="s">
        <v>77</v>
      </c>
      <c r="W890" s="24" t="s">
        <v>79</v>
      </c>
      <c r="X890" s="24" t="s">
        <v>107</v>
      </c>
      <c r="Y890" s="24" t="s">
        <v>1787</v>
      </c>
      <c r="Z890" s="24" t="s">
        <v>64</v>
      </c>
      <c r="AA890" s="24" t="s">
        <v>49</v>
      </c>
      <c r="AB890" s="24"/>
      <c r="AC890" s="24" t="s">
        <v>2701</v>
      </c>
    </row>
    <row r="891" spans="1:29">
      <c r="A891" s="30" t="s">
        <v>620</v>
      </c>
      <c r="B891" s="30" t="str">
        <f>IF(ISNUMBER(SEARCH(E891,A891)),A891,IF(OR(E891="",E891=""),A891,A891&amp;" - "&amp;E891))</f>
        <v>Cannamedical Hybrid Classic - Blueberry Headband</v>
      </c>
      <c r="C891" s="30" t="s">
        <v>48</v>
      </c>
      <c r="D891" s="30" t="s">
        <v>49</v>
      </c>
      <c r="E891" s="30" t="s">
        <v>2702</v>
      </c>
      <c r="F891" s="30" t="s">
        <v>86</v>
      </c>
      <c r="G891" s="34">
        <v>20</v>
      </c>
      <c r="H891" s="35">
        <v>1</v>
      </c>
      <c r="I891" s="30"/>
      <c r="J891" s="30"/>
      <c r="K891" s="30" t="s">
        <v>52</v>
      </c>
      <c r="L891" s="30"/>
      <c r="M891" s="30" t="s">
        <v>156</v>
      </c>
      <c r="N891" s="30" t="s">
        <v>54</v>
      </c>
      <c r="O891" s="30" t="s">
        <v>111</v>
      </c>
      <c r="P891" s="30" t="s">
        <v>74</v>
      </c>
      <c r="Q891" s="30" t="s">
        <v>75</v>
      </c>
      <c r="R891" s="30" t="s">
        <v>89</v>
      </c>
      <c r="S891" s="30" t="s">
        <v>56</v>
      </c>
      <c r="T891" s="30" t="s">
        <v>56</v>
      </c>
      <c r="U891" s="30" t="s">
        <v>56</v>
      </c>
      <c r="V891" s="30" t="s">
        <v>77</v>
      </c>
      <c r="W891" s="30" t="s">
        <v>165</v>
      </c>
      <c r="X891" s="30" t="s">
        <v>79</v>
      </c>
      <c r="Y891" s="30" t="s">
        <v>1311</v>
      </c>
      <c r="Z891" s="30" t="s">
        <v>64</v>
      </c>
      <c r="AA891" s="30" t="s">
        <v>49</v>
      </c>
      <c r="AB891" s="30" t="s">
        <v>56</v>
      </c>
      <c r="AC891" s="36" t="s">
        <v>2703</v>
      </c>
    </row>
    <row r="892" spans="1:29">
      <c r="A892" s="24" t="s">
        <v>620</v>
      </c>
      <c r="B892" s="24" t="str">
        <f>IF(ISNUMBER(SEARCH(E892,A892)),A892,IF(OR(E892="",E892=""),A892,A892&amp;" - "&amp;E892))</f>
        <v>Cannamedical Hybrid Classic - Gorilla Mints</v>
      </c>
      <c r="C892" s="24" t="s">
        <v>48</v>
      </c>
      <c r="D892" s="24" t="s">
        <v>49</v>
      </c>
      <c r="E892" s="24" t="s">
        <v>860</v>
      </c>
      <c r="F892" s="24" t="s">
        <v>86</v>
      </c>
      <c r="G892" s="27">
        <v>22</v>
      </c>
      <c r="H892" s="28">
        <v>1</v>
      </c>
      <c r="I892" s="24"/>
      <c r="J892" s="24"/>
      <c r="K892" s="24" t="s">
        <v>52</v>
      </c>
      <c r="L892" s="24" t="s">
        <v>53</v>
      </c>
      <c r="M892" s="24" t="s">
        <v>111</v>
      </c>
      <c r="N892" s="24" t="s">
        <v>88</v>
      </c>
      <c r="O892" s="24" t="s">
        <v>72</v>
      </c>
      <c r="P892" s="24" t="s">
        <v>112</v>
      </c>
      <c r="Q892" s="24" t="s">
        <v>74</v>
      </c>
      <c r="R892" s="24" t="s">
        <v>89</v>
      </c>
      <c r="S892" s="24" t="s">
        <v>123</v>
      </c>
      <c r="T892" s="24" t="s">
        <v>106</v>
      </c>
      <c r="U892" s="24" t="s">
        <v>128</v>
      </c>
      <c r="V892" s="24" t="s">
        <v>56</v>
      </c>
      <c r="W892" s="24"/>
      <c r="X892" s="24" t="s">
        <v>56</v>
      </c>
      <c r="Y892" s="24" t="s">
        <v>56</v>
      </c>
      <c r="Z892" s="24" t="s">
        <v>64</v>
      </c>
      <c r="AA892" s="24" t="s">
        <v>49</v>
      </c>
      <c r="AB892" s="24" t="s">
        <v>56</v>
      </c>
      <c r="AC892" s="24" t="s">
        <v>2704</v>
      </c>
    </row>
    <row r="893" spans="1:29">
      <c r="A893" s="30" t="s">
        <v>2705</v>
      </c>
      <c r="B893" s="30" t="str">
        <f>IF(ISNUMBER(SEARCH(E893,A893)),A893,IF(OR(E893="",E893=""),A893,A893&amp;" - "&amp;E893))</f>
        <v>Cannamedical Hybrid classic - Lost Cause</v>
      </c>
      <c r="C893" s="30" t="s">
        <v>48</v>
      </c>
      <c r="D893" s="30" t="s">
        <v>49</v>
      </c>
      <c r="E893" s="30" t="s">
        <v>2706</v>
      </c>
      <c r="F893" s="30" t="s">
        <v>86</v>
      </c>
      <c r="G893" s="34">
        <v>20</v>
      </c>
      <c r="H893" s="35">
        <v>1</v>
      </c>
      <c r="I893" s="30"/>
      <c r="J893" s="30"/>
      <c r="K893" s="30" t="s">
        <v>17</v>
      </c>
      <c r="L893" s="30" t="s">
        <v>53</v>
      </c>
      <c r="M893" s="30" t="s">
        <v>156</v>
      </c>
      <c r="N893" s="30" t="s">
        <v>54</v>
      </c>
      <c r="O893" s="30" t="s">
        <v>111</v>
      </c>
      <c r="P893" s="30" t="s">
        <v>74</v>
      </c>
      <c r="Q893" s="30" t="s">
        <v>75</v>
      </c>
      <c r="R893" s="30" t="s">
        <v>89</v>
      </c>
      <c r="S893" s="30" t="s">
        <v>90</v>
      </c>
      <c r="T893" s="30" t="s">
        <v>91</v>
      </c>
      <c r="U893" s="30" t="s">
        <v>62</v>
      </c>
      <c r="V893" s="30" t="s">
        <v>77</v>
      </c>
      <c r="W893" s="30" t="s">
        <v>116</v>
      </c>
      <c r="X893" s="30" t="s">
        <v>165</v>
      </c>
      <c r="Y893" s="30" t="s">
        <v>56</v>
      </c>
      <c r="Z893" s="30" t="s">
        <v>64</v>
      </c>
      <c r="AA893" s="30" t="s">
        <v>49</v>
      </c>
      <c r="AB893" s="30" t="s">
        <v>56</v>
      </c>
      <c r="AC893" s="30" t="s">
        <v>2707</v>
      </c>
    </row>
    <row r="894" spans="1:29">
      <c r="A894" s="24" t="s">
        <v>2705</v>
      </c>
      <c r="B894" s="24" t="str">
        <f>IF(ISNUMBER(SEARCH(E894,A894)),A894,IF(OR(E894="",E894=""),A894,A894&amp;" - "&amp;E894))</f>
        <v>Cannamedical Hybrid classic - Headband</v>
      </c>
      <c r="C894" s="24" t="s">
        <v>48</v>
      </c>
      <c r="D894" s="24" t="s">
        <v>49</v>
      </c>
      <c r="E894" s="24" t="s">
        <v>233</v>
      </c>
      <c r="F894" s="24" t="s">
        <v>86</v>
      </c>
      <c r="G894" s="27">
        <v>20</v>
      </c>
      <c r="H894" s="28">
        <v>1</v>
      </c>
      <c r="I894" s="24"/>
      <c r="J894" s="24"/>
      <c r="K894" s="24" t="s">
        <v>17</v>
      </c>
      <c r="L894" s="24" t="s">
        <v>102</v>
      </c>
      <c r="M894" s="24" t="s">
        <v>54</v>
      </c>
      <c r="N894" s="24" t="s">
        <v>88</v>
      </c>
      <c r="O894" s="24" t="s">
        <v>178</v>
      </c>
      <c r="P894" s="24" t="s">
        <v>73</v>
      </c>
      <c r="Q894" s="24" t="s">
        <v>57</v>
      </c>
      <c r="R894" s="24" t="s">
        <v>75</v>
      </c>
      <c r="S894" s="24" t="s">
        <v>61</v>
      </c>
      <c r="T894" s="24" t="s">
        <v>76</v>
      </c>
      <c r="U894" s="24" t="s">
        <v>62</v>
      </c>
      <c r="V894" s="24" t="s">
        <v>77</v>
      </c>
      <c r="W894" s="24" t="s">
        <v>129</v>
      </c>
      <c r="X894" s="24" t="s">
        <v>79</v>
      </c>
      <c r="Y894" s="24" t="s">
        <v>56</v>
      </c>
      <c r="Z894" s="24" t="s">
        <v>64</v>
      </c>
      <c r="AA894" s="24" t="s">
        <v>49</v>
      </c>
      <c r="AB894" s="24" t="s">
        <v>56</v>
      </c>
      <c r="AC894" s="24" t="s">
        <v>2708</v>
      </c>
    </row>
    <row r="895" spans="1:29">
      <c r="A895" s="30" t="s">
        <v>2709</v>
      </c>
      <c r="B895" s="30" t="str">
        <f>IF(ISNUMBER(SEARCH(E895,A895)),A895,IF(OR(E895="",E895=""),A895,A895&amp;" - "&amp;E895))</f>
        <v>Cannamedical Hybrid Classic 20/1 - Fullgas</v>
      </c>
      <c r="C895" s="30" t="s">
        <v>48</v>
      </c>
      <c r="D895" s="30" t="s">
        <v>49</v>
      </c>
      <c r="E895" s="40" t="s">
        <v>2710</v>
      </c>
      <c r="F895" s="30" t="s">
        <v>86</v>
      </c>
      <c r="G895" s="34">
        <v>20</v>
      </c>
      <c r="H895" s="35">
        <v>1</v>
      </c>
      <c r="I895" s="30"/>
      <c r="J895" s="30"/>
      <c r="K895" s="30" t="s">
        <v>17</v>
      </c>
      <c r="L895" s="30" t="s">
        <v>87</v>
      </c>
      <c r="M895" s="30" t="s">
        <v>54</v>
      </c>
      <c r="N895" s="30" t="s">
        <v>88</v>
      </c>
      <c r="O895" s="30" t="s">
        <v>55</v>
      </c>
      <c r="P895" s="30" t="s">
        <v>186</v>
      </c>
      <c r="Q895" s="30" t="s">
        <v>73</v>
      </c>
      <c r="R895" s="30" t="s">
        <v>74</v>
      </c>
      <c r="S895" s="30" t="s">
        <v>106</v>
      </c>
      <c r="T895" s="30" t="s">
        <v>62</v>
      </c>
      <c r="U895" s="30" t="s">
        <v>164</v>
      </c>
      <c r="V895" s="30" t="s">
        <v>77</v>
      </c>
      <c r="W895" s="30" t="s">
        <v>116</v>
      </c>
      <c r="X895" s="30" t="s">
        <v>165</v>
      </c>
      <c r="Y895" s="30" t="s">
        <v>870</v>
      </c>
      <c r="Z895" s="30" t="s">
        <v>64</v>
      </c>
      <c r="AA895" s="30" t="s">
        <v>49</v>
      </c>
      <c r="AB895" s="30"/>
      <c r="AC895" s="30" t="s">
        <v>2711</v>
      </c>
    </row>
    <row r="896" spans="1:29">
      <c r="A896" s="24" t="s">
        <v>750</v>
      </c>
      <c r="B896" s="24" t="str">
        <f>IF(ISNUMBER(SEARCH(E896,A896)),A896,IF(OR(E896="",E896=""),A896,A896&amp;" - "&amp;E896))</f>
        <v>Cannamedical Hybrid forte - MAC 1</v>
      </c>
      <c r="C896" s="24" t="s">
        <v>48</v>
      </c>
      <c r="D896" s="24" t="s">
        <v>49</v>
      </c>
      <c r="E896" s="24" t="s">
        <v>661</v>
      </c>
      <c r="F896" s="24" t="s">
        <v>86</v>
      </c>
      <c r="G896" s="27">
        <v>25</v>
      </c>
      <c r="H896" s="28">
        <v>1</v>
      </c>
      <c r="I896" s="24"/>
      <c r="J896" s="24"/>
      <c r="K896" s="24" t="s">
        <v>52</v>
      </c>
      <c r="L896" s="24" t="s">
        <v>53</v>
      </c>
      <c r="M896" s="24" t="s">
        <v>54</v>
      </c>
      <c r="N896" s="24" t="s">
        <v>88</v>
      </c>
      <c r="O896" s="24" t="s">
        <v>71</v>
      </c>
      <c r="P896" s="24" t="s">
        <v>57</v>
      </c>
      <c r="Q896" s="24" t="s">
        <v>74</v>
      </c>
      <c r="R896" s="24" t="s">
        <v>75</v>
      </c>
      <c r="S896" s="24" t="s">
        <v>128</v>
      </c>
      <c r="T896" s="24" t="s">
        <v>56</v>
      </c>
      <c r="U896" s="24" t="s">
        <v>56</v>
      </c>
      <c r="V896" s="24" t="s">
        <v>77</v>
      </c>
      <c r="W896" s="24" t="s">
        <v>79</v>
      </c>
      <c r="X896" s="24" t="s">
        <v>173</v>
      </c>
      <c r="Y896" s="24" t="s">
        <v>1876</v>
      </c>
      <c r="Z896" s="24" t="s">
        <v>64</v>
      </c>
      <c r="AA896" s="24" t="s">
        <v>49</v>
      </c>
      <c r="AB896" s="24" t="s">
        <v>56</v>
      </c>
      <c r="AC896" s="24" t="s">
        <v>2712</v>
      </c>
    </row>
    <row r="897" spans="1:29">
      <c r="A897" s="30" t="s">
        <v>750</v>
      </c>
      <c r="B897" s="30" t="str">
        <f>IF(ISNUMBER(SEARCH(E897,A897)),A897,IF(OR(E897="",E897=""),A897,A897&amp;" - "&amp;E897))</f>
        <v>Cannamedical Hybrid forte - Lost Cause</v>
      </c>
      <c r="C897" s="30" t="s">
        <v>48</v>
      </c>
      <c r="D897" s="30" t="s">
        <v>49</v>
      </c>
      <c r="E897" s="30" t="s">
        <v>2706</v>
      </c>
      <c r="F897" s="30" t="s">
        <v>86</v>
      </c>
      <c r="G897" s="34">
        <v>21</v>
      </c>
      <c r="H897" s="35">
        <v>1</v>
      </c>
      <c r="I897" s="30"/>
      <c r="J897" s="30"/>
      <c r="K897" s="30" t="s">
        <v>17</v>
      </c>
      <c r="L897" s="30" t="s">
        <v>53</v>
      </c>
      <c r="M897" s="30" t="s">
        <v>156</v>
      </c>
      <c r="N897" s="30" t="s">
        <v>54</v>
      </c>
      <c r="O897" s="30" t="s">
        <v>111</v>
      </c>
      <c r="P897" s="30" t="s">
        <v>74</v>
      </c>
      <c r="Q897" s="30" t="s">
        <v>75</v>
      </c>
      <c r="R897" s="30" t="s">
        <v>89</v>
      </c>
      <c r="S897" s="30" t="s">
        <v>90</v>
      </c>
      <c r="T897" s="30" t="s">
        <v>91</v>
      </c>
      <c r="U897" s="30" t="s">
        <v>62</v>
      </c>
      <c r="V897" s="30" t="s">
        <v>77</v>
      </c>
      <c r="W897" s="30" t="s">
        <v>116</v>
      </c>
      <c r="X897" s="30" t="s">
        <v>165</v>
      </c>
      <c r="Y897" s="30" t="s">
        <v>56</v>
      </c>
      <c r="Z897" s="30" t="s">
        <v>64</v>
      </c>
      <c r="AA897" s="30" t="s">
        <v>49</v>
      </c>
      <c r="AB897" s="30" t="s">
        <v>56</v>
      </c>
      <c r="AC897" s="36" t="s">
        <v>2713</v>
      </c>
    </row>
    <row r="898" spans="1:29">
      <c r="A898" s="24" t="s">
        <v>750</v>
      </c>
      <c r="B898" s="24" t="str">
        <f>IF(ISNUMBER(SEARCH(E898,A898)),A898,IF(OR(E898="",E898=""),A898,A898&amp;" - "&amp;E898))</f>
        <v>Cannamedical Hybrid forte - Headband</v>
      </c>
      <c r="C898" s="24" t="s">
        <v>48</v>
      </c>
      <c r="D898" s="24" t="s">
        <v>49</v>
      </c>
      <c r="E898" s="24" t="s">
        <v>233</v>
      </c>
      <c r="F898" s="24" t="s">
        <v>86</v>
      </c>
      <c r="G898" s="27">
        <v>24</v>
      </c>
      <c r="H898" s="28">
        <v>1</v>
      </c>
      <c r="I898" s="24"/>
      <c r="J898" s="24"/>
      <c r="K898" s="24" t="s">
        <v>17</v>
      </c>
      <c r="L898" s="24" t="s">
        <v>53</v>
      </c>
      <c r="M898" s="24" t="s">
        <v>54</v>
      </c>
      <c r="N898" s="24" t="s">
        <v>88</v>
      </c>
      <c r="O898" s="24" t="s">
        <v>178</v>
      </c>
      <c r="P898" s="24" t="s">
        <v>73</v>
      </c>
      <c r="Q898" s="24" t="s">
        <v>57</v>
      </c>
      <c r="R898" s="24" t="s">
        <v>75</v>
      </c>
      <c r="S898" s="24" t="s">
        <v>61</v>
      </c>
      <c r="T898" s="24" t="s">
        <v>76</v>
      </c>
      <c r="U898" s="24" t="s">
        <v>62</v>
      </c>
      <c r="V898" s="24" t="s">
        <v>77</v>
      </c>
      <c r="W898" s="24" t="s">
        <v>129</v>
      </c>
      <c r="X898" s="24" t="s">
        <v>79</v>
      </c>
      <c r="Y898" s="24" t="s">
        <v>56</v>
      </c>
      <c r="Z898" s="24" t="s">
        <v>64</v>
      </c>
      <c r="AA898" s="24" t="s">
        <v>49</v>
      </c>
      <c r="AB898" s="24" t="s">
        <v>56</v>
      </c>
      <c r="AC898" s="24" t="s">
        <v>2714</v>
      </c>
    </row>
    <row r="899" spans="1:29">
      <c r="A899" s="30" t="s">
        <v>2715</v>
      </c>
      <c r="B899" s="30" t="str">
        <f>IF(ISNUMBER(SEARCH(E899,A899)),A899,IF(OR(E899="",E899=""),A899,A899&amp;" - "&amp;E899))</f>
        <v>Cannamedical Hybrid Forte DK 22/1 - Ghost Train Haze</v>
      </c>
      <c r="C899" s="30" t="s">
        <v>48</v>
      </c>
      <c r="D899" s="30" t="s">
        <v>49</v>
      </c>
      <c r="E899" s="30" t="s">
        <v>343</v>
      </c>
      <c r="F899" s="30" t="s">
        <v>144</v>
      </c>
      <c r="G899" s="34">
        <v>22</v>
      </c>
      <c r="H899" s="35">
        <v>1</v>
      </c>
      <c r="I899" s="30"/>
      <c r="J899" s="30"/>
      <c r="K899" s="30" t="s">
        <v>17</v>
      </c>
      <c r="L899" s="30" t="s">
        <v>87</v>
      </c>
      <c r="M899" s="30" t="s">
        <v>111</v>
      </c>
      <c r="N899" s="30" t="s">
        <v>88</v>
      </c>
      <c r="O899" s="30" t="s">
        <v>55</v>
      </c>
      <c r="P899" s="30" t="s">
        <v>146</v>
      </c>
      <c r="Q899" s="30" t="s">
        <v>75</v>
      </c>
      <c r="R899" s="30" t="s">
        <v>89</v>
      </c>
      <c r="S899" s="30" t="s">
        <v>106</v>
      </c>
      <c r="T899" s="30" t="s">
        <v>62</v>
      </c>
      <c r="U899" s="30" t="s">
        <v>128</v>
      </c>
      <c r="V899" s="30" t="s">
        <v>77</v>
      </c>
      <c r="W899" s="30" t="s">
        <v>225</v>
      </c>
      <c r="X899" s="30" t="s">
        <v>197</v>
      </c>
      <c r="Y899" s="30" t="s">
        <v>2716</v>
      </c>
      <c r="Z899" s="30" t="s">
        <v>64</v>
      </c>
      <c r="AA899" s="30" t="s">
        <v>49</v>
      </c>
      <c r="AB899" s="30" t="s">
        <v>56</v>
      </c>
      <c r="AC899" s="30" t="s">
        <v>2717</v>
      </c>
    </row>
    <row r="900" spans="1:29">
      <c r="A900" s="24" t="s">
        <v>2718</v>
      </c>
      <c r="B900" s="24" t="str">
        <f>IF(ISNUMBER(SEARCH(E900,A900)),A900,IF(OR(E900="",E900=""),A900,A900&amp;" - "&amp;E900))</f>
        <v>Cannamedical Hybrid forte NG - Orange Kush Cake</v>
      </c>
      <c r="C900" s="24" t="s">
        <v>48</v>
      </c>
      <c r="D900" s="24" t="s">
        <v>49</v>
      </c>
      <c r="E900" s="24" t="s">
        <v>785</v>
      </c>
      <c r="F900" s="24" t="s">
        <v>86</v>
      </c>
      <c r="G900" s="27">
        <v>24</v>
      </c>
      <c r="H900" s="28">
        <v>1</v>
      </c>
      <c r="I900" s="24"/>
      <c r="J900" s="24"/>
      <c r="K900" s="24" t="s">
        <v>52</v>
      </c>
      <c r="L900" s="24" t="s">
        <v>53</v>
      </c>
      <c r="M900" s="24" t="s">
        <v>156</v>
      </c>
      <c r="N900" s="24" t="s">
        <v>111</v>
      </c>
      <c r="O900" s="24" t="s">
        <v>71</v>
      </c>
      <c r="P900" s="24" t="s">
        <v>73</v>
      </c>
      <c r="Q900" s="24" t="s">
        <v>75</v>
      </c>
      <c r="R900" s="24" t="s">
        <v>58</v>
      </c>
      <c r="S900" s="24" t="s">
        <v>786</v>
      </c>
      <c r="T900" s="24" t="s">
        <v>147</v>
      </c>
      <c r="U900" s="24" t="s">
        <v>224</v>
      </c>
      <c r="V900" s="24" t="s">
        <v>77</v>
      </c>
      <c r="W900" s="24" t="s">
        <v>292</v>
      </c>
      <c r="X900" s="24" t="s">
        <v>79</v>
      </c>
      <c r="Y900" s="24" t="s">
        <v>56</v>
      </c>
      <c r="Z900" s="24" t="s">
        <v>64</v>
      </c>
      <c r="AA900" s="24" t="s">
        <v>49</v>
      </c>
      <c r="AB900" s="24" t="s">
        <v>56</v>
      </c>
      <c r="AC900" s="24" t="s">
        <v>2719</v>
      </c>
    </row>
    <row r="901" spans="1:29">
      <c r="A901" s="30" t="s">
        <v>2718</v>
      </c>
      <c r="B901" s="30" t="str">
        <f>IF(ISNUMBER(SEARCH(E901,A901)),A901,IF(OR(E901="",E901=""),A901,A901&amp;" - "&amp;E901))</f>
        <v>Cannamedical Hybrid forte NG - Jealousy</v>
      </c>
      <c r="C901" s="30" t="s">
        <v>48</v>
      </c>
      <c r="D901" s="30" t="s">
        <v>49</v>
      </c>
      <c r="E901" s="30" t="s">
        <v>941</v>
      </c>
      <c r="F901" s="30" t="s">
        <v>86</v>
      </c>
      <c r="G901" s="34">
        <v>24</v>
      </c>
      <c r="H901" s="35">
        <v>1</v>
      </c>
      <c r="I901" s="30"/>
      <c r="J901" s="30"/>
      <c r="K901" s="30" t="s">
        <v>52</v>
      </c>
      <c r="L901" s="30" t="s">
        <v>53</v>
      </c>
      <c r="M901" s="30" t="s">
        <v>54</v>
      </c>
      <c r="N901" s="30" t="s">
        <v>88</v>
      </c>
      <c r="O901" s="30" t="s">
        <v>55</v>
      </c>
      <c r="P901" s="30" t="s">
        <v>74</v>
      </c>
      <c r="Q901" s="30" t="s">
        <v>59</v>
      </c>
      <c r="R901" s="30" t="s">
        <v>56</v>
      </c>
      <c r="S901" s="30" t="s">
        <v>192</v>
      </c>
      <c r="T901" s="30" t="s">
        <v>147</v>
      </c>
      <c r="U901" s="30" t="s">
        <v>123</v>
      </c>
      <c r="V901" s="30" t="s">
        <v>77</v>
      </c>
      <c r="W901" s="30" t="s">
        <v>79</v>
      </c>
      <c r="X901" s="30" t="s">
        <v>173</v>
      </c>
      <c r="Y901" s="30" t="s">
        <v>56</v>
      </c>
      <c r="Z901" s="30" t="s">
        <v>64</v>
      </c>
      <c r="AA901" s="30" t="s">
        <v>49</v>
      </c>
      <c r="AB901" s="30" t="s">
        <v>56</v>
      </c>
      <c r="AC901" s="30" t="s">
        <v>2720</v>
      </c>
    </row>
    <row r="902" spans="1:29">
      <c r="A902" s="24" t="s">
        <v>2718</v>
      </c>
      <c r="B902" s="24" t="str">
        <f>IF(ISNUMBER(SEARCH(E902,A902)),A902,IF(OR(E902="",E902=""),A902,A902&amp;" - "&amp;E902))</f>
        <v>Cannamedical Hybrid forte NG - Incredible Milk</v>
      </c>
      <c r="C902" s="24" t="s">
        <v>48</v>
      </c>
      <c r="D902" s="24" t="s">
        <v>49</v>
      </c>
      <c r="E902" s="24" t="s">
        <v>2721</v>
      </c>
      <c r="F902" s="24" t="s">
        <v>86</v>
      </c>
      <c r="G902" s="27">
        <v>24</v>
      </c>
      <c r="H902" s="28">
        <v>1</v>
      </c>
      <c r="I902" s="24"/>
      <c r="J902" s="24"/>
      <c r="K902" s="24" t="s">
        <v>52</v>
      </c>
      <c r="L902" s="24" t="s">
        <v>53</v>
      </c>
      <c r="M902" s="24" t="s">
        <v>72</v>
      </c>
      <c r="N902" s="24"/>
      <c r="O902" s="24" t="s">
        <v>56</v>
      </c>
      <c r="P902" s="24" t="s">
        <v>57</v>
      </c>
      <c r="Q902" s="24" t="s">
        <v>89</v>
      </c>
      <c r="R902" s="24" t="s">
        <v>56</v>
      </c>
      <c r="S902" s="24" t="s">
        <v>123</v>
      </c>
      <c r="T902" s="24" t="s">
        <v>106</v>
      </c>
      <c r="U902" s="24" t="s">
        <v>76</v>
      </c>
      <c r="V902" s="24" t="s">
        <v>77</v>
      </c>
      <c r="W902" s="24" t="s">
        <v>116</v>
      </c>
      <c r="X902" s="24" t="s">
        <v>56</v>
      </c>
      <c r="Y902" s="24" t="s">
        <v>56</v>
      </c>
      <c r="Z902" s="24" t="s">
        <v>64</v>
      </c>
      <c r="AA902" s="24" t="s">
        <v>49</v>
      </c>
      <c r="AB902" s="24" t="s">
        <v>56</v>
      </c>
      <c r="AC902" s="24" t="s">
        <v>2722</v>
      </c>
    </row>
    <row r="903" spans="1:29">
      <c r="A903" s="30" t="s">
        <v>2718</v>
      </c>
      <c r="B903" s="30" t="str">
        <f>IF(ISNUMBER(SEARCH(E903,A903)),A903,IF(OR(E903="",E903=""),A903,A903&amp;" - "&amp;E903))</f>
        <v>Cannamedical Hybrid forte NG - Dark Side of the Moon</v>
      </c>
      <c r="C903" s="30" t="s">
        <v>48</v>
      </c>
      <c r="D903" s="30" t="s">
        <v>49</v>
      </c>
      <c r="E903" s="30" t="s">
        <v>743</v>
      </c>
      <c r="F903" s="30" t="s">
        <v>86</v>
      </c>
      <c r="G903" s="34">
        <v>24</v>
      </c>
      <c r="H903" s="35">
        <v>1</v>
      </c>
      <c r="I903" s="30"/>
      <c r="J903" s="30"/>
      <c r="K903" s="30" t="s">
        <v>17</v>
      </c>
      <c r="L903" s="30" t="s">
        <v>53</v>
      </c>
      <c r="M903" s="30" t="s">
        <v>88</v>
      </c>
      <c r="N903" s="30" t="s">
        <v>121</v>
      </c>
      <c r="O903" s="30" t="s">
        <v>72</v>
      </c>
      <c r="P903" s="30" t="s">
        <v>74</v>
      </c>
      <c r="Q903" s="30" t="s">
        <v>58</v>
      </c>
      <c r="R903" s="30" t="s">
        <v>56</v>
      </c>
      <c r="S903" s="30" t="s">
        <v>60</v>
      </c>
      <c r="T903" s="30" t="s">
        <v>61</v>
      </c>
      <c r="U903" s="30" t="s">
        <v>62</v>
      </c>
      <c r="V903" s="30" t="s">
        <v>77</v>
      </c>
      <c r="W903" s="30" t="s">
        <v>116</v>
      </c>
      <c r="X903" s="30" t="s">
        <v>107</v>
      </c>
      <c r="Y903" s="30" t="s">
        <v>56</v>
      </c>
      <c r="Z903" s="30" t="s">
        <v>64</v>
      </c>
      <c r="AA903" s="30" t="s">
        <v>49</v>
      </c>
      <c r="AB903" s="30" t="s">
        <v>56</v>
      </c>
      <c r="AC903" s="30" t="s">
        <v>2723</v>
      </c>
    </row>
    <row r="904" spans="1:29">
      <c r="A904" s="24" t="s">
        <v>1021</v>
      </c>
      <c r="B904" s="24" t="str">
        <f>IF(ISNUMBER(SEARCH(E904,A904)),A904,IF(OR(E904="",E904=""),A904,A904&amp;" - "&amp;E904))</f>
        <v>Cannamedical Hybrid Forte NM - Critical Bilbo</v>
      </c>
      <c r="C904" s="24" t="s">
        <v>48</v>
      </c>
      <c r="D904" s="24" t="s">
        <v>49</v>
      </c>
      <c r="E904" s="24" t="s">
        <v>1737</v>
      </c>
      <c r="F904" s="24" t="s">
        <v>86</v>
      </c>
      <c r="G904" s="27">
        <v>22</v>
      </c>
      <c r="H904" s="28">
        <v>1</v>
      </c>
      <c r="I904" s="24"/>
      <c r="J904" s="24"/>
      <c r="K904" s="24" t="s">
        <v>52</v>
      </c>
      <c r="L904" s="24" t="s">
        <v>423</v>
      </c>
      <c r="M904" s="24" t="s">
        <v>88</v>
      </c>
      <c r="N904" s="24" t="s">
        <v>103</v>
      </c>
      <c r="O904" s="24" t="s">
        <v>55</v>
      </c>
      <c r="P904" s="24" t="s">
        <v>113</v>
      </c>
      <c r="Q904" s="24" t="s">
        <v>89</v>
      </c>
      <c r="R904" s="24" t="s">
        <v>58</v>
      </c>
      <c r="S904" s="24" t="s">
        <v>123</v>
      </c>
      <c r="T904" s="24" t="s">
        <v>61</v>
      </c>
      <c r="U904" s="24" t="s">
        <v>76</v>
      </c>
      <c r="V904" s="24" t="s">
        <v>116</v>
      </c>
      <c r="W904" s="24" t="s">
        <v>107</v>
      </c>
      <c r="X904" s="24" t="s">
        <v>93</v>
      </c>
      <c r="Y904" s="24" t="s">
        <v>361</v>
      </c>
      <c r="Z904" s="24" t="s">
        <v>64</v>
      </c>
      <c r="AA904" s="24" t="s">
        <v>49</v>
      </c>
      <c r="AB904" s="24" t="s">
        <v>56</v>
      </c>
      <c r="AC904" s="24" t="s">
        <v>2724</v>
      </c>
    </row>
    <row r="905" spans="1:29">
      <c r="A905" s="30" t="s">
        <v>2725</v>
      </c>
      <c r="B905" s="30" t="str">
        <f>IF(ISNUMBER(SEARCH(E905,A905)),A905,IF(OR(E905="",E905=""),A905,A905&amp;" - "&amp;E905))</f>
        <v>Cannamedical Hybrid forte URY - White Gorilla</v>
      </c>
      <c r="C905" s="30" t="s">
        <v>48</v>
      </c>
      <c r="D905" s="30" t="s">
        <v>49</v>
      </c>
      <c r="E905" s="30" t="s">
        <v>993</v>
      </c>
      <c r="F905" s="30" t="s">
        <v>86</v>
      </c>
      <c r="G905" s="34">
        <v>22</v>
      </c>
      <c r="H905" s="35">
        <v>1</v>
      </c>
      <c r="I905" s="30"/>
      <c r="J905" s="30"/>
      <c r="K905" s="30" t="s">
        <v>52</v>
      </c>
      <c r="L905" s="30" t="s">
        <v>185</v>
      </c>
      <c r="M905" s="30" t="s">
        <v>88</v>
      </c>
      <c r="N905" s="30" t="s">
        <v>121</v>
      </c>
      <c r="O905" s="30" t="s">
        <v>72</v>
      </c>
      <c r="P905" s="30" t="s">
        <v>73</v>
      </c>
      <c r="Q905" s="30" t="s">
        <v>146</v>
      </c>
      <c r="R905" s="30" t="s">
        <v>75</v>
      </c>
      <c r="S905" s="30" t="s">
        <v>106</v>
      </c>
      <c r="T905" s="30" t="s">
        <v>62</v>
      </c>
      <c r="U905" s="30" t="s">
        <v>164</v>
      </c>
      <c r="V905" s="30" t="s">
        <v>77</v>
      </c>
      <c r="W905" s="30" t="s">
        <v>116</v>
      </c>
      <c r="X905" s="30" t="s">
        <v>79</v>
      </c>
      <c r="Y905" s="30" t="s">
        <v>1036</v>
      </c>
      <c r="Z905" s="30" t="s">
        <v>64</v>
      </c>
      <c r="AA905" s="30" t="s">
        <v>49</v>
      </c>
      <c r="AB905" s="30" t="s">
        <v>332</v>
      </c>
      <c r="AC905" s="30" t="s">
        <v>2726</v>
      </c>
    </row>
    <row r="906" spans="1:29">
      <c r="A906" s="24" t="s">
        <v>2727</v>
      </c>
      <c r="B906" s="24" t="str">
        <f>IF(ISNUMBER(SEARCH(E906,A906)),A906,IF(OR(E906="",E906=""),A906,A906&amp;" - "&amp;E906))</f>
        <v>Cannamedical Hybrid Light - Headband</v>
      </c>
      <c r="C906" s="24" t="s">
        <v>48</v>
      </c>
      <c r="D906" s="24" t="s">
        <v>49</v>
      </c>
      <c r="E906" s="24" t="s">
        <v>233</v>
      </c>
      <c r="F906" s="24" t="s">
        <v>86</v>
      </c>
      <c r="G906" s="27">
        <v>17</v>
      </c>
      <c r="H906" s="28">
        <v>1</v>
      </c>
      <c r="I906" s="24"/>
      <c r="J906" s="24"/>
      <c r="K906" s="24" t="s">
        <v>52</v>
      </c>
      <c r="L906" s="24" t="s">
        <v>102</v>
      </c>
      <c r="M906" s="24" t="s">
        <v>54</v>
      </c>
      <c r="N906" s="24" t="s">
        <v>88</v>
      </c>
      <c r="O906" s="24" t="s">
        <v>178</v>
      </c>
      <c r="P906" s="24" t="s">
        <v>73</v>
      </c>
      <c r="Q906" s="24" t="s">
        <v>57</v>
      </c>
      <c r="R906" s="24" t="s">
        <v>75</v>
      </c>
      <c r="S906" s="24" t="s">
        <v>60</v>
      </c>
      <c r="T906" s="24" t="s">
        <v>203</v>
      </c>
      <c r="U906" s="24" t="s">
        <v>62</v>
      </c>
      <c r="V906" s="24" t="s">
        <v>77</v>
      </c>
      <c r="W906" s="24" t="s">
        <v>129</v>
      </c>
      <c r="X906" s="24" t="s">
        <v>79</v>
      </c>
      <c r="Y906" s="24" t="s">
        <v>56</v>
      </c>
      <c r="Z906" s="24" t="s">
        <v>64</v>
      </c>
      <c r="AA906" s="24" t="s">
        <v>49</v>
      </c>
      <c r="AB906" s="24" t="s">
        <v>56</v>
      </c>
      <c r="AC906" s="24" t="s">
        <v>2728</v>
      </c>
    </row>
    <row r="907" spans="1:29">
      <c r="A907" s="30" t="s">
        <v>2729</v>
      </c>
      <c r="B907" s="30" t="str">
        <f>IF(ISNUMBER(SEARCH(E907,A907)),A907,IF(OR(E907="",E907=""),A907,A907&amp;" - "&amp;E907))</f>
        <v>Cannamedical Hybrid light - Jean Guy</v>
      </c>
      <c r="C907" s="30" t="s">
        <v>48</v>
      </c>
      <c r="D907" s="30" t="s">
        <v>49</v>
      </c>
      <c r="E907" s="30" t="s">
        <v>394</v>
      </c>
      <c r="F907" s="30" t="s">
        <v>86</v>
      </c>
      <c r="G907" s="34">
        <v>17</v>
      </c>
      <c r="H907" s="35">
        <v>1</v>
      </c>
      <c r="I907" s="30"/>
      <c r="J907" s="30"/>
      <c r="K907" s="30" t="s">
        <v>17</v>
      </c>
      <c r="L907" s="30" t="s">
        <v>53</v>
      </c>
      <c r="M907" s="30" t="s">
        <v>54</v>
      </c>
      <c r="N907" s="30" t="s">
        <v>111</v>
      </c>
      <c r="O907" s="30" t="s">
        <v>88</v>
      </c>
      <c r="P907" s="30" t="s">
        <v>74</v>
      </c>
      <c r="Q907" s="30" t="s">
        <v>75</v>
      </c>
      <c r="R907" s="30" t="s">
        <v>56</v>
      </c>
      <c r="S907" s="30" t="s">
        <v>60</v>
      </c>
      <c r="T907" s="30" t="s">
        <v>62</v>
      </c>
      <c r="U907" s="30" t="s">
        <v>56</v>
      </c>
      <c r="V907" s="30" t="s">
        <v>77</v>
      </c>
      <c r="W907" s="30" t="s">
        <v>78</v>
      </c>
      <c r="X907" s="30" t="s">
        <v>395</v>
      </c>
      <c r="Y907" s="30" t="s">
        <v>56</v>
      </c>
      <c r="Z907" s="30" t="s">
        <v>64</v>
      </c>
      <c r="AA907" s="30" t="s">
        <v>49</v>
      </c>
      <c r="AB907" s="30" t="s">
        <v>56</v>
      </c>
      <c r="AC907" s="30" t="s">
        <v>2730</v>
      </c>
    </row>
    <row r="908" spans="1:29">
      <c r="A908" s="24" t="s">
        <v>2731</v>
      </c>
      <c r="B908" s="24" t="str">
        <f>IF(ISNUMBER(SEARCH(E908,A908)),A908,IF(OR(E908="",E908=""),A908,A908&amp;" - "&amp;E908))</f>
        <v>Cannamedical Hybrid light NM - Casey Jones</v>
      </c>
      <c r="C908" s="24" t="s">
        <v>48</v>
      </c>
      <c r="D908" s="24" t="s">
        <v>49</v>
      </c>
      <c r="E908" s="24" t="s">
        <v>2732</v>
      </c>
      <c r="F908" s="24" t="s">
        <v>86</v>
      </c>
      <c r="G908" s="27">
        <v>17</v>
      </c>
      <c r="H908" s="28">
        <v>1</v>
      </c>
      <c r="I908" s="24"/>
      <c r="J908" s="24"/>
      <c r="K908" s="24" t="s">
        <v>52</v>
      </c>
      <c r="L908" s="24" t="s">
        <v>145</v>
      </c>
      <c r="M908" s="24" t="s">
        <v>71</v>
      </c>
      <c r="N908" s="24" t="s">
        <v>178</v>
      </c>
      <c r="O908" s="24" t="s">
        <v>72</v>
      </c>
      <c r="P908" s="24" t="s">
        <v>74</v>
      </c>
      <c r="Q908" s="24" t="s">
        <v>75</v>
      </c>
      <c r="R908" s="24" t="s">
        <v>89</v>
      </c>
      <c r="S908" s="24" t="s">
        <v>192</v>
      </c>
      <c r="T908" s="24" t="s">
        <v>106</v>
      </c>
      <c r="U908" s="24" t="s">
        <v>62</v>
      </c>
      <c r="V908" s="24" t="s">
        <v>77</v>
      </c>
      <c r="W908" s="24" t="s">
        <v>79</v>
      </c>
      <c r="X908" s="24" t="s">
        <v>56</v>
      </c>
      <c r="Y908" s="24" t="s">
        <v>1106</v>
      </c>
      <c r="Z908" s="24" t="s">
        <v>64</v>
      </c>
      <c r="AA908" s="24" t="s">
        <v>49</v>
      </c>
      <c r="AB908" s="24" t="s">
        <v>56</v>
      </c>
      <c r="AC908" s="24" t="s">
        <v>2733</v>
      </c>
    </row>
    <row r="909" spans="1:29">
      <c r="A909" s="30" t="s">
        <v>2734</v>
      </c>
      <c r="B909" s="30" t="str">
        <f>IF(ISNUMBER(SEARCH(E909,A909)),A909,IF(OR(E909="",E909=""),A909,A909&amp;" - "&amp;E909))</f>
        <v>Cannamedical Hybrid Ultra DK - Ghost Train Haze</v>
      </c>
      <c r="C909" s="30" t="s">
        <v>48</v>
      </c>
      <c r="D909" s="30" t="s">
        <v>49</v>
      </c>
      <c r="E909" s="40" t="s">
        <v>343</v>
      </c>
      <c r="F909" s="30" t="s">
        <v>144</v>
      </c>
      <c r="G909" s="34">
        <v>27</v>
      </c>
      <c r="H909" s="35">
        <v>1</v>
      </c>
      <c r="I909" s="30"/>
      <c r="J909" s="30"/>
      <c r="K909" s="30" t="s">
        <v>17</v>
      </c>
      <c r="L909" s="30" t="s">
        <v>87</v>
      </c>
      <c r="M909" s="30" t="s">
        <v>111</v>
      </c>
      <c r="N909" s="30" t="s">
        <v>88</v>
      </c>
      <c r="O909" s="30" t="s">
        <v>55</v>
      </c>
      <c r="P909" s="30" t="s">
        <v>146</v>
      </c>
      <c r="Q909" s="30" t="s">
        <v>75</v>
      </c>
      <c r="R909" s="30" t="s">
        <v>89</v>
      </c>
      <c r="S909" s="30" t="s">
        <v>106</v>
      </c>
      <c r="T909" s="30" t="s">
        <v>62</v>
      </c>
      <c r="U909" s="30" t="s">
        <v>128</v>
      </c>
      <c r="V909" s="30" t="s">
        <v>77</v>
      </c>
      <c r="W909" s="30" t="s">
        <v>225</v>
      </c>
      <c r="X909" s="30" t="s">
        <v>197</v>
      </c>
      <c r="Y909" s="30" t="s">
        <v>117</v>
      </c>
      <c r="Z909" s="30" t="s">
        <v>64</v>
      </c>
      <c r="AA909" s="30" t="s">
        <v>49</v>
      </c>
      <c r="AB909" s="30"/>
      <c r="AC909" s="30" t="s">
        <v>2735</v>
      </c>
    </row>
    <row r="910" spans="1:29">
      <c r="A910" s="24" t="s">
        <v>2736</v>
      </c>
      <c r="B910" s="24" t="str">
        <f>IF(ISNUMBER(SEARCH(E910,A910)),A910,IF(OR(E910="",E910=""),A910,A910&amp;" - "&amp;E910))</f>
        <v>Cannamedical Hybrid Ultra DK 28/1 - Ghost Train Haze</v>
      </c>
      <c r="C910" s="24" t="s">
        <v>48</v>
      </c>
      <c r="D910" s="24" t="s">
        <v>49</v>
      </c>
      <c r="E910" s="24" t="s">
        <v>343</v>
      </c>
      <c r="F910" s="24" t="s">
        <v>144</v>
      </c>
      <c r="G910" s="27">
        <v>28</v>
      </c>
      <c r="H910" s="28">
        <v>1</v>
      </c>
      <c r="I910" s="24"/>
      <c r="J910" s="24"/>
      <c r="K910" s="24" t="s">
        <v>17</v>
      </c>
      <c r="L910" s="24" t="s">
        <v>87</v>
      </c>
      <c r="M910" s="24" t="s">
        <v>111</v>
      </c>
      <c r="N910" s="24" t="s">
        <v>88</v>
      </c>
      <c r="O910" s="24" t="s">
        <v>55</v>
      </c>
      <c r="P910" s="24" t="s">
        <v>146</v>
      </c>
      <c r="Q910" s="24" t="s">
        <v>75</v>
      </c>
      <c r="R910" s="24" t="s">
        <v>89</v>
      </c>
      <c r="S910" s="24" t="s">
        <v>106</v>
      </c>
      <c r="T910" s="24" t="s">
        <v>62</v>
      </c>
      <c r="U910" s="24" t="s">
        <v>128</v>
      </c>
      <c r="V910" s="24" t="s">
        <v>77</v>
      </c>
      <c r="W910" s="24" t="s">
        <v>225</v>
      </c>
      <c r="X910" s="24" t="s">
        <v>197</v>
      </c>
      <c r="Y910" s="24" t="s">
        <v>1638</v>
      </c>
      <c r="Z910" s="24" t="s">
        <v>64</v>
      </c>
      <c r="AA910" s="24" t="s">
        <v>49</v>
      </c>
      <c r="AB910" s="24" t="s">
        <v>56</v>
      </c>
      <c r="AC910" s="37" t="s">
        <v>2737</v>
      </c>
    </row>
    <row r="911" spans="1:29">
      <c r="A911" s="30" t="s">
        <v>2738</v>
      </c>
      <c r="B911" s="30" t="str">
        <f>IF(ISNUMBER(SEARCH(E911,A911)),A911,IF(OR(E911="",E911=""),A911,A911&amp;" - "&amp;E911))</f>
        <v>Cannamedical Hybrid Ultra NG - Jealousy</v>
      </c>
      <c r="C911" s="30" t="s">
        <v>48</v>
      </c>
      <c r="D911" s="30" t="s">
        <v>49</v>
      </c>
      <c r="E911" s="30" t="s">
        <v>941</v>
      </c>
      <c r="F911" s="30" t="s">
        <v>86</v>
      </c>
      <c r="G911" s="34">
        <v>27</v>
      </c>
      <c r="H911" s="35">
        <v>1</v>
      </c>
      <c r="I911" s="30"/>
      <c r="J911" s="30"/>
      <c r="K911" s="30" t="s">
        <v>52</v>
      </c>
      <c r="L911" s="30" t="s">
        <v>53</v>
      </c>
      <c r="M911" s="30" t="s">
        <v>54</v>
      </c>
      <c r="N911" s="30" t="s">
        <v>88</v>
      </c>
      <c r="O911" s="30" t="s">
        <v>55</v>
      </c>
      <c r="P911" s="30" t="s">
        <v>74</v>
      </c>
      <c r="Q911" s="30" t="s">
        <v>59</v>
      </c>
      <c r="R911" s="30" t="s">
        <v>56</v>
      </c>
      <c r="S911" s="30" t="s">
        <v>192</v>
      </c>
      <c r="T911" s="30" t="s">
        <v>147</v>
      </c>
      <c r="U911" s="30" t="s">
        <v>123</v>
      </c>
      <c r="V911" s="30" t="s">
        <v>77</v>
      </c>
      <c r="W911" s="30" t="s">
        <v>79</v>
      </c>
      <c r="X911" s="30" t="s">
        <v>173</v>
      </c>
      <c r="Y911" s="30" t="s">
        <v>289</v>
      </c>
      <c r="Z911" s="30" t="s">
        <v>64</v>
      </c>
      <c r="AA911" s="30" t="s">
        <v>49</v>
      </c>
      <c r="AB911" s="30" t="s">
        <v>56</v>
      </c>
      <c r="AC911" s="30" t="s">
        <v>2739</v>
      </c>
    </row>
    <row r="912" spans="1:29">
      <c r="A912" s="24" t="s">
        <v>2740</v>
      </c>
      <c r="B912" s="24" t="str">
        <f>IF(ISNUMBER(SEARCH(E912,A912)),A912,IF(OR(E912="",E912=""),A912,A912&amp;" - "&amp;E912))</f>
        <v>Cannamedical Hybrid vita - Headband</v>
      </c>
      <c r="C912" s="24" t="s">
        <v>48</v>
      </c>
      <c r="D912" s="24" t="s">
        <v>49</v>
      </c>
      <c r="E912" s="24" t="s">
        <v>233</v>
      </c>
      <c r="F912" s="24" t="s">
        <v>86</v>
      </c>
      <c r="G912" s="27">
        <v>14</v>
      </c>
      <c r="H912" s="28">
        <v>1</v>
      </c>
      <c r="I912" s="24"/>
      <c r="J912" s="24"/>
      <c r="K912" s="24" t="s">
        <v>17</v>
      </c>
      <c r="L912" s="24" t="s">
        <v>53</v>
      </c>
      <c r="M912" s="24" t="s">
        <v>54</v>
      </c>
      <c r="N912" s="24" t="s">
        <v>88</v>
      </c>
      <c r="O912" s="24" t="s">
        <v>178</v>
      </c>
      <c r="P912" s="24" t="s">
        <v>73</v>
      </c>
      <c r="Q912" s="24" t="s">
        <v>57</v>
      </c>
      <c r="R912" s="24" t="s">
        <v>75</v>
      </c>
      <c r="S912" s="24" t="s">
        <v>61</v>
      </c>
      <c r="T912" s="24" t="s">
        <v>76</v>
      </c>
      <c r="U912" s="24" t="s">
        <v>62</v>
      </c>
      <c r="V912" s="24" t="s">
        <v>77</v>
      </c>
      <c r="W912" s="24" t="s">
        <v>129</v>
      </c>
      <c r="X912" s="24" t="s">
        <v>79</v>
      </c>
      <c r="Y912" s="24" t="s">
        <v>56</v>
      </c>
      <c r="Z912" s="24" t="s">
        <v>64</v>
      </c>
      <c r="AA912" s="24" t="s">
        <v>49</v>
      </c>
      <c r="AB912" s="24" t="s">
        <v>56</v>
      </c>
      <c r="AC912" s="37" t="s">
        <v>2741</v>
      </c>
    </row>
    <row r="913" spans="1:29">
      <c r="A913" s="30" t="s">
        <v>2742</v>
      </c>
      <c r="B913" s="30" t="str">
        <f>IF(ISNUMBER(SEARCH(E913,A913)),A913,IF(OR(E913="",E913=""),A913,A913&amp;" - "&amp;E913))</f>
        <v>Cannamedical Indica Classic - Sugar Bomb Punch</v>
      </c>
      <c r="C913" s="30" t="s">
        <v>48</v>
      </c>
      <c r="D913" s="30" t="s">
        <v>49</v>
      </c>
      <c r="E913" s="30" t="s">
        <v>844</v>
      </c>
      <c r="F913" s="30" t="s">
        <v>120</v>
      </c>
      <c r="G913" s="34">
        <v>21</v>
      </c>
      <c r="H913" s="35">
        <v>1</v>
      </c>
      <c r="I913" s="30"/>
      <c r="J913" s="30"/>
      <c r="K913" s="30" t="s">
        <v>52</v>
      </c>
      <c r="L913" s="30" t="s">
        <v>145</v>
      </c>
      <c r="M913" s="30" t="s">
        <v>88</v>
      </c>
      <c r="N913" s="30" t="s">
        <v>71</v>
      </c>
      <c r="O913" s="30" t="s">
        <v>55</v>
      </c>
      <c r="P913" s="30" t="s">
        <v>74</v>
      </c>
      <c r="Q913" s="30" t="s">
        <v>75</v>
      </c>
      <c r="R913" s="30" t="s">
        <v>89</v>
      </c>
      <c r="S913" s="30" t="s">
        <v>106</v>
      </c>
      <c r="T913" s="30" t="s">
        <v>62</v>
      </c>
      <c r="U913" s="30" t="s">
        <v>128</v>
      </c>
      <c r="V913" s="30" t="s">
        <v>77</v>
      </c>
      <c r="W913" s="30" t="s">
        <v>79</v>
      </c>
      <c r="X913" s="30" t="s">
        <v>173</v>
      </c>
      <c r="Y913" s="30" t="s">
        <v>286</v>
      </c>
      <c r="Z913" s="30" t="s">
        <v>64</v>
      </c>
      <c r="AA913" s="30" t="s">
        <v>49</v>
      </c>
      <c r="AB913" s="30" t="s">
        <v>56</v>
      </c>
      <c r="AC913" s="30" t="s">
        <v>2743</v>
      </c>
    </row>
    <row r="914" spans="1:29">
      <c r="A914" s="24" t="s">
        <v>2742</v>
      </c>
      <c r="B914" s="24" t="str">
        <f>IF(ISNUMBER(SEARCH(E914,A914)),A914,IF(OR(E914="",E914=""),A914,A914&amp;" - "&amp;E914))</f>
        <v>Cannamedical Indica Classic - Dark Star</v>
      </c>
      <c r="C914" s="24" t="s">
        <v>48</v>
      </c>
      <c r="D914" s="24" t="s">
        <v>49</v>
      </c>
      <c r="E914" s="24" t="s">
        <v>2744</v>
      </c>
      <c r="F914" s="24" t="s">
        <v>120</v>
      </c>
      <c r="G914" s="27">
        <v>20</v>
      </c>
      <c r="H914" s="28">
        <v>1</v>
      </c>
      <c r="I914" s="24"/>
      <c r="J914" s="24"/>
      <c r="K914" s="24" t="s">
        <v>52</v>
      </c>
      <c r="L914" s="24" t="s">
        <v>53</v>
      </c>
      <c r="M914" s="24" t="s">
        <v>103</v>
      </c>
      <c r="N914" s="24" t="s">
        <v>121</v>
      </c>
      <c r="O914" s="24" t="s">
        <v>72</v>
      </c>
      <c r="P914" s="24" t="s">
        <v>1100</v>
      </c>
      <c r="Q914" s="24" t="s">
        <v>146</v>
      </c>
      <c r="R914" s="24" t="s">
        <v>113</v>
      </c>
      <c r="S914" s="24" t="s">
        <v>2745</v>
      </c>
      <c r="T914" s="24" t="s">
        <v>76</v>
      </c>
      <c r="U914" s="24" t="s">
        <v>62</v>
      </c>
      <c r="V914" s="24" t="s">
        <v>116</v>
      </c>
      <c r="W914" s="24" t="s">
        <v>165</v>
      </c>
      <c r="X914" s="24" t="s">
        <v>129</v>
      </c>
      <c r="Y914" s="24" t="s">
        <v>56</v>
      </c>
      <c r="Z914" s="24" t="s">
        <v>64</v>
      </c>
      <c r="AA914" s="24" t="s">
        <v>49</v>
      </c>
      <c r="AB914" s="24" t="s">
        <v>56</v>
      </c>
      <c r="AC914" s="24" t="s">
        <v>2746</v>
      </c>
    </row>
    <row r="915" spans="1:29">
      <c r="A915" s="30" t="s">
        <v>2747</v>
      </c>
      <c r="B915" s="30" t="str">
        <f>IF(ISNUMBER(SEARCH(E915,A915)),A915,IF(OR(E915="",E915=""),A915,A915&amp;" - "&amp;E915))</f>
        <v>Cannamedical Indica classic - Kade's Kush</v>
      </c>
      <c r="C915" s="30" t="s">
        <v>48</v>
      </c>
      <c r="D915" s="30" t="s">
        <v>49</v>
      </c>
      <c r="E915" s="30" t="s">
        <v>2748</v>
      </c>
      <c r="F915" s="30" t="s">
        <v>120</v>
      </c>
      <c r="G915" s="34">
        <v>20</v>
      </c>
      <c r="H915" s="35">
        <v>1</v>
      </c>
      <c r="I915" s="30"/>
      <c r="J915" s="30"/>
      <c r="K915" s="30" t="s">
        <v>52</v>
      </c>
      <c r="L915" s="30" t="s">
        <v>53</v>
      </c>
      <c r="M915" s="30" t="s">
        <v>121</v>
      </c>
      <c r="N915" s="30" t="s">
        <v>72</v>
      </c>
      <c r="O915" s="30" t="s">
        <v>56</v>
      </c>
      <c r="P915" s="30" t="s">
        <v>74</v>
      </c>
      <c r="Q915" s="30" t="s">
        <v>89</v>
      </c>
      <c r="R915" s="30" t="s">
        <v>59</v>
      </c>
      <c r="S915" s="30" t="s">
        <v>128</v>
      </c>
      <c r="T915" s="30" t="s">
        <v>62</v>
      </c>
      <c r="U915" s="30" t="s">
        <v>179</v>
      </c>
      <c r="V915" s="30" t="s">
        <v>77</v>
      </c>
      <c r="W915" s="30" t="s">
        <v>116</v>
      </c>
      <c r="X915" s="30" t="s">
        <v>56</v>
      </c>
      <c r="Y915" s="30" t="s">
        <v>56</v>
      </c>
      <c r="Z915" s="30" t="s">
        <v>64</v>
      </c>
      <c r="AA915" s="30" t="s">
        <v>49</v>
      </c>
      <c r="AB915" s="30" t="s">
        <v>56</v>
      </c>
      <c r="AC915" s="30" t="s">
        <v>2749</v>
      </c>
    </row>
    <row r="916" spans="1:29">
      <c r="A916" s="24" t="s">
        <v>2747</v>
      </c>
      <c r="B916" s="24" t="str">
        <f>IF(ISNUMBER(SEARCH(E916,A916)),A916,IF(OR(E916="",E916=""),A916,A916&amp;" - "&amp;E916))</f>
        <v>Cannamedical Indica classic - Crazy Rntz</v>
      </c>
      <c r="C916" s="24" t="s">
        <v>48</v>
      </c>
      <c r="D916" s="24" t="s">
        <v>49</v>
      </c>
      <c r="E916" s="24" t="s">
        <v>50</v>
      </c>
      <c r="F916" s="24" t="s">
        <v>120</v>
      </c>
      <c r="G916" s="27">
        <v>20</v>
      </c>
      <c r="H916" s="28">
        <v>1</v>
      </c>
      <c r="I916" s="24"/>
      <c r="J916" s="24"/>
      <c r="K916" s="24" t="s">
        <v>52</v>
      </c>
      <c r="L916" s="24" t="s">
        <v>53</v>
      </c>
      <c r="M916" s="24" t="s">
        <v>54</v>
      </c>
      <c r="N916" s="24" t="s">
        <v>55</v>
      </c>
      <c r="O916" s="24" t="s">
        <v>56</v>
      </c>
      <c r="P916" s="24" t="s">
        <v>57</v>
      </c>
      <c r="Q916" s="24" t="s">
        <v>58</v>
      </c>
      <c r="R916" s="24" t="s">
        <v>59</v>
      </c>
      <c r="S916" s="24" t="s">
        <v>123</v>
      </c>
      <c r="T916" s="24" t="s">
        <v>106</v>
      </c>
      <c r="U916" s="24" t="s">
        <v>234</v>
      </c>
      <c r="V916" s="24" t="s">
        <v>56</v>
      </c>
      <c r="W916" s="24"/>
      <c r="X916" s="24" t="s">
        <v>56</v>
      </c>
      <c r="Y916" s="24" t="s">
        <v>56</v>
      </c>
      <c r="Z916" s="24" t="s">
        <v>64</v>
      </c>
      <c r="AA916" s="24" t="s">
        <v>49</v>
      </c>
      <c r="AB916" s="24" t="s">
        <v>56</v>
      </c>
      <c r="AC916" s="24" t="s">
        <v>2750</v>
      </c>
    </row>
    <row r="917" spans="1:29">
      <c r="A917" s="30" t="s">
        <v>2751</v>
      </c>
      <c r="B917" s="30" t="str">
        <f>IF(ISNUMBER(SEARCH(E917,A917)),A917,IF(OR(E917="",E917=""),A917,A917&amp;" - "&amp;E917))</f>
        <v>Cannamedical Indica Classic DK 20/1 - Cookies Kerosene Punch</v>
      </c>
      <c r="C917" s="30" t="s">
        <v>48</v>
      </c>
      <c r="D917" s="30" t="s">
        <v>49</v>
      </c>
      <c r="E917" s="40" t="s">
        <v>447</v>
      </c>
      <c r="F917" s="30" t="s">
        <v>86</v>
      </c>
      <c r="G917" s="34">
        <v>20</v>
      </c>
      <c r="H917" s="35">
        <v>1</v>
      </c>
      <c r="I917" s="30"/>
      <c r="J917" s="30"/>
      <c r="K917" s="30" t="s">
        <v>17</v>
      </c>
      <c r="L917" s="30" t="s">
        <v>87</v>
      </c>
      <c r="M917" s="30" t="s">
        <v>54</v>
      </c>
      <c r="N917" s="30" t="s">
        <v>88</v>
      </c>
      <c r="O917" s="30" t="s">
        <v>72</v>
      </c>
      <c r="P917" s="30" t="s">
        <v>73</v>
      </c>
      <c r="Q917" s="30" t="s">
        <v>74</v>
      </c>
      <c r="R917" s="30" t="s">
        <v>75</v>
      </c>
      <c r="S917" s="30" t="s">
        <v>123</v>
      </c>
      <c r="T917" s="30" t="s">
        <v>106</v>
      </c>
      <c r="U917" s="30" t="s">
        <v>62</v>
      </c>
      <c r="V917" s="30" t="s">
        <v>77</v>
      </c>
      <c r="W917" s="30" t="s">
        <v>79</v>
      </c>
      <c r="X917" s="30" t="s">
        <v>93</v>
      </c>
      <c r="Y917" s="30" t="s">
        <v>1117</v>
      </c>
      <c r="Z917" s="30" t="s">
        <v>64</v>
      </c>
      <c r="AA917" s="30" t="s">
        <v>49</v>
      </c>
      <c r="AB917" s="30"/>
      <c r="AC917" s="30" t="s">
        <v>2752</v>
      </c>
    </row>
    <row r="918" spans="1:29">
      <c r="A918" s="24" t="s">
        <v>2753</v>
      </c>
      <c r="B918" s="24" t="str">
        <f>IF(ISNUMBER(SEARCH(E918,A918)),A918,IF(OR(E918="",E918=""),A918,A918&amp;" - "&amp;E918))</f>
        <v>Cannamedical Indica Classic NM - Purple Punch</v>
      </c>
      <c r="C918" s="24" t="s">
        <v>48</v>
      </c>
      <c r="D918" s="24" t="s">
        <v>49</v>
      </c>
      <c r="E918" s="24" t="s">
        <v>2754</v>
      </c>
      <c r="F918" s="24" t="s">
        <v>120</v>
      </c>
      <c r="G918" s="27">
        <v>22</v>
      </c>
      <c r="H918" s="28">
        <v>1</v>
      </c>
      <c r="I918" s="24"/>
      <c r="J918" s="24"/>
      <c r="K918" s="24" t="s">
        <v>52</v>
      </c>
      <c r="L918" s="24" t="s">
        <v>145</v>
      </c>
      <c r="M918" s="24" t="s">
        <v>121</v>
      </c>
      <c r="N918" s="24" t="s">
        <v>72</v>
      </c>
      <c r="O918" s="24" t="s">
        <v>56</v>
      </c>
      <c r="P918" s="24" t="s">
        <v>157</v>
      </c>
      <c r="Q918" s="24" t="s">
        <v>57</v>
      </c>
      <c r="R918" s="24" t="s">
        <v>58</v>
      </c>
      <c r="S918" s="24" t="s">
        <v>192</v>
      </c>
      <c r="T918" s="24" t="s">
        <v>106</v>
      </c>
      <c r="U918" s="24" t="s">
        <v>62</v>
      </c>
      <c r="V918" s="24" t="s">
        <v>92</v>
      </c>
      <c r="W918" s="24" t="s">
        <v>77</v>
      </c>
      <c r="X918" s="24" t="s">
        <v>116</v>
      </c>
      <c r="Y918" s="24" t="s">
        <v>56</v>
      </c>
      <c r="Z918" s="24" t="s">
        <v>64</v>
      </c>
      <c r="AA918" s="24" t="s">
        <v>49</v>
      </c>
      <c r="AB918" s="24" t="s">
        <v>56</v>
      </c>
      <c r="AC918" s="24" t="s">
        <v>2755</v>
      </c>
    </row>
    <row r="919" spans="1:29">
      <c r="A919" s="30" t="s">
        <v>2756</v>
      </c>
      <c r="B919" s="30" t="str">
        <f>IF(ISNUMBER(SEARCH(E919,A919)),A919,IF(OR(E919="",E919=""),A919,A919&amp;" - "&amp;E919))</f>
        <v>Cannamedical Indica Classic NM 22/1 - Kerosene Krash</v>
      </c>
      <c r="C919" s="30" t="s">
        <v>48</v>
      </c>
      <c r="D919" s="30" t="s">
        <v>49</v>
      </c>
      <c r="E919" s="30" t="s">
        <v>2579</v>
      </c>
      <c r="F919" s="30" t="s">
        <v>177</v>
      </c>
      <c r="G919" s="34">
        <v>22</v>
      </c>
      <c r="H919" s="35">
        <v>1</v>
      </c>
      <c r="I919" s="30"/>
      <c r="J919" s="30"/>
      <c r="K919" s="30" t="s">
        <v>52</v>
      </c>
      <c r="L919" s="30"/>
      <c r="M919" s="30" t="s">
        <v>54</v>
      </c>
      <c r="N919" s="30" t="s">
        <v>88</v>
      </c>
      <c r="O919" s="30" t="s">
        <v>71</v>
      </c>
      <c r="P919" s="30" t="s">
        <v>59</v>
      </c>
      <c r="Q919" s="30" t="s">
        <v>56</v>
      </c>
      <c r="R919" s="30" t="s">
        <v>56</v>
      </c>
      <c r="S919" s="30" t="s">
        <v>123</v>
      </c>
      <c r="T919" s="30" t="s">
        <v>106</v>
      </c>
      <c r="U919" s="30" t="s">
        <v>62</v>
      </c>
      <c r="V919" s="30" t="s">
        <v>77</v>
      </c>
      <c r="W919" s="30" t="s">
        <v>79</v>
      </c>
      <c r="X919" s="30" t="s">
        <v>56</v>
      </c>
      <c r="Y919" s="30" t="s">
        <v>1333</v>
      </c>
      <c r="Z919" s="30" t="s">
        <v>64</v>
      </c>
      <c r="AA919" s="30" t="s">
        <v>49</v>
      </c>
      <c r="AB919" s="30" t="s">
        <v>56</v>
      </c>
      <c r="AC919" s="30" t="s">
        <v>2757</v>
      </c>
    </row>
    <row r="920" spans="1:29">
      <c r="A920" s="24" t="s">
        <v>2758</v>
      </c>
      <c r="B920" s="24" t="str">
        <f>IF(ISNUMBER(SEARCH(E920,A920)),A920,IF(OR(E920="",E920=""),A920,A920&amp;" - "&amp;E920))</f>
        <v>Cannamedical Indica Classic PT - Master Kush</v>
      </c>
      <c r="C920" s="24" t="s">
        <v>48</v>
      </c>
      <c r="D920" s="24" t="s">
        <v>49</v>
      </c>
      <c r="E920" s="24" t="s">
        <v>237</v>
      </c>
      <c r="F920" s="24" t="s">
        <v>120</v>
      </c>
      <c r="G920" s="27">
        <v>20</v>
      </c>
      <c r="H920" s="28">
        <v>1</v>
      </c>
      <c r="I920" s="24"/>
      <c r="J920" s="24"/>
      <c r="K920" s="24" t="s">
        <v>17</v>
      </c>
      <c r="L920" s="24" t="s">
        <v>102</v>
      </c>
      <c r="M920" s="24" t="s">
        <v>103</v>
      </c>
      <c r="N920" s="24" t="s">
        <v>121</v>
      </c>
      <c r="O920" s="24" t="s">
        <v>72</v>
      </c>
      <c r="P920" s="24" t="s">
        <v>74</v>
      </c>
      <c r="Q920" s="24" t="s">
        <v>59</v>
      </c>
      <c r="R920" s="24" t="s">
        <v>56</v>
      </c>
      <c r="S920" s="24" t="s">
        <v>147</v>
      </c>
      <c r="T920" s="24" t="s">
        <v>106</v>
      </c>
      <c r="U920" s="24" t="s">
        <v>62</v>
      </c>
      <c r="V920" s="24" t="s">
        <v>77</v>
      </c>
      <c r="W920" s="24" t="s">
        <v>78</v>
      </c>
      <c r="X920" s="24" t="s">
        <v>107</v>
      </c>
      <c r="Y920" s="24" t="s">
        <v>56</v>
      </c>
      <c r="Z920" s="24" t="s">
        <v>64</v>
      </c>
      <c r="AA920" s="24" t="s">
        <v>49</v>
      </c>
      <c r="AB920" s="24" t="s">
        <v>56</v>
      </c>
      <c r="AC920" s="24" t="s">
        <v>2759</v>
      </c>
    </row>
    <row r="921" spans="1:29">
      <c r="A921" s="30" t="s">
        <v>1723</v>
      </c>
      <c r="B921" s="30" t="str">
        <f>IF(ISNUMBER(SEARCH(E921,A921)),A921,IF(OR(E921="",E921=""),A921,A921&amp;" - "&amp;E921))</f>
        <v>Cannamedical Indica classic URY - Cheese Quake</v>
      </c>
      <c r="C921" s="30" t="s">
        <v>48</v>
      </c>
      <c r="D921" s="30" t="s">
        <v>49</v>
      </c>
      <c r="E921" s="30" t="s">
        <v>2760</v>
      </c>
      <c r="F921" s="30" t="s">
        <v>120</v>
      </c>
      <c r="G921" s="34">
        <v>20</v>
      </c>
      <c r="H921" s="35">
        <v>1</v>
      </c>
      <c r="I921" s="30"/>
      <c r="J921" s="30"/>
      <c r="K921" s="30" t="s">
        <v>52</v>
      </c>
      <c r="L921" s="30" t="s">
        <v>185</v>
      </c>
      <c r="M921" s="30" t="s">
        <v>212</v>
      </c>
      <c r="N921" s="30" t="s">
        <v>88</v>
      </c>
      <c r="O921" s="30" t="s">
        <v>103</v>
      </c>
      <c r="P921" s="30" t="s">
        <v>186</v>
      </c>
      <c r="Q921" s="30" t="s">
        <v>58</v>
      </c>
      <c r="R921" s="30" t="s">
        <v>56</v>
      </c>
      <c r="S921" s="30" t="s">
        <v>62</v>
      </c>
      <c r="T921" s="30" t="s">
        <v>128</v>
      </c>
      <c r="U921" s="30" t="s">
        <v>164</v>
      </c>
      <c r="V921" s="30" t="s">
        <v>77</v>
      </c>
      <c r="W921" s="30" t="s">
        <v>129</v>
      </c>
      <c r="X921" s="30" t="s">
        <v>107</v>
      </c>
      <c r="Y921" s="30" t="s">
        <v>2050</v>
      </c>
      <c r="Z921" s="30" t="s">
        <v>64</v>
      </c>
      <c r="AA921" s="30" t="s">
        <v>49</v>
      </c>
      <c r="AB921" s="30" t="s">
        <v>332</v>
      </c>
      <c r="AC921" s="30" t="s">
        <v>2761</v>
      </c>
    </row>
    <row r="922" spans="1:29">
      <c r="A922" s="24" t="s">
        <v>2762</v>
      </c>
      <c r="B922" s="24" t="str">
        <f>IF(ISNUMBER(SEARCH(E922,A922)),A922,IF(OR(E922="",E922=""),A922,A922&amp;" - "&amp;E922))</f>
        <v>Cannamedical Indica forte NM - Kerosene Krash</v>
      </c>
      <c r="C922" s="24" t="s">
        <v>48</v>
      </c>
      <c r="D922" s="24" t="s">
        <v>49</v>
      </c>
      <c r="E922" s="24" t="s">
        <v>2579</v>
      </c>
      <c r="F922" s="24" t="s">
        <v>120</v>
      </c>
      <c r="G922" s="27">
        <v>22</v>
      </c>
      <c r="H922" s="28">
        <v>1</v>
      </c>
      <c r="I922" s="24"/>
      <c r="J922" s="24"/>
      <c r="K922" s="24" t="s">
        <v>52</v>
      </c>
      <c r="L922" s="24" t="s">
        <v>145</v>
      </c>
      <c r="M922" s="24" t="s">
        <v>54</v>
      </c>
      <c r="N922" s="24" t="s">
        <v>88</v>
      </c>
      <c r="O922" s="24" t="s">
        <v>71</v>
      </c>
      <c r="P922" s="24" t="s">
        <v>59</v>
      </c>
      <c r="Q922" s="24" t="s">
        <v>56</v>
      </c>
      <c r="R922" s="24" t="s">
        <v>56</v>
      </c>
      <c r="S922" s="24" t="s">
        <v>123</v>
      </c>
      <c r="T922" s="24" t="s">
        <v>106</v>
      </c>
      <c r="U922" s="24" t="s">
        <v>62</v>
      </c>
      <c r="V922" s="24" t="s">
        <v>77</v>
      </c>
      <c r="W922" s="24" t="s">
        <v>79</v>
      </c>
      <c r="X922" s="24" t="s">
        <v>56</v>
      </c>
      <c r="Y922" s="24" t="s">
        <v>421</v>
      </c>
      <c r="Z922" s="24" t="s">
        <v>64</v>
      </c>
      <c r="AA922" s="24" t="s">
        <v>49</v>
      </c>
      <c r="AB922" s="24" t="s">
        <v>298</v>
      </c>
      <c r="AC922" s="24" t="s">
        <v>2763</v>
      </c>
    </row>
    <row r="923" spans="1:29">
      <c r="A923" s="30" t="s">
        <v>2764</v>
      </c>
      <c r="B923" s="30" t="str">
        <f>IF(ISNUMBER(SEARCH(E923,A923)),A923,IF(OR(E923="",E923=""),A923,A923&amp;" - "&amp;E923))</f>
        <v>Cannamedical Indica forte ZAF - Black Cherry Punch</v>
      </c>
      <c r="C923" s="30" t="s">
        <v>48</v>
      </c>
      <c r="D923" s="30" t="s">
        <v>49</v>
      </c>
      <c r="E923" s="30" t="s">
        <v>685</v>
      </c>
      <c r="F923" s="30" t="s">
        <v>120</v>
      </c>
      <c r="G923" s="34">
        <v>24</v>
      </c>
      <c r="H923" s="35">
        <v>1</v>
      </c>
      <c r="I923" s="30"/>
      <c r="J923" s="30"/>
      <c r="K923" s="30" t="s">
        <v>52</v>
      </c>
      <c r="L923" s="30" t="s">
        <v>497</v>
      </c>
      <c r="M923" s="30" t="s">
        <v>71</v>
      </c>
      <c r="N923" s="30" t="s">
        <v>103</v>
      </c>
      <c r="O923" s="30" t="s">
        <v>121</v>
      </c>
      <c r="P923" s="30" t="s">
        <v>104</v>
      </c>
      <c r="Q923" s="30" t="s">
        <v>89</v>
      </c>
      <c r="R923" s="30" t="s">
        <v>58</v>
      </c>
      <c r="S923" s="30" t="s">
        <v>123</v>
      </c>
      <c r="T923" s="30" t="s">
        <v>106</v>
      </c>
      <c r="U923" s="30" t="s">
        <v>62</v>
      </c>
      <c r="V923" s="30" t="s">
        <v>77</v>
      </c>
      <c r="W923" s="30" t="s">
        <v>116</v>
      </c>
      <c r="X923" s="30" t="s">
        <v>79</v>
      </c>
      <c r="Y923" s="30" t="s">
        <v>966</v>
      </c>
      <c r="Z923" s="30" t="s">
        <v>64</v>
      </c>
      <c r="AA923" s="30" t="s">
        <v>49</v>
      </c>
      <c r="AB923" s="30" t="s">
        <v>498</v>
      </c>
      <c r="AC923" s="30" t="s">
        <v>2765</v>
      </c>
    </row>
    <row r="924" spans="1:29">
      <c r="A924" s="24" t="s">
        <v>2766</v>
      </c>
      <c r="B924" s="24" t="str">
        <f>IF(ISNUMBER(SEARCH(E924,A924)),A924,IF(OR(E924="",E924=""),A924,A924&amp;" - "&amp;E924))</f>
        <v>Cannamedical Indica light - Kade's Kush</v>
      </c>
      <c r="C924" s="24" t="s">
        <v>48</v>
      </c>
      <c r="D924" s="24" t="s">
        <v>49</v>
      </c>
      <c r="E924" s="24" t="s">
        <v>2748</v>
      </c>
      <c r="F924" s="24" t="s">
        <v>120</v>
      </c>
      <c r="G924" s="27">
        <v>16</v>
      </c>
      <c r="H924" s="28">
        <v>1</v>
      </c>
      <c r="I924" s="24"/>
      <c r="J924" s="24"/>
      <c r="K924" s="24" t="s">
        <v>52</v>
      </c>
      <c r="L924" s="24" t="s">
        <v>53</v>
      </c>
      <c r="M924" s="24" t="s">
        <v>121</v>
      </c>
      <c r="N924" s="24" t="s">
        <v>72</v>
      </c>
      <c r="O924" s="24" t="s">
        <v>56</v>
      </c>
      <c r="P924" s="24" t="s">
        <v>74</v>
      </c>
      <c r="Q924" s="24" t="s">
        <v>89</v>
      </c>
      <c r="R924" s="24" t="s">
        <v>59</v>
      </c>
      <c r="S924" s="24" t="s">
        <v>106</v>
      </c>
      <c r="T924" s="24" t="s">
        <v>91</v>
      </c>
      <c r="U924" s="24" t="s">
        <v>62</v>
      </c>
      <c r="V924" s="24" t="s">
        <v>77</v>
      </c>
      <c r="W924" s="24" t="s">
        <v>116</v>
      </c>
      <c r="X924" s="24" t="s">
        <v>56</v>
      </c>
      <c r="Y924" s="24" t="s">
        <v>56</v>
      </c>
      <c r="Z924" s="24" t="s">
        <v>64</v>
      </c>
      <c r="AA924" s="24" t="s">
        <v>49</v>
      </c>
      <c r="AB924" s="24" t="s">
        <v>56</v>
      </c>
      <c r="AC924" s="24" t="s">
        <v>2767</v>
      </c>
    </row>
    <row r="925" spans="1:29">
      <c r="A925" s="30" t="s">
        <v>2766</v>
      </c>
      <c r="B925" s="30" t="str">
        <f>IF(ISNUMBER(SEARCH(E925,A925)),A925,IF(OR(E925="",E925=""),A925,A925&amp;" - "&amp;E925))</f>
        <v>Cannamedical Indica light - Dark Star</v>
      </c>
      <c r="C925" s="30" t="s">
        <v>48</v>
      </c>
      <c r="D925" s="30" t="s">
        <v>49</v>
      </c>
      <c r="E925" s="30" t="s">
        <v>2744</v>
      </c>
      <c r="F925" s="30" t="s">
        <v>120</v>
      </c>
      <c r="G925" s="34">
        <v>17</v>
      </c>
      <c r="H925" s="35">
        <v>1</v>
      </c>
      <c r="I925" s="30"/>
      <c r="J925" s="30"/>
      <c r="K925" s="30" t="s">
        <v>17</v>
      </c>
      <c r="L925" s="30" t="s">
        <v>53</v>
      </c>
      <c r="M925" s="30" t="s">
        <v>103</v>
      </c>
      <c r="N925" s="30" t="s">
        <v>121</v>
      </c>
      <c r="O925" s="30" t="s">
        <v>72</v>
      </c>
      <c r="P925" s="30" t="s">
        <v>1100</v>
      </c>
      <c r="Q925" s="30" t="s">
        <v>146</v>
      </c>
      <c r="R925" s="30" t="s">
        <v>113</v>
      </c>
      <c r="S925" s="30" t="s">
        <v>2745</v>
      </c>
      <c r="T925" s="30" t="s">
        <v>76</v>
      </c>
      <c r="U925" s="30" t="s">
        <v>62</v>
      </c>
      <c r="V925" s="30" t="s">
        <v>116</v>
      </c>
      <c r="W925" s="30" t="s">
        <v>165</v>
      </c>
      <c r="X925" s="30" t="s">
        <v>129</v>
      </c>
      <c r="Y925" s="30" t="s">
        <v>56</v>
      </c>
      <c r="Z925" s="30" t="s">
        <v>64</v>
      </c>
      <c r="AA925" s="30" t="s">
        <v>49</v>
      </c>
      <c r="AB925" s="30" t="s">
        <v>56</v>
      </c>
      <c r="AC925" s="30" t="s">
        <v>2768</v>
      </c>
    </row>
    <row r="926" spans="1:29">
      <c r="A926" s="24" t="s">
        <v>2769</v>
      </c>
      <c r="B926" s="24" t="str">
        <f>IF(ISNUMBER(SEARCH(E926,A926)),A926,IF(OR(E926="",E926=""),A926,A926&amp;" - "&amp;E926))</f>
        <v>Cannamedical Indica Ultra SF - Rainmaker</v>
      </c>
      <c r="C926" s="24" t="s">
        <v>48</v>
      </c>
      <c r="D926" s="24" t="s">
        <v>49</v>
      </c>
      <c r="E926" s="24" t="s">
        <v>2770</v>
      </c>
      <c r="F926" s="24" t="s">
        <v>120</v>
      </c>
      <c r="G926" s="27">
        <v>27</v>
      </c>
      <c r="H926" s="28">
        <v>1</v>
      </c>
      <c r="I926" s="24"/>
      <c r="J926" s="24"/>
      <c r="K926" s="24" t="s">
        <v>52</v>
      </c>
      <c r="L926" s="24" t="s">
        <v>53</v>
      </c>
      <c r="M926" s="24" t="s">
        <v>71</v>
      </c>
      <c r="N926" s="24" t="s">
        <v>72</v>
      </c>
      <c r="O926" s="24" t="s">
        <v>56</v>
      </c>
      <c r="P926" s="24" t="s">
        <v>74</v>
      </c>
      <c r="Q926" s="24" t="s">
        <v>75</v>
      </c>
      <c r="R926" s="24" t="s">
        <v>89</v>
      </c>
      <c r="S926" s="24" t="s">
        <v>493</v>
      </c>
      <c r="T926" s="24" t="s">
        <v>61</v>
      </c>
      <c r="U926" s="24" t="s">
        <v>62</v>
      </c>
      <c r="V926" s="24" t="s">
        <v>92</v>
      </c>
      <c r="W926" s="24" t="s">
        <v>77</v>
      </c>
      <c r="X926" s="24" t="s">
        <v>116</v>
      </c>
      <c r="Y926" s="24" t="s">
        <v>56</v>
      </c>
      <c r="Z926" s="24" t="s">
        <v>64</v>
      </c>
      <c r="AA926" s="24" t="s">
        <v>49</v>
      </c>
      <c r="AB926" s="24" t="s">
        <v>56</v>
      </c>
      <c r="AC926" s="24" t="s">
        <v>2771</v>
      </c>
    </row>
    <row r="927" spans="1:29">
      <c r="A927" s="30" t="s">
        <v>2772</v>
      </c>
      <c r="B927" s="30" t="str">
        <f>IF(ISNUMBER(SEARCH(E927,A927)),A927,IF(OR(E927="",E927=""),A927,A927&amp;" - "&amp;E927))</f>
        <v>Cannamedical Indica Vita - Dark Star</v>
      </c>
      <c r="C927" s="30" t="s">
        <v>48</v>
      </c>
      <c r="D927" s="30" t="s">
        <v>49</v>
      </c>
      <c r="E927" s="30" t="s">
        <v>2744</v>
      </c>
      <c r="F927" s="30" t="s">
        <v>120</v>
      </c>
      <c r="G927" s="34">
        <v>14</v>
      </c>
      <c r="H927" s="35">
        <v>1</v>
      </c>
      <c r="I927" s="30"/>
      <c r="J927" s="30"/>
      <c r="K927" s="30" t="s">
        <v>17</v>
      </c>
      <c r="L927" s="30" t="s">
        <v>53</v>
      </c>
      <c r="M927" s="30" t="s">
        <v>103</v>
      </c>
      <c r="N927" s="30" t="s">
        <v>121</v>
      </c>
      <c r="O927" s="30" t="s">
        <v>72</v>
      </c>
      <c r="P927" s="30" t="s">
        <v>1100</v>
      </c>
      <c r="Q927" s="30" t="s">
        <v>146</v>
      </c>
      <c r="R927" s="30" t="s">
        <v>113</v>
      </c>
      <c r="S927" s="30" t="s">
        <v>2745</v>
      </c>
      <c r="T927" s="30" t="s">
        <v>76</v>
      </c>
      <c r="U927" s="30" t="s">
        <v>62</v>
      </c>
      <c r="V927" s="30" t="s">
        <v>116</v>
      </c>
      <c r="W927" s="30" t="s">
        <v>165</v>
      </c>
      <c r="X927" s="30" t="s">
        <v>129</v>
      </c>
      <c r="Y927" s="30" t="s">
        <v>56</v>
      </c>
      <c r="Z927" s="30" t="s">
        <v>64</v>
      </c>
      <c r="AA927" s="30" t="s">
        <v>49</v>
      </c>
      <c r="AB927" s="30" t="s">
        <v>56</v>
      </c>
      <c r="AC927" s="30" t="s">
        <v>2773</v>
      </c>
    </row>
    <row r="928" spans="1:29">
      <c r="A928" s="24" t="s">
        <v>109</v>
      </c>
      <c r="B928" s="24" t="str">
        <f>IF(ISNUMBER(SEARCH(E928,A928)),A928,IF(OR(E928="",E928=""),A928,A928&amp;" - "&amp;E928))</f>
        <v>Cannamedical Sativa classic - Amnesia Haze</v>
      </c>
      <c r="C928" s="24" t="s">
        <v>48</v>
      </c>
      <c r="D928" s="24" t="s">
        <v>49</v>
      </c>
      <c r="E928" s="24" t="s">
        <v>2774</v>
      </c>
      <c r="F928" s="24" t="s">
        <v>69</v>
      </c>
      <c r="G928" s="27">
        <v>20</v>
      </c>
      <c r="H928" s="28">
        <v>1</v>
      </c>
      <c r="I928" s="24"/>
      <c r="J928" s="24"/>
      <c r="K928" s="24" t="s">
        <v>17</v>
      </c>
      <c r="L928" s="24" t="s">
        <v>53</v>
      </c>
      <c r="M928" s="24" t="s">
        <v>111</v>
      </c>
      <c r="N928" s="24" t="s">
        <v>212</v>
      </c>
      <c r="O928" s="24" t="s">
        <v>88</v>
      </c>
      <c r="P928" s="24" t="s">
        <v>75</v>
      </c>
      <c r="Q928" s="24" t="s">
        <v>59</v>
      </c>
      <c r="R928" s="24" t="s">
        <v>56</v>
      </c>
      <c r="S928" s="24" t="s">
        <v>115</v>
      </c>
      <c r="T928" s="24" t="s">
        <v>128</v>
      </c>
      <c r="U928" s="24" t="s">
        <v>62</v>
      </c>
      <c r="V928" s="24" t="s">
        <v>77</v>
      </c>
      <c r="W928" s="24" t="s">
        <v>197</v>
      </c>
      <c r="X928" s="24" t="s">
        <v>137</v>
      </c>
      <c r="Y928" s="24" t="s">
        <v>56</v>
      </c>
      <c r="Z928" s="24" t="s">
        <v>64</v>
      </c>
      <c r="AA928" s="24" t="s">
        <v>49</v>
      </c>
      <c r="AB928" s="24" t="s">
        <v>56</v>
      </c>
      <c r="AC928" s="37" t="s">
        <v>2775</v>
      </c>
    </row>
    <row r="929" spans="1:29">
      <c r="A929" s="30" t="s">
        <v>109</v>
      </c>
      <c r="B929" s="30" t="str">
        <f>IF(ISNUMBER(SEARCH(E929,A929)),A929,IF(OR(E929="",E929=""),A929,A929&amp;" - "&amp;E929))</f>
        <v>Cannamedical Sativa classic - Ghost Train Haze</v>
      </c>
      <c r="C929" s="30" t="s">
        <v>48</v>
      </c>
      <c r="D929" s="30" t="s">
        <v>49</v>
      </c>
      <c r="E929" s="30" t="s">
        <v>343</v>
      </c>
      <c r="F929" s="30" t="s">
        <v>69</v>
      </c>
      <c r="G929" s="34">
        <v>20</v>
      </c>
      <c r="H929" s="35">
        <v>1</v>
      </c>
      <c r="I929" s="30"/>
      <c r="J929" s="30"/>
      <c r="K929" s="30" t="s">
        <v>52</v>
      </c>
      <c r="L929" s="30" t="s">
        <v>53</v>
      </c>
      <c r="M929" s="30" t="s">
        <v>111</v>
      </c>
      <c r="N929" s="30" t="s">
        <v>88</v>
      </c>
      <c r="O929" s="30" t="s">
        <v>55</v>
      </c>
      <c r="P929" s="30" t="s">
        <v>146</v>
      </c>
      <c r="Q929" s="30" t="s">
        <v>75</v>
      </c>
      <c r="R929" s="30" t="s">
        <v>89</v>
      </c>
      <c r="S929" s="30" t="s">
        <v>90</v>
      </c>
      <c r="T929" s="30" t="s">
        <v>106</v>
      </c>
      <c r="U929" s="30" t="s">
        <v>61</v>
      </c>
      <c r="V929" s="30" t="s">
        <v>77</v>
      </c>
      <c r="W929" s="30" t="s">
        <v>225</v>
      </c>
      <c r="X929" s="30" t="s">
        <v>197</v>
      </c>
      <c r="Y929" s="30" t="s">
        <v>56</v>
      </c>
      <c r="Z929" s="30" t="s">
        <v>64</v>
      </c>
      <c r="AA929" s="30" t="s">
        <v>49</v>
      </c>
      <c r="AB929" s="30" t="s">
        <v>56</v>
      </c>
      <c r="AC929" s="30" t="s">
        <v>2776</v>
      </c>
    </row>
    <row r="930" spans="1:29">
      <c r="A930" s="24" t="s">
        <v>206</v>
      </c>
      <c r="B930" s="24" t="str">
        <f>IF(ISNUMBER(SEARCH(E930,A930)),A930,IF(OR(E930="",E930=""),A930,A930&amp;" - "&amp;E930))</f>
        <v>Cannamedical Sativa Classic NM - Amsterdam Amnesia</v>
      </c>
      <c r="C930" s="24" t="s">
        <v>48</v>
      </c>
      <c r="D930" s="24" t="s">
        <v>49</v>
      </c>
      <c r="E930" s="24" t="s">
        <v>2777</v>
      </c>
      <c r="F930" s="24" t="s">
        <v>69</v>
      </c>
      <c r="G930" s="27">
        <v>19</v>
      </c>
      <c r="H930" s="28">
        <v>1</v>
      </c>
      <c r="I930" s="24"/>
      <c r="J930" s="24"/>
      <c r="K930" s="24" t="s">
        <v>52</v>
      </c>
      <c r="L930" s="24" t="s">
        <v>145</v>
      </c>
      <c r="M930" s="24" t="s">
        <v>54</v>
      </c>
      <c r="N930" s="24" t="s">
        <v>111</v>
      </c>
      <c r="O930" s="24" t="s">
        <v>55</v>
      </c>
      <c r="P930" s="24" t="s">
        <v>75</v>
      </c>
      <c r="Q930" s="24" t="s">
        <v>59</v>
      </c>
      <c r="R930" s="24" t="s">
        <v>56</v>
      </c>
      <c r="S930" s="24" t="s">
        <v>123</v>
      </c>
      <c r="T930" s="24" t="s">
        <v>106</v>
      </c>
      <c r="U930" s="24" t="s">
        <v>76</v>
      </c>
      <c r="V930" s="24" t="s">
        <v>77</v>
      </c>
      <c r="W930" s="24" t="s">
        <v>292</v>
      </c>
      <c r="X930" s="24" t="s">
        <v>79</v>
      </c>
      <c r="Y930" s="24" t="s">
        <v>400</v>
      </c>
      <c r="Z930" s="24" t="s">
        <v>64</v>
      </c>
      <c r="AA930" s="24" t="s">
        <v>49</v>
      </c>
      <c r="AB930" s="24" t="s">
        <v>298</v>
      </c>
      <c r="AC930" s="24" t="s">
        <v>2778</v>
      </c>
    </row>
    <row r="931" spans="1:29">
      <c r="A931" s="30" t="s">
        <v>764</v>
      </c>
      <c r="B931" s="30" t="str">
        <f>IF(ISNUMBER(SEARCH(E931,A931)),A931,IF(OR(E931="",E931=""),A931,A931&amp;" - "&amp;E931))</f>
        <v>Cannamedical Sativa light - Ghost Train Haze</v>
      </c>
      <c r="C931" s="30" t="s">
        <v>48</v>
      </c>
      <c r="D931" s="30" t="s">
        <v>49</v>
      </c>
      <c r="E931" s="30" t="s">
        <v>343</v>
      </c>
      <c r="F931" s="30" t="s">
        <v>69</v>
      </c>
      <c r="G931" s="34">
        <v>17</v>
      </c>
      <c r="H931" s="35">
        <v>1</v>
      </c>
      <c r="I931" s="30"/>
      <c r="J931" s="30"/>
      <c r="K931" s="30" t="s">
        <v>52</v>
      </c>
      <c r="L931" s="30" t="s">
        <v>53</v>
      </c>
      <c r="M931" s="30" t="s">
        <v>111</v>
      </c>
      <c r="N931" s="30" t="s">
        <v>88</v>
      </c>
      <c r="O931" s="30" t="s">
        <v>55</v>
      </c>
      <c r="P931" s="30" t="s">
        <v>146</v>
      </c>
      <c r="Q931" s="30" t="s">
        <v>75</v>
      </c>
      <c r="R931" s="30" t="s">
        <v>89</v>
      </c>
      <c r="S931" s="30" t="s">
        <v>90</v>
      </c>
      <c r="T931" s="30" t="s">
        <v>61</v>
      </c>
      <c r="U931" s="30" t="s">
        <v>62</v>
      </c>
      <c r="V931" s="30" t="s">
        <v>77</v>
      </c>
      <c r="W931" s="30" t="s">
        <v>225</v>
      </c>
      <c r="X931" s="30" t="s">
        <v>197</v>
      </c>
      <c r="Y931" s="30" t="s">
        <v>56</v>
      </c>
      <c r="Z931" s="30" t="s">
        <v>64</v>
      </c>
      <c r="AA931" s="30" t="s">
        <v>49</v>
      </c>
      <c r="AB931" s="30" t="s">
        <v>56</v>
      </c>
      <c r="AC931" s="36" t="s">
        <v>2779</v>
      </c>
    </row>
    <row r="932" spans="1:29">
      <c r="A932" s="24" t="s">
        <v>2780</v>
      </c>
      <c r="B932" s="24" t="str">
        <f>IF(ISNUMBER(SEARCH(E932,A932)),A932,IF(OR(E932="",E932=""),A932,A932&amp;" - "&amp;E932))</f>
        <v>CannGo BC 17/1 OC - Orange Crasher</v>
      </c>
      <c r="C932" s="24" t="s">
        <v>1957</v>
      </c>
      <c r="D932" s="24" t="s">
        <v>1958</v>
      </c>
      <c r="E932" s="41" t="s">
        <v>2781</v>
      </c>
      <c r="F932" s="24" t="s">
        <v>177</v>
      </c>
      <c r="G932" s="27">
        <v>17</v>
      </c>
      <c r="H932" s="28">
        <v>1</v>
      </c>
      <c r="I932" s="24"/>
      <c r="J932" s="24"/>
      <c r="K932" s="24" t="s">
        <v>52</v>
      </c>
      <c r="L932" s="24" t="s">
        <v>102</v>
      </c>
      <c r="M932" s="24" t="s">
        <v>54</v>
      </c>
      <c r="N932" s="24" t="s">
        <v>111</v>
      </c>
      <c r="O932" s="24" t="s">
        <v>88</v>
      </c>
      <c r="P932" s="24" t="s">
        <v>57</v>
      </c>
      <c r="Q932" s="24" t="s">
        <v>74</v>
      </c>
      <c r="R932" s="24" t="s">
        <v>75</v>
      </c>
      <c r="S932" s="24" t="s">
        <v>90</v>
      </c>
      <c r="T932" s="24" t="s">
        <v>62</v>
      </c>
      <c r="U932" s="24" t="s">
        <v>128</v>
      </c>
      <c r="V932" s="24" t="s">
        <v>77</v>
      </c>
      <c r="W932" s="24" t="s">
        <v>116</v>
      </c>
      <c r="X932" s="24" t="s">
        <v>79</v>
      </c>
      <c r="Y932" s="24" t="s">
        <v>335</v>
      </c>
      <c r="Z932" s="24" t="s">
        <v>64</v>
      </c>
      <c r="AA932" s="24" t="s">
        <v>1961</v>
      </c>
      <c r="AB932" s="24"/>
      <c r="AC932" s="24" t="s">
        <v>2782</v>
      </c>
    </row>
    <row r="933" spans="1:29">
      <c r="A933" s="30" t="s">
        <v>2783</v>
      </c>
      <c r="B933" s="30" t="str">
        <f>IF(ISNUMBER(SEARCH(E933,A933)),A933,IF(OR(E933="",E933=""),A933,A933&amp;" - "&amp;E933))</f>
        <v>Cannovum Natura 20/1 Luna - Somango</v>
      </c>
      <c r="C933" s="30" t="s">
        <v>2145</v>
      </c>
      <c r="D933" s="30" t="s">
        <v>2146</v>
      </c>
      <c r="E933" s="30" t="s">
        <v>1347</v>
      </c>
      <c r="F933" s="30" t="s">
        <v>86</v>
      </c>
      <c r="G933" s="34">
        <v>19</v>
      </c>
      <c r="H933" s="35">
        <v>1</v>
      </c>
      <c r="I933" s="30"/>
      <c r="J933" s="30"/>
      <c r="K933" s="30" t="s">
        <v>52</v>
      </c>
      <c r="L933" s="30" t="s">
        <v>53</v>
      </c>
      <c r="M933" s="30" t="s">
        <v>111</v>
      </c>
      <c r="N933" s="30" t="s">
        <v>71</v>
      </c>
      <c r="O933" s="30" t="s">
        <v>121</v>
      </c>
      <c r="P933" s="30" t="s">
        <v>136</v>
      </c>
      <c r="Q933" s="30" t="s">
        <v>89</v>
      </c>
      <c r="R933" s="30" t="s">
        <v>56</v>
      </c>
      <c r="S933" s="30" t="s">
        <v>60</v>
      </c>
      <c r="T933" s="30" t="s">
        <v>76</v>
      </c>
      <c r="U933" s="30" t="s">
        <v>2784</v>
      </c>
      <c r="V933" s="30" t="s">
        <v>77</v>
      </c>
      <c r="W933" s="30" t="s">
        <v>116</v>
      </c>
      <c r="X933" s="30" t="s">
        <v>107</v>
      </c>
      <c r="Y933" s="30" t="s">
        <v>56</v>
      </c>
      <c r="Z933" s="30" t="s">
        <v>64</v>
      </c>
      <c r="AA933" s="30" t="s">
        <v>2146</v>
      </c>
      <c r="AB933" s="30" t="s">
        <v>56</v>
      </c>
      <c r="AC933" s="30" t="s">
        <v>2785</v>
      </c>
    </row>
    <row r="934" spans="1:29">
      <c r="A934" s="24" t="s">
        <v>2786</v>
      </c>
      <c r="B934" s="24" t="str">
        <f>IF(ISNUMBER(SEARCH(E934,A934)),A934,IF(OR(E934="",E934=""),A934,A934&amp;" - "&amp;E934))</f>
        <v>Cannovum Natura 25/1 Vivid - Strawberry OG</v>
      </c>
      <c r="C934" s="24" t="s">
        <v>2145</v>
      </c>
      <c r="D934" s="24" t="s">
        <v>2146</v>
      </c>
      <c r="E934" s="24" t="s">
        <v>1353</v>
      </c>
      <c r="F934" s="24" t="s">
        <v>86</v>
      </c>
      <c r="G934" s="27">
        <v>25</v>
      </c>
      <c r="H934" s="28">
        <v>1</v>
      </c>
      <c r="I934" s="24"/>
      <c r="J934" s="24"/>
      <c r="K934" s="24" t="s">
        <v>17</v>
      </c>
      <c r="L934" s="24" t="s">
        <v>423</v>
      </c>
      <c r="M934" s="24" t="s">
        <v>88</v>
      </c>
      <c r="N934" s="24" t="s">
        <v>71</v>
      </c>
      <c r="O934" s="24" t="s">
        <v>103</v>
      </c>
      <c r="P934" s="24" t="s">
        <v>89</v>
      </c>
      <c r="Q934" s="24" t="s">
        <v>58</v>
      </c>
      <c r="R934" s="24" t="s">
        <v>56</v>
      </c>
      <c r="S934" s="24" t="s">
        <v>147</v>
      </c>
      <c r="T934" s="24" t="s">
        <v>106</v>
      </c>
      <c r="U934" s="24" t="s">
        <v>62</v>
      </c>
      <c r="V934" s="24" t="s">
        <v>77</v>
      </c>
      <c r="W934" s="24" t="s">
        <v>116</v>
      </c>
      <c r="X934" s="24" t="s">
        <v>180</v>
      </c>
      <c r="Y934" s="24" t="s">
        <v>56</v>
      </c>
      <c r="Z934" s="24" t="s">
        <v>64</v>
      </c>
      <c r="AA934" s="24" t="s">
        <v>2146</v>
      </c>
      <c r="AB934" s="24" t="s">
        <v>56</v>
      </c>
      <c r="AC934" s="24" t="s">
        <v>2787</v>
      </c>
    </row>
    <row r="935" spans="1:29">
      <c r="A935" s="30" t="s">
        <v>2788</v>
      </c>
      <c r="B935" s="30" t="str">
        <f>IF(ISNUMBER(SEARCH(E935,A935)),A935,IF(OR(E935="",E935=""),A935,A935&amp;" - "&amp;E935))</f>
        <v>Canopy GDB 1/12 - God Bud</v>
      </c>
      <c r="C935" s="30" t="s">
        <v>547</v>
      </c>
      <c r="D935" s="30" t="s">
        <v>548</v>
      </c>
      <c r="E935" s="30" t="s">
        <v>1336</v>
      </c>
      <c r="F935" s="30" t="s">
        <v>86</v>
      </c>
      <c r="G935" s="34">
        <v>1</v>
      </c>
      <c r="H935" s="35">
        <v>12</v>
      </c>
      <c r="I935" s="30"/>
      <c r="J935" s="30"/>
      <c r="K935" s="30" t="s">
        <v>17</v>
      </c>
      <c r="L935" s="30" t="s">
        <v>53</v>
      </c>
      <c r="M935" s="30" t="s">
        <v>103</v>
      </c>
      <c r="N935" s="30" t="s">
        <v>121</v>
      </c>
      <c r="O935" s="30" t="s">
        <v>72</v>
      </c>
      <c r="P935" s="30" t="s">
        <v>104</v>
      </c>
      <c r="Q935" s="30" t="s">
        <v>59</v>
      </c>
      <c r="R935" s="30" t="s">
        <v>56</v>
      </c>
      <c r="S935" s="30" t="s">
        <v>147</v>
      </c>
      <c r="T935" s="30" t="s">
        <v>203</v>
      </c>
      <c r="U935" s="30" t="s">
        <v>56</v>
      </c>
      <c r="V935" s="30" t="s">
        <v>77</v>
      </c>
      <c r="W935" s="30" t="s">
        <v>129</v>
      </c>
      <c r="X935" s="30" t="s">
        <v>107</v>
      </c>
      <c r="Y935" s="30" t="s">
        <v>213</v>
      </c>
      <c r="Z935" s="30" t="s">
        <v>64</v>
      </c>
      <c r="AA935" s="30" t="s">
        <v>551</v>
      </c>
      <c r="AB935" s="30" t="s">
        <v>56</v>
      </c>
      <c r="AC935" s="30" t="s">
        <v>2789</v>
      </c>
    </row>
    <row r="936" spans="1:29">
      <c r="A936" s="24" t="s">
        <v>2790</v>
      </c>
      <c r="B936" s="24" t="str">
        <f>IF(ISNUMBER(SEARCH(E936,A936)),A936,IF(OR(E936="",E936=""),A936,A936&amp;" - "&amp;E936))</f>
        <v>Canopy LSK 16/1 - Lemon Skunk</v>
      </c>
      <c r="C936" s="24" t="s">
        <v>547</v>
      </c>
      <c r="D936" s="24" t="s">
        <v>548</v>
      </c>
      <c r="E936" s="24" t="s">
        <v>2595</v>
      </c>
      <c r="F936" s="24" t="s">
        <v>69</v>
      </c>
      <c r="G936" s="27">
        <v>16</v>
      </c>
      <c r="H936" s="28">
        <v>1</v>
      </c>
      <c r="I936" s="24"/>
      <c r="J936" s="24"/>
      <c r="K936" s="24" t="s">
        <v>17</v>
      </c>
      <c r="L936" s="24" t="s">
        <v>53</v>
      </c>
      <c r="M936" s="24" t="s">
        <v>54</v>
      </c>
      <c r="N936" s="24" t="s">
        <v>111</v>
      </c>
      <c r="O936" s="24" t="s">
        <v>71</v>
      </c>
      <c r="P936" s="24" t="s">
        <v>75</v>
      </c>
      <c r="Q936" s="24" t="s">
        <v>56</v>
      </c>
      <c r="R936" s="24" t="s">
        <v>56</v>
      </c>
      <c r="S936" s="24" t="s">
        <v>192</v>
      </c>
      <c r="T936" s="24" t="s">
        <v>147</v>
      </c>
      <c r="U936" s="24" t="s">
        <v>62</v>
      </c>
      <c r="V936" s="24" t="s">
        <v>77</v>
      </c>
      <c r="W936" s="24" t="s">
        <v>79</v>
      </c>
      <c r="X936" s="24" t="s">
        <v>173</v>
      </c>
      <c r="Y936" s="24" t="s">
        <v>487</v>
      </c>
      <c r="Z936" s="24" t="s">
        <v>64</v>
      </c>
      <c r="AA936" s="24" t="s">
        <v>551</v>
      </c>
      <c r="AB936" s="24" t="s">
        <v>56</v>
      </c>
      <c r="AC936" s="24" t="s">
        <v>2791</v>
      </c>
    </row>
    <row r="937" spans="1:29">
      <c r="A937" s="30" t="s">
        <v>2792</v>
      </c>
      <c r="B937" s="30" t="str">
        <f>IF(ISNUMBER(SEARCH(E937,A937)),A937,IF(OR(E937="",E937=""),A937,A937&amp;" - "&amp;E937))</f>
        <v>Canopy LSK 18/1 - Lemon Skunk</v>
      </c>
      <c r="C937" s="30" t="s">
        <v>547</v>
      </c>
      <c r="D937" s="30" t="s">
        <v>548</v>
      </c>
      <c r="E937" s="30" t="s">
        <v>2595</v>
      </c>
      <c r="F937" s="30" t="s">
        <v>69</v>
      </c>
      <c r="G937" s="34">
        <v>18</v>
      </c>
      <c r="H937" s="35">
        <v>1</v>
      </c>
      <c r="I937" s="30"/>
      <c r="J937" s="30"/>
      <c r="K937" s="30" t="s">
        <v>17</v>
      </c>
      <c r="L937" s="30" t="s">
        <v>53</v>
      </c>
      <c r="M937" s="30" t="s">
        <v>54</v>
      </c>
      <c r="N937" s="30" t="s">
        <v>111</v>
      </c>
      <c r="O937" s="30" t="s">
        <v>71</v>
      </c>
      <c r="P937" s="30" t="s">
        <v>75</v>
      </c>
      <c r="Q937" s="30" t="s">
        <v>56</v>
      </c>
      <c r="R937" s="30" t="s">
        <v>56</v>
      </c>
      <c r="S937" s="30" t="s">
        <v>192</v>
      </c>
      <c r="T937" s="30" t="s">
        <v>147</v>
      </c>
      <c r="U937" s="30" t="s">
        <v>62</v>
      </c>
      <c r="V937" s="30" t="s">
        <v>77</v>
      </c>
      <c r="W937" s="30" t="s">
        <v>79</v>
      </c>
      <c r="X937" s="30" t="s">
        <v>173</v>
      </c>
      <c r="Y937" s="30" t="s">
        <v>56</v>
      </c>
      <c r="Z937" s="30" t="s">
        <v>64</v>
      </c>
      <c r="AA937" s="30" t="s">
        <v>551</v>
      </c>
      <c r="AB937" s="30" t="s">
        <v>56</v>
      </c>
      <c r="AC937" s="30" t="s">
        <v>2793</v>
      </c>
    </row>
    <row r="938" spans="1:29">
      <c r="A938" s="24" t="s">
        <v>2794</v>
      </c>
      <c r="B938" s="24" t="str">
        <f>IF(ISNUMBER(SEARCH(E938,A938)),A938,IF(OR(E938="",E938=""),A938,A938&amp;" - "&amp;E938))</f>
        <v>CanPharma Flos 1/14 - God Bud</v>
      </c>
      <c r="C938" s="24" t="s">
        <v>597</v>
      </c>
      <c r="D938" s="24" t="s">
        <v>598</v>
      </c>
      <c r="E938" s="24" t="s">
        <v>1336</v>
      </c>
      <c r="F938" s="24" t="s">
        <v>120</v>
      </c>
      <c r="G938" s="27">
        <v>1</v>
      </c>
      <c r="H938" s="28">
        <v>14.000000000000002</v>
      </c>
      <c r="I938" s="24"/>
      <c r="J938" s="24"/>
      <c r="K938" s="24" t="s">
        <v>52</v>
      </c>
      <c r="L938" s="24" t="s">
        <v>423</v>
      </c>
      <c r="M938" s="24" t="s">
        <v>103</v>
      </c>
      <c r="N938" s="24" t="s">
        <v>121</v>
      </c>
      <c r="O938" s="24" t="s">
        <v>72</v>
      </c>
      <c r="P938" s="24" t="s">
        <v>104</v>
      </c>
      <c r="Q938" s="24" t="s">
        <v>59</v>
      </c>
      <c r="R938" s="24" t="s">
        <v>56</v>
      </c>
      <c r="S938" s="24" t="s">
        <v>61</v>
      </c>
      <c r="T938" s="24" t="s">
        <v>76</v>
      </c>
      <c r="U938" s="24" t="s">
        <v>128</v>
      </c>
      <c r="V938" s="24" t="s">
        <v>77</v>
      </c>
      <c r="W938" s="24" t="s">
        <v>129</v>
      </c>
      <c r="X938" s="24" t="s">
        <v>107</v>
      </c>
      <c r="Y938" s="24" t="s">
        <v>56</v>
      </c>
      <c r="Z938" s="24" t="s">
        <v>64</v>
      </c>
      <c r="AA938" s="24" t="s">
        <v>598</v>
      </c>
      <c r="AB938" s="24" t="s">
        <v>56</v>
      </c>
      <c r="AC938" s="24" t="s">
        <v>2795</v>
      </c>
    </row>
    <row r="939" spans="1:29">
      <c r="A939" s="30" t="s">
        <v>2796</v>
      </c>
      <c r="B939" s="30" t="str">
        <f>IF(ISNUMBER(SEARCH(E939,A939)),A939,IF(OR(E939="",E939=""),A939,A939&amp;" - "&amp;E939))</f>
        <v>CanPharma Flos A 17/1 - Shiskaberry</v>
      </c>
      <c r="C939" s="30" t="s">
        <v>597</v>
      </c>
      <c r="D939" s="30" t="s">
        <v>598</v>
      </c>
      <c r="E939" s="30" t="s">
        <v>2408</v>
      </c>
      <c r="F939" s="30" t="s">
        <v>86</v>
      </c>
      <c r="G939" s="34">
        <v>17</v>
      </c>
      <c r="H939" s="35">
        <v>1</v>
      </c>
      <c r="I939" s="30"/>
      <c r="J939" s="30"/>
      <c r="K939" s="30" t="s">
        <v>17</v>
      </c>
      <c r="L939" s="30" t="s">
        <v>53</v>
      </c>
      <c r="M939" s="30" t="s">
        <v>212</v>
      </c>
      <c r="N939" s="30" t="s">
        <v>121</v>
      </c>
      <c r="O939" s="30" t="s">
        <v>72</v>
      </c>
      <c r="P939" s="30" t="s">
        <v>89</v>
      </c>
      <c r="Q939" s="30" t="s">
        <v>58</v>
      </c>
      <c r="R939" s="30" t="s">
        <v>56</v>
      </c>
      <c r="S939" s="30" t="s">
        <v>105</v>
      </c>
      <c r="T939" s="30" t="s">
        <v>106</v>
      </c>
      <c r="U939" s="30" t="s">
        <v>128</v>
      </c>
      <c r="V939" s="30" t="s">
        <v>77</v>
      </c>
      <c r="W939" s="30" t="s">
        <v>116</v>
      </c>
      <c r="X939" s="30" t="s">
        <v>129</v>
      </c>
      <c r="Y939" s="30" t="s">
        <v>56</v>
      </c>
      <c r="Z939" s="30" t="s">
        <v>64</v>
      </c>
      <c r="AA939" s="30" t="s">
        <v>598</v>
      </c>
      <c r="AB939" s="30" t="s">
        <v>56</v>
      </c>
      <c r="AC939" s="30" t="s">
        <v>2797</v>
      </c>
    </row>
    <row r="940" spans="1:29">
      <c r="A940" s="24" t="s">
        <v>2798</v>
      </c>
      <c r="B940" s="24" t="str">
        <f>IF(ISNUMBER(SEARCH(E940,A940)),A940,IF(OR(E940="",E940=""),A940,A940&amp;" - "&amp;E940))</f>
        <v>CanPharma Flos A 19/1 - Gorilla Glue</v>
      </c>
      <c r="C940" s="24" t="s">
        <v>597</v>
      </c>
      <c r="D940" s="24" t="s">
        <v>598</v>
      </c>
      <c r="E940" s="24" t="s">
        <v>363</v>
      </c>
      <c r="F940" s="24" t="s">
        <v>86</v>
      </c>
      <c r="G940" s="27">
        <v>19</v>
      </c>
      <c r="H940" s="28">
        <v>1</v>
      </c>
      <c r="I940" s="24"/>
      <c r="J940" s="24"/>
      <c r="K940" s="24" t="s">
        <v>17</v>
      </c>
      <c r="L940" s="24" t="s">
        <v>53</v>
      </c>
      <c r="M940" s="24" t="s">
        <v>103</v>
      </c>
      <c r="N940" s="24" t="s">
        <v>121</v>
      </c>
      <c r="O940" s="24" t="s">
        <v>72</v>
      </c>
      <c r="P940" s="24" t="s">
        <v>146</v>
      </c>
      <c r="Q940" s="24" t="s">
        <v>74</v>
      </c>
      <c r="R940" s="24" t="s">
        <v>59</v>
      </c>
      <c r="S940" s="24" t="s">
        <v>91</v>
      </c>
      <c r="T940" s="24" t="s">
        <v>61</v>
      </c>
      <c r="U940" s="24" t="s">
        <v>128</v>
      </c>
      <c r="V940" s="24" t="s">
        <v>257</v>
      </c>
      <c r="W940" s="24" t="s">
        <v>252</v>
      </c>
      <c r="X940" s="24" t="s">
        <v>77</v>
      </c>
      <c r="Y940" s="24" t="s">
        <v>56</v>
      </c>
      <c r="Z940" s="24" t="s">
        <v>64</v>
      </c>
      <c r="AA940" s="24" t="s">
        <v>598</v>
      </c>
      <c r="AB940" s="24" t="s">
        <v>56</v>
      </c>
      <c r="AC940" s="24" t="s">
        <v>2799</v>
      </c>
    </row>
    <row r="941" spans="1:29">
      <c r="A941" s="30" t="s">
        <v>2800</v>
      </c>
      <c r="B941" s="30" t="str">
        <f>IF(ISNUMBER(SEARCH(E941,A941)),A941,IF(OR(E941="",E941=""),A941,A941&amp;" - "&amp;E941))</f>
        <v>CanPharma Flos A 22/1 - Gorilla Glue</v>
      </c>
      <c r="C941" s="30" t="s">
        <v>597</v>
      </c>
      <c r="D941" s="30" t="s">
        <v>598</v>
      </c>
      <c r="E941" s="30" t="s">
        <v>363</v>
      </c>
      <c r="F941" s="30" t="s">
        <v>86</v>
      </c>
      <c r="G941" s="34">
        <v>22</v>
      </c>
      <c r="H941" s="35">
        <v>1</v>
      </c>
      <c r="I941" s="30"/>
      <c r="J941" s="30"/>
      <c r="K941" s="30" t="s">
        <v>52</v>
      </c>
      <c r="L941" s="30" t="s">
        <v>53</v>
      </c>
      <c r="M941" s="30" t="s">
        <v>103</v>
      </c>
      <c r="N941" s="30" t="s">
        <v>121</v>
      </c>
      <c r="O941" s="30" t="s">
        <v>72</v>
      </c>
      <c r="P941" s="30" t="s">
        <v>146</v>
      </c>
      <c r="Q941" s="30" t="s">
        <v>74</v>
      </c>
      <c r="R941" s="30" t="s">
        <v>59</v>
      </c>
      <c r="S941" s="30" t="s">
        <v>91</v>
      </c>
      <c r="T941" s="30" t="s">
        <v>61</v>
      </c>
      <c r="U941" s="30" t="s">
        <v>128</v>
      </c>
      <c r="V941" s="30" t="s">
        <v>257</v>
      </c>
      <c r="W941" s="30" t="s">
        <v>252</v>
      </c>
      <c r="X941" s="30" t="s">
        <v>77</v>
      </c>
      <c r="Y941" s="30" t="s">
        <v>56</v>
      </c>
      <c r="Z941" s="30" t="s">
        <v>64</v>
      </c>
      <c r="AA941" s="30" t="s">
        <v>598</v>
      </c>
      <c r="AB941" s="30" t="s">
        <v>56</v>
      </c>
      <c r="AC941" s="30" t="s">
        <v>2801</v>
      </c>
    </row>
    <row r="942" spans="1:29">
      <c r="A942" s="24" t="s">
        <v>2802</v>
      </c>
      <c r="B942" s="24" t="str">
        <f>IF(ISNUMBER(SEARCH(E942,A942)),A942,IF(OR(E942="",E942=""),A942,A942&amp;" - "&amp;E942))</f>
        <v>CanPharma Flos SK 24/1 - Sour Kush</v>
      </c>
      <c r="C942" s="24" t="s">
        <v>597</v>
      </c>
      <c r="D942" s="24" t="s">
        <v>598</v>
      </c>
      <c r="E942" s="24" t="s">
        <v>490</v>
      </c>
      <c r="F942" s="24" t="s">
        <v>86</v>
      </c>
      <c r="G942" s="27">
        <v>24</v>
      </c>
      <c r="H942" s="28">
        <v>1</v>
      </c>
      <c r="I942" s="24"/>
      <c r="J942" s="24"/>
      <c r="K942" s="24" t="s">
        <v>17</v>
      </c>
      <c r="L942" s="24" t="s">
        <v>53</v>
      </c>
      <c r="M942" s="24" t="s">
        <v>212</v>
      </c>
      <c r="N942" s="24" t="s">
        <v>88</v>
      </c>
      <c r="O942" s="24" t="s">
        <v>71</v>
      </c>
      <c r="P942" s="24" t="s">
        <v>73</v>
      </c>
      <c r="Q942" s="24" t="s">
        <v>75</v>
      </c>
      <c r="R942" s="24" t="s">
        <v>89</v>
      </c>
      <c r="S942" s="24" t="s">
        <v>90</v>
      </c>
      <c r="T942" s="24" t="s">
        <v>123</v>
      </c>
      <c r="U942" s="24" t="s">
        <v>91</v>
      </c>
      <c r="V942" s="24" t="s">
        <v>77</v>
      </c>
      <c r="W942" s="24" t="s">
        <v>116</v>
      </c>
      <c r="X942" s="24" t="s">
        <v>253</v>
      </c>
      <c r="Y942" s="24" t="s">
        <v>56</v>
      </c>
      <c r="Z942" s="24" t="s">
        <v>64</v>
      </c>
      <c r="AA942" s="24" t="s">
        <v>598</v>
      </c>
      <c r="AB942" s="24" t="s">
        <v>56</v>
      </c>
      <c r="AC942" s="24" t="s">
        <v>2803</v>
      </c>
    </row>
    <row r="943" spans="1:29">
      <c r="A943" s="30" t="s">
        <v>2804</v>
      </c>
      <c r="B943" s="30" t="str">
        <f>IF(ISNUMBER(SEARCH(E943,A943)),A943,IF(OR(E943="",E943=""),A943,A943&amp;" - "&amp;E943))</f>
        <v>CanPharma Flos SK 26/1 - Sour Kush</v>
      </c>
      <c r="C943" s="30" t="s">
        <v>597</v>
      </c>
      <c r="D943" s="30" t="s">
        <v>598</v>
      </c>
      <c r="E943" s="30" t="s">
        <v>490</v>
      </c>
      <c r="F943" s="30" t="s">
        <v>86</v>
      </c>
      <c r="G943" s="34">
        <v>26</v>
      </c>
      <c r="H943" s="35">
        <v>1</v>
      </c>
      <c r="I943" s="30"/>
      <c r="J943" s="30"/>
      <c r="K943" s="30" t="s">
        <v>17</v>
      </c>
      <c r="L943" s="30" t="s">
        <v>53</v>
      </c>
      <c r="M943" s="30" t="s">
        <v>212</v>
      </c>
      <c r="N943" s="30" t="s">
        <v>88</v>
      </c>
      <c r="O943" s="30" t="s">
        <v>71</v>
      </c>
      <c r="P943" s="30" t="s">
        <v>73</v>
      </c>
      <c r="Q943" s="30" t="s">
        <v>75</v>
      </c>
      <c r="R943" s="30" t="s">
        <v>89</v>
      </c>
      <c r="S943" s="30" t="s">
        <v>90</v>
      </c>
      <c r="T943" s="30" t="s">
        <v>123</v>
      </c>
      <c r="U943" s="30" t="s">
        <v>91</v>
      </c>
      <c r="V943" s="30" t="s">
        <v>77</v>
      </c>
      <c r="W943" s="30" t="s">
        <v>116</v>
      </c>
      <c r="X943" s="30" t="s">
        <v>253</v>
      </c>
      <c r="Y943" s="30" t="s">
        <v>56</v>
      </c>
      <c r="Z943" s="30" t="s">
        <v>64</v>
      </c>
      <c r="AA943" s="30" t="s">
        <v>598</v>
      </c>
      <c r="AB943" s="30" t="s">
        <v>56</v>
      </c>
      <c r="AC943" s="30" t="s">
        <v>2805</v>
      </c>
    </row>
    <row r="944" spans="1:29">
      <c r="A944" s="24" t="s">
        <v>2806</v>
      </c>
      <c r="B944" s="24" t="str">
        <f>IF(ISNUMBER(SEARCH(E944,A944)),A944,IF(OR(E944="",E944=""),A944,A944&amp;" - "&amp;E944))</f>
        <v>Cantourage MAC 2+ - Black Garlic</v>
      </c>
      <c r="C944" s="24" t="s">
        <v>564</v>
      </c>
      <c r="D944" s="24" t="s">
        <v>565</v>
      </c>
      <c r="E944" s="24" t="s">
        <v>2807</v>
      </c>
      <c r="F944" s="24" t="s">
        <v>86</v>
      </c>
      <c r="G944" s="27">
        <v>27</v>
      </c>
      <c r="H944" s="28">
        <v>1</v>
      </c>
      <c r="I944" s="24"/>
      <c r="J944" s="24"/>
      <c r="K944" s="24" t="s">
        <v>52</v>
      </c>
      <c r="L944" s="24" t="s">
        <v>53</v>
      </c>
      <c r="M944" s="24" t="s">
        <v>71</v>
      </c>
      <c r="N944" s="24" t="s">
        <v>121</v>
      </c>
      <c r="O944" s="24" t="s">
        <v>72</v>
      </c>
      <c r="P944" s="24" t="s">
        <v>74</v>
      </c>
      <c r="Q944" s="24" t="s">
        <v>75</v>
      </c>
      <c r="R944" s="24" t="s">
        <v>59</v>
      </c>
      <c r="S944" s="24" t="s">
        <v>60</v>
      </c>
      <c r="T944" s="24" t="s">
        <v>106</v>
      </c>
      <c r="U944" s="24" t="s">
        <v>493</v>
      </c>
      <c r="V944" s="24" t="s">
        <v>77</v>
      </c>
      <c r="W944" s="24" t="s">
        <v>116</v>
      </c>
      <c r="X944" s="24" t="s">
        <v>635</v>
      </c>
      <c r="Y944" s="24" t="s">
        <v>56</v>
      </c>
      <c r="Z944" s="24" t="s">
        <v>64</v>
      </c>
      <c r="AA944" s="24" t="s">
        <v>565</v>
      </c>
      <c r="AB944" s="24" t="s">
        <v>56</v>
      </c>
      <c r="AC944" s="24" t="s">
        <v>2808</v>
      </c>
    </row>
    <row r="945" spans="1:29">
      <c r="A945" s="30" t="s">
        <v>2809</v>
      </c>
      <c r="B945" s="30" t="str">
        <f>IF(ISNUMBER(SEARCH(E945,A945)),A945,IF(OR(E945="",E945=""),A945,A945&amp;" - "&amp;E945))</f>
        <v>Cantourage MAC 3+ - Ice &amp; Sugar</v>
      </c>
      <c r="C945" s="30" t="s">
        <v>564</v>
      </c>
      <c r="D945" s="30" t="s">
        <v>565</v>
      </c>
      <c r="E945" s="30" t="s">
        <v>2810</v>
      </c>
      <c r="F945" s="30" t="s">
        <v>86</v>
      </c>
      <c r="G945" s="34">
        <v>25</v>
      </c>
      <c r="H945" s="35">
        <v>1</v>
      </c>
      <c r="I945" s="30"/>
      <c r="J945" s="30"/>
      <c r="K945" s="30" t="s">
        <v>52</v>
      </c>
      <c r="L945" s="30" t="s">
        <v>53</v>
      </c>
      <c r="M945" s="30" t="s">
        <v>54</v>
      </c>
      <c r="N945" s="30" t="s">
        <v>111</v>
      </c>
      <c r="O945" s="30" t="s">
        <v>72</v>
      </c>
      <c r="P945" s="30" t="s">
        <v>73</v>
      </c>
      <c r="Q945" s="30" t="s">
        <v>57</v>
      </c>
      <c r="R945" s="30" t="s">
        <v>58</v>
      </c>
      <c r="S945" s="30" t="s">
        <v>466</v>
      </c>
      <c r="T945" s="30" t="s">
        <v>123</v>
      </c>
      <c r="U945" s="30" t="s">
        <v>106</v>
      </c>
      <c r="V945" s="30" t="s">
        <v>77</v>
      </c>
      <c r="W945" s="30" t="s">
        <v>116</v>
      </c>
      <c r="X945" s="30" t="s">
        <v>79</v>
      </c>
      <c r="Y945" s="30" t="s">
        <v>56</v>
      </c>
      <c r="Z945" s="30" t="s">
        <v>64</v>
      </c>
      <c r="AA945" s="30" t="s">
        <v>565</v>
      </c>
      <c r="AB945" s="30" t="s">
        <v>56</v>
      </c>
      <c r="AC945" s="30" t="s">
        <v>2811</v>
      </c>
    </row>
    <row r="946" spans="1:29">
      <c r="A946" s="24" t="s">
        <v>2812</v>
      </c>
      <c r="B946" s="24" t="str">
        <f>IF(ISNUMBER(SEARCH(E946,A946)),A946,IF(OR(E946="",E946=""),A946,A946&amp;" - "&amp;E946))</f>
        <v>Ceres No. 2 29/1 - Slurricane Mint</v>
      </c>
      <c r="C946" s="24" t="s">
        <v>564</v>
      </c>
      <c r="D946" s="24" t="s">
        <v>565</v>
      </c>
      <c r="E946" s="24" t="s">
        <v>1306</v>
      </c>
      <c r="F946" s="24" t="s">
        <v>86</v>
      </c>
      <c r="G946" s="27">
        <v>29</v>
      </c>
      <c r="H946" s="28">
        <v>1</v>
      </c>
      <c r="I946" s="24"/>
      <c r="J946" s="24"/>
      <c r="K946" s="24" t="s">
        <v>52</v>
      </c>
      <c r="L946" s="24" t="s">
        <v>53</v>
      </c>
      <c r="M946" s="24" t="s">
        <v>88</v>
      </c>
      <c r="N946" s="24" t="s">
        <v>71</v>
      </c>
      <c r="O946" s="24" t="s">
        <v>103</v>
      </c>
      <c r="P946" s="24" t="s">
        <v>1100</v>
      </c>
      <c r="Q946" s="24" t="s">
        <v>146</v>
      </c>
      <c r="R946" s="24" t="s">
        <v>112</v>
      </c>
      <c r="S946" s="24" t="s">
        <v>106</v>
      </c>
      <c r="T946" s="24" t="s">
        <v>76</v>
      </c>
      <c r="U946" s="24" t="s">
        <v>62</v>
      </c>
      <c r="V946" s="24" t="s">
        <v>77</v>
      </c>
      <c r="W946" s="24" t="s">
        <v>116</v>
      </c>
      <c r="X946" s="24" t="s">
        <v>79</v>
      </c>
      <c r="Y946" s="24" t="s">
        <v>331</v>
      </c>
      <c r="Z946" s="24" t="s">
        <v>64</v>
      </c>
      <c r="AA946" s="24" t="s">
        <v>565</v>
      </c>
      <c r="AB946" s="24" t="s">
        <v>1307</v>
      </c>
      <c r="AC946" s="24" t="s">
        <v>2813</v>
      </c>
    </row>
    <row r="947" spans="1:29">
      <c r="A947" s="30" t="s">
        <v>2814</v>
      </c>
      <c r="B947" s="30" t="str">
        <f>IF(ISNUMBER(SEARCH(E947,A947)),A947,IF(OR(E947="",E947=""),A947,A947&amp;" - "&amp;E947))</f>
        <v>Ceres NO. 5 25/1 - Super Boof</v>
      </c>
      <c r="C947" s="30" t="s">
        <v>564</v>
      </c>
      <c r="D947" s="30" t="s">
        <v>565</v>
      </c>
      <c r="E947" s="30" t="s">
        <v>2815</v>
      </c>
      <c r="F947" s="30" t="s">
        <v>86</v>
      </c>
      <c r="G947" s="34">
        <v>24</v>
      </c>
      <c r="H947" s="35">
        <v>1</v>
      </c>
      <c r="I947" s="30"/>
      <c r="J947" s="30"/>
      <c r="K947" s="30" t="s">
        <v>52</v>
      </c>
      <c r="L947" s="30" t="s">
        <v>53</v>
      </c>
      <c r="M947" s="30" t="s">
        <v>54</v>
      </c>
      <c r="N947" s="30" t="s">
        <v>111</v>
      </c>
      <c r="O947" s="30" t="s">
        <v>88</v>
      </c>
      <c r="P947" s="30" t="s">
        <v>74</v>
      </c>
      <c r="Q947" s="30" t="s">
        <v>75</v>
      </c>
      <c r="R947" s="30" t="s">
        <v>89</v>
      </c>
      <c r="S947" s="30" t="s">
        <v>466</v>
      </c>
      <c r="T947" s="30" t="s">
        <v>147</v>
      </c>
      <c r="U947" s="30" t="s">
        <v>106</v>
      </c>
      <c r="V947" s="30" t="s">
        <v>79</v>
      </c>
      <c r="W947" s="30" t="s">
        <v>107</v>
      </c>
      <c r="X947" s="30" t="s">
        <v>93</v>
      </c>
      <c r="Y947" s="30" t="s">
        <v>539</v>
      </c>
      <c r="Z947" s="30" t="s">
        <v>64</v>
      </c>
      <c r="AA947" s="30" t="s">
        <v>565</v>
      </c>
      <c r="AB947" s="30" t="s">
        <v>1307</v>
      </c>
      <c r="AC947" s="30" t="s">
        <v>2816</v>
      </c>
    </row>
    <row r="948" spans="1:29">
      <c r="A948" s="24" t="s">
        <v>2817</v>
      </c>
      <c r="B948" s="24" t="str">
        <f>IF(ISNUMBER(SEARCH(E948,A948)),A948,IF(OR(E948="",E948=""),A948,A948&amp;" - "&amp;E948))</f>
        <v>Costa Canna Dynamics Forte - Grape Stomper</v>
      </c>
      <c r="C948" s="24" t="s">
        <v>564</v>
      </c>
      <c r="D948" s="24" t="s">
        <v>565</v>
      </c>
      <c r="E948" s="24" t="s">
        <v>2818</v>
      </c>
      <c r="F948" s="24" t="s">
        <v>69</v>
      </c>
      <c r="G948" s="27">
        <v>25</v>
      </c>
      <c r="H948" s="28">
        <v>1</v>
      </c>
      <c r="I948" s="24"/>
      <c r="J948" s="24"/>
      <c r="K948" s="24" t="s">
        <v>52</v>
      </c>
      <c r="L948" s="24" t="s">
        <v>53</v>
      </c>
      <c r="M948" s="24" t="s">
        <v>111</v>
      </c>
      <c r="N948" s="24" t="s">
        <v>88</v>
      </c>
      <c r="O948" s="24" t="s">
        <v>71</v>
      </c>
      <c r="P948" s="24" t="s">
        <v>73</v>
      </c>
      <c r="Q948" s="24" t="s">
        <v>58</v>
      </c>
      <c r="R948" s="24" t="s">
        <v>56</v>
      </c>
      <c r="S948" s="24" t="s">
        <v>147</v>
      </c>
      <c r="T948" s="24" t="s">
        <v>106</v>
      </c>
      <c r="U948" s="24" t="s">
        <v>224</v>
      </c>
      <c r="V948" s="24" t="s">
        <v>77</v>
      </c>
      <c r="W948" s="24" t="s">
        <v>129</v>
      </c>
      <c r="X948" s="24" t="s">
        <v>79</v>
      </c>
      <c r="Y948" s="24" t="s">
        <v>56</v>
      </c>
      <c r="Z948" s="24" t="s">
        <v>64</v>
      </c>
      <c r="AA948" s="24" t="s">
        <v>565</v>
      </c>
      <c r="AB948" s="24" t="s">
        <v>56</v>
      </c>
      <c r="AC948" s="37" t="s">
        <v>2819</v>
      </c>
    </row>
    <row r="949" spans="1:29">
      <c r="A949" s="30" t="s">
        <v>2820</v>
      </c>
      <c r="B949" s="30" t="str">
        <f>IF(ISNUMBER(SEARCH(E949,A949)),A949,IF(OR(E949="",E949=""),A949,A949&amp;" - "&amp;E949))</f>
        <v>Costa Canna Dynamics Fortissimo PT 30/1 - Liberty Haze</v>
      </c>
      <c r="C949" s="30" t="s">
        <v>564</v>
      </c>
      <c r="D949" s="30" t="s">
        <v>565</v>
      </c>
      <c r="E949" s="40" t="s">
        <v>2821</v>
      </c>
      <c r="F949" s="30" t="s">
        <v>144</v>
      </c>
      <c r="G949" s="34">
        <v>30</v>
      </c>
      <c r="H949" s="35">
        <v>1</v>
      </c>
      <c r="I949" s="30"/>
      <c r="J949" s="30"/>
      <c r="K949" s="30" t="s">
        <v>52</v>
      </c>
      <c r="L949" s="30" t="s">
        <v>53</v>
      </c>
      <c r="M949" s="30" t="s">
        <v>54</v>
      </c>
      <c r="N949" s="30" t="s">
        <v>71</v>
      </c>
      <c r="O949" s="30" t="s">
        <v>55</v>
      </c>
      <c r="P949" s="30" t="s">
        <v>104</v>
      </c>
      <c r="Q949" s="30" t="s">
        <v>74</v>
      </c>
      <c r="R949" s="30" t="s">
        <v>75</v>
      </c>
      <c r="S949" s="30" t="s">
        <v>192</v>
      </c>
      <c r="T949" s="30" t="s">
        <v>147</v>
      </c>
      <c r="U949" s="30" t="s">
        <v>106</v>
      </c>
      <c r="V949" s="30" t="s">
        <v>77</v>
      </c>
      <c r="W949" s="30" t="s">
        <v>79</v>
      </c>
      <c r="X949" s="30" t="s">
        <v>173</v>
      </c>
      <c r="Y949" s="30" t="s">
        <v>539</v>
      </c>
      <c r="Z949" s="30" t="s">
        <v>64</v>
      </c>
      <c r="AA949" s="30" t="s">
        <v>565</v>
      </c>
      <c r="AB949" s="30" t="s">
        <v>2822</v>
      </c>
      <c r="AC949" s="11" t="s">
        <v>2823</v>
      </c>
    </row>
    <row r="950" spans="1:29">
      <c r="A950" s="24" t="s">
        <v>2824</v>
      </c>
      <c r="B950" s="24" t="str">
        <f>IF(ISNUMBER(SEARCH(E950,A950)),A950,IF(OR(E950="",E950=""),A950,A950&amp;" - "&amp;E950))</f>
        <v>Costa Canna Dynamics Mezzo Forte - Hell Monkey</v>
      </c>
      <c r="C950" s="24" t="s">
        <v>564</v>
      </c>
      <c r="D950" s="24" t="s">
        <v>565</v>
      </c>
      <c r="E950" s="24" t="s">
        <v>2825</v>
      </c>
      <c r="F950" s="24" t="s">
        <v>120</v>
      </c>
      <c r="G950" s="27">
        <v>25</v>
      </c>
      <c r="H950" s="28">
        <v>1</v>
      </c>
      <c r="I950" s="24"/>
      <c r="J950" s="24"/>
      <c r="K950" s="24" t="s">
        <v>52</v>
      </c>
      <c r="L950" s="24" t="s">
        <v>53</v>
      </c>
      <c r="M950" s="24" t="s">
        <v>156</v>
      </c>
      <c r="N950" s="24" t="s">
        <v>212</v>
      </c>
      <c r="O950" s="24" t="s">
        <v>88</v>
      </c>
      <c r="P950" s="24" t="s">
        <v>73</v>
      </c>
      <c r="Q950" s="24" t="s">
        <v>75</v>
      </c>
      <c r="R950" s="24" t="s">
        <v>89</v>
      </c>
      <c r="S950" s="24" t="s">
        <v>90</v>
      </c>
      <c r="T950" s="24" t="s">
        <v>2745</v>
      </c>
      <c r="U950" s="24" t="s">
        <v>60</v>
      </c>
      <c r="V950" s="24" t="s">
        <v>77</v>
      </c>
      <c r="W950" s="24" t="s">
        <v>79</v>
      </c>
      <c r="X950" s="24" t="s">
        <v>107</v>
      </c>
      <c r="Y950" s="24" t="s">
        <v>56</v>
      </c>
      <c r="Z950" s="24" t="s">
        <v>64</v>
      </c>
      <c r="AA950" s="24" t="s">
        <v>565</v>
      </c>
      <c r="AB950" s="24" t="s">
        <v>56</v>
      </c>
      <c r="AC950" s="24" t="s">
        <v>2826</v>
      </c>
    </row>
    <row r="951" spans="1:29">
      <c r="A951" s="30" t="s">
        <v>2827</v>
      </c>
      <c r="B951" s="30" t="str">
        <f>IF(ISNUMBER(SEARCH(E951,A951)),A951,IF(OR(E951="",E951=""),A951,A951&amp;" - "&amp;E951))</f>
        <v>Cumulus Hybrid - Lemon Berry Candy</v>
      </c>
      <c r="C951" s="30" t="s">
        <v>564</v>
      </c>
      <c r="D951" s="30" t="s">
        <v>565</v>
      </c>
      <c r="E951" s="30" t="s">
        <v>2828</v>
      </c>
      <c r="F951" s="30" t="s">
        <v>86</v>
      </c>
      <c r="G951" s="34">
        <v>24</v>
      </c>
      <c r="H951" s="35">
        <v>1</v>
      </c>
      <c r="I951" s="30"/>
      <c r="J951" s="30"/>
      <c r="K951" s="30" t="s">
        <v>52</v>
      </c>
      <c r="L951" s="30" t="s">
        <v>1418</v>
      </c>
      <c r="M951" s="30" t="s">
        <v>54</v>
      </c>
      <c r="N951" s="30" t="s">
        <v>103</v>
      </c>
      <c r="O951" s="30" t="s">
        <v>55</v>
      </c>
      <c r="P951" s="30" t="s">
        <v>73</v>
      </c>
      <c r="Q951" s="30" t="s">
        <v>74</v>
      </c>
      <c r="R951" s="30" t="s">
        <v>75</v>
      </c>
      <c r="S951" s="30" t="s">
        <v>123</v>
      </c>
      <c r="T951" s="30" t="s">
        <v>106</v>
      </c>
      <c r="U951" s="30" t="s">
        <v>62</v>
      </c>
      <c r="V951" s="30" t="s">
        <v>92</v>
      </c>
      <c r="W951" s="30" t="s">
        <v>77</v>
      </c>
      <c r="X951" s="30" t="s">
        <v>116</v>
      </c>
      <c r="Y951" s="30" t="s">
        <v>56</v>
      </c>
      <c r="Z951" s="30" t="s">
        <v>64</v>
      </c>
      <c r="AA951" s="30" t="s">
        <v>565</v>
      </c>
      <c r="AB951" s="30" t="s">
        <v>2829</v>
      </c>
      <c r="AC951" s="30" t="s">
        <v>2830</v>
      </c>
    </row>
    <row r="952" spans="1:29">
      <c r="A952" s="24" t="s">
        <v>2831</v>
      </c>
      <c r="B952" s="24" t="str">
        <f>IF(ISNUMBER(SEARCH(E952,A952)),A952,IF(OR(E952="",E952=""),A952,A952&amp;" - "&amp;E952))</f>
        <v>Curaleaf Natural 20/1 PT LVC - Lavender Cake</v>
      </c>
      <c r="C952" s="24" t="s">
        <v>463</v>
      </c>
      <c r="D952" s="24" t="s">
        <v>464</v>
      </c>
      <c r="E952" s="41" t="s">
        <v>2832</v>
      </c>
      <c r="F952" s="24" t="s">
        <v>177</v>
      </c>
      <c r="G952" s="27">
        <v>20</v>
      </c>
      <c r="H952" s="28">
        <v>1</v>
      </c>
      <c r="I952" s="24"/>
      <c r="J952" s="24"/>
      <c r="K952" s="24" t="s">
        <v>52</v>
      </c>
      <c r="L952" s="24" t="s">
        <v>102</v>
      </c>
      <c r="M952" s="24" t="s">
        <v>111</v>
      </c>
      <c r="N952" s="24" t="s">
        <v>72</v>
      </c>
      <c r="O952" s="24"/>
      <c r="P952" s="24" t="s">
        <v>57</v>
      </c>
      <c r="Q952" s="24" t="s">
        <v>104</v>
      </c>
      <c r="R952" s="24" t="s">
        <v>89</v>
      </c>
      <c r="S952" s="24" t="s">
        <v>123</v>
      </c>
      <c r="T952" s="24" t="s">
        <v>91</v>
      </c>
      <c r="U952" s="24" t="s">
        <v>114</v>
      </c>
      <c r="V952" s="24" t="s">
        <v>129</v>
      </c>
      <c r="W952" s="24" t="s">
        <v>138</v>
      </c>
      <c r="X952" s="24" t="s">
        <v>107</v>
      </c>
      <c r="Y952" s="24" t="s">
        <v>1175</v>
      </c>
      <c r="Z952" s="24" t="s">
        <v>64</v>
      </c>
      <c r="AA952" s="24" t="s">
        <v>468</v>
      </c>
      <c r="AB952" s="24"/>
      <c r="AC952" s="24" t="s">
        <v>2833</v>
      </c>
    </row>
    <row r="953" spans="1:29">
      <c r="A953" s="30" t="s">
        <v>2834</v>
      </c>
      <c r="B953" s="30" t="str">
        <f>IF(ISNUMBER(SEARCH(E953,A953)),A953,IF(OR(E953="",E953=""),A953,A953&amp;" - "&amp;E953))</f>
        <v>Curaleaf Natural 25/1 PT WPT - Wedding Pop Triangle</v>
      </c>
      <c r="C953" s="30" t="s">
        <v>463</v>
      </c>
      <c r="D953" s="30" t="s">
        <v>464</v>
      </c>
      <c r="E953" s="40" t="s">
        <v>1142</v>
      </c>
      <c r="F953" s="30" t="s">
        <v>144</v>
      </c>
      <c r="G953" s="34">
        <v>25</v>
      </c>
      <c r="H953" s="35">
        <v>1</v>
      </c>
      <c r="I953" s="30"/>
      <c r="J953" s="30"/>
      <c r="K953" s="30" t="s">
        <v>52</v>
      </c>
      <c r="L953" s="30" t="s">
        <v>102</v>
      </c>
      <c r="M953" s="30" t="s">
        <v>54</v>
      </c>
      <c r="N953" s="30" t="s">
        <v>111</v>
      </c>
      <c r="O953" s="30" t="s">
        <v>88</v>
      </c>
      <c r="P953" s="30" t="s">
        <v>57</v>
      </c>
      <c r="Q953" s="30" t="s">
        <v>74</v>
      </c>
      <c r="R953" s="30" t="s">
        <v>75</v>
      </c>
      <c r="S953" s="30" t="s">
        <v>147</v>
      </c>
      <c r="T953" s="30" t="s">
        <v>106</v>
      </c>
      <c r="U953" s="30" t="s">
        <v>62</v>
      </c>
      <c r="V953" s="30" t="s">
        <v>77</v>
      </c>
      <c r="W953" s="30" t="s">
        <v>79</v>
      </c>
      <c r="X953" s="30" t="s">
        <v>107</v>
      </c>
      <c r="Y953" s="30" t="s">
        <v>2835</v>
      </c>
      <c r="Z953" s="30" t="s">
        <v>64</v>
      </c>
      <c r="AA953" s="30" t="s">
        <v>468</v>
      </c>
      <c r="AB953" s="30"/>
      <c r="AC953" s="30" t="s">
        <v>2836</v>
      </c>
    </row>
    <row r="954" spans="1:29">
      <c r="A954" s="24" t="s">
        <v>2837</v>
      </c>
      <c r="B954" s="24" t="str">
        <f>IF(ISNUMBER(SEARCH(E954,A954)),A954,IF(OR(E954="",E954=""),A954,A954&amp;" - "&amp;E954))</f>
        <v>Curaleaf Natural 25/1 PT ZKS - Zookies</v>
      </c>
      <c r="C954" s="24" t="s">
        <v>463</v>
      </c>
      <c r="D954" s="24" t="s">
        <v>464</v>
      </c>
      <c r="E954" s="41" t="s">
        <v>2838</v>
      </c>
      <c r="F954" s="24" t="s">
        <v>86</v>
      </c>
      <c r="G954" s="27">
        <v>25</v>
      </c>
      <c r="H954" s="28">
        <v>1</v>
      </c>
      <c r="I954" s="24"/>
      <c r="J954" s="24"/>
      <c r="K954" s="24" t="s">
        <v>52</v>
      </c>
      <c r="L954" s="24" t="s">
        <v>102</v>
      </c>
      <c r="M954" s="24" t="s">
        <v>54</v>
      </c>
      <c r="N954" s="24" t="s">
        <v>88</v>
      </c>
      <c r="O954" s="24" t="s">
        <v>72</v>
      </c>
      <c r="P954" s="24" t="s">
        <v>73</v>
      </c>
      <c r="Q954" s="24" t="s">
        <v>74</v>
      </c>
      <c r="R954" s="24" t="s">
        <v>89</v>
      </c>
      <c r="S954" s="24" t="s">
        <v>123</v>
      </c>
      <c r="T954" s="24" t="s">
        <v>106</v>
      </c>
      <c r="U954" s="24" t="s">
        <v>62</v>
      </c>
      <c r="V954" s="24" t="s">
        <v>77</v>
      </c>
      <c r="W954" s="24" t="s">
        <v>79</v>
      </c>
      <c r="X954" s="24" t="s">
        <v>107</v>
      </c>
      <c r="Y954" s="24" t="s">
        <v>1660</v>
      </c>
      <c r="Z954" s="24" t="s">
        <v>64</v>
      </c>
      <c r="AA954" s="24" t="s">
        <v>468</v>
      </c>
      <c r="AB954" s="24"/>
      <c r="AC954" s="24" t="s">
        <v>2839</v>
      </c>
    </row>
    <row r="955" spans="1:29">
      <c r="A955" s="30" t="s">
        <v>2840</v>
      </c>
      <c r="B955" s="30" t="str">
        <f>IF(ISNUMBER(SEARCH(E955,A955)),A955,IF(OR(E955="",E955=""),A955,A955&amp;" - "&amp;E955))</f>
        <v>Dascoli 19/1 - Gorilla Glue GG4</v>
      </c>
      <c r="C955" s="30" t="s">
        <v>2841</v>
      </c>
      <c r="D955" s="30" t="s">
        <v>2842</v>
      </c>
      <c r="E955" s="30" t="s">
        <v>363</v>
      </c>
      <c r="F955" s="30" t="s">
        <v>86</v>
      </c>
      <c r="G955" s="34">
        <v>19</v>
      </c>
      <c r="H955" s="35">
        <v>1</v>
      </c>
      <c r="I955" s="30"/>
      <c r="J955" s="30"/>
      <c r="K955" s="30" t="s">
        <v>52</v>
      </c>
      <c r="L955" s="30" t="s">
        <v>53</v>
      </c>
      <c r="M955" s="30" t="s">
        <v>103</v>
      </c>
      <c r="N955" s="30" t="s">
        <v>121</v>
      </c>
      <c r="O955" s="30" t="s">
        <v>72</v>
      </c>
      <c r="P955" s="30" t="s">
        <v>146</v>
      </c>
      <c r="Q955" s="30" t="s">
        <v>74</v>
      </c>
      <c r="R955" s="30" t="s">
        <v>59</v>
      </c>
      <c r="S955" s="30" t="s">
        <v>147</v>
      </c>
      <c r="T955" s="30" t="s">
        <v>106</v>
      </c>
      <c r="U955" s="30" t="s">
        <v>164</v>
      </c>
      <c r="V955" s="30" t="s">
        <v>257</v>
      </c>
      <c r="W955" s="30" t="s">
        <v>252</v>
      </c>
      <c r="X955" s="30" t="s">
        <v>77</v>
      </c>
      <c r="Y955" s="30" t="s">
        <v>56</v>
      </c>
      <c r="Z955" s="30" t="s">
        <v>64</v>
      </c>
      <c r="AA955" s="30" t="s">
        <v>2842</v>
      </c>
      <c r="AB955" s="30" t="s">
        <v>56</v>
      </c>
      <c r="AC955" s="30" t="s">
        <v>2843</v>
      </c>
    </row>
    <row r="956" spans="1:29">
      <c r="A956" s="24" t="s">
        <v>2844</v>
      </c>
      <c r="B956" s="24" t="str">
        <f>IF(ISNUMBER(SEARCH(E956,A956)),A956,IF(OR(E956="",E956=""),A956,A956&amp;" - "&amp;E956))</f>
        <v>Demecan 18:01 Florestura - Super Haze x Amnesia</v>
      </c>
      <c r="C956" s="24" t="s">
        <v>484</v>
      </c>
      <c r="D956" s="24" t="s">
        <v>485</v>
      </c>
      <c r="E956" s="24" t="s">
        <v>486</v>
      </c>
      <c r="F956" s="24" t="s">
        <v>69</v>
      </c>
      <c r="G956" s="27">
        <v>18</v>
      </c>
      <c r="H956" s="28">
        <v>1</v>
      </c>
      <c r="I956" s="24"/>
      <c r="J956" s="24"/>
      <c r="K956" s="24" t="s">
        <v>52</v>
      </c>
      <c r="L956" s="24" t="s">
        <v>70</v>
      </c>
      <c r="M956" s="24" t="s">
        <v>111</v>
      </c>
      <c r="N956" s="24" t="s">
        <v>55</v>
      </c>
      <c r="O956" s="24" t="s">
        <v>56</v>
      </c>
      <c r="P956" s="24" t="s">
        <v>157</v>
      </c>
      <c r="Q956" s="24" t="s">
        <v>74</v>
      </c>
      <c r="R956" s="24" t="s">
        <v>75</v>
      </c>
      <c r="S956" s="24" t="s">
        <v>106</v>
      </c>
      <c r="T956" s="24" t="s">
        <v>91</v>
      </c>
      <c r="U956" s="24" t="s">
        <v>128</v>
      </c>
      <c r="V956" s="24" t="s">
        <v>77</v>
      </c>
      <c r="W956" s="24" t="s">
        <v>292</v>
      </c>
      <c r="X956" s="24" t="s">
        <v>138</v>
      </c>
      <c r="Y956" s="24" t="s">
        <v>56</v>
      </c>
      <c r="Z956" s="24" t="s">
        <v>64</v>
      </c>
      <c r="AA956" s="24" t="s">
        <v>485</v>
      </c>
      <c r="AB956" s="24" t="s">
        <v>56</v>
      </c>
      <c r="AC956" s="24" t="s">
        <v>2845</v>
      </c>
    </row>
    <row r="957" spans="1:29">
      <c r="A957" s="30" t="s">
        <v>2846</v>
      </c>
      <c r="B957" s="30" t="str">
        <f>IF(ISNUMBER(SEARCH(E957,A957)),A957,IF(OR(E957="",E957=""),A957,A957&amp;" - "&amp;E957))</f>
        <v>Demecan 24:1 Florestura - Super Haze x Amnesia</v>
      </c>
      <c r="C957" s="30" t="s">
        <v>484</v>
      </c>
      <c r="D957" s="30" t="s">
        <v>485</v>
      </c>
      <c r="E957" s="30" t="s">
        <v>486</v>
      </c>
      <c r="F957" s="30" t="s">
        <v>86</v>
      </c>
      <c r="G957" s="34">
        <v>24</v>
      </c>
      <c r="H957" s="35">
        <v>1</v>
      </c>
      <c r="I957" s="30"/>
      <c r="J957" s="30"/>
      <c r="K957" s="30" t="s">
        <v>17</v>
      </c>
      <c r="L957" s="30" t="s">
        <v>70</v>
      </c>
      <c r="M957" s="30" t="s">
        <v>111</v>
      </c>
      <c r="N957" s="30" t="s">
        <v>55</v>
      </c>
      <c r="O957" s="30" t="s">
        <v>56</v>
      </c>
      <c r="P957" s="30" t="s">
        <v>157</v>
      </c>
      <c r="Q957" s="30" t="s">
        <v>74</v>
      </c>
      <c r="R957" s="30" t="s">
        <v>75</v>
      </c>
      <c r="S957" s="30" t="s">
        <v>106</v>
      </c>
      <c r="T957" s="30" t="s">
        <v>62</v>
      </c>
      <c r="U957" s="30" t="s">
        <v>128</v>
      </c>
      <c r="V957" s="30" t="s">
        <v>77</v>
      </c>
      <c r="W957" s="30" t="s">
        <v>292</v>
      </c>
      <c r="X957" s="30" t="s">
        <v>138</v>
      </c>
      <c r="Y957" s="30" t="s">
        <v>56</v>
      </c>
      <c r="Z957" s="30" t="s">
        <v>64</v>
      </c>
      <c r="AA957" s="30" t="s">
        <v>485</v>
      </c>
      <c r="AB957" s="30" t="s">
        <v>56</v>
      </c>
      <c r="AC957" s="30" t="s">
        <v>2847</v>
      </c>
    </row>
    <row r="958" spans="1:29">
      <c r="A958" s="24" t="s">
        <v>2848</v>
      </c>
      <c r="B958" s="24" t="str">
        <f>IF(ISNUMBER(SEARCH(E958,A958)),A958,IF(OR(E958="",E958=""),A958,A958&amp;" - "&amp;E958))</f>
        <v>Demecan CRAFT Titanimal 23:01</v>
      </c>
      <c r="C958" s="24" t="s">
        <v>484</v>
      </c>
      <c r="D958" s="24" t="s">
        <v>485</v>
      </c>
      <c r="E958" s="24" t="s">
        <v>1686</v>
      </c>
      <c r="F958" s="24" t="s">
        <v>120</v>
      </c>
      <c r="G958" s="27">
        <v>23</v>
      </c>
      <c r="H958" s="28">
        <v>1</v>
      </c>
      <c r="I958" s="24"/>
      <c r="J958" s="24"/>
      <c r="K958" s="24" t="s">
        <v>52</v>
      </c>
      <c r="L958" s="24" t="s">
        <v>53</v>
      </c>
      <c r="M958" s="24" t="s">
        <v>121</v>
      </c>
      <c r="N958" s="24" t="s">
        <v>72</v>
      </c>
      <c r="O958" s="24" t="s">
        <v>56</v>
      </c>
      <c r="P958" s="24" t="s">
        <v>112</v>
      </c>
      <c r="Q958" s="24" t="s">
        <v>74</v>
      </c>
      <c r="R958" s="24" t="s">
        <v>89</v>
      </c>
      <c r="S958" s="24" t="s">
        <v>466</v>
      </c>
      <c r="T958" s="24" t="s">
        <v>106</v>
      </c>
      <c r="U958" s="24" t="s">
        <v>128</v>
      </c>
      <c r="V958" s="24" t="s">
        <v>77</v>
      </c>
      <c r="W958" s="24" t="s">
        <v>116</v>
      </c>
      <c r="X958" s="24" t="s">
        <v>79</v>
      </c>
      <c r="Y958" s="24" t="s">
        <v>56</v>
      </c>
      <c r="Z958" s="24" t="s">
        <v>64</v>
      </c>
      <c r="AA958" s="24" t="s">
        <v>485</v>
      </c>
      <c r="AB958" s="24" t="s">
        <v>56</v>
      </c>
      <c r="AC958" s="24" t="s">
        <v>2849</v>
      </c>
    </row>
    <row r="959" spans="1:29">
      <c r="A959" s="30" t="s">
        <v>2850</v>
      </c>
      <c r="B959" s="30" t="str">
        <f>IF(ISNUMBER(SEARCH(E959,A959)),A959,IF(OR(E959="",E959=""),A959,A959&amp;" - "&amp;E959))</f>
        <v>Demecan CRAFT Tricolo 24:01 - LA Kush Cake</v>
      </c>
      <c r="C959" s="30" t="s">
        <v>484</v>
      </c>
      <c r="D959" s="30" t="s">
        <v>485</v>
      </c>
      <c r="E959" s="30" t="s">
        <v>578</v>
      </c>
      <c r="F959" s="30" t="s">
        <v>86</v>
      </c>
      <c r="G959" s="34">
        <v>24</v>
      </c>
      <c r="H959" s="35">
        <v>1</v>
      </c>
      <c r="I959" s="30"/>
      <c r="J959" s="30"/>
      <c r="K959" s="30" t="s">
        <v>52</v>
      </c>
      <c r="L959" s="30" t="s">
        <v>53</v>
      </c>
      <c r="M959" s="30" t="s">
        <v>156</v>
      </c>
      <c r="N959" s="30" t="s">
        <v>121</v>
      </c>
      <c r="O959" s="30" t="s">
        <v>72</v>
      </c>
      <c r="P959" s="30" t="s">
        <v>112</v>
      </c>
      <c r="Q959" s="30" t="s">
        <v>57</v>
      </c>
      <c r="R959" s="30" t="s">
        <v>59</v>
      </c>
      <c r="S959" s="30" t="s">
        <v>466</v>
      </c>
      <c r="T959" s="30" t="s">
        <v>123</v>
      </c>
      <c r="U959" s="30" t="s">
        <v>106</v>
      </c>
      <c r="V959" s="30" t="s">
        <v>77</v>
      </c>
      <c r="W959" s="30" t="s">
        <v>79</v>
      </c>
      <c r="X959" s="30" t="s">
        <v>107</v>
      </c>
      <c r="Y959" s="30" t="s">
        <v>56</v>
      </c>
      <c r="Z959" s="30" t="s">
        <v>64</v>
      </c>
      <c r="AA959" s="30" t="s">
        <v>485</v>
      </c>
      <c r="AB959" s="30" t="s">
        <v>56</v>
      </c>
      <c r="AC959" s="30" t="s">
        <v>2851</v>
      </c>
    </row>
    <row r="960" spans="1:29">
      <c r="A960" s="24" t="s">
        <v>2852</v>
      </c>
      <c r="B960" s="24" t="str">
        <f>IF(ISNUMBER(SEARCH(E960,A960)),A960,IF(OR(E960="",E960=""),A960,A960&amp;" - "&amp;E960))</f>
        <v>Demecan CRAFT zoerO 22:01 - Oreoz</v>
      </c>
      <c r="C960" s="24" t="s">
        <v>484</v>
      </c>
      <c r="D960" s="24" t="s">
        <v>485</v>
      </c>
      <c r="E960" s="24" t="s">
        <v>603</v>
      </c>
      <c r="F960" s="24" t="s">
        <v>86</v>
      </c>
      <c r="G960" s="27">
        <v>22</v>
      </c>
      <c r="H960" s="28">
        <v>1</v>
      </c>
      <c r="I960" s="24"/>
      <c r="J960" s="24"/>
      <c r="K960" s="24" t="s">
        <v>52</v>
      </c>
      <c r="L960" s="24" t="s">
        <v>53</v>
      </c>
      <c r="M960" s="24" t="s">
        <v>88</v>
      </c>
      <c r="N960" s="24" t="s">
        <v>71</v>
      </c>
      <c r="O960" s="24" t="s">
        <v>103</v>
      </c>
      <c r="P960" s="24" t="s">
        <v>604</v>
      </c>
      <c r="Q960" s="24" t="s">
        <v>591</v>
      </c>
      <c r="R960" s="24" t="s">
        <v>73</v>
      </c>
      <c r="S960" s="24" t="s">
        <v>60</v>
      </c>
      <c r="T960" s="24" t="s">
        <v>106</v>
      </c>
      <c r="U960" s="24" t="s">
        <v>62</v>
      </c>
      <c r="V960" s="24" t="s">
        <v>77</v>
      </c>
      <c r="W960" s="24" t="s">
        <v>116</v>
      </c>
      <c r="X960" s="24" t="s">
        <v>79</v>
      </c>
      <c r="Y960" s="24" t="s">
        <v>56</v>
      </c>
      <c r="Z960" s="24" t="s">
        <v>64</v>
      </c>
      <c r="AA960" s="24" t="s">
        <v>485</v>
      </c>
      <c r="AB960" s="24" t="s">
        <v>56</v>
      </c>
      <c r="AC960" s="24" t="s">
        <v>2853</v>
      </c>
    </row>
    <row r="961" spans="1:29">
      <c r="A961" s="30" t="s">
        <v>2854</v>
      </c>
      <c r="B961" s="30" t="str">
        <f>IF(ISNUMBER(SEARCH(E961,A961)),A961,IF(OR(E961="",E961=""),A961,A961&amp;" - "&amp;E961))</f>
        <v>Demecan GBH Regular Drop 25/1 - Peanut Butter Breath</v>
      </c>
      <c r="C961" s="30" t="s">
        <v>484</v>
      </c>
      <c r="D961" s="30" t="s">
        <v>485</v>
      </c>
      <c r="E961" s="30" t="s">
        <v>2855</v>
      </c>
      <c r="F961" s="30" t="s">
        <v>86</v>
      </c>
      <c r="G961" s="34">
        <v>25</v>
      </c>
      <c r="H961" s="35">
        <v>1</v>
      </c>
      <c r="I961" s="30"/>
      <c r="J961" s="30"/>
      <c r="K961" s="30" t="s">
        <v>52</v>
      </c>
      <c r="L961" s="30" t="s">
        <v>53</v>
      </c>
      <c r="M961" s="30" t="s">
        <v>88</v>
      </c>
      <c r="N961" s="30" t="s">
        <v>103</v>
      </c>
      <c r="O961" s="30" t="s">
        <v>72</v>
      </c>
      <c r="P961" s="30" t="s">
        <v>157</v>
      </c>
      <c r="Q961" s="30" t="s">
        <v>74</v>
      </c>
      <c r="R961" s="30" t="s">
        <v>113</v>
      </c>
      <c r="S961" s="30" t="s">
        <v>147</v>
      </c>
      <c r="T961" s="30" t="s">
        <v>106</v>
      </c>
      <c r="U961" s="30" t="s">
        <v>62</v>
      </c>
      <c r="V961" s="30" t="s">
        <v>77</v>
      </c>
      <c r="W961" s="30" t="s">
        <v>116</v>
      </c>
      <c r="X961" s="30" t="s">
        <v>107</v>
      </c>
      <c r="Y961" s="30" t="s">
        <v>849</v>
      </c>
      <c r="Z961" s="30" t="s">
        <v>64</v>
      </c>
      <c r="AA961" s="30" t="s">
        <v>485</v>
      </c>
      <c r="AB961" s="30" t="s">
        <v>56</v>
      </c>
      <c r="AC961" s="30" t="s">
        <v>2856</v>
      </c>
    </row>
    <row r="962" spans="1:29">
      <c r="A962" s="24" t="s">
        <v>2857</v>
      </c>
      <c r="B962" s="24" t="str">
        <f>IF(ISNUMBER(SEARCH(E962,A962)),A962,IF(OR(E962="",E962=""),A962,A962&amp;" - "&amp;E962))</f>
        <v>Demecan GBH Strong Drop - Grape Gasoline</v>
      </c>
      <c r="C962" s="24" t="s">
        <v>484</v>
      </c>
      <c r="D962" s="24" t="s">
        <v>485</v>
      </c>
      <c r="E962" s="41" t="s">
        <v>172</v>
      </c>
      <c r="F962" s="24" t="s">
        <v>86</v>
      </c>
      <c r="G962" s="27">
        <v>27</v>
      </c>
      <c r="H962" s="28">
        <v>1</v>
      </c>
      <c r="I962" s="24"/>
      <c r="J962" s="24"/>
      <c r="K962" s="24" t="s">
        <v>52</v>
      </c>
      <c r="L962" s="24" t="s">
        <v>53</v>
      </c>
      <c r="M962" s="24" t="s">
        <v>88</v>
      </c>
      <c r="N962" s="24" t="s">
        <v>71</v>
      </c>
      <c r="O962" s="24" t="s">
        <v>55</v>
      </c>
      <c r="P962" s="24" t="s">
        <v>73</v>
      </c>
      <c r="Q962" s="24" t="s">
        <v>89</v>
      </c>
      <c r="R962" s="24" t="s">
        <v>58</v>
      </c>
      <c r="S962" s="24" t="s">
        <v>147</v>
      </c>
      <c r="T962" s="24" t="s">
        <v>106</v>
      </c>
      <c r="U962" s="24" t="s">
        <v>62</v>
      </c>
      <c r="V962" s="24" t="s">
        <v>77</v>
      </c>
      <c r="W962" s="24" t="s">
        <v>79</v>
      </c>
      <c r="X962" s="24" t="s">
        <v>173</v>
      </c>
      <c r="Y962" s="24" t="s">
        <v>1112</v>
      </c>
      <c r="Z962" s="24" t="s">
        <v>64</v>
      </c>
      <c r="AA962" s="24" t="s">
        <v>485</v>
      </c>
      <c r="AB962" s="24"/>
      <c r="AC962" s="24" t="s">
        <v>2858</v>
      </c>
    </row>
    <row r="963" spans="1:29">
      <c r="A963" s="30" t="s">
        <v>2859</v>
      </c>
      <c r="B963" s="30" t="str">
        <f>IF(ISNUMBER(SEARCH(E963,A963)),A963,IF(OR(E963="",E963=""),A963,A963&amp;" - "&amp;E963))</f>
        <v>Demecan MC Epic Drop 29:01 - Purple Punch x Jungle Cake</v>
      </c>
      <c r="C963" s="30" t="s">
        <v>484</v>
      </c>
      <c r="D963" s="30" t="s">
        <v>485</v>
      </c>
      <c r="E963" s="30" t="s">
        <v>1078</v>
      </c>
      <c r="F963" s="30" t="s">
        <v>120</v>
      </c>
      <c r="G963" s="34">
        <v>29</v>
      </c>
      <c r="H963" s="35">
        <v>1</v>
      </c>
      <c r="I963" s="30"/>
      <c r="J963" s="30"/>
      <c r="K963" s="30" t="s">
        <v>52</v>
      </c>
      <c r="L963" s="30" t="s">
        <v>53</v>
      </c>
      <c r="M963" s="30" t="s">
        <v>88</v>
      </c>
      <c r="N963" s="30" t="s">
        <v>121</v>
      </c>
      <c r="O963" s="30" t="s">
        <v>72</v>
      </c>
      <c r="P963" s="30" t="s">
        <v>74</v>
      </c>
      <c r="Q963" s="30" t="s">
        <v>89</v>
      </c>
      <c r="R963" s="30" t="s">
        <v>58</v>
      </c>
      <c r="S963" s="30" t="s">
        <v>147</v>
      </c>
      <c r="T963" s="30" t="s">
        <v>106</v>
      </c>
      <c r="U963" s="30" t="s">
        <v>224</v>
      </c>
      <c r="V963" s="30" t="s">
        <v>77</v>
      </c>
      <c r="W963" s="30" t="s">
        <v>116</v>
      </c>
      <c r="X963" s="30" t="s">
        <v>180</v>
      </c>
      <c r="Y963" s="30" t="s">
        <v>56</v>
      </c>
      <c r="Z963" s="30" t="s">
        <v>64</v>
      </c>
      <c r="AA963" s="30" t="s">
        <v>485</v>
      </c>
      <c r="AB963" s="30" t="s">
        <v>56</v>
      </c>
      <c r="AC963" s="30" t="s">
        <v>2860</v>
      </c>
    </row>
    <row r="964" spans="1:29">
      <c r="A964" s="24" t="s">
        <v>2861</v>
      </c>
      <c r="B964" s="24" t="str">
        <f>IF(ISNUMBER(SEARCH(E964,A964)),A964,IF(OR(E964="",E964=""),A964,A964&amp;" - "&amp;E964))</f>
        <v>Demecan MC Regular Drop 26/1 - Gaschata</v>
      </c>
      <c r="C964" s="24" t="s">
        <v>484</v>
      </c>
      <c r="D964" s="24" t="s">
        <v>485</v>
      </c>
      <c r="E964" s="41" t="s">
        <v>2862</v>
      </c>
      <c r="F964" s="24" t="s">
        <v>144</v>
      </c>
      <c r="G964" s="27">
        <v>26</v>
      </c>
      <c r="H964" s="28">
        <v>1</v>
      </c>
      <c r="I964" s="24"/>
      <c r="J964" s="24"/>
      <c r="K964" s="24" t="s">
        <v>52</v>
      </c>
      <c r="L964" s="24" t="s">
        <v>53</v>
      </c>
      <c r="M964" s="24" t="s">
        <v>88</v>
      </c>
      <c r="N964" s="24" t="s">
        <v>55</v>
      </c>
      <c r="O964" s="24" t="s">
        <v>72</v>
      </c>
      <c r="P964" s="24" t="s">
        <v>73</v>
      </c>
      <c r="Q964" s="24" t="s">
        <v>104</v>
      </c>
      <c r="R964" s="24" t="s">
        <v>89</v>
      </c>
      <c r="S964" s="24" t="s">
        <v>147</v>
      </c>
      <c r="T964" s="24" t="s">
        <v>106</v>
      </c>
      <c r="U964" s="24" t="s">
        <v>62</v>
      </c>
      <c r="V964" s="24" t="s">
        <v>77</v>
      </c>
      <c r="W964" s="24" t="s">
        <v>165</v>
      </c>
      <c r="X964" s="24" t="s">
        <v>79</v>
      </c>
      <c r="Y964" s="24" t="s">
        <v>311</v>
      </c>
      <c r="Z964" s="24" t="s">
        <v>64</v>
      </c>
      <c r="AA964" s="24" t="s">
        <v>485</v>
      </c>
      <c r="AB964" s="24"/>
      <c r="AC964" s="37" t="s">
        <v>2863</v>
      </c>
    </row>
    <row r="965" spans="1:29">
      <c r="A965" s="30" t="s">
        <v>2864</v>
      </c>
      <c r="B965" s="30" t="str">
        <f>IF(ISNUMBER(SEARCH(E965,A965)),A965,IF(OR(E965="",E965=""),A965,A965&amp;" - "&amp;E965))</f>
        <v>Demecan MC Regular Drop 27/1 - Glitter Pop Bomb</v>
      </c>
      <c r="C965" s="30" t="s">
        <v>484</v>
      </c>
      <c r="D965" s="30" t="s">
        <v>485</v>
      </c>
      <c r="E965" s="30" t="s">
        <v>1484</v>
      </c>
      <c r="F965" s="30" t="s">
        <v>177</v>
      </c>
      <c r="G965" s="34">
        <v>25</v>
      </c>
      <c r="H965" s="35">
        <v>1</v>
      </c>
      <c r="I965" s="30"/>
      <c r="J965" s="30"/>
      <c r="K965" s="30" t="s">
        <v>52</v>
      </c>
      <c r="L965" s="30" t="s">
        <v>53</v>
      </c>
      <c r="M965" s="30" t="s">
        <v>111</v>
      </c>
      <c r="N965" s="30" t="s">
        <v>88</v>
      </c>
      <c r="O965" s="30" t="s">
        <v>71</v>
      </c>
      <c r="P965" s="30" t="s">
        <v>75</v>
      </c>
      <c r="Q965" s="30" t="s">
        <v>89</v>
      </c>
      <c r="R965" s="30" t="s">
        <v>58</v>
      </c>
      <c r="S965" s="30" t="s">
        <v>56</v>
      </c>
      <c r="T965" s="30" t="s">
        <v>56</v>
      </c>
      <c r="U965" s="30" t="s">
        <v>56</v>
      </c>
      <c r="V965" s="30" t="s">
        <v>79</v>
      </c>
      <c r="W965" s="30" t="s">
        <v>107</v>
      </c>
      <c r="X965" s="30" t="s">
        <v>711</v>
      </c>
      <c r="Y965" s="30" t="s">
        <v>344</v>
      </c>
      <c r="Z965" s="30" t="s">
        <v>64</v>
      </c>
      <c r="AA965" s="30" t="s">
        <v>485</v>
      </c>
      <c r="AB965" s="30" t="s">
        <v>56</v>
      </c>
      <c r="AC965" s="30" t="s">
        <v>2865</v>
      </c>
    </row>
    <row r="966" spans="1:29">
      <c r="A966" s="24" t="s">
        <v>2866</v>
      </c>
      <c r="B966" s="24" t="str">
        <f>IF(ISNUMBER(SEARCH(E966,A966)),A966,IF(OR(E966="",E966=""),A966,A966&amp;" - "&amp;E966))</f>
        <v>Drapalin 10/11 - Batha Balanced</v>
      </c>
      <c r="C966" s="24" t="s">
        <v>668</v>
      </c>
      <c r="D966" s="24" t="s">
        <v>669</v>
      </c>
      <c r="E966" s="24" t="s">
        <v>2867</v>
      </c>
      <c r="F966" s="24" t="s">
        <v>86</v>
      </c>
      <c r="G966" s="27">
        <v>10</v>
      </c>
      <c r="H966" s="28">
        <v>11</v>
      </c>
      <c r="I966" s="24"/>
      <c r="J966" s="24"/>
      <c r="K966" s="24" t="s">
        <v>52</v>
      </c>
      <c r="L966" s="24" t="s">
        <v>630</v>
      </c>
      <c r="M966" s="24" t="s">
        <v>72</v>
      </c>
      <c r="N966" s="24"/>
      <c r="O966" s="24" t="s">
        <v>56</v>
      </c>
      <c r="P966" s="24" t="s">
        <v>74</v>
      </c>
      <c r="Q966" s="24" t="s">
        <v>113</v>
      </c>
      <c r="R966" s="24" t="s">
        <v>59</v>
      </c>
      <c r="S966" s="24" t="s">
        <v>61</v>
      </c>
      <c r="T966" s="24" t="s">
        <v>128</v>
      </c>
      <c r="U966" s="24" t="s">
        <v>62</v>
      </c>
      <c r="V966" s="24" t="s">
        <v>77</v>
      </c>
      <c r="W966" s="24" t="s">
        <v>165</v>
      </c>
      <c r="X966" s="24" t="s">
        <v>129</v>
      </c>
      <c r="Y966" s="24" t="s">
        <v>56</v>
      </c>
      <c r="Z966" s="24" t="s">
        <v>64</v>
      </c>
      <c r="AA966" s="24" t="s">
        <v>671</v>
      </c>
      <c r="AB966" s="24" t="s">
        <v>672</v>
      </c>
      <c r="AC966" s="24" t="s">
        <v>2868</v>
      </c>
    </row>
    <row r="967" spans="1:29">
      <c r="A967" s="30" t="s">
        <v>2869</v>
      </c>
      <c r="B967" s="30" t="str">
        <f>IF(ISNUMBER(SEARCH(E967,A967)),A967,IF(OR(E967="",E967=""),A967,A967&amp;" - "&amp;E967))</f>
        <v>Drapalin 20/1 Pop - Lemon Freeze Pop</v>
      </c>
      <c r="C967" s="30" t="s">
        <v>668</v>
      </c>
      <c r="D967" s="30" t="s">
        <v>669</v>
      </c>
      <c r="E967" s="30" t="s">
        <v>2870</v>
      </c>
      <c r="F967" s="30" t="s">
        <v>144</v>
      </c>
      <c r="G967" s="34">
        <v>20</v>
      </c>
      <c r="H967" s="35">
        <v>1</v>
      </c>
      <c r="I967" s="30"/>
      <c r="J967" s="30"/>
      <c r="K967" s="30" t="s">
        <v>52</v>
      </c>
      <c r="L967" s="30" t="s">
        <v>965</v>
      </c>
      <c r="M967" s="30" t="s">
        <v>156</v>
      </c>
      <c r="N967" s="30" t="s">
        <v>54</v>
      </c>
      <c r="O967" s="30" t="s">
        <v>88</v>
      </c>
      <c r="P967" s="30" t="s">
        <v>186</v>
      </c>
      <c r="Q967" s="30" t="s">
        <v>146</v>
      </c>
      <c r="R967" s="30" t="s">
        <v>74</v>
      </c>
      <c r="S967" s="30" t="s">
        <v>147</v>
      </c>
      <c r="T967" s="30" t="s">
        <v>56</v>
      </c>
      <c r="U967" s="30" t="s">
        <v>56</v>
      </c>
      <c r="V967" s="30" t="s">
        <v>77</v>
      </c>
      <c r="W967" s="30" t="s">
        <v>129</v>
      </c>
      <c r="X967" s="30" t="s">
        <v>79</v>
      </c>
      <c r="Y967" s="30" t="s">
        <v>2230</v>
      </c>
      <c r="Z967" s="30" t="s">
        <v>64</v>
      </c>
      <c r="AA967" s="30" t="s">
        <v>671</v>
      </c>
      <c r="AB967" s="30" t="s">
        <v>56</v>
      </c>
      <c r="AC967" s="30" t="s">
        <v>2871</v>
      </c>
    </row>
    <row r="968" spans="1:29">
      <c r="A968" s="24" t="s">
        <v>2872</v>
      </c>
      <c r="B968" s="24" t="str">
        <f>IF(ISNUMBER(SEARCH(E968,A968)),A968,IF(OR(E968="",E968=""),A968,A968&amp;" - "&amp;E968))</f>
        <v>Drapalin 21/1 - Jack Herer</v>
      </c>
      <c r="C968" s="24" t="s">
        <v>668</v>
      </c>
      <c r="D968" s="24" t="s">
        <v>669</v>
      </c>
      <c r="E968" s="24" t="s">
        <v>382</v>
      </c>
      <c r="F968" s="24" t="s">
        <v>144</v>
      </c>
      <c r="G968" s="27">
        <v>21</v>
      </c>
      <c r="H968" s="28">
        <v>1</v>
      </c>
      <c r="I968" s="24"/>
      <c r="J968" s="24"/>
      <c r="K968" s="24" t="s">
        <v>52</v>
      </c>
      <c r="L968" s="24" t="s">
        <v>965</v>
      </c>
      <c r="M968" s="24" t="s">
        <v>54</v>
      </c>
      <c r="N968" s="24" t="s">
        <v>111</v>
      </c>
      <c r="O968" s="24" t="s">
        <v>71</v>
      </c>
      <c r="P968" s="24" t="s">
        <v>146</v>
      </c>
      <c r="Q968" s="24" t="s">
        <v>74</v>
      </c>
      <c r="R968" s="24" t="s">
        <v>113</v>
      </c>
      <c r="S968" s="24" t="s">
        <v>90</v>
      </c>
      <c r="T968" s="24" t="s">
        <v>56</v>
      </c>
      <c r="U968" s="24" t="s">
        <v>56</v>
      </c>
      <c r="V968" s="24" t="s">
        <v>77</v>
      </c>
      <c r="W968" s="24" t="s">
        <v>253</v>
      </c>
      <c r="X968" s="24" t="s">
        <v>383</v>
      </c>
      <c r="Y968" s="24" t="s">
        <v>1342</v>
      </c>
      <c r="Z968" s="24" t="s">
        <v>64</v>
      </c>
      <c r="AA968" s="24" t="s">
        <v>671</v>
      </c>
      <c r="AB968" s="24" t="s">
        <v>56</v>
      </c>
      <c r="AC968" s="24" t="s">
        <v>2873</v>
      </c>
    </row>
    <row r="969" spans="1:29">
      <c r="A969" s="30" t="s">
        <v>2874</v>
      </c>
      <c r="B969" s="30" t="str">
        <f>IF(ISNUMBER(SEARCH(E969,A969)),A969,IF(OR(E969="",E969=""),A969,A969&amp;" - "&amp;E969))</f>
        <v>Drapalin 25/1 GM Lagom - Gush Mints</v>
      </c>
      <c r="C969" s="30" t="s">
        <v>668</v>
      </c>
      <c r="D969" s="30" t="s">
        <v>669</v>
      </c>
      <c r="E969" s="30" t="s">
        <v>2875</v>
      </c>
      <c r="F969" s="30" t="s">
        <v>86</v>
      </c>
      <c r="G969" s="34">
        <v>25</v>
      </c>
      <c r="H969" s="35">
        <v>1</v>
      </c>
      <c r="I969" s="30"/>
      <c r="J969" s="30"/>
      <c r="K969" s="30" t="s">
        <v>52</v>
      </c>
      <c r="L969" s="30" t="s">
        <v>965</v>
      </c>
      <c r="M969" s="30" t="s">
        <v>88</v>
      </c>
      <c r="N969" s="30" t="s">
        <v>71</v>
      </c>
      <c r="O969" s="30" t="s">
        <v>121</v>
      </c>
      <c r="P969" s="30" t="s">
        <v>73</v>
      </c>
      <c r="Q969" s="30" t="s">
        <v>75</v>
      </c>
      <c r="R969" s="30" t="s">
        <v>89</v>
      </c>
      <c r="S969" s="30" t="s">
        <v>61</v>
      </c>
      <c r="T969" s="30" t="s">
        <v>76</v>
      </c>
      <c r="U969" s="30" t="s">
        <v>62</v>
      </c>
      <c r="V969" s="30" t="s">
        <v>116</v>
      </c>
      <c r="W969" s="30" t="s">
        <v>107</v>
      </c>
      <c r="X969" s="30" t="s">
        <v>56</v>
      </c>
      <c r="Y969" s="30" t="s">
        <v>56</v>
      </c>
      <c r="Z969" s="30" t="s">
        <v>64</v>
      </c>
      <c r="AA969" s="30" t="s">
        <v>671</v>
      </c>
      <c r="AB969" s="30" t="s">
        <v>2876</v>
      </c>
      <c r="AC969" s="30" t="s">
        <v>2877</v>
      </c>
    </row>
    <row r="970" spans="1:29">
      <c r="A970" s="24" t="s">
        <v>2878</v>
      </c>
      <c r="B970" s="24" t="str">
        <f>IF(ISNUMBER(SEARCH(E970,A970)),A970,IF(OR(E970="",E970=""),A970,A970&amp;" - "&amp;E970))</f>
        <v>Drapalin 27/1 - Pink Gas</v>
      </c>
      <c r="C970" s="24" t="s">
        <v>668</v>
      </c>
      <c r="D970" s="24" t="s">
        <v>669</v>
      </c>
      <c r="E970" s="24" t="s">
        <v>2879</v>
      </c>
      <c r="F970" s="24" t="s">
        <v>177</v>
      </c>
      <c r="G970" s="27">
        <v>27</v>
      </c>
      <c r="H970" s="28">
        <v>1</v>
      </c>
      <c r="I970" s="24"/>
      <c r="J970" s="24"/>
      <c r="K970" s="24" t="s">
        <v>52</v>
      </c>
      <c r="L970" s="24" t="s">
        <v>965</v>
      </c>
      <c r="M970" s="24" t="s">
        <v>71</v>
      </c>
      <c r="N970" s="24" t="s">
        <v>121</v>
      </c>
      <c r="O970" s="24" t="s">
        <v>72</v>
      </c>
      <c r="P970" s="24" t="s">
        <v>73</v>
      </c>
      <c r="Q970" s="24" t="s">
        <v>104</v>
      </c>
      <c r="R970" s="24" t="s">
        <v>89</v>
      </c>
      <c r="S970" s="24" t="s">
        <v>123</v>
      </c>
      <c r="T970" s="24" t="s">
        <v>61</v>
      </c>
      <c r="U970" s="24" t="s">
        <v>62</v>
      </c>
      <c r="V970" s="24" t="s">
        <v>257</v>
      </c>
      <c r="W970" s="24" t="s">
        <v>77</v>
      </c>
      <c r="X970" s="24" t="s">
        <v>116</v>
      </c>
      <c r="Y970" s="24" t="s">
        <v>2880</v>
      </c>
      <c r="Z970" s="24" t="s">
        <v>64</v>
      </c>
      <c r="AA970" s="24" t="s">
        <v>671</v>
      </c>
      <c r="AB970" s="24" t="s">
        <v>56</v>
      </c>
      <c r="AC970" s="24" t="s">
        <v>2881</v>
      </c>
    </row>
    <row r="971" spans="1:29">
      <c r="A971" s="30" t="s">
        <v>2882</v>
      </c>
      <c r="B971" s="30" t="str">
        <f>IF(ISNUMBER(SEARCH(E971,A971)),A971,IF(OR(E971="",E971=""),A971,A971&amp;" - "&amp;E971))</f>
        <v>enua 20/1 ABG CA - Sweets</v>
      </c>
      <c r="C971" s="30" t="s">
        <v>650</v>
      </c>
      <c r="D971" s="30" t="s">
        <v>651</v>
      </c>
      <c r="E971" s="30" t="s">
        <v>1463</v>
      </c>
      <c r="F971" s="30" t="s">
        <v>144</v>
      </c>
      <c r="G971" s="34">
        <v>20</v>
      </c>
      <c r="H971" s="35">
        <v>1</v>
      </c>
      <c r="I971" s="30"/>
      <c r="J971" s="30"/>
      <c r="K971" s="30" t="s">
        <v>52</v>
      </c>
      <c r="L971" s="30" t="s">
        <v>53</v>
      </c>
      <c r="M971" s="30" t="s">
        <v>54</v>
      </c>
      <c r="N971" s="30" t="s">
        <v>111</v>
      </c>
      <c r="O971" s="30" t="s">
        <v>88</v>
      </c>
      <c r="P971" s="30" t="s">
        <v>73</v>
      </c>
      <c r="Q971" s="30" t="s">
        <v>89</v>
      </c>
      <c r="R971" s="30" t="s">
        <v>59</v>
      </c>
      <c r="S971" s="30" t="s">
        <v>61</v>
      </c>
      <c r="T971" s="30" t="s">
        <v>115</v>
      </c>
      <c r="U971" s="30" t="s">
        <v>128</v>
      </c>
      <c r="V971" s="30" t="s">
        <v>129</v>
      </c>
      <c r="W971" s="30" t="s">
        <v>79</v>
      </c>
      <c r="X971" s="30" t="s">
        <v>107</v>
      </c>
      <c r="Y971" s="30" t="s">
        <v>314</v>
      </c>
      <c r="Z971" s="30" t="s">
        <v>64</v>
      </c>
      <c r="AA971" s="30" t="s">
        <v>653</v>
      </c>
      <c r="AB971" s="30" t="s">
        <v>56</v>
      </c>
      <c r="AC971" s="30" t="s">
        <v>2883</v>
      </c>
    </row>
    <row r="972" spans="1:29">
      <c r="A972" s="24" t="s">
        <v>2884</v>
      </c>
      <c r="B972" s="24" t="str">
        <f>IF(ISNUMBER(SEARCH(E972,A972)),A972,IF(OR(E972="",E972=""),A972,A972&amp;" - "&amp;E972))</f>
        <v>enua 20/1 ANF CA - Animal Face</v>
      </c>
      <c r="C972" s="24" t="s">
        <v>650</v>
      </c>
      <c r="D972" s="24" t="s">
        <v>651</v>
      </c>
      <c r="E972" s="24" t="s">
        <v>1653</v>
      </c>
      <c r="F972" s="24" t="s">
        <v>144</v>
      </c>
      <c r="G972" s="27">
        <v>20</v>
      </c>
      <c r="H972" s="28">
        <v>1</v>
      </c>
      <c r="I972" s="24"/>
      <c r="J972" s="24"/>
      <c r="K972" s="24" t="s">
        <v>52</v>
      </c>
      <c r="L972" s="24" t="s">
        <v>53</v>
      </c>
      <c r="M972" s="24" t="s">
        <v>111</v>
      </c>
      <c r="N972" s="24" t="s">
        <v>88</v>
      </c>
      <c r="O972" s="24" t="s">
        <v>72</v>
      </c>
      <c r="P972" s="24" t="s">
        <v>112</v>
      </c>
      <c r="Q972" s="24" t="s">
        <v>146</v>
      </c>
      <c r="R972" s="24" t="s">
        <v>57</v>
      </c>
      <c r="S972" s="24" t="s">
        <v>61</v>
      </c>
      <c r="T972" s="24" t="s">
        <v>128</v>
      </c>
      <c r="U972" s="24" t="s">
        <v>62</v>
      </c>
      <c r="V972" s="24" t="s">
        <v>77</v>
      </c>
      <c r="W972" s="24" t="s">
        <v>116</v>
      </c>
      <c r="X972" s="24" t="s">
        <v>107</v>
      </c>
      <c r="Y972" s="24" t="s">
        <v>437</v>
      </c>
      <c r="Z972" s="24" t="s">
        <v>64</v>
      </c>
      <c r="AA972" s="24" t="s">
        <v>653</v>
      </c>
      <c r="AB972" s="24" t="s">
        <v>56</v>
      </c>
      <c r="AC972" s="24" t="s">
        <v>2885</v>
      </c>
    </row>
    <row r="973" spans="1:29">
      <c r="A973" s="30" t="s">
        <v>2886</v>
      </c>
      <c r="B973" s="30" t="str">
        <f>IF(ISNUMBER(SEARCH(E973,A973)),A973,IF(OR(E973="",E973=""),A973,A973&amp;" - "&amp;E973))</f>
        <v>enua 20/1 CDG CA - Crispy Doughnut</v>
      </c>
      <c r="C973" s="30" t="s">
        <v>650</v>
      </c>
      <c r="D973" s="30" t="s">
        <v>651</v>
      </c>
      <c r="E973" s="30" t="s">
        <v>2887</v>
      </c>
      <c r="F973" s="30" t="s">
        <v>177</v>
      </c>
      <c r="G973" s="34">
        <v>20</v>
      </c>
      <c r="H973" s="35">
        <v>1</v>
      </c>
      <c r="I973" s="30"/>
      <c r="J973" s="30"/>
      <c r="K973" s="30" t="s">
        <v>52</v>
      </c>
      <c r="L973" s="30" t="s">
        <v>53</v>
      </c>
      <c r="M973" s="30" t="s">
        <v>88</v>
      </c>
      <c r="N973" s="30" t="s">
        <v>72</v>
      </c>
      <c r="O973" s="30" t="s">
        <v>56</v>
      </c>
      <c r="P973" s="30" t="s">
        <v>57</v>
      </c>
      <c r="Q973" s="30" t="s">
        <v>74</v>
      </c>
      <c r="R973" s="30" t="s">
        <v>89</v>
      </c>
      <c r="S973" s="30" t="s">
        <v>115</v>
      </c>
      <c r="T973" s="30" t="s">
        <v>128</v>
      </c>
      <c r="U973" s="30" t="s">
        <v>62</v>
      </c>
      <c r="V973" s="30" t="s">
        <v>77</v>
      </c>
      <c r="W973" s="30" t="s">
        <v>116</v>
      </c>
      <c r="X973" s="30" t="s">
        <v>107</v>
      </c>
      <c r="Y973" s="30" t="s">
        <v>278</v>
      </c>
      <c r="Z973" s="30" t="s">
        <v>64</v>
      </c>
      <c r="AA973" s="30" t="s">
        <v>653</v>
      </c>
      <c r="AB973" s="30" t="s">
        <v>56</v>
      </c>
      <c r="AC973" s="30" t="s">
        <v>2888</v>
      </c>
    </row>
    <row r="974" spans="1:29">
      <c r="A974" s="24" t="s">
        <v>2889</v>
      </c>
      <c r="B974" s="24" t="str">
        <f>IF(ISNUMBER(SEARCH(E974,A974)),A974,IF(OR(E974="",E974=""),A974,A974&amp;" - "&amp;E974))</f>
        <v>enua 20/1 JFG CA - Jet Fuel Gelato</v>
      </c>
      <c r="C974" s="24" t="s">
        <v>650</v>
      </c>
      <c r="D974" s="24" t="s">
        <v>651</v>
      </c>
      <c r="E974" s="24" t="s">
        <v>797</v>
      </c>
      <c r="F974" s="24" t="s">
        <v>86</v>
      </c>
      <c r="G974" s="27">
        <v>20</v>
      </c>
      <c r="H974" s="28">
        <v>1</v>
      </c>
      <c r="I974" s="24"/>
      <c r="J974" s="24"/>
      <c r="K974" s="24" t="s">
        <v>17</v>
      </c>
      <c r="L974" s="24" t="s">
        <v>53</v>
      </c>
      <c r="M974" s="24" t="s">
        <v>88</v>
      </c>
      <c r="N974" s="24" t="s">
        <v>71</v>
      </c>
      <c r="O974" s="24" t="s">
        <v>72</v>
      </c>
      <c r="P974" s="24" t="s">
        <v>75</v>
      </c>
      <c r="Q974" s="24" t="s">
        <v>89</v>
      </c>
      <c r="R974" s="24" t="s">
        <v>58</v>
      </c>
      <c r="S974" s="24" t="s">
        <v>106</v>
      </c>
      <c r="T974" s="24" t="s">
        <v>91</v>
      </c>
      <c r="U974" s="24" t="s">
        <v>62</v>
      </c>
      <c r="V974" s="24" t="s">
        <v>77</v>
      </c>
      <c r="W974" s="24" t="s">
        <v>116</v>
      </c>
      <c r="X974" s="24" t="s">
        <v>79</v>
      </c>
      <c r="Y974" s="24" t="s">
        <v>2890</v>
      </c>
      <c r="Z974" s="24" t="s">
        <v>64</v>
      </c>
      <c r="AA974" s="24" t="s">
        <v>653</v>
      </c>
      <c r="AB974" s="24" t="s">
        <v>56</v>
      </c>
      <c r="AC974" s="24" t="s">
        <v>2891</v>
      </c>
    </row>
    <row r="975" spans="1:29">
      <c r="A975" s="30" t="s">
        <v>2892</v>
      </c>
      <c r="B975" s="30" t="str">
        <f>IF(ISNUMBER(SEARCH(E975,A975)),A975,IF(OR(E975="",E975=""),A975,A975&amp;" - "&amp;E975))</f>
        <v>enua 22/1 AFSC CA - Animal Face Sherb Crasher</v>
      </c>
      <c r="C975" s="30" t="s">
        <v>650</v>
      </c>
      <c r="D975" s="30" t="s">
        <v>651</v>
      </c>
      <c r="E975" s="30" t="s">
        <v>2893</v>
      </c>
      <c r="F975" s="30" t="s">
        <v>2560</v>
      </c>
      <c r="G975" s="34">
        <v>22</v>
      </c>
      <c r="H975" s="35">
        <v>1</v>
      </c>
      <c r="I975" s="30"/>
      <c r="J975" s="30"/>
      <c r="K975" s="30" t="s">
        <v>52</v>
      </c>
      <c r="L975" s="30" t="s">
        <v>53</v>
      </c>
      <c r="M975" s="30" t="s">
        <v>54</v>
      </c>
      <c r="N975" s="30" t="s">
        <v>88</v>
      </c>
      <c r="O975" s="30" t="s">
        <v>178</v>
      </c>
      <c r="P975" s="30" t="s">
        <v>73</v>
      </c>
      <c r="Q975" s="30" t="s">
        <v>146</v>
      </c>
      <c r="R975" s="30" t="s">
        <v>74</v>
      </c>
      <c r="S975" s="30" t="s">
        <v>123</v>
      </c>
      <c r="T975" s="30" t="s">
        <v>61</v>
      </c>
      <c r="U975" s="30" t="s">
        <v>76</v>
      </c>
      <c r="V975" s="30" t="s">
        <v>77</v>
      </c>
      <c r="W975" s="30" t="s">
        <v>107</v>
      </c>
      <c r="X975" s="30" t="s">
        <v>173</v>
      </c>
      <c r="Y975" s="30" t="s">
        <v>2894</v>
      </c>
      <c r="Z975" s="30" t="s">
        <v>64</v>
      </c>
      <c r="AA975" s="30" t="s">
        <v>653</v>
      </c>
      <c r="AB975" s="30" t="s">
        <v>56</v>
      </c>
      <c r="AC975" s="30" t="s">
        <v>2895</v>
      </c>
    </row>
    <row r="976" spans="1:29">
      <c r="A976" s="24" t="s">
        <v>2896</v>
      </c>
      <c r="B976" s="24" t="str">
        <f>IF(ISNUMBER(SEARCH(E976,A976)),A976,IF(OR(E976="",E976=""),A976,A976&amp;" - "&amp;E976))</f>
        <v>enua 22/1 ATG - Atlantic Glue GG4</v>
      </c>
      <c r="C976" s="24" t="s">
        <v>650</v>
      </c>
      <c r="D976" s="24" t="s">
        <v>651</v>
      </c>
      <c r="E976" s="24" t="s">
        <v>982</v>
      </c>
      <c r="F976" s="24" t="s">
        <v>86</v>
      </c>
      <c r="G976" s="27">
        <v>22</v>
      </c>
      <c r="H976" s="28">
        <v>1</v>
      </c>
      <c r="I976" s="24"/>
      <c r="J976" s="24"/>
      <c r="K976" s="24" t="s">
        <v>52</v>
      </c>
      <c r="L976" s="24" t="s">
        <v>53</v>
      </c>
      <c r="M976" s="24" t="s">
        <v>54</v>
      </c>
      <c r="N976" s="24" t="s">
        <v>88</v>
      </c>
      <c r="O976" s="24" t="s">
        <v>121</v>
      </c>
      <c r="P976" s="24" t="s">
        <v>146</v>
      </c>
      <c r="Q976" s="24" t="s">
        <v>74</v>
      </c>
      <c r="R976" s="24" t="s">
        <v>89</v>
      </c>
      <c r="S976" s="24" t="s">
        <v>61</v>
      </c>
      <c r="T976" s="24" t="s">
        <v>62</v>
      </c>
      <c r="U976" s="24" t="s">
        <v>128</v>
      </c>
      <c r="V976" s="24" t="s">
        <v>77</v>
      </c>
      <c r="W976" s="24" t="s">
        <v>116</v>
      </c>
      <c r="X976" s="24" t="s">
        <v>107</v>
      </c>
      <c r="Y976" s="24" t="s">
        <v>56</v>
      </c>
      <c r="Z976" s="24" t="s">
        <v>64</v>
      </c>
      <c r="AA976" s="24" t="s">
        <v>653</v>
      </c>
      <c r="AB976" s="24" t="s">
        <v>979</v>
      </c>
      <c r="AC976" s="24" t="s">
        <v>2897</v>
      </c>
    </row>
    <row r="977" spans="1:29">
      <c r="A977" s="30" t="s">
        <v>2898</v>
      </c>
      <c r="B977" s="30" t="str">
        <f>IF(ISNUMBER(SEARCH(E977,A977)),A977,IF(OR(E977="",E977=""),A977,A977&amp;" - "&amp;E977))</f>
        <v>enua 22/1 BDO CA - Black Dolato</v>
      </c>
      <c r="C977" s="30" t="s">
        <v>650</v>
      </c>
      <c r="D977" s="30" t="s">
        <v>651</v>
      </c>
      <c r="E977" s="30" t="s">
        <v>1656</v>
      </c>
      <c r="F977" s="30" t="s">
        <v>177</v>
      </c>
      <c r="G977" s="34">
        <v>22</v>
      </c>
      <c r="H977" s="35">
        <v>1</v>
      </c>
      <c r="I977" s="30"/>
      <c r="J977" s="30"/>
      <c r="K977" s="30" t="s">
        <v>52</v>
      </c>
      <c r="L977" s="30" t="s">
        <v>53</v>
      </c>
      <c r="M977" s="30" t="s">
        <v>88</v>
      </c>
      <c r="N977" s="30" t="s">
        <v>55</v>
      </c>
      <c r="O977" s="30" t="s">
        <v>72</v>
      </c>
      <c r="P977" s="30" t="s">
        <v>146</v>
      </c>
      <c r="Q977" s="30" t="s">
        <v>113</v>
      </c>
      <c r="R977" s="30" t="s">
        <v>89</v>
      </c>
      <c r="S977" s="30" t="s">
        <v>60</v>
      </c>
      <c r="T977" s="30" t="s">
        <v>106</v>
      </c>
      <c r="U977" s="30" t="s">
        <v>62</v>
      </c>
      <c r="V977" s="30" t="s">
        <v>77</v>
      </c>
      <c r="W977" s="30" t="s">
        <v>79</v>
      </c>
      <c r="X977" s="30" t="s">
        <v>107</v>
      </c>
      <c r="Y977" s="30" t="s">
        <v>124</v>
      </c>
      <c r="Z977" s="30" t="s">
        <v>64</v>
      </c>
      <c r="AA977" s="30" t="s">
        <v>653</v>
      </c>
      <c r="AB977" s="30" t="s">
        <v>56</v>
      </c>
      <c r="AC977" s="30" t="s">
        <v>2899</v>
      </c>
    </row>
    <row r="978" spans="1:29">
      <c r="A978" s="24" t="s">
        <v>2900</v>
      </c>
      <c r="B978" s="24" t="str">
        <f>IF(ISNUMBER(SEARCH(E978,A978)),A978,IF(OR(E978="",E978=""),A978,A978&amp;" - "&amp;E978))</f>
        <v>enua 22/1 DB CA - Pink Kush</v>
      </c>
      <c r="C978" s="24" t="s">
        <v>650</v>
      </c>
      <c r="D978" s="24" t="s">
        <v>651</v>
      </c>
      <c r="E978" s="41" t="s">
        <v>101</v>
      </c>
      <c r="F978" s="24" t="s">
        <v>177</v>
      </c>
      <c r="G978" s="27">
        <v>22</v>
      </c>
      <c r="H978" s="28">
        <v>1</v>
      </c>
      <c r="I978" s="24"/>
      <c r="J978" s="24"/>
      <c r="K978" s="24" t="s">
        <v>52</v>
      </c>
      <c r="L978" s="24" t="s">
        <v>53</v>
      </c>
      <c r="M978" s="24" t="s">
        <v>88</v>
      </c>
      <c r="N978" s="24" t="s">
        <v>71</v>
      </c>
      <c r="O978" s="24" t="s">
        <v>103</v>
      </c>
      <c r="P978" s="24" t="s">
        <v>57</v>
      </c>
      <c r="Q978" s="24" t="s">
        <v>104</v>
      </c>
      <c r="R978" s="24" t="s">
        <v>74</v>
      </c>
      <c r="S978" s="24" t="s">
        <v>61</v>
      </c>
      <c r="T978" s="24" t="s">
        <v>62</v>
      </c>
      <c r="U978" s="24" t="s">
        <v>128</v>
      </c>
      <c r="V978" s="24" t="s">
        <v>77</v>
      </c>
      <c r="W978" s="24" t="s">
        <v>79</v>
      </c>
      <c r="X978" s="24" t="s">
        <v>107</v>
      </c>
      <c r="Y978" s="24"/>
      <c r="Z978" s="24" t="s">
        <v>64</v>
      </c>
      <c r="AA978" s="24" t="s">
        <v>653</v>
      </c>
      <c r="AB978" s="24"/>
      <c r="AC978" s="24" t="s">
        <v>2901</v>
      </c>
    </row>
    <row r="979" spans="1:29">
      <c r="A979" s="30" t="s">
        <v>2902</v>
      </c>
      <c r="B979" s="30" t="str">
        <f>IF(ISNUMBER(SEARCH(E979,A979)),A979,IF(OR(E979="",E979=""),A979,A979&amp;" - "&amp;E979))</f>
        <v>enua 22/1 SC CA - Strawberry Cake</v>
      </c>
      <c r="C979" s="30" t="s">
        <v>650</v>
      </c>
      <c r="D979" s="30" t="s">
        <v>651</v>
      </c>
      <c r="E979" s="30" t="s">
        <v>1009</v>
      </c>
      <c r="F979" s="30" t="s">
        <v>86</v>
      </c>
      <c r="G979" s="34">
        <v>22</v>
      </c>
      <c r="H979" s="35">
        <v>1</v>
      </c>
      <c r="I979" s="30"/>
      <c r="J979" s="30"/>
      <c r="K979" s="30" t="s">
        <v>52</v>
      </c>
      <c r="L979" s="30" t="s">
        <v>53</v>
      </c>
      <c r="M979" s="30" t="s">
        <v>156</v>
      </c>
      <c r="N979" s="30" t="s">
        <v>111</v>
      </c>
      <c r="O979" s="30" t="s">
        <v>88</v>
      </c>
      <c r="P979" s="30" t="s">
        <v>186</v>
      </c>
      <c r="Q979" s="30" t="s">
        <v>58</v>
      </c>
      <c r="R979" s="30" t="s">
        <v>56</v>
      </c>
      <c r="S979" s="30" t="s">
        <v>192</v>
      </c>
      <c r="T979" s="30" t="s">
        <v>147</v>
      </c>
      <c r="U979" s="30" t="s">
        <v>62</v>
      </c>
      <c r="V979" s="30" t="s">
        <v>197</v>
      </c>
      <c r="W979" s="30" t="s">
        <v>107</v>
      </c>
      <c r="X979" s="30" t="s">
        <v>173</v>
      </c>
      <c r="Y979" s="30" t="s">
        <v>56</v>
      </c>
      <c r="Z979" s="30" t="s">
        <v>64</v>
      </c>
      <c r="AA979" s="30" t="s">
        <v>653</v>
      </c>
      <c r="AB979" s="30" t="s">
        <v>56</v>
      </c>
      <c r="AC979" s="30" t="s">
        <v>2903</v>
      </c>
    </row>
    <row r="980" spans="1:29">
      <c r="A980" s="24" t="s">
        <v>2904</v>
      </c>
      <c r="B980" s="24" t="str">
        <f>IF(ISNUMBER(SEARCH(E980,A980)),A980,IF(OR(E980="",E980=""),A980,A980&amp;" - "&amp;E980))</f>
        <v>enua 25/1 AFSC CA - Animal Face Sherb Crasher</v>
      </c>
      <c r="C980" s="24" t="s">
        <v>650</v>
      </c>
      <c r="D980" s="24" t="s">
        <v>651</v>
      </c>
      <c r="E980" s="24" t="s">
        <v>2893</v>
      </c>
      <c r="F980" s="24" t="s">
        <v>2560</v>
      </c>
      <c r="G980" s="27">
        <v>25</v>
      </c>
      <c r="H980" s="28">
        <v>1</v>
      </c>
      <c r="I980" s="24"/>
      <c r="J980" s="24"/>
      <c r="K980" s="24" t="s">
        <v>52</v>
      </c>
      <c r="L980" s="24" t="s">
        <v>53</v>
      </c>
      <c r="M980" s="24" t="s">
        <v>54</v>
      </c>
      <c r="N980" s="24" t="s">
        <v>88</v>
      </c>
      <c r="O980" s="24" t="s">
        <v>178</v>
      </c>
      <c r="P980" s="24" t="s">
        <v>73</v>
      </c>
      <c r="Q980" s="24" t="s">
        <v>146</v>
      </c>
      <c r="R980" s="24" t="s">
        <v>74</v>
      </c>
      <c r="S980" s="24" t="s">
        <v>123</v>
      </c>
      <c r="T980" s="24" t="s">
        <v>61</v>
      </c>
      <c r="U980" s="24" t="s">
        <v>76</v>
      </c>
      <c r="V980" s="24" t="s">
        <v>77</v>
      </c>
      <c r="W980" s="24" t="s">
        <v>107</v>
      </c>
      <c r="X980" s="24" t="s">
        <v>173</v>
      </c>
      <c r="Y980" s="24" t="s">
        <v>2905</v>
      </c>
      <c r="Z980" s="24" t="s">
        <v>64</v>
      </c>
      <c r="AA980" s="24" t="s">
        <v>653</v>
      </c>
      <c r="AB980" s="24" t="s">
        <v>56</v>
      </c>
      <c r="AC980" s="24" t="s">
        <v>2906</v>
      </c>
    </row>
    <row r="981" spans="1:29">
      <c r="A981" s="30" t="s">
        <v>2907</v>
      </c>
      <c r="B981" s="30" t="str">
        <f>IF(ISNUMBER(SEARCH(E981,A981)),A981,IF(OR(E981="",E981=""),A981,A981&amp;" - "&amp;E981))</f>
        <v>enua 25/1 DSH CA - Dark Shadow Haze</v>
      </c>
      <c r="C981" s="30" t="s">
        <v>650</v>
      </c>
      <c r="D981" s="30" t="s">
        <v>651</v>
      </c>
      <c r="E981" s="30" t="s">
        <v>890</v>
      </c>
      <c r="F981" s="30" t="s">
        <v>86</v>
      </c>
      <c r="G981" s="34">
        <v>25</v>
      </c>
      <c r="H981" s="35">
        <v>1</v>
      </c>
      <c r="I981" s="30"/>
      <c r="J981" s="30"/>
      <c r="K981" s="30" t="s">
        <v>52</v>
      </c>
      <c r="L981" s="30" t="s">
        <v>53</v>
      </c>
      <c r="M981" s="30" t="s">
        <v>111</v>
      </c>
      <c r="N981" s="30" t="s">
        <v>88</v>
      </c>
      <c r="O981" s="30" t="s">
        <v>55</v>
      </c>
      <c r="P981" s="30" t="s">
        <v>75</v>
      </c>
      <c r="Q981" s="30" t="s">
        <v>58</v>
      </c>
      <c r="R981" s="30" t="s">
        <v>56</v>
      </c>
      <c r="S981" s="30" t="s">
        <v>90</v>
      </c>
      <c r="T981" s="30" t="s">
        <v>76</v>
      </c>
      <c r="U981" s="30" t="s">
        <v>115</v>
      </c>
      <c r="V981" s="30" t="s">
        <v>92</v>
      </c>
      <c r="W981" s="30" t="s">
        <v>77</v>
      </c>
      <c r="X981" s="30" t="s">
        <v>79</v>
      </c>
      <c r="Y981" s="30" t="s">
        <v>283</v>
      </c>
      <c r="Z981" s="30" t="s">
        <v>64</v>
      </c>
      <c r="AA981" s="30" t="s">
        <v>653</v>
      </c>
      <c r="AB981" s="30" t="s">
        <v>56</v>
      </c>
      <c r="AC981" s="30" t="s">
        <v>2908</v>
      </c>
    </row>
    <row r="982" spans="1:29">
      <c r="A982" s="24" t="s">
        <v>2909</v>
      </c>
      <c r="B982" s="24" t="str">
        <f>IF(ISNUMBER(SEARCH(E982,A982)),A982,IF(OR(E982="",E982=""),A982,A982&amp;" - "&amp;E982))</f>
        <v>enua 25/1 HWB CA - Head with Bang</v>
      </c>
      <c r="C982" s="24" t="s">
        <v>650</v>
      </c>
      <c r="D982" s="24" t="s">
        <v>651</v>
      </c>
      <c r="E982" s="24" t="s">
        <v>2910</v>
      </c>
      <c r="F982" s="24" t="s">
        <v>144</v>
      </c>
      <c r="G982" s="27">
        <v>25</v>
      </c>
      <c r="H982" s="28">
        <v>1</v>
      </c>
      <c r="I982" s="24"/>
      <c r="J982" s="24"/>
      <c r="K982" s="24" t="s">
        <v>52</v>
      </c>
      <c r="L982" s="24" t="s">
        <v>53</v>
      </c>
      <c r="M982" s="24" t="s">
        <v>54</v>
      </c>
      <c r="N982" s="24" t="s">
        <v>111</v>
      </c>
      <c r="O982" s="24" t="s">
        <v>55</v>
      </c>
      <c r="P982" s="24" t="s">
        <v>73</v>
      </c>
      <c r="Q982" s="24" t="s">
        <v>74</v>
      </c>
      <c r="R982" s="24" t="s">
        <v>75</v>
      </c>
      <c r="S982" s="24" t="s">
        <v>106</v>
      </c>
      <c r="T982" s="24" t="s">
        <v>62</v>
      </c>
      <c r="U982" s="24" t="s">
        <v>128</v>
      </c>
      <c r="V982" s="24" t="s">
        <v>77</v>
      </c>
      <c r="W982" s="24" t="s">
        <v>79</v>
      </c>
      <c r="X982" s="24" t="s">
        <v>173</v>
      </c>
      <c r="Y982" s="24" t="s">
        <v>1519</v>
      </c>
      <c r="Z982" s="24" t="s">
        <v>64</v>
      </c>
      <c r="AA982" s="24" t="s">
        <v>653</v>
      </c>
      <c r="AB982" s="24" t="s">
        <v>56</v>
      </c>
      <c r="AC982" s="24" t="s">
        <v>2911</v>
      </c>
    </row>
    <row r="983" spans="1:29">
      <c r="A983" s="30" t="s">
        <v>2912</v>
      </c>
      <c r="B983" s="30" t="str">
        <f>IF(ISNUMBER(SEARCH(E983,A983)),A983,IF(OR(E983="",E983=""),A983,A983&amp;" - "&amp;E983))</f>
        <v>enua 25/1 JFG CA - Jet Fuel Gelato</v>
      </c>
      <c r="C983" s="30" t="s">
        <v>650</v>
      </c>
      <c r="D983" s="30" t="s">
        <v>651</v>
      </c>
      <c r="E983" s="30" t="s">
        <v>797</v>
      </c>
      <c r="F983" s="30" t="s">
        <v>86</v>
      </c>
      <c r="G983" s="34">
        <v>24</v>
      </c>
      <c r="H983" s="35">
        <v>1</v>
      </c>
      <c r="I983" s="30"/>
      <c r="J983" s="30"/>
      <c r="K983" s="30" t="s">
        <v>17</v>
      </c>
      <c r="L983" s="30" t="s">
        <v>53</v>
      </c>
      <c r="M983" s="30" t="s">
        <v>88</v>
      </c>
      <c r="N983" s="30" t="s">
        <v>71</v>
      </c>
      <c r="O983" s="30" t="s">
        <v>72</v>
      </c>
      <c r="P983" s="30" t="s">
        <v>75</v>
      </c>
      <c r="Q983" s="30" t="s">
        <v>89</v>
      </c>
      <c r="R983" s="30" t="s">
        <v>58</v>
      </c>
      <c r="S983" s="30" t="s">
        <v>106</v>
      </c>
      <c r="T983" s="30" t="s">
        <v>91</v>
      </c>
      <c r="U983" s="30" t="s">
        <v>62</v>
      </c>
      <c r="V983" s="30" t="s">
        <v>77</v>
      </c>
      <c r="W983" s="30" t="s">
        <v>116</v>
      </c>
      <c r="X983" s="30" t="s">
        <v>79</v>
      </c>
      <c r="Y983" s="30" t="s">
        <v>56</v>
      </c>
      <c r="Z983" s="30" t="s">
        <v>64</v>
      </c>
      <c r="AA983" s="30" t="s">
        <v>653</v>
      </c>
      <c r="AB983" s="30" t="s">
        <v>56</v>
      </c>
      <c r="AC983" s="30" t="s">
        <v>2913</v>
      </c>
    </row>
    <row r="984" spans="1:29">
      <c r="A984" s="24" t="s">
        <v>2914</v>
      </c>
      <c r="B984" s="24" t="str">
        <f>IF(ISNUMBER(SEARCH(E984,A984)),A984,IF(OR(E984="",E984=""),A984,A984&amp;" - "&amp;E984))</f>
        <v>enua 25/1 SLC CA - Slurricane</v>
      </c>
      <c r="C984" s="24" t="s">
        <v>650</v>
      </c>
      <c r="D984" s="24" t="s">
        <v>651</v>
      </c>
      <c r="E984" s="24" t="s">
        <v>718</v>
      </c>
      <c r="F984" s="24" t="s">
        <v>86</v>
      </c>
      <c r="G984" s="27">
        <v>24</v>
      </c>
      <c r="H984" s="28">
        <v>1</v>
      </c>
      <c r="I984" s="24"/>
      <c r="J984" s="24"/>
      <c r="K984" s="24" t="s">
        <v>52</v>
      </c>
      <c r="L984" s="24" t="s">
        <v>53</v>
      </c>
      <c r="M984" s="24" t="s">
        <v>54</v>
      </c>
      <c r="N984" s="24" t="s">
        <v>111</v>
      </c>
      <c r="O984" s="24" t="s">
        <v>103</v>
      </c>
      <c r="P984" s="24" t="s">
        <v>146</v>
      </c>
      <c r="Q984" s="24" t="s">
        <v>74</v>
      </c>
      <c r="R984" s="24" t="s">
        <v>58</v>
      </c>
      <c r="S984" s="24" t="s">
        <v>466</v>
      </c>
      <c r="T984" s="24" t="s">
        <v>123</v>
      </c>
      <c r="U984" s="24" t="s">
        <v>106</v>
      </c>
      <c r="V984" s="24" t="s">
        <v>77</v>
      </c>
      <c r="W984" s="24" t="s">
        <v>116</v>
      </c>
      <c r="X984" s="24" t="s">
        <v>173</v>
      </c>
      <c r="Y984" s="24" t="s">
        <v>220</v>
      </c>
      <c r="Z984" s="24" t="s">
        <v>64</v>
      </c>
      <c r="AA984" s="24" t="s">
        <v>653</v>
      </c>
      <c r="AB984" s="24" t="s">
        <v>56</v>
      </c>
      <c r="AC984" s="24" t="s">
        <v>2915</v>
      </c>
    </row>
    <row r="985" spans="1:29">
      <c r="A985" s="30" t="s">
        <v>2916</v>
      </c>
      <c r="B985" s="30" t="str">
        <f>IF(ISNUMBER(SEARCH(E985,A985)),A985,IF(OR(E985="",E985=""),A985,A985&amp;" - "&amp;E985))</f>
        <v>enua 27/1 HWB CA - Head with Bang</v>
      </c>
      <c r="C985" s="30" t="s">
        <v>650</v>
      </c>
      <c r="D985" s="30" t="s">
        <v>651</v>
      </c>
      <c r="E985" s="30" t="s">
        <v>2910</v>
      </c>
      <c r="F985" s="30" t="s">
        <v>144</v>
      </c>
      <c r="G985" s="34">
        <v>27</v>
      </c>
      <c r="H985" s="35">
        <v>1</v>
      </c>
      <c r="I985" s="30"/>
      <c r="J985" s="30"/>
      <c r="K985" s="30" t="s">
        <v>52</v>
      </c>
      <c r="L985" s="30" t="s">
        <v>53</v>
      </c>
      <c r="M985" s="30" t="s">
        <v>54</v>
      </c>
      <c r="N985" s="30" t="s">
        <v>111</v>
      </c>
      <c r="O985" s="30" t="s">
        <v>55</v>
      </c>
      <c r="P985" s="30" t="s">
        <v>73</v>
      </c>
      <c r="Q985" s="30" t="s">
        <v>74</v>
      </c>
      <c r="R985" s="30" t="s">
        <v>75</v>
      </c>
      <c r="S985" s="30" t="s">
        <v>106</v>
      </c>
      <c r="T985" s="30" t="s">
        <v>62</v>
      </c>
      <c r="U985" s="30" t="s">
        <v>128</v>
      </c>
      <c r="V985" s="30" t="s">
        <v>77</v>
      </c>
      <c r="W985" s="30" t="s">
        <v>79</v>
      </c>
      <c r="X985" s="30" t="s">
        <v>173</v>
      </c>
      <c r="Y985" s="30" t="s">
        <v>56</v>
      </c>
      <c r="Z985" s="30" t="s">
        <v>64</v>
      </c>
      <c r="AA985" s="30" t="s">
        <v>653</v>
      </c>
      <c r="AB985" s="30" t="s">
        <v>56</v>
      </c>
      <c r="AC985" s="30" t="s">
        <v>2917</v>
      </c>
    </row>
    <row r="986" spans="1:29">
      <c r="A986" s="24" t="s">
        <v>2918</v>
      </c>
      <c r="B986" s="24" t="str">
        <f>IF(ISNUMBER(SEARCH(E986,A986)),A986,IF(OR(E986="",E986=""),A986,A986&amp;" - "&amp;E986))</f>
        <v>enua 27/1 TTA CA - Titanimal</v>
      </c>
      <c r="C986" s="24" t="s">
        <v>650</v>
      </c>
      <c r="D986" s="24" t="s">
        <v>651</v>
      </c>
      <c r="E986" s="24" t="s">
        <v>1686</v>
      </c>
      <c r="F986" s="24" t="s">
        <v>177</v>
      </c>
      <c r="G986" s="27">
        <v>27</v>
      </c>
      <c r="H986" s="28">
        <v>1</v>
      </c>
      <c r="I986" s="24"/>
      <c r="J986" s="24"/>
      <c r="K986" s="24" t="s">
        <v>52</v>
      </c>
      <c r="L986" s="24"/>
      <c r="M986" s="24" t="s">
        <v>121</v>
      </c>
      <c r="N986" s="24" t="s">
        <v>72</v>
      </c>
      <c r="O986" s="24" t="s">
        <v>56</v>
      </c>
      <c r="P986" s="24" t="s">
        <v>112</v>
      </c>
      <c r="Q986" s="24" t="s">
        <v>74</v>
      </c>
      <c r="R986" s="24" t="s">
        <v>89</v>
      </c>
      <c r="S986" s="24" t="s">
        <v>123</v>
      </c>
      <c r="T986" s="24" t="s">
        <v>493</v>
      </c>
      <c r="U986" s="24" t="s">
        <v>61</v>
      </c>
      <c r="V986" s="24" t="s">
        <v>77</v>
      </c>
      <c r="W986" s="24" t="s">
        <v>116</v>
      </c>
      <c r="X986" s="24" t="s">
        <v>79</v>
      </c>
      <c r="Y986" s="24" t="s">
        <v>56</v>
      </c>
      <c r="Z986" s="24" t="s">
        <v>64</v>
      </c>
      <c r="AA986" s="24" t="s">
        <v>653</v>
      </c>
      <c r="AB986" s="24" t="s">
        <v>56</v>
      </c>
      <c r="AC986" s="24" t="s">
        <v>2919</v>
      </c>
    </row>
    <row r="987" spans="1:29">
      <c r="A987" s="30" t="s">
        <v>2920</v>
      </c>
      <c r="B987" s="30" t="str">
        <f>IF(ISNUMBER(SEARCH(E987,A987)),A987,IF(OR(E987="",E987=""),A987,A987&amp;" - "&amp;E987))</f>
        <v>enua 30/1 CCK CA - Cold Creek Kush</v>
      </c>
      <c r="C987" s="30" t="s">
        <v>650</v>
      </c>
      <c r="D987" s="30" t="s">
        <v>651</v>
      </c>
      <c r="E987" s="30" t="s">
        <v>652</v>
      </c>
      <c r="F987" s="30" t="s">
        <v>86</v>
      </c>
      <c r="G987" s="34">
        <v>30</v>
      </c>
      <c r="H987" s="35">
        <v>1</v>
      </c>
      <c r="I987" s="30"/>
      <c r="J987" s="30"/>
      <c r="K987" s="30" t="s">
        <v>17</v>
      </c>
      <c r="L987" s="30" t="s">
        <v>53</v>
      </c>
      <c r="M987" s="30" t="s">
        <v>156</v>
      </c>
      <c r="N987" s="30" t="s">
        <v>54</v>
      </c>
      <c r="O987" s="30" t="s">
        <v>71</v>
      </c>
      <c r="P987" s="30" t="s">
        <v>146</v>
      </c>
      <c r="Q987" s="30" t="s">
        <v>74</v>
      </c>
      <c r="R987" s="30" t="s">
        <v>75</v>
      </c>
      <c r="S987" s="30" t="s">
        <v>115</v>
      </c>
      <c r="T987" s="30" t="s">
        <v>62</v>
      </c>
      <c r="U987" s="30" t="s">
        <v>128</v>
      </c>
      <c r="V987" s="30" t="s">
        <v>77</v>
      </c>
      <c r="W987" s="30" t="s">
        <v>116</v>
      </c>
      <c r="X987" s="30" t="s">
        <v>79</v>
      </c>
      <c r="Y987" s="30" t="s">
        <v>56</v>
      </c>
      <c r="Z987" s="30" t="s">
        <v>64</v>
      </c>
      <c r="AA987" s="30" t="s">
        <v>653</v>
      </c>
      <c r="AB987" s="30" t="s">
        <v>56</v>
      </c>
      <c r="AC987" s="30" t="s">
        <v>2921</v>
      </c>
    </row>
    <row r="988" spans="1:29">
      <c r="A988" s="24" t="s">
        <v>2922</v>
      </c>
      <c r="B988" s="24" t="str">
        <f>IF(ISNUMBER(SEARCH(E988,A988)),A988,IF(OR(E988="",E988=""),A988,A988&amp;" - "&amp;E988))</f>
        <v>enua 30/1 GGZ - Gogurtz</v>
      </c>
      <c r="C988" s="24" t="s">
        <v>650</v>
      </c>
      <c r="D988" s="24" t="s">
        <v>651</v>
      </c>
      <c r="E988" s="24" t="s">
        <v>1166</v>
      </c>
      <c r="F988" s="24" t="s">
        <v>177</v>
      </c>
      <c r="G988" s="27">
        <v>30</v>
      </c>
      <c r="H988" s="28">
        <v>1</v>
      </c>
      <c r="I988" s="24"/>
      <c r="J988" s="24"/>
      <c r="K988" s="24" t="s">
        <v>52</v>
      </c>
      <c r="L988" s="24" t="s">
        <v>53</v>
      </c>
      <c r="M988" s="24" t="s">
        <v>54</v>
      </c>
      <c r="N988" s="24" t="s">
        <v>88</v>
      </c>
      <c r="O988" s="24" t="s">
        <v>178</v>
      </c>
      <c r="P988" s="24" t="s">
        <v>136</v>
      </c>
      <c r="Q988" s="24" t="s">
        <v>74</v>
      </c>
      <c r="R988" s="24" t="s">
        <v>89</v>
      </c>
      <c r="S988" s="24" t="s">
        <v>147</v>
      </c>
      <c r="T988" s="24" t="s">
        <v>106</v>
      </c>
      <c r="U988" s="24" t="s">
        <v>62</v>
      </c>
      <c r="V988" s="24" t="s">
        <v>77</v>
      </c>
      <c r="W988" s="24" t="s">
        <v>116</v>
      </c>
      <c r="X988" s="24" t="s">
        <v>107</v>
      </c>
      <c r="Y988" s="24" t="s">
        <v>56</v>
      </c>
      <c r="Z988" s="24" t="s">
        <v>64</v>
      </c>
      <c r="AA988" s="24" t="s">
        <v>653</v>
      </c>
      <c r="AB988" s="24" t="s">
        <v>56</v>
      </c>
      <c r="AC988" s="24" t="s">
        <v>2923</v>
      </c>
    </row>
    <row r="989" spans="1:29">
      <c r="A989" s="30" t="s">
        <v>2924</v>
      </c>
      <c r="B989" s="30" t="str">
        <f>IF(ISNUMBER(SEARCH(E989,A989)),A989,IF(OR(E989="",E989=""),A989,A989&amp;" - "&amp;E989))</f>
        <v>enua 30/1 SBD CA - Strawberry Diesel</v>
      </c>
      <c r="C989" s="30" t="s">
        <v>650</v>
      </c>
      <c r="D989" s="30" t="s">
        <v>651</v>
      </c>
      <c r="E989" s="30" t="s">
        <v>1529</v>
      </c>
      <c r="F989" s="30" t="s">
        <v>144</v>
      </c>
      <c r="G989" s="34">
        <v>30</v>
      </c>
      <c r="H989" s="35">
        <v>1</v>
      </c>
      <c r="I989" s="30"/>
      <c r="J989" s="30"/>
      <c r="K989" s="30" t="s">
        <v>52</v>
      </c>
      <c r="L989" s="30" t="s">
        <v>53</v>
      </c>
      <c r="M989" s="30" t="s">
        <v>156</v>
      </c>
      <c r="N989" s="30" t="s">
        <v>88</v>
      </c>
      <c r="O989" s="30" t="s">
        <v>71</v>
      </c>
      <c r="P989" s="30" t="s">
        <v>73</v>
      </c>
      <c r="Q989" s="30" t="s">
        <v>75</v>
      </c>
      <c r="R989" s="30" t="s">
        <v>89</v>
      </c>
      <c r="S989" s="30" t="s">
        <v>466</v>
      </c>
      <c r="T989" s="30" t="s">
        <v>123</v>
      </c>
      <c r="U989" s="30" t="s">
        <v>61</v>
      </c>
      <c r="V989" s="30" t="s">
        <v>77</v>
      </c>
      <c r="W989" s="30" t="s">
        <v>79</v>
      </c>
      <c r="X989" s="30" t="s">
        <v>107</v>
      </c>
      <c r="Y989" s="30" t="s">
        <v>331</v>
      </c>
      <c r="Z989" s="30" t="s">
        <v>64</v>
      </c>
      <c r="AA989" s="30" t="s">
        <v>653</v>
      </c>
      <c r="AB989" s="30" t="s">
        <v>56</v>
      </c>
      <c r="AC989" s="30" t="s">
        <v>2925</v>
      </c>
    </row>
    <row r="990" spans="1:29">
      <c r="A990" s="24" t="s">
        <v>2926</v>
      </c>
      <c r="B990" s="24" t="str">
        <f>IF(ISNUMBER(SEARCH(E990,A990)),A990,IF(OR(E990="",E990=""),A990,A990&amp;" - "&amp;E990))</f>
        <v>Fotmer T3h - Purple Dog Bud</v>
      </c>
      <c r="C990" s="24" t="s">
        <v>564</v>
      </c>
      <c r="D990" s="24" t="s">
        <v>565</v>
      </c>
      <c r="E990" s="24" t="s">
        <v>330</v>
      </c>
      <c r="F990" s="24" t="s">
        <v>86</v>
      </c>
      <c r="G990" s="27">
        <v>22</v>
      </c>
      <c r="H990" s="28">
        <v>1</v>
      </c>
      <c r="I990" s="24"/>
      <c r="J990" s="24"/>
      <c r="K990" s="24" t="s">
        <v>52</v>
      </c>
      <c r="L990" s="24" t="s">
        <v>185</v>
      </c>
      <c r="M990" s="24" t="s">
        <v>212</v>
      </c>
      <c r="N990" s="24" t="s">
        <v>88</v>
      </c>
      <c r="O990" s="24" t="s">
        <v>71</v>
      </c>
      <c r="P990" s="24" t="s">
        <v>104</v>
      </c>
      <c r="Q990" s="24" t="s">
        <v>58</v>
      </c>
      <c r="R990" s="24" t="s">
        <v>56</v>
      </c>
      <c r="S990" s="24" t="s">
        <v>123</v>
      </c>
      <c r="T990" s="24" t="s">
        <v>106</v>
      </c>
      <c r="U990" s="24" t="s">
        <v>128</v>
      </c>
      <c r="V990" s="24" t="s">
        <v>77</v>
      </c>
      <c r="W990" s="24" t="s">
        <v>93</v>
      </c>
      <c r="X990" s="24" t="s">
        <v>56</v>
      </c>
      <c r="Y990" s="24" t="s">
        <v>56</v>
      </c>
      <c r="Z990" s="24" t="s">
        <v>64</v>
      </c>
      <c r="AA990" s="24" t="s">
        <v>565</v>
      </c>
      <c r="AB990" s="24" t="s">
        <v>56</v>
      </c>
      <c r="AC990" s="24" t="s">
        <v>2927</v>
      </c>
    </row>
    <row r="991" spans="1:29">
      <c r="A991" s="30" t="s">
        <v>2928</v>
      </c>
      <c r="B991" s="30" t="str">
        <f>IF(ISNUMBER(SEARCH(E991,A991)),A991,IF(OR(E991="",E991=""),A991,A991&amp;" - "&amp;E991))</f>
        <v>Fotmer T3i - Cheese Quake</v>
      </c>
      <c r="C991" s="30" t="s">
        <v>564</v>
      </c>
      <c r="D991" s="30" t="s">
        <v>565</v>
      </c>
      <c r="E991" s="30" t="s">
        <v>2760</v>
      </c>
      <c r="F991" s="30" t="s">
        <v>120</v>
      </c>
      <c r="G991" s="34">
        <v>21</v>
      </c>
      <c r="H991" s="35">
        <v>1</v>
      </c>
      <c r="I991" s="30"/>
      <c r="J991" s="30"/>
      <c r="K991" s="30" t="s">
        <v>52</v>
      </c>
      <c r="L991" s="30" t="s">
        <v>185</v>
      </c>
      <c r="M991" s="30" t="s">
        <v>212</v>
      </c>
      <c r="N991" s="30" t="s">
        <v>88</v>
      </c>
      <c r="O991" s="30" t="s">
        <v>103</v>
      </c>
      <c r="P991" s="30" t="s">
        <v>186</v>
      </c>
      <c r="Q991" s="30" t="s">
        <v>58</v>
      </c>
      <c r="R991" s="30" t="s">
        <v>56</v>
      </c>
      <c r="S991" s="30" t="s">
        <v>106</v>
      </c>
      <c r="T991" s="30" t="s">
        <v>128</v>
      </c>
      <c r="U991" s="30" t="s">
        <v>62</v>
      </c>
      <c r="V991" s="30" t="s">
        <v>77</v>
      </c>
      <c r="W991" s="30" t="s">
        <v>129</v>
      </c>
      <c r="X991" s="30" t="s">
        <v>107</v>
      </c>
      <c r="Y991" s="30" t="s">
        <v>56</v>
      </c>
      <c r="Z991" s="30" t="s">
        <v>64</v>
      </c>
      <c r="AA991" s="30" t="s">
        <v>565</v>
      </c>
      <c r="AB991" s="30" t="s">
        <v>56</v>
      </c>
      <c r="AC991" s="30" t="s">
        <v>2929</v>
      </c>
    </row>
    <row r="992" spans="1:29">
      <c r="A992" s="24" t="s">
        <v>2930</v>
      </c>
      <c r="B992" s="24" t="str">
        <f>IF(ISNUMBER(SEARCH(E992,A992)),A992,IF(OR(E992="",E992=""),A992,A992&amp;" - "&amp;E992))</f>
        <v>Fotmer T3s - Red Dragon OG</v>
      </c>
      <c r="C992" s="24" t="s">
        <v>564</v>
      </c>
      <c r="D992" s="24" t="s">
        <v>565</v>
      </c>
      <c r="E992" s="24" t="s">
        <v>2931</v>
      </c>
      <c r="F992" s="24" t="s">
        <v>69</v>
      </c>
      <c r="G992" s="27">
        <v>21</v>
      </c>
      <c r="H992" s="28">
        <v>1</v>
      </c>
      <c r="I992" s="24"/>
      <c r="J992" s="24"/>
      <c r="K992" s="24" t="s">
        <v>52</v>
      </c>
      <c r="L992" s="24" t="s">
        <v>185</v>
      </c>
      <c r="M992" s="24" t="s">
        <v>54</v>
      </c>
      <c r="N992" s="24" t="s">
        <v>88</v>
      </c>
      <c r="O992" s="24" t="s">
        <v>72</v>
      </c>
      <c r="P992" s="24" t="s">
        <v>75</v>
      </c>
      <c r="Q992" s="24" t="s">
        <v>58</v>
      </c>
      <c r="R992" s="24" t="s">
        <v>59</v>
      </c>
      <c r="S992" s="24" t="s">
        <v>76</v>
      </c>
      <c r="T992" s="24" t="s">
        <v>128</v>
      </c>
      <c r="U992" s="24" t="s">
        <v>62</v>
      </c>
      <c r="V992" s="24" t="s">
        <v>77</v>
      </c>
      <c r="W992" s="24" t="s">
        <v>116</v>
      </c>
      <c r="X992" s="24" t="s">
        <v>165</v>
      </c>
      <c r="Y992" s="24" t="s">
        <v>56</v>
      </c>
      <c r="Z992" s="24" t="s">
        <v>64</v>
      </c>
      <c r="AA992" s="24" t="s">
        <v>565</v>
      </c>
      <c r="AB992" s="24" t="s">
        <v>56</v>
      </c>
      <c r="AC992" s="24" t="s">
        <v>2932</v>
      </c>
    </row>
    <row r="993" spans="1:29">
      <c r="A993" s="30" t="s">
        <v>2933</v>
      </c>
      <c r="B993" s="30" t="str">
        <f>IF(ISNUMBER(SEARCH(E993,A993)),A993,IF(OR(E993="",E993=""),A993,A993&amp;" - "&amp;E993))</f>
        <v>GM Colour of Space 28/1 - Apple Fritter x Purple Punch</v>
      </c>
      <c r="C993" s="30" t="s">
        <v>1879</v>
      </c>
      <c r="D993" s="30" t="s">
        <v>1880</v>
      </c>
      <c r="E993" s="30" t="s">
        <v>1881</v>
      </c>
      <c r="F993" s="30" t="s">
        <v>86</v>
      </c>
      <c r="G993" s="34">
        <v>28</v>
      </c>
      <c r="H993" s="35">
        <v>1</v>
      </c>
      <c r="I993" s="30"/>
      <c r="J993" s="30"/>
      <c r="K993" s="30" t="s">
        <v>52</v>
      </c>
      <c r="L993" s="30" t="s">
        <v>497</v>
      </c>
      <c r="M993" s="30" t="s">
        <v>88</v>
      </c>
      <c r="N993" s="30" t="s">
        <v>71</v>
      </c>
      <c r="O993" s="30" t="s">
        <v>72</v>
      </c>
      <c r="P993" s="30" t="s">
        <v>89</v>
      </c>
      <c r="Q993" s="30" t="s">
        <v>58</v>
      </c>
      <c r="R993" s="30" t="s">
        <v>56</v>
      </c>
      <c r="S993" s="30" t="s">
        <v>123</v>
      </c>
      <c r="T993" s="30" t="s">
        <v>106</v>
      </c>
      <c r="U993" s="30" t="s">
        <v>76</v>
      </c>
      <c r="V993" s="30" t="s">
        <v>77</v>
      </c>
      <c r="W993" s="30" t="s">
        <v>79</v>
      </c>
      <c r="X993" s="30" t="s">
        <v>56</v>
      </c>
      <c r="Y993" s="30" t="s">
        <v>56</v>
      </c>
      <c r="Z993" s="30" t="s">
        <v>64</v>
      </c>
      <c r="AA993" s="30" t="s">
        <v>1880</v>
      </c>
      <c r="AB993" s="30" t="s">
        <v>56</v>
      </c>
      <c r="AC993" s="30" t="s">
        <v>2934</v>
      </c>
    </row>
    <row r="994" spans="1:29">
      <c r="A994" s="24" t="s">
        <v>2935</v>
      </c>
      <c r="B994" s="24" t="str">
        <f>IF(ISNUMBER(SEARCH(E994,A994)),A994,IF(OR(E994="",E994=""),A994,A994&amp;" - "&amp;E994))</f>
        <v>Green Karat FS - Fiji Sunset</v>
      </c>
      <c r="C994" s="24" t="s">
        <v>564</v>
      </c>
      <c r="D994" s="24" t="s">
        <v>565</v>
      </c>
      <c r="E994" s="24" t="s">
        <v>698</v>
      </c>
      <c r="F994" s="24" t="s">
        <v>120</v>
      </c>
      <c r="G994" s="27">
        <v>24</v>
      </c>
      <c r="H994" s="28">
        <v>1</v>
      </c>
      <c r="I994" s="24"/>
      <c r="J994" s="24"/>
      <c r="K994" s="24" t="s">
        <v>52</v>
      </c>
      <c r="L994" s="24" t="s">
        <v>53</v>
      </c>
      <c r="M994" s="24" t="s">
        <v>88</v>
      </c>
      <c r="N994" s="24" t="s">
        <v>55</v>
      </c>
      <c r="O994" s="24" t="s">
        <v>72</v>
      </c>
      <c r="P994" s="24" t="s">
        <v>73</v>
      </c>
      <c r="Q994" s="24" t="s">
        <v>58</v>
      </c>
      <c r="R994" s="24" t="s">
        <v>56</v>
      </c>
      <c r="S994" s="24" t="s">
        <v>123</v>
      </c>
      <c r="T994" s="24" t="s">
        <v>106</v>
      </c>
      <c r="U994" s="24" t="s">
        <v>493</v>
      </c>
      <c r="V994" s="24" t="s">
        <v>92</v>
      </c>
      <c r="W994" s="24" t="s">
        <v>79</v>
      </c>
      <c r="X994" s="24" t="s">
        <v>107</v>
      </c>
      <c r="Y994" s="24" t="s">
        <v>56</v>
      </c>
      <c r="Z994" s="24" t="s">
        <v>64</v>
      </c>
      <c r="AA994" s="24" t="s">
        <v>565</v>
      </c>
      <c r="AB994" s="24" t="s">
        <v>699</v>
      </c>
      <c r="AC994" s="24" t="s">
        <v>2936</v>
      </c>
    </row>
    <row r="995" spans="1:29">
      <c r="A995" s="30" t="s">
        <v>2937</v>
      </c>
      <c r="B995" s="30" t="str">
        <f>IF(ISNUMBER(SEARCH(E995,A995)),A995,IF(OR(E995="",E995=""),A995,A995&amp;" - "&amp;E995))</f>
        <v>Green Karat FS 30/1 - Fiji Sunset</v>
      </c>
      <c r="C995" s="30" t="s">
        <v>564</v>
      </c>
      <c r="D995" s="30" t="s">
        <v>565</v>
      </c>
      <c r="E995" s="40" t="s">
        <v>698</v>
      </c>
      <c r="F995" s="30" t="s">
        <v>120</v>
      </c>
      <c r="G995" s="34">
        <v>30</v>
      </c>
      <c r="H995" s="35">
        <v>1</v>
      </c>
      <c r="I995" s="30"/>
      <c r="J995" s="30"/>
      <c r="K995" s="30" t="s">
        <v>52</v>
      </c>
      <c r="L995" s="30" t="s">
        <v>102</v>
      </c>
      <c r="M995" s="30" t="s">
        <v>88</v>
      </c>
      <c r="N995" s="30" t="s">
        <v>55</v>
      </c>
      <c r="O995" s="30" t="s">
        <v>72</v>
      </c>
      <c r="P995" s="30" t="s">
        <v>73</v>
      </c>
      <c r="Q995" s="30" t="s">
        <v>58</v>
      </c>
      <c r="R995" s="30"/>
      <c r="S995" s="30" t="s">
        <v>123</v>
      </c>
      <c r="T995" s="30" t="s">
        <v>106</v>
      </c>
      <c r="U995" s="30" t="s">
        <v>493</v>
      </c>
      <c r="V995" s="30" t="s">
        <v>92</v>
      </c>
      <c r="W995" s="30" t="s">
        <v>79</v>
      </c>
      <c r="X995" s="30" t="s">
        <v>107</v>
      </c>
      <c r="Y995" s="30" t="s">
        <v>344</v>
      </c>
      <c r="Z995" s="30" t="s">
        <v>64</v>
      </c>
      <c r="AA995" s="30" t="s">
        <v>565</v>
      </c>
      <c r="AB995" s="30" t="s">
        <v>699</v>
      </c>
      <c r="AC995" s="30" t="s">
        <v>2938</v>
      </c>
    </row>
    <row r="996" spans="1:29">
      <c r="A996" s="24" t="s">
        <v>2939</v>
      </c>
      <c r="B996" s="24" t="str">
        <f>IF(ISNUMBER(SEARCH(E996,A996)),A996,IF(OR(E996="",E996=""),A996,A996&amp;" - "&amp;E996))</f>
        <v>Green Karat MG 25/1 - Modified Gas</v>
      </c>
      <c r="C996" s="24" t="s">
        <v>564</v>
      </c>
      <c r="D996" s="24" t="s">
        <v>565</v>
      </c>
      <c r="E996" s="24" t="s">
        <v>805</v>
      </c>
      <c r="F996" s="24" t="s">
        <v>86</v>
      </c>
      <c r="G996" s="27">
        <v>24</v>
      </c>
      <c r="H996" s="28">
        <v>1</v>
      </c>
      <c r="I996" s="24"/>
      <c r="J996" s="24"/>
      <c r="K996" s="24" t="s">
        <v>52</v>
      </c>
      <c r="L996" s="24" t="s">
        <v>53</v>
      </c>
      <c r="M996" s="24" t="s">
        <v>88</v>
      </c>
      <c r="N996" s="24" t="s">
        <v>55</v>
      </c>
      <c r="O996" s="24" t="s">
        <v>72</v>
      </c>
      <c r="P996" s="24" t="s">
        <v>157</v>
      </c>
      <c r="Q996" s="24" t="s">
        <v>58</v>
      </c>
      <c r="R996" s="24" t="s">
        <v>59</v>
      </c>
      <c r="S996" s="24" t="s">
        <v>147</v>
      </c>
      <c r="T996" s="24" t="s">
        <v>123</v>
      </c>
      <c r="U996" s="24" t="s">
        <v>106</v>
      </c>
      <c r="V996" s="24" t="s">
        <v>92</v>
      </c>
      <c r="W996" s="24" t="s">
        <v>116</v>
      </c>
      <c r="X996" s="24" t="s">
        <v>180</v>
      </c>
      <c r="Y996" s="24" t="s">
        <v>400</v>
      </c>
      <c r="Z996" s="24" t="s">
        <v>64</v>
      </c>
      <c r="AA996" s="24" t="s">
        <v>565</v>
      </c>
      <c r="AB996" s="24" t="s">
        <v>699</v>
      </c>
      <c r="AC996" s="24" t="s">
        <v>2940</v>
      </c>
    </row>
    <row r="997" spans="1:29">
      <c r="A997" s="30" t="s">
        <v>2941</v>
      </c>
      <c r="B997" s="30" t="str">
        <f>IF(ISNUMBER(SEARCH(E997,A997)),A997,IF(OR(E997="",E997=""),A997,A997&amp;" - "&amp;E997))</f>
        <v>Green Karat PV 30/1 - Pavé S1</v>
      </c>
      <c r="C997" s="30" t="s">
        <v>564</v>
      </c>
      <c r="D997" s="30" t="s">
        <v>565</v>
      </c>
      <c r="E997" s="30" t="s">
        <v>758</v>
      </c>
      <c r="F997" s="30" t="s">
        <v>86</v>
      </c>
      <c r="G997" s="34">
        <v>31</v>
      </c>
      <c r="H997" s="35">
        <v>1</v>
      </c>
      <c r="I997" s="30"/>
      <c r="J997" s="30"/>
      <c r="K997" s="30" t="s">
        <v>52</v>
      </c>
      <c r="L997" s="30" t="s">
        <v>53</v>
      </c>
      <c r="M997" s="30" t="s">
        <v>71</v>
      </c>
      <c r="N997" s="30" t="s">
        <v>55</v>
      </c>
      <c r="O997" s="30" t="s">
        <v>72</v>
      </c>
      <c r="P997" s="30" t="s">
        <v>74</v>
      </c>
      <c r="Q997" s="30" t="s">
        <v>58</v>
      </c>
      <c r="R997" s="30" t="s">
        <v>59</v>
      </c>
      <c r="S997" s="30" t="s">
        <v>192</v>
      </c>
      <c r="T997" s="30" t="s">
        <v>123</v>
      </c>
      <c r="U997" s="30" t="s">
        <v>106</v>
      </c>
      <c r="V997" s="30" t="s">
        <v>116</v>
      </c>
      <c r="W997" s="30" t="s">
        <v>79</v>
      </c>
      <c r="X997" s="30" t="s">
        <v>107</v>
      </c>
      <c r="Y997" s="30" t="s">
        <v>311</v>
      </c>
      <c r="Z997" s="30" t="s">
        <v>64</v>
      </c>
      <c r="AA997" s="30" t="s">
        <v>565</v>
      </c>
      <c r="AB997" s="30" t="s">
        <v>699</v>
      </c>
      <c r="AC997" s="30" t="s">
        <v>2942</v>
      </c>
    </row>
    <row r="998" spans="1:29">
      <c r="A998" s="24" t="s">
        <v>2943</v>
      </c>
      <c r="B998" s="24" t="str">
        <f>IF(ISNUMBER(SEARCH(E998,A998)),A998,IF(OR(E998="",E998=""),A998,A998&amp;" - "&amp;E998))</f>
        <v>Green Karat PV PT - Pavé S1</v>
      </c>
      <c r="C998" s="24" t="s">
        <v>564</v>
      </c>
      <c r="D998" s="24" t="s">
        <v>565</v>
      </c>
      <c r="E998" s="24" t="s">
        <v>758</v>
      </c>
      <c r="F998" s="24" t="s">
        <v>86</v>
      </c>
      <c r="G998" s="27">
        <v>31</v>
      </c>
      <c r="H998" s="28">
        <v>1</v>
      </c>
      <c r="I998" s="24"/>
      <c r="J998" s="24"/>
      <c r="K998" s="24" t="s">
        <v>52</v>
      </c>
      <c r="L998" s="24" t="s">
        <v>53</v>
      </c>
      <c r="M998" s="24" t="s">
        <v>71</v>
      </c>
      <c r="N998" s="24" t="s">
        <v>55</v>
      </c>
      <c r="O998" s="24" t="s">
        <v>72</v>
      </c>
      <c r="P998" s="24" t="s">
        <v>74</v>
      </c>
      <c r="Q998" s="24" t="s">
        <v>58</v>
      </c>
      <c r="R998" s="24" t="s">
        <v>59</v>
      </c>
      <c r="S998" s="24" t="s">
        <v>192</v>
      </c>
      <c r="T998" s="24" t="s">
        <v>123</v>
      </c>
      <c r="U998" s="24" t="s">
        <v>106</v>
      </c>
      <c r="V998" s="24" t="s">
        <v>116</v>
      </c>
      <c r="W998" s="24" t="s">
        <v>79</v>
      </c>
      <c r="X998" s="24" t="s">
        <v>107</v>
      </c>
      <c r="Y998" s="24" t="s">
        <v>2944</v>
      </c>
      <c r="Z998" s="24" t="s">
        <v>64</v>
      </c>
      <c r="AA998" s="24" t="s">
        <v>565</v>
      </c>
      <c r="AB998" s="24" t="s">
        <v>699</v>
      </c>
      <c r="AC998" s="24" t="s">
        <v>2945</v>
      </c>
    </row>
    <row r="999" spans="1:29">
      <c r="A999" s="30" t="s">
        <v>2946</v>
      </c>
      <c r="B999" s="30" t="str">
        <f>IF(ISNUMBER(SEARCH(E999,A999)),A999,IF(OR(E999="",E999=""),A999,A999&amp;" - "&amp;E999))</f>
        <v>Green Karat RO PT - Runtz OG</v>
      </c>
      <c r="C999" s="30" t="s">
        <v>564</v>
      </c>
      <c r="D999" s="30" t="s">
        <v>565</v>
      </c>
      <c r="E999" s="30" t="s">
        <v>1068</v>
      </c>
      <c r="F999" s="30" t="s">
        <v>86</v>
      </c>
      <c r="G999" s="34">
        <v>27</v>
      </c>
      <c r="H999" s="35">
        <v>1</v>
      </c>
      <c r="I999" s="30"/>
      <c r="J999" s="30"/>
      <c r="K999" s="30" t="s">
        <v>52</v>
      </c>
      <c r="L999" s="30" t="s">
        <v>102</v>
      </c>
      <c r="M999" s="30" t="s">
        <v>55</v>
      </c>
      <c r="N999" s="30" t="s">
        <v>72</v>
      </c>
      <c r="O999" s="30" t="s">
        <v>56</v>
      </c>
      <c r="P999" s="30" t="s">
        <v>89</v>
      </c>
      <c r="Q999" s="30" t="s">
        <v>58</v>
      </c>
      <c r="R999" s="30" t="s">
        <v>59</v>
      </c>
      <c r="S999" s="30" t="s">
        <v>147</v>
      </c>
      <c r="T999" s="30" t="s">
        <v>123</v>
      </c>
      <c r="U999" s="30" t="s">
        <v>106</v>
      </c>
      <c r="V999" s="30" t="s">
        <v>92</v>
      </c>
      <c r="W999" s="30" t="s">
        <v>77</v>
      </c>
      <c r="X999" s="30" t="s">
        <v>107</v>
      </c>
      <c r="Y999" s="30" t="s">
        <v>63</v>
      </c>
      <c r="Z999" s="30" t="s">
        <v>64</v>
      </c>
      <c r="AA999" s="30" t="s">
        <v>565</v>
      </c>
      <c r="AB999" s="30" t="s">
        <v>699</v>
      </c>
      <c r="AC999" s="30" t="s">
        <v>2947</v>
      </c>
    </row>
    <row r="1000" spans="1:29">
      <c r="A1000" s="24" t="s">
        <v>2948</v>
      </c>
      <c r="B1000" s="24" t="str">
        <f>IF(ISNUMBER(SEARCH(E1000,A1000)),A1000,IF(OR(E1000="",E1000=""),A1000,A1000&amp;" - "&amp;E1000))</f>
        <v>Green Karat SD 30/1 - Supreme Diesel</v>
      </c>
      <c r="C1000" s="24" t="s">
        <v>564</v>
      </c>
      <c r="D1000" s="24" t="s">
        <v>565</v>
      </c>
      <c r="E1000" s="41" t="s">
        <v>1319</v>
      </c>
      <c r="F1000" s="24" t="s">
        <v>86</v>
      </c>
      <c r="G1000" s="27">
        <v>30</v>
      </c>
      <c r="H1000" s="28">
        <v>1</v>
      </c>
      <c r="I1000" s="24"/>
      <c r="J1000" s="24"/>
      <c r="K1000" s="24" t="s">
        <v>52</v>
      </c>
      <c r="L1000" s="24" t="s">
        <v>102</v>
      </c>
      <c r="M1000" s="24" t="s">
        <v>54</v>
      </c>
      <c r="N1000" s="24" t="s">
        <v>88</v>
      </c>
      <c r="O1000" s="24" t="s">
        <v>55</v>
      </c>
      <c r="P1000" s="24" t="s">
        <v>73</v>
      </c>
      <c r="Q1000" s="24" t="s">
        <v>146</v>
      </c>
      <c r="R1000" s="24" t="s">
        <v>74</v>
      </c>
      <c r="S1000" s="24" t="s">
        <v>90</v>
      </c>
      <c r="T1000" s="24" t="s">
        <v>192</v>
      </c>
      <c r="U1000" s="24" t="s">
        <v>106</v>
      </c>
      <c r="V1000" s="24" t="s">
        <v>77</v>
      </c>
      <c r="W1000" s="24" t="s">
        <v>292</v>
      </c>
      <c r="X1000" s="24" t="s">
        <v>79</v>
      </c>
      <c r="Y1000" s="24" t="s">
        <v>1787</v>
      </c>
      <c r="Z1000" s="24" t="s">
        <v>64</v>
      </c>
      <c r="AA1000" s="24" t="s">
        <v>565</v>
      </c>
      <c r="AB1000" s="24"/>
      <c r="AC1000" s="24" t="s">
        <v>2949</v>
      </c>
    </row>
    <row r="1001" spans="1:29">
      <c r="A1001" s="30" t="s">
        <v>2950</v>
      </c>
      <c r="B1001" s="30" t="str">
        <f>IF(ISNUMBER(SEARCH(E1001,A1001)),A1001,IF(OR(E1001="",E1001=""),A1001,A1001&amp;" - "&amp;E1001))</f>
        <v>Greyscales GF 18/1 - Grape Fuel</v>
      </c>
      <c r="C1001" s="30" t="s">
        <v>564</v>
      </c>
      <c r="D1001" s="30" t="s">
        <v>565</v>
      </c>
      <c r="E1001" s="40" t="s">
        <v>2951</v>
      </c>
      <c r="F1001" s="30" t="s">
        <v>86</v>
      </c>
      <c r="G1001" s="34">
        <v>18</v>
      </c>
      <c r="H1001" s="35">
        <v>1</v>
      </c>
      <c r="I1001" s="30"/>
      <c r="J1001" s="30"/>
      <c r="K1001" s="30" t="s">
        <v>52</v>
      </c>
      <c r="L1001" s="30" t="s">
        <v>53</v>
      </c>
      <c r="M1001" s="30" t="s">
        <v>88</v>
      </c>
      <c r="N1001" s="30" t="s">
        <v>71</v>
      </c>
      <c r="O1001" s="30" t="s">
        <v>55</v>
      </c>
      <c r="P1001" s="30" t="s">
        <v>73</v>
      </c>
      <c r="Q1001" s="30" t="s">
        <v>89</v>
      </c>
      <c r="R1001" s="30" t="s">
        <v>58</v>
      </c>
      <c r="S1001" s="30" t="s">
        <v>147</v>
      </c>
      <c r="T1001" s="30" t="s">
        <v>123</v>
      </c>
      <c r="U1001" s="30" t="s">
        <v>106</v>
      </c>
      <c r="V1001" s="30" t="s">
        <v>77</v>
      </c>
      <c r="W1001" s="30" t="s">
        <v>79</v>
      </c>
      <c r="X1001" s="30" t="s">
        <v>173</v>
      </c>
      <c r="Y1001" s="30" t="s">
        <v>513</v>
      </c>
      <c r="Z1001" s="30" t="s">
        <v>64</v>
      </c>
      <c r="AA1001" s="30" t="s">
        <v>565</v>
      </c>
      <c r="AB1001" s="30" t="s">
        <v>658</v>
      </c>
      <c r="AC1001" s="30" t="s">
        <v>2952</v>
      </c>
    </row>
    <row r="1002" spans="1:29">
      <c r="A1002" s="24" t="s">
        <v>2953</v>
      </c>
      <c r="B1002" s="24" t="str">
        <f>IF(ISNUMBER(SEARCH(E1002,A1002)),A1002,IF(OR(E1002="",E1002=""),A1002,A1002&amp;" - "&amp;E1002))</f>
        <v>Greyscales PS 21/1 - Pink Slurricane</v>
      </c>
      <c r="C1002" s="24" t="s">
        <v>564</v>
      </c>
      <c r="D1002" s="24" t="s">
        <v>565</v>
      </c>
      <c r="E1002" s="24" t="s">
        <v>1894</v>
      </c>
      <c r="F1002" s="24" t="s">
        <v>177</v>
      </c>
      <c r="G1002" s="27">
        <v>21</v>
      </c>
      <c r="H1002" s="28">
        <v>1</v>
      </c>
      <c r="I1002" s="24"/>
      <c r="J1002" s="24"/>
      <c r="K1002" s="24" t="s">
        <v>52</v>
      </c>
      <c r="L1002" s="24" t="s">
        <v>53</v>
      </c>
      <c r="M1002" s="24" t="s">
        <v>88</v>
      </c>
      <c r="N1002" s="24" t="s">
        <v>72</v>
      </c>
      <c r="O1002" s="24" t="s">
        <v>56</v>
      </c>
      <c r="P1002" s="24" t="s">
        <v>113</v>
      </c>
      <c r="Q1002" s="24" t="s">
        <v>75</v>
      </c>
      <c r="R1002" s="24" t="s">
        <v>89</v>
      </c>
      <c r="S1002" s="24" t="s">
        <v>782</v>
      </c>
      <c r="T1002" s="24" t="s">
        <v>123</v>
      </c>
      <c r="U1002" s="24" t="s">
        <v>106</v>
      </c>
      <c r="V1002" s="24" t="s">
        <v>77</v>
      </c>
      <c r="W1002" s="24" t="s">
        <v>116</v>
      </c>
      <c r="X1002" s="24" t="s">
        <v>107</v>
      </c>
      <c r="Y1002" s="39">
        <v>6.99</v>
      </c>
      <c r="Z1002" s="24" t="s">
        <v>64</v>
      </c>
      <c r="AA1002" s="24" t="s">
        <v>565</v>
      </c>
      <c r="AB1002" s="24" t="s">
        <v>56</v>
      </c>
      <c r="AC1002" s="24" t="s">
        <v>2954</v>
      </c>
    </row>
    <row r="1003" spans="1:29">
      <c r="A1003" s="30" t="s">
        <v>2955</v>
      </c>
      <c r="B1003" s="30" t="str">
        <f>IF(ISNUMBER(SEARCH(E1003,A1003)),A1003,IF(OR(E1003="",E1003=""),A1003,A1003&amp;" - "&amp;E1003))</f>
        <v>GROW 18 HF Mac - Hellfire OG</v>
      </c>
      <c r="C1003" s="30" t="s">
        <v>141</v>
      </c>
      <c r="D1003" s="30" t="s">
        <v>142</v>
      </c>
      <c r="E1003" s="30" t="s">
        <v>2956</v>
      </c>
      <c r="F1003" s="30" t="s">
        <v>86</v>
      </c>
      <c r="G1003" s="34">
        <v>18</v>
      </c>
      <c r="H1003" s="35">
        <v>1</v>
      </c>
      <c r="I1003" s="30"/>
      <c r="J1003" s="30"/>
      <c r="K1003" s="30" t="s">
        <v>52</v>
      </c>
      <c r="L1003" s="30" t="s">
        <v>145</v>
      </c>
      <c r="M1003" s="30" t="s">
        <v>88</v>
      </c>
      <c r="N1003" s="30" t="s">
        <v>55</v>
      </c>
      <c r="O1003" s="30" t="s">
        <v>56</v>
      </c>
      <c r="P1003" s="30" t="s">
        <v>74</v>
      </c>
      <c r="Q1003" s="30" t="s">
        <v>75</v>
      </c>
      <c r="R1003" s="30" t="s">
        <v>56</v>
      </c>
      <c r="S1003" s="30" t="s">
        <v>61</v>
      </c>
      <c r="T1003" s="30" t="s">
        <v>76</v>
      </c>
      <c r="U1003" s="30" t="s">
        <v>62</v>
      </c>
      <c r="V1003" s="30" t="s">
        <v>77</v>
      </c>
      <c r="W1003" s="30" t="s">
        <v>79</v>
      </c>
      <c r="X1003" s="30" t="s">
        <v>173</v>
      </c>
      <c r="Y1003" s="30" t="s">
        <v>56</v>
      </c>
      <c r="Z1003" s="30" t="s">
        <v>64</v>
      </c>
      <c r="AA1003" s="30" t="s">
        <v>149</v>
      </c>
      <c r="AB1003" s="30" t="s">
        <v>56</v>
      </c>
      <c r="AC1003" s="30" t="s">
        <v>2957</v>
      </c>
    </row>
    <row r="1004" spans="1:29">
      <c r="A1004" s="24" t="s">
        <v>2958</v>
      </c>
      <c r="B1004" s="24" t="str">
        <f>IF(ISNUMBER(SEARCH(E1004,A1004)),A1004,IF(OR(E1004="",E1004=""),A1004,A1004&amp;" - "&amp;E1004))</f>
        <v>GROW 20/1 Euforia EU</v>
      </c>
      <c r="C1004" s="24" t="s">
        <v>564</v>
      </c>
      <c r="D1004" s="24" t="s">
        <v>565</v>
      </c>
      <c r="E1004" s="24" t="s">
        <v>1551</v>
      </c>
      <c r="F1004" s="24" t="s">
        <v>86</v>
      </c>
      <c r="G1004" s="27">
        <v>20</v>
      </c>
      <c r="H1004" s="28">
        <v>1</v>
      </c>
      <c r="I1004" s="24"/>
      <c r="J1004" s="24"/>
      <c r="K1004" s="24" t="s">
        <v>52</v>
      </c>
      <c r="L1004" s="24" t="s">
        <v>145</v>
      </c>
      <c r="M1004" s="24" t="s">
        <v>54</v>
      </c>
      <c r="N1004" s="24" t="s">
        <v>111</v>
      </c>
      <c r="O1004" s="24" t="s">
        <v>55</v>
      </c>
      <c r="P1004" s="24" t="s">
        <v>74</v>
      </c>
      <c r="Q1004" s="24" t="s">
        <v>75</v>
      </c>
      <c r="R1004" s="24" t="s">
        <v>56</v>
      </c>
      <c r="S1004" s="24" t="s">
        <v>123</v>
      </c>
      <c r="T1004" s="24" t="s">
        <v>76</v>
      </c>
      <c r="U1004" s="24" t="s">
        <v>115</v>
      </c>
      <c r="V1004" s="24" t="s">
        <v>77</v>
      </c>
      <c r="W1004" s="24" t="s">
        <v>56</v>
      </c>
      <c r="X1004" s="24" t="s">
        <v>56</v>
      </c>
      <c r="Y1004" s="24" t="s">
        <v>56</v>
      </c>
      <c r="Z1004" s="24" t="s">
        <v>64</v>
      </c>
      <c r="AA1004" s="24" t="s">
        <v>565</v>
      </c>
      <c r="AB1004" s="24" t="s">
        <v>56</v>
      </c>
      <c r="AC1004" s="24" t="s">
        <v>2959</v>
      </c>
    </row>
    <row r="1005" spans="1:29">
      <c r="A1005" s="30" t="s">
        <v>2960</v>
      </c>
      <c r="B1005" s="30" t="str">
        <f>IF(ISNUMBER(SEARCH(E1005,A1005)),A1005,IF(OR(E1005="",E1005=""),A1005,A1005&amp;" - "&amp;E1005))</f>
        <v>Grünhorn  27/1 - HGH</v>
      </c>
      <c r="C1005" s="30" t="s">
        <v>2080</v>
      </c>
      <c r="D1005" s="30" t="s">
        <v>2081</v>
      </c>
      <c r="E1005" s="30" t="s">
        <v>2524</v>
      </c>
      <c r="F1005" s="30" t="s">
        <v>51</v>
      </c>
      <c r="G1005" s="34">
        <v>27</v>
      </c>
      <c r="H1005" s="35">
        <v>1</v>
      </c>
      <c r="I1005" s="30"/>
      <c r="J1005" s="30"/>
      <c r="K1005" s="30" t="s">
        <v>52</v>
      </c>
      <c r="L1005" s="30" t="s">
        <v>53</v>
      </c>
      <c r="M1005" s="30" t="s">
        <v>72</v>
      </c>
      <c r="N1005" s="30"/>
      <c r="O1005" s="30" t="s">
        <v>56</v>
      </c>
      <c r="P1005" s="30" t="s">
        <v>73</v>
      </c>
      <c r="Q1005" s="30" t="s">
        <v>104</v>
      </c>
      <c r="R1005" s="30" t="s">
        <v>75</v>
      </c>
      <c r="S1005" s="30" t="s">
        <v>106</v>
      </c>
      <c r="T1005" s="30" t="s">
        <v>91</v>
      </c>
      <c r="U1005" s="30" t="s">
        <v>62</v>
      </c>
      <c r="V1005" s="30" t="s">
        <v>77</v>
      </c>
      <c r="W1005" s="30" t="s">
        <v>107</v>
      </c>
      <c r="X1005" s="30" t="s">
        <v>56</v>
      </c>
      <c r="Y1005" s="30" t="s">
        <v>516</v>
      </c>
      <c r="Z1005" s="30" t="s">
        <v>64</v>
      </c>
      <c r="AA1005" s="30" t="s">
        <v>2081</v>
      </c>
      <c r="AB1005" s="30" t="s">
        <v>56</v>
      </c>
      <c r="AC1005" s="30" t="s">
        <v>2961</v>
      </c>
    </row>
    <row r="1006" spans="1:29">
      <c r="A1006" s="24" t="s">
        <v>2962</v>
      </c>
      <c r="B1006" s="24" t="str">
        <f>IF(ISNUMBER(SEARCH(E1006,A1006)),A1006,IF(OR(E1006="",E1006=""),A1006,A1006&amp;" - "&amp;E1006))</f>
        <v>Grünhorn BC 17/1 OC - Orange Crasher</v>
      </c>
      <c r="C1006" s="24" t="s">
        <v>2080</v>
      </c>
      <c r="D1006" s="24" t="s">
        <v>2081</v>
      </c>
      <c r="E1006" s="41" t="s">
        <v>2781</v>
      </c>
      <c r="F1006" s="24" t="s">
        <v>177</v>
      </c>
      <c r="G1006" s="27">
        <v>19</v>
      </c>
      <c r="H1006" s="28">
        <v>1</v>
      </c>
      <c r="I1006" s="24"/>
      <c r="J1006" s="24"/>
      <c r="K1006" s="24" t="s">
        <v>52</v>
      </c>
      <c r="L1006" s="24" t="s">
        <v>102</v>
      </c>
      <c r="M1006" s="24" t="s">
        <v>54</v>
      </c>
      <c r="N1006" s="24" t="s">
        <v>111</v>
      </c>
      <c r="O1006" s="24" t="s">
        <v>88</v>
      </c>
      <c r="P1006" s="24" t="s">
        <v>57</v>
      </c>
      <c r="Q1006" s="24" t="s">
        <v>74</v>
      </c>
      <c r="R1006" s="24" t="s">
        <v>75</v>
      </c>
      <c r="S1006" s="24" t="s">
        <v>90</v>
      </c>
      <c r="T1006" s="24" t="s">
        <v>62</v>
      </c>
      <c r="U1006" s="24" t="s">
        <v>128</v>
      </c>
      <c r="V1006" s="24" t="s">
        <v>77</v>
      </c>
      <c r="W1006" s="24" t="s">
        <v>116</v>
      </c>
      <c r="X1006" s="24" t="s">
        <v>79</v>
      </c>
      <c r="Y1006" s="24" t="s">
        <v>213</v>
      </c>
      <c r="Z1006" s="24" t="s">
        <v>64</v>
      </c>
      <c r="AA1006" s="24" t="s">
        <v>2081</v>
      </c>
      <c r="AB1006" s="24"/>
      <c r="AC1006" s="11" t="s">
        <v>2963</v>
      </c>
    </row>
    <row r="1007" spans="1:29">
      <c r="A1007" s="30" t="s">
        <v>2964</v>
      </c>
      <c r="B1007" s="30" t="str">
        <f>IF(ISNUMBER(SEARCH(E1007,A1007)),A1007,IF(OR(E1007="",E1007=""),A1007,A1007&amp;" - "&amp;E1007))</f>
        <v>Grünhorn BC 33/1 - Tiger Cake</v>
      </c>
      <c r="C1007" s="30" t="s">
        <v>2080</v>
      </c>
      <c r="D1007" s="30" t="s">
        <v>2081</v>
      </c>
      <c r="E1007" s="30" t="s">
        <v>1303</v>
      </c>
      <c r="F1007" s="30" t="s">
        <v>177</v>
      </c>
      <c r="G1007" s="34">
        <v>34</v>
      </c>
      <c r="H1007" s="35">
        <v>1</v>
      </c>
      <c r="I1007" s="30"/>
      <c r="J1007" s="30"/>
      <c r="K1007" s="30" t="s">
        <v>52</v>
      </c>
      <c r="L1007" s="30" t="s">
        <v>102</v>
      </c>
      <c r="M1007" s="30" t="s">
        <v>88</v>
      </c>
      <c r="N1007" s="30" t="s">
        <v>71</v>
      </c>
      <c r="O1007" s="30" t="s">
        <v>103</v>
      </c>
      <c r="P1007" s="30" t="s">
        <v>73</v>
      </c>
      <c r="Q1007" s="30" t="s">
        <v>57</v>
      </c>
      <c r="R1007" s="30" t="s">
        <v>56</v>
      </c>
      <c r="S1007" s="30" t="s">
        <v>105</v>
      </c>
      <c r="T1007" s="30" t="s">
        <v>106</v>
      </c>
      <c r="U1007" s="30" t="s">
        <v>62</v>
      </c>
      <c r="V1007" s="30" t="s">
        <v>77</v>
      </c>
      <c r="W1007" s="30" t="s">
        <v>116</v>
      </c>
      <c r="X1007" s="30" t="s">
        <v>107</v>
      </c>
      <c r="Y1007" s="30" t="s">
        <v>2965</v>
      </c>
      <c r="Z1007" s="30" t="s">
        <v>64</v>
      </c>
      <c r="AA1007" s="30" t="s">
        <v>2081</v>
      </c>
      <c r="AB1007" s="30" t="s">
        <v>56</v>
      </c>
      <c r="AC1007" s="30" t="s">
        <v>2966</v>
      </c>
    </row>
    <row r="1008" spans="1:29">
      <c r="A1008" s="49" t="s">
        <v>2967</v>
      </c>
      <c r="B1008" s="24" t="str">
        <f>IF(ISNUMBER(SEARCH(E1008,A1008)),A1008,IF(OR(E1008="",E1008=""),A1008,A1008&amp;" - "&amp;E1008))</f>
        <v>Grünhorn CP 22/1 - Cherry Pie</v>
      </c>
      <c r="C1008" s="24" t="s">
        <v>996</v>
      </c>
      <c r="D1008" s="24" t="s">
        <v>997</v>
      </c>
      <c r="E1008" s="24" t="s">
        <v>998</v>
      </c>
      <c r="F1008" s="24" t="s">
        <v>120</v>
      </c>
      <c r="G1008" s="27">
        <v>22</v>
      </c>
      <c r="H1008" s="28">
        <v>1</v>
      </c>
      <c r="I1008" s="24"/>
      <c r="J1008" s="24"/>
      <c r="K1008" s="24" t="s">
        <v>52</v>
      </c>
      <c r="L1008" s="24" t="s">
        <v>102</v>
      </c>
      <c r="M1008" s="24" t="s">
        <v>212</v>
      </c>
      <c r="N1008" s="24" t="s">
        <v>88</v>
      </c>
      <c r="O1008" s="24" t="s">
        <v>71</v>
      </c>
      <c r="P1008" s="24" t="s">
        <v>89</v>
      </c>
      <c r="Q1008" s="24" t="s">
        <v>58</v>
      </c>
      <c r="R1008" s="24" t="s">
        <v>56</v>
      </c>
      <c r="S1008" s="24" t="s">
        <v>106</v>
      </c>
      <c r="T1008" s="24" t="s">
        <v>493</v>
      </c>
      <c r="U1008" s="24" t="s">
        <v>62</v>
      </c>
      <c r="V1008" s="24" t="s">
        <v>77</v>
      </c>
      <c r="W1008" s="24" t="s">
        <v>79</v>
      </c>
      <c r="X1008" s="24" t="s">
        <v>56</v>
      </c>
      <c r="Y1008" s="24" t="s">
        <v>555</v>
      </c>
      <c r="Z1008" s="24" t="s">
        <v>64</v>
      </c>
      <c r="AA1008" s="24" t="s">
        <v>997</v>
      </c>
      <c r="AB1008" s="24" t="s">
        <v>56</v>
      </c>
      <c r="AC1008" s="24" t="s">
        <v>2968</v>
      </c>
    </row>
    <row r="1009" spans="1:29">
      <c r="A1009" s="30" t="s">
        <v>2969</v>
      </c>
      <c r="B1009" s="30" t="str">
        <f>IF(ISNUMBER(SEARCH(E1009,A1009)),A1009,IF(OR(E1009="",E1009=""),A1009,A1009&amp;" - "&amp;E1009))</f>
        <v>Grünhorn CP 24/1 - Cherry Pie</v>
      </c>
      <c r="C1009" s="30" t="s">
        <v>996</v>
      </c>
      <c r="D1009" s="30" t="s">
        <v>997</v>
      </c>
      <c r="E1009" s="30" t="s">
        <v>998</v>
      </c>
      <c r="F1009" s="30" t="s">
        <v>120</v>
      </c>
      <c r="G1009" s="34">
        <v>24</v>
      </c>
      <c r="H1009" s="35">
        <v>1</v>
      </c>
      <c r="I1009" s="30"/>
      <c r="J1009" s="30"/>
      <c r="K1009" s="30" t="s">
        <v>52</v>
      </c>
      <c r="L1009" s="30" t="s">
        <v>102</v>
      </c>
      <c r="M1009" s="30" t="s">
        <v>212</v>
      </c>
      <c r="N1009" s="30" t="s">
        <v>88</v>
      </c>
      <c r="O1009" s="30" t="s">
        <v>71</v>
      </c>
      <c r="P1009" s="30" t="s">
        <v>89</v>
      </c>
      <c r="Q1009" s="30" t="s">
        <v>58</v>
      </c>
      <c r="R1009" s="30" t="s">
        <v>56</v>
      </c>
      <c r="S1009" s="30" t="s">
        <v>106</v>
      </c>
      <c r="T1009" s="30" t="s">
        <v>493</v>
      </c>
      <c r="U1009" s="30" t="s">
        <v>62</v>
      </c>
      <c r="V1009" s="30" t="s">
        <v>77</v>
      </c>
      <c r="W1009" s="30" t="s">
        <v>79</v>
      </c>
      <c r="X1009" s="30" t="s">
        <v>56</v>
      </c>
      <c r="Y1009" s="30" t="s">
        <v>335</v>
      </c>
      <c r="Z1009" s="30" t="s">
        <v>64</v>
      </c>
      <c r="AA1009" s="30" t="s">
        <v>997</v>
      </c>
      <c r="AB1009" s="30" t="s">
        <v>56</v>
      </c>
      <c r="AC1009" s="30" t="s">
        <v>2970</v>
      </c>
    </row>
    <row r="1010" spans="1:29">
      <c r="A1010" s="24" t="s">
        <v>2971</v>
      </c>
      <c r="B1010" s="24" t="str">
        <f>IF(ISNUMBER(SEARCH(E1010,A1010)),A1010,IF(OR(E1010="",E1010=""),A1010,A1010&amp;" - "&amp;E1010))</f>
        <v>Grünhorn CPC 25/1 - Cappuccino</v>
      </c>
      <c r="C1010" s="24" t="s">
        <v>2080</v>
      </c>
      <c r="D1010" s="24" t="s">
        <v>2081</v>
      </c>
      <c r="E1010" s="24" t="s">
        <v>2972</v>
      </c>
      <c r="F1010" s="24" t="s">
        <v>86</v>
      </c>
      <c r="G1010" s="27">
        <v>25</v>
      </c>
      <c r="H1010" s="28">
        <v>1</v>
      </c>
      <c r="I1010" s="24"/>
      <c r="J1010" s="24"/>
      <c r="K1010" s="24" t="s">
        <v>52</v>
      </c>
      <c r="L1010" s="24"/>
      <c r="M1010" s="24" t="s">
        <v>54</v>
      </c>
      <c r="N1010" s="24" t="s">
        <v>88</v>
      </c>
      <c r="O1010" s="24" t="s">
        <v>72</v>
      </c>
      <c r="P1010" s="24" t="s">
        <v>89</v>
      </c>
      <c r="Q1010" s="24" t="s">
        <v>59</v>
      </c>
      <c r="R1010" s="24" t="s">
        <v>56</v>
      </c>
      <c r="S1010" s="24" t="s">
        <v>192</v>
      </c>
      <c r="T1010" s="24" t="s">
        <v>106</v>
      </c>
      <c r="U1010" s="24" t="s">
        <v>91</v>
      </c>
      <c r="V1010" s="24" t="s">
        <v>92</v>
      </c>
      <c r="W1010" s="24" t="s">
        <v>116</v>
      </c>
      <c r="X1010" s="24" t="s">
        <v>635</v>
      </c>
      <c r="Y1010" s="24" t="s">
        <v>311</v>
      </c>
      <c r="Z1010" s="24" t="s">
        <v>64</v>
      </c>
      <c r="AA1010" s="24" t="s">
        <v>2081</v>
      </c>
      <c r="AB1010" s="24" t="s">
        <v>56</v>
      </c>
      <c r="AC1010" s="24" t="s">
        <v>2973</v>
      </c>
    </row>
    <row r="1011" spans="1:29">
      <c r="A1011" s="30" t="s">
        <v>2974</v>
      </c>
      <c r="B1011" s="30" t="str">
        <f>IF(ISNUMBER(SEARCH(E1011,A1011)),A1011,IF(OR(E1011="",E1011=""),A1011,A1011&amp;" - "&amp;E1011))</f>
        <v>Grünhorn GG 22/1 - Gorilla Glue</v>
      </c>
      <c r="C1011" s="30" t="s">
        <v>463</v>
      </c>
      <c r="D1011" s="30" t="s">
        <v>464</v>
      </c>
      <c r="E1011" s="30" t="s">
        <v>363</v>
      </c>
      <c r="F1011" s="30" t="s">
        <v>86</v>
      </c>
      <c r="G1011" s="34">
        <v>22</v>
      </c>
      <c r="H1011" s="35">
        <v>1</v>
      </c>
      <c r="I1011" s="30"/>
      <c r="J1011" s="30"/>
      <c r="K1011" s="30" t="s">
        <v>52</v>
      </c>
      <c r="L1011" s="30" t="s">
        <v>53</v>
      </c>
      <c r="M1011" s="30" t="s">
        <v>103</v>
      </c>
      <c r="N1011" s="30" t="s">
        <v>121</v>
      </c>
      <c r="O1011" s="30" t="s">
        <v>72</v>
      </c>
      <c r="P1011" s="30" t="s">
        <v>146</v>
      </c>
      <c r="Q1011" s="30" t="s">
        <v>74</v>
      </c>
      <c r="R1011" s="30" t="s">
        <v>59</v>
      </c>
      <c r="S1011" s="30" t="s">
        <v>123</v>
      </c>
      <c r="T1011" s="30" t="s">
        <v>61</v>
      </c>
      <c r="U1011" s="30" t="s">
        <v>76</v>
      </c>
      <c r="V1011" s="30" t="s">
        <v>257</v>
      </c>
      <c r="W1011" s="30" t="s">
        <v>252</v>
      </c>
      <c r="X1011" s="30" t="s">
        <v>77</v>
      </c>
      <c r="Y1011" s="30" t="s">
        <v>1699</v>
      </c>
      <c r="Z1011" s="30" t="s">
        <v>64</v>
      </c>
      <c r="AA1011" s="30" t="s">
        <v>468</v>
      </c>
      <c r="AB1011" s="30" t="s">
        <v>56</v>
      </c>
      <c r="AC1011" s="30" t="s">
        <v>2975</v>
      </c>
    </row>
    <row r="1012" spans="1:29">
      <c r="A1012" s="24" t="s">
        <v>2976</v>
      </c>
      <c r="B1012" s="24" t="str">
        <f>IF(ISNUMBER(SEARCH(E1012,A1012)),A1012,IF(OR(E1012="",E1012=""),A1012,A1012&amp;" - "&amp;E1012))</f>
        <v>Grünhorn MC 25/1 - MAC 1</v>
      </c>
      <c r="C1012" s="24" t="s">
        <v>564</v>
      </c>
      <c r="D1012" s="24" t="s">
        <v>565</v>
      </c>
      <c r="E1012" s="24" t="s">
        <v>661</v>
      </c>
      <c r="F1012" s="24" t="s">
        <v>86</v>
      </c>
      <c r="G1012" s="27">
        <v>25</v>
      </c>
      <c r="H1012" s="28">
        <v>1</v>
      </c>
      <c r="I1012" s="24"/>
      <c r="J1012" s="24"/>
      <c r="K1012" s="24" t="s">
        <v>52</v>
      </c>
      <c r="L1012" s="24" t="s">
        <v>53</v>
      </c>
      <c r="M1012" s="24" t="s">
        <v>54</v>
      </c>
      <c r="N1012" s="24" t="s">
        <v>88</v>
      </c>
      <c r="O1012" s="24" t="s">
        <v>71</v>
      </c>
      <c r="P1012" s="24" t="s">
        <v>57</v>
      </c>
      <c r="Q1012" s="24" t="s">
        <v>74</v>
      </c>
      <c r="R1012" s="24" t="s">
        <v>75</v>
      </c>
      <c r="S1012" s="24" t="s">
        <v>466</v>
      </c>
      <c r="T1012" s="24" t="s">
        <v>123</v>
      </c>
      <c r="U1012" s="24" t="s">
        <v>106</v>
      </c>
      <c r="V1012" s="24" t="s">
        <v>77</v>
      </c>
      <c r="W1012" s="24" t="s">
        <v>79</v>
      </c>
      <c r="X1012" s="24" t="s">
        <v>173</v>
      </c>
      <c r="Y1012" s="24" t="s">
        <v>56</v>
      </c>
      <c r="Z1012" s="24" t="s">
        <v>64</v>
      </c>
      <c r="AA1012" s="24" t="s">
        <v>565</v>
      </c>
      <c r="AB1012" s="24" t="s">
        <v>56</v>
      </c>
      <c r="AC1012" s="24" t="s">
        <v>2977</v>
      </c>
    </row>
    <row r="1013" spans="1:29">
      <c r="A1013" s="30" t="s">
        <v>2978</v>
      </c>
      <c r="B1013" s="30" t="str">
        <f>IF(ISNUMBER(SEARCH(E1013,A1013)),A1013,IF(OR(E1013="",E1013=""),A1013,A1013&amp;" - "&amp;E1013))</f>
        <v>Grünhorn SCK 25/1 - Scotti´s Cake</v>
      </c>
      <c r="C1013" s="30" t="s">
        <v>2080</v>
      </c>
      <c r="D1013" s="30" t="s">
        <v>2081</v>
      </c>
      <c r="E1013" s="30" t="s">
        <v>2529</v>
      </c>
      <c r="F1013" s="30" t="s">
        <v>120</v>
      </c>
      <c r="G1013" s="34">
        <v>25</v>
      </c>
      <c r="H1013" s="35">
        <v>1</v>
      </c>
      <c r="I1013" s="30"/>
      <c r="J1013" s="30"/>
      <c r="K1013" s="30" t="s">
        <v>52</v>
      </c>
      <c r="L1013" s="30" t="s">
        <v>53</v>
      </c>
      <c r="M1013" s="30" t="s">
        <v>71</v>
      </c>
      <c r="N1013" s="30" t="s">
        <v>103</v>
      </c>
      <c r="O1013" s="30" t="s">
        <v>72</v>
      </c>
      <c r="P1013" s="30" t="s">
        <v>104</v>
      </c>
      <c r="Q1013" s="30" t="s">
        <v>89</v>
      </c>
      <c r="R1013" s="30" t="s">
        <v>56</v>
      </c>
      <c r="S1013" s="30" t="s">
        <v>123</v>
      </c>
      <c r="T1013" s="30" t="s">
        <v>106</v>
      </c>
      <c r="U1013" s="30" t="s">
        <v>62</v>
      </c>
      <c r="V1013" s="30" t="s">
        <v>77</v>
      </c>
      <c r="W1013" s="30" t="s">
        <v>116</v>
      </c>
      <c r="X1013" s="30" t="s">
        <v>79</v>
      </c>
      <c r="Y1013" s="30" t="s">
        <v>311</v>
      </c>
      <c r="Z1013" s="30" t="s">
        <v>64</v>
      </c>
      <c r="AA1013" s="30" t="s">
        <v>2081</v>
      </c>
      <c r="AB1013" s="30" t="s">
        <v>56</v>
      </c>
      <c r="AC1013" s="30" t="s">
        <v>2979</v>
      </c>
    </row>
    <row r="1014" spans="1:29">
      <c r="A1014" s="24" t="s">
        <v>2980</v>
      </c>
      <c r="B1014" s="24" t="str">
        <f>IF(ISNUMBER(SEARCH(E1014,A1014)),A1014,IF(OR(E1014="",E1014=""),A1014,A1014&amp;" - "&amp;E1014))</f>
        <v>Grünhorn SCK 27/1 - Scotti´s Cake</v>
      </c>
      <c r="C1014" s="24" t="s">
        <v>2080</v>
      </c>
      <c r="D1014" s="24" t="s">
        <v>2081</v>
      </c>
      <c r="E1014" s="24" t="s">
        <v>2529</v>
      </c>
      <c r="F1014" s="24" t="s">
        <v>120</v>
      </c>
      <c r="G1014" s="27">
        <v>29</v>
      </c>
      <c r="H1014" s="28">
        <v>1</v>
      </c>
      <c r="I1014" s="24"/>
      <c r="J1014" s="24"/>
      <c r="K1014" s="24" t="s">
        <v>52</v>
      </c>
      <c r="L1014" s="24" t="s">
        <v>53</v>
      </c>
      <c r="M1014" s="24" t="s">
        <v>71</v>
      </c>
      <c r="N1014" s="24" t="s">
        <v>103</v>
      </c>
      <c r="O1014" s="24" t="s">
        <v>72</v>
      </c>
      <c r="P1014" s="24" t="s">
        <v>104</v>
      </c>
      <c r="Q1014" s="24" t="s">
        <v>89</v>
      </c>
      <c r="R1014" s="24" t="s">
        <v>56</v>
      </c>
      <c r="S1014" s="24" t="s">
        <v>123</v>
      </c>
      <c r="T1014" s="24" t="s">
        <v>106</v>
      </c>
      <c r="U1014" s="24" t="s">
        <v>62</v>
      </c>
      <c r="V1014" s="24" t="s">
        <v>77</v>
      </c>
      <c r="W1014" s="24" t="s">
        <v>116</v>
      </c>
      <c r="X1014" s="24" t="s">
        <v>79</v>
      </c>
      <c r="Y1014" s="24" t="s">
        <v>56</v>
      </c>
      <c r="Z1014" s="24" t="s">
        <v>64</v>
      </c>
      <c r="AA1014" s="24" t="s">
        <v>2081</v>
      </c>
      <c r="AB1014" s="24" t="s">
        <v>56</v>
      </c>
      <c r="AC1014" s="24" t="s">
        <v>2981</v>
      </c>
    </row>
    <row r="1015" spans="1:29">
      <c r="A1015" s="30" t="s">
        <v>2982</v>
      </c>
      <c r="B1015" s="30" t="str">
        <f>IF(ISNUMBER(SEARCH(E1015,A1015)),A1015,IF(OR(E1015="",E1015=""),A1015,A1015&amp;" - "&amp;E1015))</f>
        <v>hexa 18/1 WCA - Wedding Cake</v>
      </c>
      <c r="C1015" s="30" t="s">
        <v>2983</v>
      </c>
      <c r="D1015" s="30" t="s">
        <v>2984</v>
      </c>
      <c r="E1015" s="30" t="s">
        <v>1195</v>
      </c>
      <c r="F1015" s="30" t="s">
        <v>177</v>
      </c>
      <c r="G1015" s="34">
        <v>19</v>
      </c>
      <c r="H1015" s="35">
        <v>1</v>
      </c>
      <c r="I1015" s="30"/>
      <c r="J1015" s="30"/>
      <c r="K1015" s="30" t="s">
        <v>52</v>
      </c>
      <c r="L1015" s="30" t="s">
        <v>423</v>
      </c>
      <c r="M1015" s="30" t="s">
        <v>156</v>
      </c>
      <c r="N1015" s="30" t="s">
        <v>72</v>
      </c>
      <c r="O1015" s="30" t="s">
        <v>56</v>
      </c>
      <c r="P1015" s="30" t="s">
        <v>57</v>
      </c>
      <c r="Q1015" s="30" t="s">
        <v>104</v>
      </c>
      <c r="R1015" s="30" t="s">
        <v>74</v>
      </c>
      <c r="S1015" s="30" t="s">
        <v>466</v>
      </c>
      <c r="T1015" s="30" t="s">
        <v>493</v>
      </c>
      <c r="U1015" s="30" t="s">
        <v>56</v>
      </c>
      <c r="V1015" s="30" t="s">
        <v>116</v>
      </c>
      <c r="W1015" s="30" t="s">
        <v>107</v>
      </c>
      <c r="X1015" s="30" t="s">
        <v>93</v>
      </c>
      <c r="Y1015" s="30" t="s">
        <v>1175</v>
      </c>
      <c r="Z1015" s="30" t="s">
        <v>64</v>
      </c>
      <c r="AA1015" s="30" t="s">
        <v>2985</v>
      </c>
      <c r="AB1015" s="30" t="s">
        <v>56</v>
      </c>
      <c r="AC1015" s="30" t="s">
        <v>2986</v>
      </c>
    </row>
    <row r="1016" spans="1:29">
      <c r="A1016" s="24" t="s">
        <v>2987</v>
      </c>
      <c r="B1016" s="24" t="str">
        <f>IF(ISNUMBER(SEARCH(E1016,A1016)),A1016,IF(OR(E1016="",E1016=""),A1016,A1016&amp;" - "&amp;E1016))</f>
        <v>hexa 23/1 LKC - LA Kush Cake</v>
      </c>
      <c r="C1016" s="24" t="s">
        <v>564</v>
      </c>
      <c r="D1016" s="24" t="s">
        <v>565</v>
      </c>
      <c r="E1016" s="24" t="s">
        <v>578</v>
      </c>
      <c r="F1016" s="24" t="s">
        <v>177</v>
      </c>
      <c r="G1016" s="27">
        <v>24</v>
      </c>
      <c r="H1016" s="28">
        <v>1</v>
      </c>
      <c r="I1016" s="24"/>
      <c r="J1016" s="24"/>
      <c r="K1016" s="24" t="s">
        <v>52</v>
      </c>
      <c r="L1016" s="24"/>
      <c r="M1016" s="24" t="s">
        <v>156</v>
      </c>
      <c r="N1016" s="24" t="s">
        <v>121</v>
      </c>
      <c r="O1016" s="24" t="s">
        <v>72</v>
      </c>
      <c r="P1016" s="24" t="s">
        <v>112</v>
      </c>
      <c r="Q1016" s="24" t="s">
        <v>57</v>
      </c>
      <c r="R1016" s="24" t="s">
        <v>59</v>
      </c>
      <c r="S1016" s="24" t="s">
        <v>466</v>
      </c>
      <c r="T1016" s="24" t="s">
        <v>123</v>
      </c>
      <c r="U1016" s="24" t="s">
        <v>106</v>
      </c>
      <c r="V1016" s="24" t="s">
        <v>77</v>
      </c>
      <c r="W1016" s="24" t="s">
        <v>79</v>
      </c>
      <c r="X1016" s="24" t="s">
        <v>107</v>
      </c>
      <c r="Y1016" s="24" t="s">
        <v>322</v>
      </c>
      <c r="Z1016" s="24" t="s">
        <v>64</v>
      </c>
      <c r="AA1016" s="24" t="s">
        <v>565</v>
      </c>
      <c r="AB1016" s="24" t="s">
        <v>56</v>
      </c>
      <c r="AC1016" s="24" t="s">
        <v>2988</v>
      </c>
    </row>
    <row r="1017" spans="1:29">
      <c r="A1017" s="30" t="s">
        <v>2989</v>
      </c>
      <c r="B1017" s="30" t="str">
        <f>IF(ISNUMBER(SEARCH(E1017,A1017)),A1017,IF(OR(E1017="",E1017=""),A1017,A1017&amp;" - "&amp;E1017))</f>
        <v>hexa22 cannabis flower - Iberian Icecream #33</v>
      </c>
      <c r="C1017" s="30" t="s">
        <v>2983</v>
      </c>
      <c r="D1017" s="30" t="s">
        <v>2984</v>
      </c>
      <c r="E1017" s="30" t="s">
        <v>2990</v>
      </c>
      <c r="F1017" s="30" t="s">
        <v>86</v>
      </c>
      <c r="G1017" s="34">
        <v>23</v>
      </c>
      <c r="H1017" s="35">
        <v>1</v>
      </c>
      <c r="I1017" s="30"/>
      <c r="J1017" s="30"/>
      <c r="K1017" s="30" t="s">
        <v>52</v>
      </c>
      <c r="L1017" s="30" t="s">
        <v>102</v>
      </c>
      <c r="M1017" s="30" t="s">
        <v>88</v>
      </c>
      <c r="N1017" s="30" t="s">
        <v>71</v>
      </c>
      <c r="O1017" s="30" t="s">
        <v>72</v>
      </c>
      <c r="P1017" s="30" t="s">
        <v>74</v>
      </c>
      <c r="Q1017" s="30" t="s">
        <v>75</v>
      </c>
      <c r="R1017" s="30" t="s">
        <v>89</v>
      </c>
      <c r="S1017" s="30" t="s">
        <v>106</v>
      </c>
      <c r="T1017" s="30" t="s">
        <v>62</v>
      </c>
      <c r="U1017" s="30" t="s">
        <v>164</v>
      </c>
      <c r="V1017" s="30" t="s">
        <v>77</v>
      </c>
      <c r="W1017" s="30" t="s">
        <v>79</v>
      </c>
      <c r="X1017" s="30" t="s">
        <v>107</v>
      </c>
      <c r="Y1017" s="30" t="s">
        <v>56</v>
      </c>
      <c r="Z1017" s="30" t="s">
        <v>64</v>
      </c>
      <c r="AA1017" s="30" t="s">
        <v>2985</v>
      </c>
      <c r="AB1017" s="30" t="s">
        <v>56</v>
      </c>
      <c r="AC1017" s="30" t="s">
        <v>2991</v>
      </c>
    </row>
    <row r="1018" spans="1:29">
      <c r="A1018" s="24" t="s">
        <v>2992</v>
      </c>
      <c r="B1018" s="24" t="str">
        <f>IF(ISNUMBER(SEARCH(E1018,A1018)),A1018,IF(OR(E1018="",E1018=""),A1018,A1018&amp;" - "&amp;E1018))</f>
        <v>hexa23 cannabis flower - Iberian Icecream #35</v>
      </c>
      <c r="C1018" s="24" t="s">
        <v>2983</v>
      </c>
      <c r="D1018" s="24" t="s">
        <v>2984</v>
      </c>
      <c r="E1018" s="24" t="s">
        <v>2993</v>
      </c>
      <c r="F1018" s="24" t="s">
        <v>86</v>
      </c>
      <c r="G1018" s="27">
        <v>26</v>
      </c>
      <c r="H1018" s="28">
        <v>1</v>
      </c>
      <c r="I1018" s="24"/>
      <c r="J1018" s="24"/>
      <c r="K1018" s="24" t="s">
        <v>52</v>
      </c>
      <c r="L1018" s="24" t="s">
        <v>102</v>
      </c>
      <c r="M1018" s="24" t="s">
        <v>88</v>
      </c>
      <c r="N1018" s="24" t="s">
        <v>71</v>
      </c>
      <c r="O1018" s="24" t="s">
        <v>72</v>
      </c>
      <c r="P1018" s="24" t="s">
        <v>74</v>
      </c>
      <c r="Q1018" s="24" t="s">
        <v>75</v>
      </c>
      <c r="R1018" s="24" t="s">
        <v>58</v>
      </c>
      <c r="S1018" s="24" t="s">
        <v>106</v>
      </c>
      <c r="T1018" s="24" t="s">
        <v>62</v>
      </c>
      <c r="U1018" s="24" t="s">
        <v>430</v>
      </c>
      <c r="V1018" s="24" t="s">
        <v>77</v>
      </c>
      <c r="W1018" s="24" t="s">
        <v>79</v>
      </c>
      <c r="X1018" s="24" t="s">
        <v>107</v>
      </c>
      <c r="Y1018" s="24" t="s">
        <v>56</v>
      </c>
      <c r="Z1018" s="24" t="s">
        <v>64</v>
      </c>
      <c r="AA1018" s="24" t="s">
        <v>2985</v>
      </c>
      <c r="AB1018" s="24" t="s">
        <v>2994</v>
      </c>
      <c r="AC1018" s="24" t="s">
        <v>2995</v>
      </c>
    </row>
    <row r="1019" spans="1:29">
      <c r="A1019" s="30" t="s">
        <v>2996</v>
      </c>
      <c r="B1019" s="30" t="str">
        <f>IF(ISNUMBER(SEARCH(E1019,A1019)),A1019,IF(OR(E1019="",E1019=""),A1019,A1019&amp;" - "&amp;E1019))</f>
        <v>Huala 20/1 CA DOG - Chemdog</v>
      </c>
      <c r="C1019" s="30" t="s">
        <v>463</v>
      </c>
      <c r="D1019" s="30" t="s">
        <v>464</v>
      </c>
      <c r="E1019" s="30" t="s">
        <v>2997</v>
      </c>
      <c r="F1019" s="30" t="s">
        <v>177</v>
      </c>
      <c r="G1019" s="34">
        <v>19</v>
      </c>
      <c r="H1019" s="35">
        <v>1</v>
      </c>
      <c r="I1019" s="30"/>
      <c r="J1019" s="30"/>
      <c r="K1019" s="30" t="s">
        <v>52</v>
      </c>
      <c r="L1019" s="30" t="s">
        <v>53</v>
      </c>
      <c r="M1019" s="30" t="s">
        <v>54</v>
      </c>
      <c r="N1019" s="30" t="s">
        <v>88</v>
      </c>
      <c r="O1019" s="30" t="s">
        <v>103</v>
      </c>
      <c r="P1019" s="30" t="s">
        <v>73</v>
      </c>
      <c r="Q1019" s="30" t="s">
        <v>74</v>
      </c>
      <c r="R1019" s="30" t="s">
        <v>59</v>
      </c>
      <c r="S1019" s="30" t="s">
        <v>147</v>
      </c>
      <c r="T1019" s="30" t="s">
        <v>106</v>
      </c>
      <c r="U1019" s="30" t="s">
        <v>62</v>
      </c>
      <c r="V1019" s="30" t="s">
        <v>77</v>
      </c>
      <c r="W1019" s="30" t="s">
        <v>79</v>
      </c>
      <c r="X1019" s="30" t="s">
        <v>107</v>
      </c>
      <c r="Y1019" s="30" t="s">
        <v>307</v>
      </c>
      <c r="Z1019" s="30" t="s">
        <v>64</v>
      </c>
      <c r="AA1019" s="30" t="s">
        <v>468</v>
      </c>
      <c r="AB1019" s="30" t="s">
        <v>56</v>
      </c>
      <c r="AC1019" s="30" t="s">
        <v>2998</v>
      </c>
    </row>
    <row r="1020" spans="1:29">
      <c r="A1020" s="24" t="s">
        <v>2999</v>
      </c>
      <c r="B1020" s="24" t="str">
        <f>IF(ISNUMBER(SEARCH(E1020,A1020)),A1020,IF(OR(E1020="",E1020=""),A1020,A1020&amp;" - "&amp;E1020))</f>
        <v>Huala 22/1 CA DOG - Chemdog</v>
      </c>
      <c r="C1020" s="24" t="s">
        <v>463</v>
      </c>
      <c r="D1020" s="24" t="s">
        <v>464</v>
      </c>
      <c r="E1020" s="24" t="s">
        <v>2997</v>
      </c>
      <c r="F1020" s="24" t="s">
        <v>177</v>
      </c>
      <c r="G1020" s="27">
        <v>20</v>
      </c>
      <c r="H1020" s="28">
        <v>1</v>
      </c>
      <c r="I1020" s="24"/>
      <c r="J1020" s="24"/>
      <c r="K1020" s="24" t="s">
        <v>52</v>
      </c>
      <c r="L1020" s="24" t="s">
        <v>53</v>
      </c>
      <c r="M1020" s="24" t="s">
        <v>54</v>
      </c>
      <c r="N1020" s="24" t="s">
        <v>88</v>
      </c>
      <c r="O1020" s="24" t="s">
        <v>103</v>
      </c>
      <c r="P1020" s="24" t="s">
        <v>73</v>
      </c>
      <c r="Q1020" s="24" t="s">
        <v>74</v>
      </c>
      <c r="R1020" s="24" t="s">
        <v>59</v>
      </c>
      <c r="S1020" s="24" t="s">
        <v>147</v>
      </c>
      <c r="T1020" s="24" t="s">
        <v>106</v>
      </c>
      <c r="U1020" s="24" t="s">
        <v>62</v>
      </c>
      <c r="V1020" s="24" t="s">
        <v>77</v>
      </c>
      <c r="W1020" s="24" t="s">
        <v>79</v>
      </c>
      <c r="X1020" s="24" t="s">
        <v>107</v>
      </c>
      <c r="Y1020" s="24" t="s">
        <v>1274</v>
      </c>
      <c r="Z1020" s="24" t="s">
        <v>64</v>
      </c>
      <c r="AA1020" s="24" t="s">
        <v>468</v>
      </c>
      <c r="AB1020" s="24" t="s">
        <v>56</v>
      </c>
      <c r="AC1020" s="24" t="s">
        <v>3000</v>
      </c>
    </row>
    <row r="1021" spans="1:29">
      <c r="A1021" s="30" t="s">
        <v>3001</v>
      </c>
      <c r="B1021" s="30" t="str">
        <f>IF(ISNUMBER(SEARCH(E1021,A1021)),A1021,IF(OR(E1021="",E1021=""),A1021,A1021&amp;" - "&amp;E1021))</f>
        <v>HummingBud - Wild Thailand</v>
      </c>
      <c r="C1021" s="30" t="s">
        <v>564</v>
      </c>
      <c r="D1021" s="30" t="s">
        <v>565</v>
      </c>
      <c r="E1021" s="30" t="s">
        <v>3002</v>
      </c>
      <c r="F1021" s="30" t="s">
        <v>69</v>
      </c>
      <c r="G1021" s="34">
        <v>18</v>
      </c>
      <c r="H1021" s="35">
        <v>1</v>
      </c>
      <c r="I1021" s="30"/>
      <c r="J1021" s="30"/>
      <c r="K1021" s="30" t="s">
        <v>17</v>
      </c>
      <c r="L1021" s="30" t="s">
        <v>3003</v>
      </c>
      <c r="M1021" s="30" t="s">
        <v>111</v>
      </c>
      <c r="N1021" s="30" t="s">
        <v>71</v>
      </c>
      <c r="O1021" s="30" t="s">
        <v>55</v>
      </c>
      <c r="P1021" s="30" t="s">
        <v>136</v>
      </c>
      <c r="Q1021" s="30" t="s">
        <v>157</v>
      </c>
      <c r="R1021" s="30" t="s">
        <v>113</v>
      </c>
      <c r="S1021" s="30" t="s">
        <v>105</v>
      </c>
      <c r="T1021" s="30" t="s">
        <v>123</v>
      </c>
      <c r="U1021" s="30" t="s">
        <v>106</v>
      </c>
      <c r="V1021" s="30" t="s">
        <v>116</v>
      </c>
      <c r="W1021" s="30" t="s">
        <v>129</v>
      </c>
      <c r="X1021" s="30" t="s">
        <v>79</v>
      </c>
      <c r="Y1021" s="30" t="s">
        <v>56</v>
      </c>
      <c r="Z1021" s="30" t="s">
        <v>64</v>
      </c>
      <c r="AA1021" s="30" t="s">
        <v>565</v>
      </c>
      <c r="AB1021" s="30" t="s">
        <v>56</v>
      </c>
      <c r="AC1021" s="30" t="s">
        <v>3004</v>
      </c>
    </row>
    <row r="1022" spans="1:29">
      <c r="A1022" s="24" t="s">
        <v>3005</v>
      </c>
      <c r="B1022" s="24" t="str">
        <f>IF(ISNUMBER(SEARCH(E1022,A1022)),A1022,IF(OR(E1022="",E1022=""),A1022,A1022&amp;" - "&amp;E1022))</f>
        <v>Hybrid 22 - Kush Mints</v>
      </c>
      <c r="C1022" s="24" t="s">
        <v>613</v>
      </c>
      <c r="D1022" s="24" t="s">
        <v>614</v>
      </c>
      <c r="E1022" s="24" t="s">
        <v>954</v>
      </c>
      <c r="F1022" s="24" t="s">
        <v>86</v>
      </c>
      <c r="G1022" s="27">
        <v>22</v>
      </c>
      <c r="H1022" s="28">
        <v>1</v>
      </c>
      <c r="I1022" s="24"/>
      <c r="J1022" s="24"/>
      <c r="K1022" s="24" t="s">
        <v>52</v>
      </c>
      <c r="L1022" s="24" t="s">
        <v>53</v>
      </c>
      <c r="M1022" s="24" t="s">
        <v>88</v>
      </c>
      <c r="N1022" s="24" t="s">
        <v>55</v>
      </c>
      <c r="O1022" s="24" t="s">
        <v>72</v>
      </c>
      <c r="P1022" s="24" t="s">
        <v>591</v>
      </c>
      <c r="Q1022" s="24" t="s">
        <v>112</v>
      </c>
      <c r="R1022" s="24" t="s">
        <v>146</v>
      </c>
      <c r="S1022" s="24" t="s">
        <v>90</v>
      </c>
      <c r="T1022" s="24" t="s">
        <v>147</v>
      </c>
      <c r="U1022" s="24" t="s">
        <v>106</v>
      </c>
      <c r="V1022" s="24" t="s">
        <v>92</v>
      </c>
      <c r="W1022" s="24" t="s">
        <v>77</v>
      </c>
      <c r="X1022" s="24" t="s">
        <v>116</v>
      </c>
      <c r="Y1022" s="24" t="s">
        <v>56</v>
      </c>
      <c r="Z1022" s="24" t="s">
        <v>64</v>
      </c>
      <c r="AA1022" s="24" t="s">
        <v>614</v>
      </c>
      <c r="AB1022" s="24" t="s">
        <v>56</v>
      </c>
      <c r="AC1022" s="24" t="s">
        <v>3006</v>
      </c>
    </row>
    <row r="1023" spans="1:29">
      <c r="A1023" s="30" t="s">
        <v>3007</v>
      </c>
      <c r="B1023" s="30" t="str">
        <f>IF(ISNUMBER(SEARCH(E1023,A1023)),A1023,IF(OR(E1023="",E1023=""),A1023,A1023&amp;" - "&amp;E1023))</f>
        <v>IMC CHD THC22 - Cherry DoSiDos</v>
      </c>
      <c r="C1023" s="30" t="s">
        <v>646</v>
      </c>
      <c r="D1023" s="30" t="s">
        <v>646</v>
      </c>
      <c r="E1023" s="30" t="s">
        <v>3008</v>
      </c>
      <c r="F1023" s="30" t="s">
        <v>86</v>
      </c>
      <c r="G1023" s="34">
        <v>22</v>
      </c>
      <c r="H1023" s="35">
        <v>1</v>
      </c>
      <c r="I1023" s="30"/>
      <c r="J1023" s="30"/>
      <c r="K1023" s="30" t="s">
        <v>52</v>
      </c>
      <c r="L1023" s="30"/>
      <c r="M1023" s="30" t="s">
        <v>54</v>
      </c>
      <c r="N1023" s="30" t="s">
        <v>111</v>
      </c>
      <c r="O1023" s="30" t="s">
        <v>88</v>
      </c>
      <c r="P1023" s="30" t="s">
        <v>74</v>
      </c>
      <c r="Q1023" s="30" t="s">
        <v>89</v>
      </c>
      <c r="R1023" s="30" t="s">
        <v>58</v>
      </c>
      <c r="S1023" s="30" t="s">
        <v>106</v>
      </c>
      <c r="T1023" s="30" t="s">
        <v>91</v>
      </c>
      <c r="U1023" s="30" t="s">
        <v>62</v>
      </c>
      <c r="V1023" s="30" t="s">
        <v>77</v>
      </c>
      <c r="W1023" s="30" t="s">
        <v>116</v>
      </c>
      <c r="X1023" s="30" t="s">
        <v>107</v>
      </c>
      <c r="Y1023" s="30" t="s">
        <v>307</v>
      </c>
      <c r="Z1023" s="30" t="s">
        <v>64</v>
      </c>
      <c r="AA1023" s="30" t="s">
        <v>646</v>
      </c>
      <c r="AB1023" s="30" t="s">
        <v>56</v>
      </c>
      <c r="AC1023" s="30" t="s">
        <v>3009</v>
      </c>
    </row>
    <row r="1024" spans="1:29">
      <c r="A1024" s="24" t="s">
        <v>3010</v>
      </c>
      <c r="B1024" s="24" t="str">
        <f>IF(ISNUMBER(SEARCH(E1024,A1024)),A1024,IF(OR(E1024="",E1024=""),A1024,A1024&amp;" - "&amp;E1024))</f>
        <v>IMC THC20 T02 - OG Kush</v>
      </c>
      <c r="C1024" s="24" t="s">
        <v>646</v>
      </c>
      <c r="D1024" s="24" t="s">
        <v>646</v>
      </c>
      <c r="E1024" s="24" t="s">
        <v>337</v>
      </c>
      <c r="F1024" s="24" t="s">
        <v>120</v>
      </c>
      <c r="G1024" s="27">
        <v>20</v>
      </c>
      <c r="H1024" s="28">
        <v>1</v>
      </c>
      <c r="I1024" s="24"/>
      <c r="J1024" s="24"/>
      <c r="K1024" s="24" t="s">
        <v>17</v>
      </c>
      <c r="L1024" s="24" t="s">
        <v>423</v>
      </c>
      <c r="M1024" s="24" t="s">
        <v>88</v>
      </c>
      <c r="N1024" s="24" t="s">
        <v>103</v>
      </c>
      <c r="O1024" s="24" t="s">
        <v>178</v>
      </c>
      <c r="P1024" s="24" t="s">
        <v>146</v>
      </c>
      <c r="Q1024" s="24" t="s">
        <v>74</v>
      </c>
      <c r="R1024" s="24" t="s">
        <v>75</v>
      </c>
      <c r="S1024" s="24" t="s">
        <v>76</v>
      </c>
      <c r="T1024" s="24" t="s">
        <v>128</v>
      </c>
      <c r="U1024" s="24" t="s">
        <v>179</v>
      </c>
      <c r="V1024" s="24" t="s">
        <v>257</v>
      </c>
      <c r="W1024" s="24" t="s">
        <v>77</v>
      </c>
      <c r="X1024" s="24" t="s">
        <v>225</v>
      </c>
      <c r="Y1024" s="24" t="s">
        <v>1175</v>
      </c>
      <c r="Z1024" s="24" t="s">
        <v>64</v>
      </c>
      <c r="AA1024" s="24" t="s">
        <v>646</v>
      </c>
      <c r="AB1024" s="24" t="s">
        <v>56</v>
      </c>
      <c r="AC1024" s="24" t="s">
        <v>3011</v>
      </c>
    </row>
    <row r="1025" spans="1:29">
      <c r="A1025" s="30" t="s">
        <v>3012</v>
      </c>
      <c r="B1025" s="30" t="str">
        <f>IF(ISNUMBER(SEARCH(E1025,A1025)),A1025,IF(OR(E1025="",E1025=""),A1025,A1025&amp;" - "&amp;E1025))</f>
        <v>IMC THC20 T03 GG4 - Gorilla Glue</v>
      </c>
      <c r="C1025" s="30" t="s">
        <v>646</v>
      </c>
      <c r="D1025" s="30" t="s">
        <v>646</v>
      </c>
      <c r="E1025" s="30" t="s">
        <v>363</v>
      </c>
      <c r="F1025" s="30" t="s">
        <v>120</v>
      </c>
      <c r="G1025" s="34">
        <v>20</v>
      </c>
      <c r="H1025" s="35">
        <v>1</v>
      </c>
      <c r="I1025" s="30"/>
      <c r="J1025" s="30"/>
      <c r="K1025" s="30" t="s">
        <v>17</v>
      </c>
      <c r="L1025" s="30" t="s">
        <v>53</v>
      </c>
      <c r="M1025" s="30" t="s">
        <v>103</v>
      </c>
      <c r="N1025" s="30" t="s">
        <v>121</v>
      </c>
      <c r="O1025" s="30" t="s">
        <v>72</v>
      </c>
      <c r="P1025" s="30" t="s">
        <v>146</v>
      </c>
      <c r="Q1025" s="30" t="s">
        <v>74</v>
      </c>
      <c r="R1025" s="30" t="s">
        <v>59</v>
      </c>
      <c r="S1025" s="30" t="s">
        <v>106</v>
      </c>
      <c r="T1025" s="30" t="s">
        <v>128</v>
      </c>
      <c r="U1025" s="30" t="s">
        <v>62</v>
      </c>
      <c r="V1025" s="30" t="s">
        <v>257</v>
      </c>
      <c r="W1025" s="30" t="s">
        <v>252</v>
      </c>
      <c r="X1025" s="30" t="s">
        <v>77</v>
      </c>
      <c r="Y1025" s="30" t="s">
        <v>56</v>
      </c>
      <c r="Z1025" s="30" t="s">
        <v>64</v>
      </c>
      <c r="AA1025" s="30" t="s">
        <v>646</v>
      </c>
      <c r="AB1025" s="30" t="s">
        <v>56</v>
      </c>
      <c r="AC1025" s="30" t="s">
        <v>3013</v>
      </c>
    </row>
    <row r="1026" spans="1:29">
      <c r="A1026" s="24" t="s">
        <v>3014</v>
      </c>
      <c r="B1026" s="24" t="str">
        <f>IF(ISNUMBER(SEARCH(E1026,A1026)),A1026,IF(OR(E1026="",E1026=""),A1026,A1026&amp;" - "&amp;E1026))</f>
        <v>IMC THC20 T06 - Black Russian</v>
      </c>
      <c r="C1026" s="24" t="s">
        <v>646</v>
      </c>
      <c r="D1026" s="24" t="s">
        <v>646</v>
      </c>
      <c r="E1026" s="24" t="s">
        <v>1350</v>
      </c>
      <c r="F1026" s="24" t="s">
        <v>120</v>
      </c>
      <c r="G1026" s="27">
        <v>20</v>
      </c>
      <c r="H1026" s="28">
        <v>1</v>
      </c>
      <c r="I1026" s="24"/>
      <c r="J1026" s="24"/>
      <c r="K1026" s="24" t="s">
        <v>17</v>
      </c>
      <c r="L1026" s="24" t="s">
        <v>423</v>
      </c>
      <c r="M1026" s="24" t="s">
        <v>121</v>
      </c>
      <c r="N1026" s="24" t="s">
        <v>72</v>
      </c>
      <c r="O1026" s="24" t="s">
        <v>56</v>
      </c>
      <c r="P1026" s="24" t="s">
        <v>74</v>
      </c>
      <c r="Q1026" s="24" t="s">
        <v>89</v>
      </c>
      <c r="R1026" s="24" t="s">
        <v>58</v>
      </c>
      <c r="S1026" s="24" t="s">
        <v>90</v>
      </c>
      <c r="T1026" s="24" t="s">
        <v>147</v>
      </c>
      <c r="U1026" s="24" t="s">
        <v>62</v>
      </c>
      <c r="V1026" s="24" t="s">
        <v>77</v>
      </c>
      <c r="W1026" s="24" t="s">
        <v>116</v>
      </c>
      <c r="X1026" s="24" t="s">
        <v>107</v>
      </c>
      <c r="Y1026" s="24" t="s">
        <v>248</v>
      </c>
      <c r="Z1026" s="24" t="s">
        <v>64</v>
      </c>
      <c r="AA1026" s="24" t="s">
        <v>646</v>
      </c>
      <c r="AB1026" s="24" t="s">
        <v>56</v>
      </c>
      <c r="AC1026" s="24" t="s">
        <v>3015</v>
      </c>
    </row>
    <row r="1027" spans="1:29">
      <c r="A1027" s="30" t="s">
        <v>3016</v>
      </c>
      <c r="B1027" s="30" t="str">
        <f>IF(ISNUMBER(SEARCH(E1027,A1027)),A1027,IF(OR(E1027="",E1027=""),A1027,A1027&amp;" - "&amp;E1027))</f>
        <v>IMC THC21 T01 - Hindu Kush</v>
      </c>
      <c r="C1027" s="30" t="s">
        <v>646</v>
      </c>
      <c r="D1027" s="30" t="s">
        <v>646</v>
      </c>
      <c r="E1027" s="30" t="s">
        <v>456</v>
      </c>
      <c r="F1027" s="30" t="s">
        <v>120</v>
      </c>
      <c r="G1027" s="34">
        <v>20</v>
      </c>
      <c r="H1027" s="35">
        <v>1</v>
      </c>
      <c r="I1027" s="30"/>
      <c r="J1027" s="30"/>
      <c r="K1027" s="30" t="s">
        <v>17</v>
      </c>
      <c r="L1027" s="30" t="s">
        <v>423</v>
      </c>
      <c r="M1027" s="30" t="s">
        <v>103</v>
      </c>
      <c r="N1027" s="30" t="s">
        <v>121</v>
      </c>
      <c r="O1027" s="30" t="s">
        <v>72</v>
      </c>
      <c r="P1027" s="30" t="s">
        <v>74</v>
      </c>
      <c r="Q1027" s="30" t="s">
        <v>113</v>
      </c>
      <c r="R1027" s="30" t="s">
        <v>59</v>
      </c>
      <c r="S1027" s="30" t="s">
        <v>90</v>
      </c>
      <c r="T1027" s="30" t="s">
        <v>147</v>
      </c>
      <c r="U1027" s="30" t="s">
        <v>114</v>
      </c>
      <c r="V1027" s="30" t="s">
        <v>77</v>
      </c>
      <c r="W1027" s="30" t="s">
        <v>395</v>
      </c>
      <c r="X1027" s="30" t="s">
        <v>107</v>
      </c>
      <c r="Y1027" s="30" t="s">
        <v>56</v>
      </c>
      <c r="Z1027" s="30" t="s">
        <v>64</v>
      </c>
      <c r="AA1027" s="30" t="s">
        <v>646</v>
      </c>
      <c r="AB1027" s="30" t="s">
        <v>56</v>
      </c>
      <c r="AC1027" s="30" t="s">
        <v>3017</v>
      </c>
    </row>
    <row r="1028" spans="1:29">
      <c r="A1028" s="24" t="s">
        <v>3018</v>
      </c>
      <c r="B1028" s="24" t="str">
        <f>IF(ISNUMBER(SEARCH(E1028,A1028)),A1028,IF(OR(E1028="",E1028=""),A1028,A1028&amp;" - "&amp;E1028))</f>
        <v>IMC THC22 GGA - Purple Grape</v>
      </c>
      <c r="C1028" s="24" t="s">
        <v>646</v>
      </c>
      <c r="D1028" s="24" t="s">
        <v>646</v>
      </c>
      <c r="E1028" s="24" t="s">
        <v>3019</v>
      </c>
      <c r="F1028" s="24" t="s">
        <v>120</v>
      </c>
      <c r="G1028" s="27">
        <v>22</v>
      </c>
      <c r="H1028" s="28">
        <v>1</v>
      </c>
      <c r="I1028" s="24"/>
      <c r="J1028" s="24"/>
      <c r="K1028" s="24" t="s">
        <v>52</v>
      </c>
      <c r="L1028" s="24" t="s">
        <v>497</v>
      </c>
      <c r="M1028" s="24" t="s">
        <v>71</v>
      </c>
      <c r="N1028" s="24" t="s">
        <v>121</v>
      </c>
      <c r="O1028" s="24" t="s">
        <v>72</v>
      </c>
      <c r="P1028" s="24" t="s">
        <v>74</v>
      </c>
      <c r="Q1028" s="24" t="s">
        <v>89</v>
      </c>
      <c r="R1028" s="24" t="s">
        <v>58</v>
      </c>
      <c r="S1028" s="24" t="s">
        <v>106</v>
      </c>
      <c r="T1028" s="24" t="s">
        <v>493</v>
      </c>
      <c r="U1028" s="24" t="s">
        <v>62</v>
      </c>
      <c r="V1028" s="24" t="s">
        <v>77</v>
      </c>
      <c r="W1028" s="24" t="s">
        <v>116</v>
      </c>
      <c r="X1028" s="24" t="s">
        <v>79</v>
      </c>
      <c r="Y1028" s="24" t="s">
        <v>335</v>
      </c>
      <c r="Z1028" s="24" t="s">
        <v>64</v>
      </c>
      <c r="AA1028" s="24" t="s">
        <v>646</v>
      </c>
      <c r="AB1028" s="24" t="s">
        <v>56</v>
      </c>
      <c r="AC1028" s="24" t="s">
        <v>3020</v>
      </c>
    </row>
    <row r="1029" spans="1:29">
      <c r="A1029" s="30" t="s">
        <v>3021</v>
      </c>
      <c r="B1029" s="30" t="str">
        <f>IF(ISNUMBER(SEARCH(E1029,A1029)),A1029,IF(OR(E1029="",E1029=""),A1029,A1029&amp;" - "&amp;E1029))</f>
        <v>IMC THC22 T03 - Gorilla Glue</v>
      </c>
      <c r="C1029" s="30" t="s">
        <v>646</v>
      </c>
      <c r="D1029" s="30" t="s">
        <v>646</v>
      </c>
      <c r="E1029" s="30" t="s">
        <v>363</v>
      </c>
      <c r="F1029" s="30" t="s">
        <v>120</v>
      </c>
      <c r="G1029" s="34">
        <v>22</v>
      </c>
      <c r="H1029" s="35">
        <v>1</v>
      </c>
      <c r="I1029" s="30"/>
      <c r="J1029" s="30"/>
      <c r="K1029" s="30" t="s">
        <v>17</v>
      </c>
      <c r="L1029" s="30" t="s">
        <v>53</v>
      </c>
      <c r="M1029" s="30" t="s">
        <v>103</v>
      </c>
      <c r="N1029" s="30" t="s">
        <v>121</v>
      </c>
      <c r="O1029" s="30" t="s">
        <v>72</v>
      </c>
      <c r="P1029" s="30" t="s">
        <v>146</v>
      </c>
      <c r="Q1029" s="30" t="s">
        <v>74</v>
      </c>
      <c r="R1029" s="30" t="s">
        <v>59</v>
      </c>
      <c r="S1029" s="30" t="s">
        <v>90</v>
      </c>
      <c r="T1029" s="30" t="s">
        <v>123</v>
      </c>
      <c r="U1029" s="30" t="s">
        <v>106</v>
      </c>
      <c r="V1029" s="30" t="s">
        <v>257</v>
      </c>
      <c r="W1029" s="30" t="s">
        <v>252</v>
      </c>
      <c r="X1029" s="30" t="s">
        <v>77</v>
      </c>
      <c r="Y1029" s="30" t="s">
        <v>56</v>
      </c>
      <c r="Z1029" s="30" t="s">
        <v>64</v>
      </c>
      <c r="AA1029" s="30" t="s">
        <v>646</v>
      </c>
      <c r="AB1029" s="30" t="s">
        <v>56</v>
      </c>
      <c r="AC1029" s="30" t="s">
        <v>3022</v>
      </c>
    </row>
    <row r="1030" spans="1:29">
      <c r="A1030" s="24" t="s">
        <v>3023</v>
      </c>
      <c r="B1030" s="24" t="str">
        <f>IF(ISNUMBER(SEARCH(E1030,A1030)),A1030,IF(OR(E1030="",E1030=""),A1030,A1030&amp;" - "&amp;E1030))</f>
        <v>IMC THC22 T04 - Strawberry OG</v>
      </c>
      <c r="C1030" s="24" t="s">
        <v>646</v>
      </c>
      <c r="D1030" s="24" t="s">
        <v>646</v>
      </c>
      <c r="E1030" s="24" t="s">
        <v>1353</v>
      </c>
      <c r="F1030" s="24" t="s">
        <v>120</v>
      </c>
      <c r="G1030" s="27">
        <v>22</v>
      </c>
      <c r="H1030" s="28">
        <v>1</v>
      </c>
      <c r="I1030" s="24"/>
      <c r="J1030" s="24"/>
      <c r="K1030" s="24" t="s">
        <v>17</v>
      </c>
      <c r="L1030" s="24" t="s">
        <v>423</v>
      </c>
      <c r="M1030" s="24" t="s">
        <v>88</v>
      </c>
      <c r="N1030" s="24" t="s">
        <v>71</v>
      </c>
      <c r="O1030" s="24" t="s">
        <v>103</v>
      </c>
      <c r="P1030" s="24" t="s">
        <v>89</v>
      </c>
      <c r="Q1030" s="24" t="s">
        <v>58</v>
      </c>
      <c r="R1030" s="24" t="s">
        <v>56</v>
      </c>
      <c r="S1030" s="24" t="s">
        <v>60</v>
      </c>
      <c r="T1030" s="24" t="s">
        <v>76</v>
      </c>
      <c r="U1030" s="24" t="s">
        <v>164</v>
      </c>
      <c r="V1030" s="24" t="s">
        <v>77</v>
      </c>
      <c r="W1030" s="24" t="s">
        <v>116</v>
      </c>
      <c r="X1030" s="24" t="s">
        <v>180</v>
      </c>
      <c r="Y1030" s="24" t="s">
        <v>56</v>
      </c>
      <c r="Z1030" s="24" t="s">
        <v>64</v>
      </c>
      <c r="AA1030" s="24" t="s">
        <v>646</v>
      </c>
      <c r="AB1030" s="24" t="s">
        <v>56</v>
      </c>
      <c r="AC1030" s="24" t="s">
        <v>3024</v>
      </c>
    </row>
    <row r="1031" spans="1:29">
      <c r="A1031" s="30" t="s">
        <v>3025</v>
      </c>
      <c r="B1031" s="30" t="str">
        <f>IF(ISNUMBER(SEARCH(E1031,A1031)),A1031,IF(OR(E1031="",E1031=""),A1031,A1031&amp;" - "&amp;E1031))</f>
        <v>IMC THC27 PBM - Peanut Butter Mac</v>
      </c>
      <c r="C1031" s="30" t="s">
        <v>646</v>
      </c>
      <c r="D1031" s="30" t="s">
        <v>646</v>
      </c>
      <c r="E1031" s="30" t="s">
        <v>3026</v>
      </c>
      <c r="F1031" s="30" t="s">
        <v>120</v>
      </c>
      <c r="G1031" s="34">
        <v>27</v>
      </c>
      <c r="H1031" s="35">
        <v>1</v>
      </c>
      <c r="I1031" s="30"/>
      <c r="J1031" s="30"/>
      <c r="K1031" s="30" t="s">
        <v>52</v>
      </c>
      <c r="L1031" s="30" t="s">
        <v>53</v>
      </c>
      <c r="M1031" s="30" t="s">
        <v>54</v>
      </c>
      <c r="N1031" s="30" t="s">
        <v>88</v>
      </c>
      <c r="O1031" s="30" t="s">
        <v>72</v>
      </c>
      <c r="P1031" s="30" t="s">
        <v>74</v>
      </c>
      <c r="Q1031" s="30" t="s">
        <v>89</v>
      </c>
      <c r="R1031" s="30" t="s">
        <v>56</v>
      </c>
      <c r="S1031" s="30" t="s">
        <v>123</v>
      </c>
      <c r="T1031" s="30" t="s">
        <v>106</v>
      </c>
      <c r="U1031" s="30" t="s">
        <v>128</v>
      </c>
      <c r="V1031" s="30" t="s">
        <v>79</v>
      </c>
      <c r="W1031" s="30" t="s">
        <v>107</v>
      </c>
      <c r="X1031" s="30" t="s">
        <v>93</v>
      </c>
      <c r="Y1031" s="30" t="s">
        <v>56</v>
      </c>
      <c r="Z1031" s="30" t="s">
        <v>64</v>
      </c>
      <c r="AA1031" s="30" t="s">
        <v>646</v>
      </c>
      <c r="AB1031" s="30" t="s">
        <v>56</v>
      </c>
      <c r="AC1031" s="30" t="s">
        <v>3027</v>
      </c>
    </row>
    <row r="1032" spans="1:29">
      <c r="A1032" s="24" t="s">
        <v>3028</v>
      </c>
      <c r="B1032" s="24" t="str">
        <f>IF(ISNUMBER(SEARCH(E1032,A1032)),A1032,IF(OR(E1032="",E1032=""),A1032,A1032&amp;" - "&amp;E1032))</f>
        <v>IMC THC27 T03 GG4 - Gorilla Glue</v>
      </c>
      <c r="C1032" s="24" t="s">
        <v>646</v>
      </c>
      <c r="D1032" s="24" t="s">
        <v>646</v>
      </c>
      <c r="E1032" s="24" t="s">
        <v>363</v>
      </c>
      <c r="F1032" s="24" t="s">
        <v>120</v>
      </c>
      <c r="G1032" s="27">
        <v>27</v>
      </c>
      <c r="H1032" s="28">
        <v>1</v>
      </c>
      <c r="I1032" s="24"/>
      <c r="J1032" s="24"/>
      <c r="K1032" s="24" t="s">
        <v>52</v>
      </c>
      <c r="L1032" s="24" t="s">
        <v>53</v>
      </c>
      <c r="M1032" s="24" t="s">
        <v>103</v>
      </c>
      <c r="N1032" s="24" t="s">
        <v>121</v>
      </c>
      <c r="O1032" s="24" t="s">
        <v>72</v>
      </c>
      <c r="P1032" s="24" t="s">
        <v>146</v>
      </c>
      <c r="Q1032" s="24" t="s">
        <v>74</v>
      </c>
      <c r="R1032" s="24" t="s">
        <v>59</v>
      </c>
      <c r="S1032" s="24" t="s">
        <v>60</v>
      </c>
      <c r="T1032" s="24" t="s">
        <v>123</v>
      </c>
      <c r="U1032" s="24" t="s">
        <v>106</v>
      </c>
      <c r="V1032" s="24" t="s">
        <v>257</v>
      </c>
      <c r="W1032" s="24" t="s">
        <v>252</v>
      </c>
      <c r="X1032" s="24" t="s">
        <v>77</v>
      </c>
      <c r="Y1032" s="24" t="s">
        <v>117</v>
      </c>
      <c r="Z1032" s="24" t="s">
        <v>64</v>
      </c>
      <c r="AA1032" s="24" t="s">
        <v>646</v>
      </c>
      <c r="AB1032" s="24" t="s">
        <v>56</v>
      </c>
      <c r="AC1032" s="24" t="s">
        <v>3029</v>
      </c>
    </row>
    <row r="1033" spans="1:29">
      <c r="A1033" s="30" t="s">
        <v>3030</v>
      </c>
      <c r="B1033" s="30" t="str">
        <f>IF(ISNUMBER(SEARCH(E1033,A1033)),A1033,IF(OR(E1033="",E1033=""),A1033,A1033&amp;" - "&amp;E1033))</f>
        <v>IQANNA No. 7 - Red Dragon OG</v>
      </c>
      <c r="C1033" s="30" t="s">
        <v>564</v>
      </c>
      <c r="D1033" s="30" t="s">
        <v>565</v>
      </c>
      <c r="E1033" s="30" t="s">
        <v>2931</v>
      </c>
      <c r="F1033" s="30" t="s">
        <v>69</v>
      </c>
      <c r="G1033" s="34">
        <v>20</v>
      </c>
      <c r="H1033" s="35">
        <v>1</v>
      </c>
      <c r="I1033" s="30"/>
      <c r="J1033" s="30"/>
      <c r="K1033" s="30" t="s">
        <v>52</v>
      </c>
      <c r="L1033" s="30" t="s">
        <v>185</v>
      </c>
      <c r="M1033" s="30" t="s">
        <v>54</v>
      </c>
      <c r="N1033" s="30" t="s">
        <v>88</v>
      </c>
      <c r="O1033" s="30" t="s">
        <v>72</v>
      </c>
      <c r="P1033" s="30" t="s">
        <v>75</v>
      </c>
      <c r="Q1033" s="30" t="s">
        <v>58</v>
      </c>
      <c r="R1033" s="30" t="s">
        <v>59</v>
      </c>
      <c r="S1033" s="30" t="s">
        <v>90</v>
      </c>
      <c r="T1033" s="30" t="s">
        <v>123</v>
      </c>
      <c r="U1033" s="30" t="s">
        <v>106</v>
      </c>
      <c r="V1033" s="30" t="s">
        <v>77</v>
      </c>
      <c r="W1033" s="30" t="s">
        <v>116</v>
      </c>
      <c r="X1033" s="30" t="s">
        <v>165</v>
      </c>
      <c r="Y1033" s="30" t="s">
        <v>56</v>
      </c>
      <c r="Z1033" s="30" t="s">
        <v>64</v>
      </c>
      <c r="AA1033" s="30" t="s">
        <v>565</v>
      </c>
      <c r="AB1033" s="30" t="s">
        <v>56</v>
      </c>
      <c r="AC1033" s="30" t="s">
        <v>3031</v>
      </c>
    </row>
    <row r="1034" spans="1:29">
      <c r="A1034" s="24" t="s">
        <v>3032</v>
      </c>
      <c r="B1034" s="24" t="str">
        <f>IF(ISNUMBER(SEARCH(E1034,A1034)),A1034,IF(OR(E1034="",E1034=""),A1034,A1034&amp;" - "&amp;E1034))</f>
        <v>KEjF. SPZ 31/1 - Spritzer</v>
      </c>
      <c r="C1034" s="24" t="s">
        <v>822</v>
      </c>
      <c r="D1034" s="24" t="s">
        <v>823</v>
      </c>
      <c r="E1034" s="24" t="s">
        <v>944</v>
      </c>
      <c r="F1034" s="24" t="s">
        <v>86</v>
      </c>
      <c r="G1034" s="27">
        <v>31</v>
      </c>
      <c r="H1034" s="28">
        <v>1</v>
      </c>
      <c r="I1034" s="24"/>
      <c r="J1034" s="24"/>
      <c r="K1034" s="24" t="s">
        <v>52</v>
      </c>
      <c r="L1034" s="24" t="s">
        <v>53</v>
      </c>
      <c r="M1034" s="24" t="s">
        <v>111</v>
      </c>
      <c r="N1034" s="24" t="s">
        <v>88</v>
      </c>
      <c r="O1034" s="24" t="s">
        <v>71</v>
      </c>
      <c r="P1034" s="24" t="s">
        <v>74</v>
      </c>
      <c r="Q1034" s="24" t="s">
        <v>75</v>
      </c>
      <c r="R1034" s="24" t="s">
        <v>89</v>
      </c>
      <c r="S1034" s="24" t="s">
        <v>147</v>
      </c>
      <c r="T1034" s="24" t="s">
        <v>123</v>
      </c>
      <c r="U1034" s="24" t="s">
        <v>106</v>
      </c>
      <c r="V1034" s="24" t="s">
        <v>77</v>
      </c>
      <c r="W1034" s="24" t="s">
        <v>79</v>
      </c>
      <c r="X1034" s="24" t="s">
        <v>173</v>
      </c>
      <c r="Y1034" s="24" t="s">
        <v>56</v>
      </c>
      <c r="Z1034" s="24" t="s">
        <v>64</v>
      </c>
      <c r="AA1034" s="24" t="s">
        <v>826</v>
      </c>
      <c r="AB1034" s="24" t="s">
        <v>56</v>
      </c>
      <c r="AC1034" s="24" t="s">
        <v>3033</v>
      </c>
    </row>
    <row r="1035" spans="1:29">
      <c r="A1035" s="30" t="s">
        <v>3034</v>
      </c>
      <c r="B1035" s="30" t="str">
        <f>IF(ISNUMBER(SEARCH(E1035,A1035)),A1035,IF(OR(E1035="",E1035=""),A1035,A1035&amp;" - "&amp;E1035))</f>
        <v>Khiron 1/14 - God Bud</v>
      </c>
      <c r="C1035" s="30" t="s">
        <v>1871</v>
      </c>
      <c r="D1035" s="30" t="s">
        <v>1872</v>
      </c>
      <c r="E1035" s="30" t="s">
        <v>1336</v>
      </c>
      <c r="F1035" s="30" t="s">
        <v>86</v>
      </c>
      <c r="G1035" s="34">
        <v>1</v>
      </c>
      <c r="H1035" s="35">
        <v>14.000000000000002</v>
      </c>
      <c r="I1035" s="30"/>
      <c r="J1035" s="30"/>
      <c r="K1035" s="30" t="s">
        <v>52</v>
      </c>
      <c r="L1035" s="30" t="s">
        <v>423</v>
      </c>
      <c r="M1035" s="30" t="s">
        <v>103</v>
      </c>
      <c r="N1035" s="30" t="s">
        <v>121</v>
      </c>
      <c r="O1035" s="30" t="s">
        <v>72</v>
      </c>
      <c r="P1035" s="30" t="s">
        <v>104</v>
      </c>
      <c r="Q1035" s="30" t="s">
        <v>59</v>
      </c>
      <c r="R1035" s="30" t="s">
        <v>56</v>
      </c>
      <c r="S1035" s="30" t="s">
        <v>147</v>
      </c>
      <c r="T1035" s="30" t="s">
        <v>61</v>
      </c>
      <c r="U1035" s="30" t="s">
        <v>179</v>
      </c>
      <c r="V1035" s="30" t="s">
        <v>77</v>
      </c>
      <c r="W1035" s="30" t="s">
        <v>129</v>
      </c>
      <c r="X1035" s="30" t="s">
        <v>107</v>
      </c>
      <c r="Y1035" s="30" t="s">
        <v>56</v>
      </c>
      <c r="Z1035" s="30" t="s">
        <v>64</v>
      </c>
      <c r="AA1035" s="30" t="s">
        <v>1872</v>
      </c>
      <c r="AB1035" s="30" t="s">
        <v>56</v>
      </c>
      <c r="AC1035" s="30" t="s">
        <v>3035</v>
      </c>
    </row>
    <row r="1036" spans="1:29">
      <c r="A1036" s="24" t="s">
        <v>3036</v>
      </c>
      <c r="B1036" s="24" t="str">
        <f>IF(ISNUMBER(SEARCH(E1036,A1036)),A1036,IF(OR(E1036="",E1036=""),A1036,A1036&amp;" - "&amp;E1036))</f>
        <v>Khiron 20/1 - Hindu Kush</v>
      </c>
      <c r="C1036" s="24" t="s">
        <v>1871</v>
      </c>
      <c r="D1036" s="24" t="s">
        <v>1872</v>
      </c>
      <c r="E1036" s="24" t="s">
        <v>456</v>
      </c>
      <c r="F1036" s="24" t="s">
        <v>120</v>
      </c>
      <c r="G1036" s="27">
        <v>20</v>
      </c>
      <c r="H1036" s="28">
        <v>1</v>
      </c>
      <c r="I1036" s="24"/>
      <c r="J1036" s="24"/>
      <c r="K1036" s="24" t="s">
        <v>17</v>
      </c>
      <c r="L1036" s="24" t="s">
        <v>423</v>
      </c>
      <c r="M1036" s="24" t="s">
        <v>103</v>
      </c>
      <c r="N1036" s="24" t="s">
        <v>121</v>
      </c>
      <c r="O1036" s="24" t="s">
        <v>72</v>
      </c>
      <c r="P1036" s="24" t="s">
        <v>74</v>
      </c>
      <c r="Q1036" s="24" t="s">
        <v>113</v>
      </c>
      <c r="R1036" s="24" t="s">
        <v>59</v>
      </c>
      <c r="S1036" s="24" t="s">
        <v>90</v>
      </c>
      <c r="T1036" s="24" t="s">
        <v>105</v>
      </c>
      <c r="U1036" s="24" t="s">
        <v>147</v>
      </c>
      <c r="V1036" s="24" t="s">
        <v>77</v>
      </c>
      <c r="W1036" s="24" t="s">
        <v>395</v>
      </c>
      <c r="X1036" s="24" t="s">
        <v>107</v>
      </c>
      <c r="Y1036" s="24" t="s">
        <v>56</v>
      </c>
      <c r="Z1036" s="24" t="s">
        <v>64</v>
      </c>
      <c r="AA1036" s="24" t="s">
        <v>1872</v>
      </c>
      <c r="AB1036" s="24" t="s">
        <v>56</v>
      </c>
      <c r="AC1036" s="24" t="s">
        <v>3037</v>
      </c>
    </row>
    <row r="1037" spans="1:29">
      <c r="A1037" s="30" t="s">
        <v>3038</v>
      </c>
      <c r="B1037" s="30" t="str">
        <f>IF(ISNUMBER(SEARCH(E1037,A1037)),A1037,IF(OR(E1037="",E1037=""),A1037,A1037&amp;" - "&amp;E1037))</f>
        <v>Khiron C 5/7 - Caramel</v>
      </c>
      <c r="C1037" s="30" t="s">
        <v>1871</v>
      </c>
      <c r="D1037" s="30" t="s">
        <v>1872</v>
      </c>
      <c r="E1037" s="30" t="s">
        <v>3039</v>
      </c>
      <c r="F1037" s="30" t="s">
        <v>120</v>
      </c>
      <c r="G1037" s="34">
        <v>5</v>
      </c>
      <c r="H1037" s="35">
        <v>7.0000000000000009</v>
      </c>
      <c r="I1037" s="30"/>
      <c r="J1037" s="30"/>
      <c r="K1037" s="30" t="s">
        <v>52</v>
      </c>
      <c r="L1037" s="30" t="s">
        <v>102</v>
      </c>
      <c r="M1037" s="30" t="s">
        <v>72</v>
      </c>
      <c r="N1037" s="30"/>
      <c r="O1037" s="30" t="s">
        <v>56</v>
      </c>
      <c r="P1037" s="30" t="s">
        <v>89</v>
      </c>
      <c r="Q1037" s="30" t="s">
        <v>56</v>
      </c>
      <c r="R1037" s="30" t="s">
        <v>56</v>
      </c>
      <c r="S1037" s="30" t="s">
        <v>147</v>
      </c>
      <c r="T1037" s="30" t="s">
        <v>62</v>
      </c>
      <c r="U1037" s="30" t="s">
        <v>164</v>
      </c>
      <c r="V1037" s="30" t="s">
        <v>56</v>
      </c>
      <c r="W1037" s="30"/>
      <c r="X1037" s="30" t="s">
        <v>56</v>
      </c>
      <c r="Y1037" s="30" t="s">
        <v>56</v>
      </c>
      <c r="Z1037" s="30" t="s">
        <v>64</v>
      </c>
      <c r="AA1037" s="30" t="s">
        <v>1872</v>
      </c>
      <c r="AB1037" s="30" t="s">
        <v>56</v>
      </c>
      <c r="AC1037" s="30" t="s">
        <v>3040</v>
      </c>
    </row>
    <row r="1038" spans="1:29">
      <c r="A1038" s="24" t="s">
        <v>3041</v>
      </c>
      <c r="B1038" s="24" t="str">
        <f>IF(ISNUMBER(SEARCH(E1038,A1038)),A1038,IF(OR(E1038="",E1038=""),A1038,A1038&amp;" - "&amp;E1038))</f>
        <v>Khiron CK 23/1 - Cinderella Kush</v>
      </c>
      <c r="C1038" s="24" t="s">
        <v>1871</v>
      </c>
      <c r="D1038" s="24" t="s">
        <v>1872</v>
      </c>
      <c r="E1038" s="24" t="s">
        <v>3042</v>
      </c>
      <c r="F1038" s="24" t="s">
        <v>86</v>
      </c>
      <c r="G1038" s="27">
        <v>23</v>
      </c>
      <c r="H1038" s="28">
        <v>1</v>
      </c>
      <c r="I1038" s="24"/>
      <c r="J1038" s="24"/>
      <c r="K1038" s="24" t="s">
        <v>52</v>
      </c>
      <c r="L1038" s="24" t="s">
        <v>3043</v>
      </c>
      <c r="M1038" s="24" t="s">
        <v>54</v>
      </c>
      <c r="N1038" s="24" t="s">
        <v>111</v>
      </c>
      <c r="O1038" s="24" t="s">
        <v>88</v>
      </c>
      <c r="P1038" s="24" t="s">
        <v>136</v>
      </c>
      <c r="Q1038" s="24" t="s">
        <v>157</v>
      </c>
      <c r="R1038" s="24" t="s">
        <v>146</v>
      </c>
      <c r="S1038" s="24" t="s">
        <v>90</v>
      </c>
      <c r="T1038" s="24" t="s">
        <v>192</v>
      </c>
      <c r="U1038" s="24" t="s">
        <v>147</v>
      </c>
      <c r="V1038" s="24" t="s">
        <v>116</v>
      </c>
      <c r="W1038" s="24" t="s">
        <v>107</v>
      </c>
      <c r="X1038" s="24" t="s">
        <v>93</v>
      </c>
      <c r="Y1038" s="24" t="s">
        <v>3044</v>
      </c>
      <c r="Z1038" s="24" t="s">
        <v>64</v>
      </c>
      <c r="AA1038" s="24" t="s">
        <v>1872</v>
      </c>
      <c r="AB1038" s="24" t="s">
        <v>56</v>
      </c>
      <c r="AC1038" s="24" t="s">
        <v>3045</v>
      </c>
    </row>
    <row r="1039" spans="1:29">
      <c r="A1039" s="30" t="s">
        <v>3046</v>
      </c>
      <c r="B1039" s="30" t="str">
        <f>IF(ISNUMBER(SEARCH(E1039,A1039)),A1039,IF(OR(E1039="",E1039=""),A1039,A1039&amp;" - "&amp;E1039))</f>
        <v>Khiron G 23/1 - Gelato 42</v>
      </c>
      <c r="C1039" s="30" t="s">
        <v>1871</v>
      </c>
      <c r="D1039" s="30" t="s">
        <v>1872</v>
      </c>
      <c r="E1039" s="30" t="s">
        <v>273</v>
      </c>
      <c r="F1039" s="30" t="s">
        <v>86</v>
      </c>
      <c r="G1039" s="34">
        <v>23</v>
      </c>
      <c r="H1039" s="35">
        <v>1</v>
      </c>
      <c r="I1039" s="30"/>
      <c r="J1039" s="30"/>
      <c r="K1039" s="30" t="s">
        <v>52</v>
      </c>
      <c r="L1039" s="30" t="s">
        <v>102</v>
      </c>
      <c r="M1039" s="30" t="s">
        <v>156</v>
      </c>
      <c r="N1039" s="30" t="s">
        <v>54</v>
      </c>
      <c r="O1039" s="30" t="s">
        <v>111</v>
      </c>
      <c r="P1039" s="30" t="s">
        <v>112</v>
      </c>
      <c r="Q1039" s="30" t="s">
        <v>57</v>
      </c>
      <c r="R1039" s="30" t="s">
        <v>89</v>
      </c>
      <c r="S1039" s="30" t="s">
        <v>192</v>
      </c>
      <c r="T1039" s="30" t="s">
        <v>60</v>
      </c>
      <c r="U1039" s="30" t="s">
        <v>147</v>
      </c>
      <c r="V1039" s="30" t="s">
        <v>257</v>
      </c>
      <c r="W1039" s="30" t="s">
        <v>252</v>
      </c>
      <c r="X1039" s="30" t="s">
        <v>77</v>
      </c>
      <c r="Y1039" s="30" t="s">
        <v>268</v>
      </c>
      <c r="Z1039" s="30" t="s">
        <v>64</v>
      </c>
      <c r="AA1039" s="30" t="s">
        <v>1872</v>
      </c>
      <c r="AB1039" s="30" t="s">
        <v>56</v>
      </c>
      <c r="AC1039" s="30" t="s">
        <v>3047</v>
      </c>
    </row>
    <row r="1040" spans="1:29">
      <c r="A1040" s="24" t="s">
        <v>3048</v>
      </c>
      <c r="B1040" s="24" t="str">
        <f>IF(ISNUMBER(SEARCH(E1040,A1040)),A1040,IF(OR(E1040="",E1040=""),A1040,A1040&amp;" - "&amp;E1040))</f>
        <v>Khiron GK 24/1 - Green Knight</v>
      </c>
      <c r="C1040" s="24" t="s">
        <v>1871</v>
      </c>
      <c r="D1040" s="24" t="s">
        <v>1872</v>
      </c>
      <c r="E1040" s="24" t="s">
        <v>3049</v>
      </c>
      <c r="F1040" s="24" t="s">
        <v>86</v>
      </c>
      <c r="G1040" s="27">
        <v>24</v>
      </c>
      <c r="H1040" s="28">
        <v>1</v>
      </c>
      <c r="I1040" s="24"/>
      <c r="J1040" s="24"/>
      <c r="K1040" s="24" t="s">
        <v>52</v>
      </c>
      <c r="L1040" s="24" t="s">
        <v>3043</v>
      </c>
      <c r="M1040" s="24" t="s">
        <v>71</v>
      </c>
      <c r="N1040" s="24" t="s">
        <v>55</v>
      </c>
      <c r="O1040" s="24" t="s">
        <v>56</v>
      </c>
      <c r="P1040" s="24" t="s">
        <v>146</v>
      </c>
      <c r="Q1040" s="24" t="s">
        <v>74</v>
      </c>
      <c r="R1040" s="24" t="s">
        <v>113</v>
      </c>
      <c r="S1040" s="24" t="s">
        <v>147</v>
      </c>
      <c r="T1040" s="24" t="s">
        <v>106</v>
      </c>
      <c r="U1040" s="24" t="s">
        <v>62</v>
      </c>
      <c r="V1040" s="24" t="s">
        <v>257</v>
      </c>
      <c r="W1040" s="24" t="s">
        <v>77</v>
      </c>
      <c r="X1040" s="24" t="s">
        <v>116</v>
      </c>
      <c r="Y1040" s="24" t="s">
        <v>1372</v>
      </c>
      <c r="Z1040" s="24" t="s">
        <v>64</v>
      </c>
      <c r="AA1040" s="24" t="s">
        <v>1872</v>
      </c>
      <c r="AB1040" s="24" t="s">
        <v>56</v>
      </c>
      <c r="AC1040" s="37" t="s">
        <v>3050</v>
      </c>
    </row>
    <row r="1041" spans="1:29">
      <c r="A1041" s="30" t="s">
        <v>3051</v>
      </c>
      <c r="B1041" s="30" t="str">
        <f>IF(ISNUMBER(SEARCH(E1041,A1041)),A1041,IF(OR(E1041="",E1041=""),A1041,A1041&amp;" - "&amp;E1041))</f>
        <v>Khiron LBO 24/1 - Lemon Berry OG</v>
      </c>
      <c r="C1041" s="30" t="s">
        <v>1871</v>
      </c>
      <c r="D1041" s="30" t="s">
        <v>1872</v>
      </c>
      <c r="E1041" s="30" t="s">
        <v>3052</v>
      </c>
      <c r="F1041" s="30" t="s">
        <v>120</v>
      </c>
      <c r="G1041" s="34">
        <v>24</v>
      </c>
      <c r="H1041" s="35">
        <v>1</v>
      </c>
      <c r="I1041" s="30"/>
      <c r="J1041" s="30"/>
      <c r="K1041" s="30" t="s">
        <v>52</v>
      </c>
      <c r="L1041" s="30" t="s">
        <v>53</v>
      </c>
      <c r="M1041" s="30" t="s">
        <v>54</v>
      </c>
      <c r="N1041" s="30" t="s">
        <v>111</v>
      </c>
      <c r="O1041" s="30" t="s">
        <v>55</v>
      </c>
      <c r="P1041" s="30" t="s">
        <v>74</v>
      </c>
      <c r="Q1041" s="30" t="s">
        <v>75</v>
      </c>
      <c r="R1041" s="30" t="s">
        <v>89</v>
      </c>
      <c r="S1041" s="30" t="s">
        <v>90</v>
      </c>
      <c r="T1041" s="30" t="s">
        <v>147</v>
      </c>
      <c r="U1041" s="30" t="s">
        <v>123</v>
      </c>
      <c r="V1041" s="30" t="s">
        <v>77</v>
      </c>
      <c r="W1041" s="30" t="s">
        <v>107</v>
      </c>
      <c r="X1041" s="30" t="s">
        <v>56</v>
      </c>
      <c r="Y1041" s="30" t="s">
        <v>193</v>
      </c>
      <c r="Z1041" s="30" t="s">
        <v>64</v>
      </c>
      <c r="AA1041" s="30" t="s">
        <v>1872</v>
      </c>
      <c r="AB1041" s="30" t="s">
        <v>56</v>
      </c>
      <c r="AC1041" s="30" t="s">
        <v>3053</v>
      </c>
    </row>
    <row r="1042" spans="1:29">
      <c r="A1042" s="24" t="s">
        <v>3054</v>
      </c>
      <c r="B1042" s="24" t="str">
        <f>IF(ISNUMBER(SEARCH(E1042,A1042)),A1042,IF(OR(E1042="",E1042=""),A1042,A1042&amp;" - "&amp;E1042))</f>
        <v>Khiron PA 20/1 - Purple Amnesia</v>
      </c>
      <c r="C1042" s="24" t="s">
        <v>1871</v>
      </c>
      <c r="D1042" s="24" t="s">
        <v>1872</v>
      </c>
      <c r="E1042" s="24" t="s">
        <v>3055</v>
      </c>
      <c r="F1042" s="24" t="s">
        <v>144</v>
      </c>
      <c r="G1042" s="27">
        <v>20</v>
      </c>
      <c r="H1042" s="28">
        <v>1</v>
      </c>
      <c r="I1042" s="24"/>
      <c r="J1042" s="24"/>
      <c r="K1042" s="24" t="s">
        <v>52</v>
      </c>
      <c r="L1042" s="24" t="s">
        <v>3043</v>
      </c>
      <c r="M1042" s="24" t="s">
        <v>54</v>
      </c>
      <c r="N1042" s="24" t="s">
        <v>88</v>
      </c>
      <c r="O1042" s="24" t="s">
        <v>178</v>
      </c>
      <c r="P1042" s="24" t="s">
        <v>73</v>
      </c>
      <c r="Q1042" s="24" t="s">
        <v>157</v>
      </c>
      <c r="R1042" s="24" t="s">
        <v>104</v>
      </c>
      <c r="S1042" s="24" t="s">
        <v>90</v>
      </c>
      <c r="T1042" s="24" t="s">
        <v>192</v>
      </c>
      <c r="U1042" s="24" t="s">
        <v>147</v>
      </c>
      <c r="V1042" s="24" t="s">
        <v>79</v>
      </c>
      <c r="W1042" s="24" t="s">
        <v>107</v>
      </c>
      <c r="X1042" s="24" t="s">
        <v>173</v>
      </c>
      <c r="Y1042" s="24" t="s">
        <v>1274</v>
      </c>
      <c r="Z1042" s="24" t="s">
        <v>64</v>
      </c>
      <c r="AA1042" s="24" t="s">
        <v>1872</v>
      </c>
      <c r="AB1042" s="24" t="s">
        <v>56</v>
      </c>
      <c r="AC1042" s="24" t="s">
        <v>3056</v>
      </c>
    </row>
    <row r="1043" spans="1:29">
      <c r="A1043" s="30" t="s">
        <v>3057</v>
      </c>
      <c r="B1043" s="30" t="str">
        <f>IF(ISNUMBER(SEARCH(E1043,A1043)),A1043,IF(OR(E1043="",E1043=""),A1043,A1043&amp;" - "&amp;E1043))</f>
        <v>Khiron SCD 25/1 - Sour Chocolate Diesel</v>
      </c>
      <c r="C1043" s="30" t="s">
        <v>1871</v>
      </c>
      <c r="D1043" s="30" t="s">
        <v>1872</v>
      </c>
      <c r="E1043" s="30" t="s">
        <v>3058</v>
      </c>
      <c r="F1043" s="30" t="s">
        <v>86</v>
      </c>
      <c r="G1043" s="34">
        <v>25</v>
      </c>
      <c r="H1043" s="35">
        <v>1</v>
      </c>
      <c r="I1043" s="30"/>
      <c r="J1043" s="30"/>
      <c r="K1043" s="30" t="s">
        <v>52</v>
      </c>
      <c r="L1043" s="30" t="s">
        <v>53</v>
      </c>
      <c r="M1043" s="30" t="s">
        <v>156</v>
      </c>
      <c r="N1043" s="30" t="s">
        <v>54</v>
      </c>
      <c r="O1043" s="30" t="s">
        <v>88</v>
      </c>
      <c r="P1043" s="30" t="s">
        <v>73</v>
      </c>
      <c r="Q1043" s="30" t="s">
        <v>74</v>
      </c>
      <c r="R1043" s="30" t="s">
        <v>75</v>
      </c>
      <c r="S1043" s="30" t="s">
        <v>90</v>
      </c>
      <c r="T1043" s="30" t="s">
        <v>105</v>
      </c>
      <c r="U1043" s="30" t="s">
        <v>147</v>
      </c>
      <c r="V1043" s="30" t="s">
        <v>77</v>
      </c>
      <c r="W1043" s="30" t="s">
        <v>79</v>
      </c>
      <c r="X1043" s="30" t="s">
        <v>107</v>
      </c>
      <c r="Y1043" s="30" t="s">
        <v>768</v>
      </c>
      <c r="Z1043" s="30" t="s">
        <v>64</v>
      </c>
      <c r="AA1043" s="30" t="s">
        <v>1872</v>
      </c>
      <c r="AB1043" s="30" t="s">
        <v>56</v>
      </c>
      <c r="AC1043" s="30" t="s">
        <v>3059</v>
      </c>
    </row>
    <row r="1044" spans="1:29" s="4" customFormat="1">
      <c r="A1044" s="24" t="s">
        <v>3060</v>
      </c>
      <c r="B1044" s="24" t="str">
        <f>IF(ISNUMBER(SEARCH(E1044,A1044)),A1044,IF(OR(E1044="",E1044=""),A1044,A1044&amp;" - "&amp;E1044))</f>
        <v>LOT 420 GLT - Gelato 33</v>
      </c>
      <c r="C1044" s="24" t="s">
        <v>564</v>
      </c>
      <c r="D1044" s="24" t="s">
        <v>565</v>
      </c>
      <c r="E1044" s="24" t="s">
        <v>273</v>
      </c>
      <c r="F1044" s="24" t="s">
        <v>86</v>
      </c>
      <c r="G1044" s="27">
        <v>25</v>
      </c>
      <c r="H1044" s="28">
        <v>1</v>
      </c>
      <c r="I1044" s="24"/>
      <c r="J1044" s="24"/>
      <c r="K1044" s="24" t="s">
        <v>52</v>
      </c>
      <c r="L1044" s="24" t="s">
        <v>53</v>
      </c>
      <c r="M1044" s="24" t="s">
        <v>156</v>
      </c>
      <c r="N1044" s="24" t="s">
        <v>54</v>
      </c>
      <c r="O1044" s="24" t="s">
        <v>111</v>
      </c>
      <c r="P1044" s="24" t="s">
        <v>112</v>
      </c>
      <c r="Q1044" s="24" t="s">
        <v>57</v>
      </c>
      <c r="R1044" s="24" t="s">
        <v>89</v>
      </c>
      <c r="S1044" s="24" t="s">
        <v>90</v>
      </c>
      <c r="T1044" s="24" t="s">
        <v>192</v>
      </c>
      <c r="U1044" s="24" t="s">
        <v>106</v>
      </c>
      <c r="V1044" s="24" t="s">
        <v>257</v>
      </c>
      <c r="W1044" s="24" t="s">
        <v>252</v>
      </c>
      <c r="X1044" s="24" t="s">
        <v>77</v>
      </c>
      <c r="Y1044" s="24" t="s">
        <v>3061</v>
      </c>
      <c r="Z1044" s="24" t="s">
        <v>64</v>
      </c>
      <c r="AA1044" s="24" t="s">
        <v>565</v>
      </c>
      <c r="AB1044" s="24" t="s">
        <v>658</v>
      </c>
      <c r="AC1044" s="24" t="s">
        <v>3062</v>
      </c>
    </row>
    <row r="1045" spans="1:29">
      <c r="A1045" s="30" t="s">
        <v>3063</v>
      </c>
      <c r="B1045" s="30" t="str">
        <f>IF(ISNUMBER(SEARCH(E1045,A1045)),A1045,IF(OR(E1045="",E1045=""),A1045,A1045&amp;" - "&amp;E1045))</f>
        <v>LOT 420 OC PT - Orange Cake</v>
      </c>
      <c r="C1045" s="30" t="s">
        <v>564</v>
      </c>
      <c r="D1045" s="30" t="s">
        <v>565</v>
      </c>
      <c r="E1045" s="30" t="s">
        <v>656</v>
      </c>
      <c r="F1045" s="30" t="s">
        <v>86</v>
      </c>
      <c r="G1045" s="34">
        <v>26</v>
      </c>
      <c r="H1045" s="35">
        <v>1</v>
      </c>
      <c r="I1045" s="30"/>
      <c r="J1045" s="30"/>
      <c r="K1045" s="30" t="s">
        <v>52</v>
      </c>
      <c r="L1045" s="30" t="s">
        <v>102</v>
      </c>
      <c r="M1045" s="30" t="s">
        <v>212</v>
      </c>
      <c r="N1045" s="30" t="s">
        <v>103</v>
      </c>
      <c r="O1045" s="30" t="s">
        <v>55</v>
      </c>
      <c r="P1045" s="30" t="s">
        <v>58</v>
      </c>
      <c r="Q1045" s="30" t="s">
        <v>59</v>
      </c>
      <c r="R1045" s="30" t="s">
        <v>56</v>
      </c>
      <c r="S1045" s="30" t="s">
        <v>106</v>
      </c>
      <c r="T1045" s="30" t="s">
        <v>493</v>
      </c>
      <c r="U1045" s="30" t="s">
        <v>128</v>
      </c>
      <c r="V1045" s="30" t="s">
        <v>116</v>
      </c>
      <c r="W1045" s="30" t="s">
        <v>79</v>
      </c>
      <c r="X1045" s="30" t="s">
        <v>107</v>
      </c>
      <c r="Y1045" s="30" t="s">
        <v>117</v>
      </c>
      <c r="Z1045" s="30" t="s">
        <v>64</v>
      </c>
      <c r="AA1045" s="30" t="s">
        <v>565</v>
      </c>
      <c r="AB1045" s="30" t="s">
        <v>658</v>
      </c>
      <c r="AC1045" s="30" t="s">
        <v>3064</v>
      </c>
    </row>
    <row r="1046" spans="1:29">
      <c r="A1046" s="24" t="s">
        <v>3065</v>
      </c>
      <c r="B1046" s="24" t="str">
        <f>IF(ISNUMBER(SEARCH(E1046,A1046)),A1046,IF(OR(E1046="",E1046=""),A1046,A1046&amp;" - "&amp;E1046))</f>
        <v>Lumir Blue wizzard - Blue Wizard</v>
      </c>
      <c r="C1046" s="24" t="s">
        <v>564</v>
      </c>
      <c r="D1046" s="24" t="s">
        <v>565</v>
      </c>
      <c r="E1046" s="24" t="s">
        <v>3066</v>
      </c>
      <c r="F1046" s="24" t="s">
        <v>120</v>
      </c>
      <c r="G1046" s="27">
        <v>18</v>
      </c>
      <c r="H1046" s="28">
        <v>1</v>
      </c>
      <c r="I1046" s="24"/>
      <c r="J1046" s="24"/>
      <c r="K1046" s="24" t="s">
        <v>17</v>
      </c>
      <c r="L1046" s="24" t="s">
        <v>3003</v>
      </c>
      <c r="M1046" s="24" t="s">
        <v>212</v>
      </c>
      <c r="N1046" s="24" t="s">
        <v>88</v>
      </c>
      <c r="O1046" s="24" t="s">
        <v>55</v>
      </c>
      <c r="P1046" s="24" t="s">
        <v>56</v>
      </c>
      <c r="Q1046" s="24" t="s">
        <v>56</v>
      </c>
      <c r="R1046" s="24" t="s">
        <v>56</v>
      </c>
      <c r="S1046" s="24" t="s">
        <v>123</v>
      </c>
      <c r="T1046" s="24" t="s">
        <v>106</v>
      </c>
      <c r="U1046" s="24" t="s">
        <v>128</v>
      </c>
      <c r="V1046" s="24" t="s">
        <v>77</v>
      </c>
      <c r="W1046" s="24" t="s">
        <v>107</v>
      </c>
      <c r="X1046" s="24" t="s">
        <v>711</v>
      </c>
      <c r="Y1046" s="24" t="s">
        <v>56</v>
      </c>
      <c r="Z1046" s="24" t="s">
        <v>64</v>
      </c>
      <c r="AA1046" s="24" t="s">
        <v>565</v>
      </c>
      <c r="AB1046" s="24" t="s">
        <v>56</v>
      </c>
      <c r="AC1046" s="24" t="s">
        <v>3067</v>
      </c>
    </row>
    <row r="1047" spans="1:29" s="5" customFormat="1">
      <c r="A1047" s="30" t="s">
        <v>3068</v>
      </c>
      <c r="B1047" s="30" t="str">
        <f>IF(ISNUMBER(SEARCH(E1047,A1047)),A1047,IF(OR(E1047="",E1047=""),A1047,A1047&amp;" - "&amp;E1047))</f>
        <v>madrecan 21/1 RCH - Remo Chemo</v>
      </c>
      <c r="C1047" s="30" t="s">
        <v>83</v>
      </c>
      <c r="D1047" s="30" t="s">
        <v>84</v>
      </c>
      <c r="E1047" s="30" t="s">
        <v>1191</v>
      </c>
      <c r="F1047" s="30" t="s">
        <v>177</v>
      </c>
      <c r="G1047" s="34">
        <v>21</v>
      </c>
      <c r="H1047" s="35">
        <v>1</v>
      </c>
      <c r="I1047" s="30"/>
      <c r="J1047" s="30"/>
      <c r="K1047" s="30" t="s">
        <v>17</v>
      </c>
      <c r="L1047" s="30" t="s">
        <v>102</v>
      </c>
      <c r="M1047" s="30" t="s">
        <v>103</v>
      </c>
      <c r="N1047" s="30" t="s">
        <v>72</v>
      </c>
      <c r="O1047" s="30" t="s">
        <v>56</v>
      </c>
      <c r="P1047" s="30" t="s">
        <v>73</v>
      </c>
      <c r="Q1047" s="30" t="s">
        <v>74</v>
      </c>
      <c r="R1047" s="30" t="s">
        <v>59</v>
      </c>
      <c r="S1047" s="30" t="s">
        <v>147</v>
      </c>
      <c r="T1047" s="30" t="s">
        <v>123</v>
      </c>
      <c r="U1047" s="30" t="s">
        <v>106</v>
      </c>
      <c r="V1047" s="30" t="s">
        <v>92</v>
      </c>
      <c r="W1047" s="30" t="s">
        <v>77</v>
      </c>
      <c r="X1047" s="30" t="s">
        <v>107</v>
      </c>
      <c r="Y1047" s="30" t="s">
        <v>1812</v>
      </c>
      <c r="Z1047" s="30" t="s">
        <v>64</v>
      </c>
      <c r="AA1047" s="30" t="s">
        <v>95</v>
      </c>
      <c r="AB1047" s="30" t="s">
        <v>56</v>
      </c>
      <c r="AC1047" s="30" t="s">
        <v>3069</v>
      </c>
    </row>
    <row r="1048" spans="1:29">
      <c r="A1048" s="24" t="s">
        <v>3070</v>
      </c>
      <c r="B1048" s="24" t="str">
        <f>IF(ISNUMBER(SEARCH(E1048,A1048)),A1048,IF(OR(E1048="",E1048=""),A1048,A1048&amp;" - "&amp;E1048))</f>
        <v>Materia 8BK 30/1 - 8 Ball Kush</v>
      </c>
      <c r="C1048" s="24" t="s">
        <v>3071</v>
      </c>
      <c r="D1048" s="24" t="s">
        <v>3072</v>
      </c>
      <c r="E1048" s="41" t="s">
        <v>1802</v>
      </c>
      <c r="F1048" s="24" t="s">
        <v>177</v>
      </c>
      <c r="G1048" s="27">
        <v>30</v>
      </c>
      <c r="H1048" s="28">
        <v>1</v>
      </c>
      <c r="I1048" s="24"/>
      <c r="J1048" s="24"/>
      <c r="K1048" s="24" t="s">
        <v>52</v>
      </c>
      <c r="L1048" s="24" t="s">
        <v>53</v>
      </c>
      <c r="M1048" s="24" t="s">
        <v>88</v>
      </c>
      <c r="N1048" s="24" t="s">
        <v>103</v>
      </c>
      <c r="O1048" s="24" t="s">
        <v>178</v>
      </c>
      <c r="P1048" s="24" t="s">
        <v>146</v>
      </c>
      <c r="Q1048" s="24" t="s">
        <v>112</v>
      </c>
      <c r="R1048" s="24" t="s">
        <v>75</v>
      </c>
      <c r="S1048" s="24" t="s">
        <v>466</v>
      </c>
      <c r="T1048" s="24" t="s">
        <v>147</v>
      </c>
      <c r="U1048" s="24" t="s">
        <v>106</v>
      </c>
      <c r="V1048" s="24" t="s">
        <v>77</v>
      </c>
      <c r="W1048" s="24"/>
      <c r="X1048" s="24"/>
      <c r="Y1048" s="24" t="s">
        <v>3073</v>
      </c>
      <c r="Z1048" s="24" t="s">
        <v>64</v>
      </c>
      <c r="AA1048" s="24" t="s">
        <v>3072</v>
      </c>
      <c r="AB1048" s="24"/>
      <c r="AC1048" s="60"/>
    </row>
    <row r="1049" spans="1:29">
      <c r="A1049" s="30" t="s">
        <v>3074</v>
      </c>
      <c r="B1049" s="30" t="str">
        <f>IF(ISNUMBER(SEARCH(E1049,A1049)),A1049,IF(OR(E1049="",E1049=""),A1049,A1049&amp;" - "&amp;E1049))</f>
        <v>Materia 8BK 30/1 - Bubba X King Kush - Bubba X Kink Kush</v>
      </c>
      <c r="C1049" s="30" t="s">
        <v>3071</v>
      </c>
      <c r="D1049" s="30" t="s">
        <v>3072</v>
      </c>
      <c r="E1049" s="30" t="s">
        <v>3075</v>
      </c>
      <c r="F1049" s="30" t="s">
        <v>51</v>
      </c>
      <c r="G1049" s="34">
        <v>30</v>
      </c>
      <c r="H1049" s="35">
        <v>1</v>
      </c>
      <c r="I1049" s="30"/>
      <c r="J1049" s="30"/>
      <c r="K1049" s="30" t="s">
        <v>52</v>
      </c>
      <c r="L1049" s="30" t="s">
        <v>53</v>
      </c>
      <c r="M1049" s="30" t="s">
        <v>88</v>
      </c>
      <c r="N1049" s="30" t="s">
        <v>72</v>
      </c>
      <c r="O1049" s="30" t="s">
        <v>56</v>
      </c>
      <c r="P1049" s="30" t="s">
        <v>157</v>
      </c>
      <c r="Q1049" s="30" t="s">
        <v>74</v>
      </c>
      <c r="R1049" s="30" t="s">
        <v>113</v>
      </c>
      <c r="S1049" s="30" t="s">
        <v>466</v>
      </c>
      <c r="T1049" s="30" t="s">
        <v>147</v>
      </c>
      <c r="U1049" s="30" t="s">
        <v>106</v>
      </c>
      <c r="V1049" s="30" t="s">
        <v>77</v>
      </c>
      <c r="W1049" s="30" t="s">
        <v>116</v>
      </c>
      <c r="X1049" s="30" t="s">
        <v>107</v>
      </c>
      <c r="Y1049" s="30" t="s">
        <v>1069</v>
      </c>
      <c r="Z1049" s="30" t="s">
        <v>64</v>
      </c>
      <c r="AA1049" s="30" t="s">
        <v>3072</v>
      </c>
      <c r="AB1049" s="30" t="s">
        <v>56</v>
      </c>
      <c r="AC1049" s="60" t="s">
        <v>3076</v>
      </c>
    </row>
    <row r="1050" spans="1:29">
      <c r="A1050" s="24" t="s">
        <v>3077</v>
      </c>
      <c r="B1050" s="24" t="str">
        <f>IF(ISNUMBER(SEARCH(E1050,A1050)),A1050,IF(OR(E1050="",E1050=""),A1050,A1050&amp;" - "&amp;E1050))</f>
        <v>Materia GH 27/1 - Grape Haze</v>
      </c>
      <c r="C1050" s="24" t="s">
        <v>3071</v>
      </c>
      <c r="D1050" s="24" t="s">
        <v>3072</v>
      </c>
      <c r="E1050" s="24" t="s">
        <v>1417</v>
      </c>
      <c r="F1050" s="24" t="s">
        <v>144</v>
      </c>
      <c r="G1050" s="27">
        <v>27</v>
      </c>
      <c r="H1050" s="28">
        <v>1</v>
      </c>
      <c r="I1050" s="24"/>
      <c r="J1050" s="24"/>
      <c r="K1050" s="24" t="s">
        <v>52</v>
      </c>
      <c r="L1050" s="24"/>
      <c r="M1050" s="24" t="s">
        <v>88</v>
      </c>
      <c r="N1050" s="24" t="s">
        <v>71</v>
      </c>
      <c r="O1050" s="24" t="s">
        <v>55</v>
      </c>
      <c r="P1050" s="24" t="s">
        <v>157</v>
      </c>
      <c r="Q1050" s="24" t="s">
        <v>74</v>
      </c>
      <c r="R1050" s="24" t="s">
        <v>75</v>
      </c>
      <c r="S1050" s="24" t="s">
        <v>187</v>
      </c>
      <c r="T1050" s="24" t="s">
        <v>90</v>
      </c>
      <c r="U1050" s="24" t="s">
        <v>105</v>
      </c>
      <c r="V1050" s="24" t="s">
        <v>77</v>
      </c>
      <c r="W1050" s="24" t="s">
        <v>79</v>
      </c>
      <c r="X1050" s="24" t="s">
        <v>107</v>
      </c>
      <c r="Y1050" s="24" t="s">
        <v>217</v>
      </c>
      <c r="Z1050" s="24" t="s">
        <v>64</v>
      </c>
      <c r="AA1050" s="24" t="s">
        <v>3072</v>
      </c>
      <c r="AB1050" s="24" t="s">
        <v>56</v>
      </c>
      <c r="AC1050" s="24" t="s">
        <v>3078</v>
      </c>
    </row>
    <row r="1051" spans="1:29">
      <c r="A1051" s="30" t="s">
        <v>3079</v>
      </c>
      <c r="B1051" s="30" t="str">
        <f>IF(ISNUMBER(SEARCH(E1051,A1051)),A1051,IF(OR(E1051="",E1051=""),A1051,A1051&amp;" - "&amp;E1051))</f>
        <v>MCCN No. 2 - Skywalker</v>
      </c>
      <c r="C1051" s="30" t="s">
        <v>564</v>
      </c>
      <c r="D1051" s="30" t="s">
        <v>565</v>
      </c>
      <c r="E1051" s="30" t="s">
        <v>1174</v>
      </c>
      <c r="F1051" s="30" t="s">
        <v>177</v>
      </c>
      <c r="G1051" s="34">
        <v>23</v>
      </c>
      <c r="H1051" s="35">
        <v>1</v>
      </c>
      <c r="I1051" s="30"/>
      <c r="J1051" s="30"/>
      <c r="K1051" s="30" t="s">
        <v>52</v>
      </c>
      <c r="L1051" s="30" t="s">
        <v>202</v>
      </c>
      <c r="M1051" s="30" t="s">
        <v>71</v>
      </c>
      <c r="N1051" s="30" t="s">
        <v>103</v>
      </c>
      <c r="O1051" s="30" t="s">
        <v>55</v>
      </c>
      <c r="P1051" s="30" t="s">
        <v>56</v>
      </c>
      <c r="Q1051" s="30" t="s">
        <v>56</v>
      </c>
      <c r="R1051" s="30" t="s">
        <v>56</v>
      </c>
      <c r="S1051" s="30" t="s">
        <v>147</v>
      </c>
      <c r="T1051" s="30" t="s">
        <v>106</v>
      </c>
      <c r="U1051" s="30" t="s">
        <v>62</v>
      </c>
      <c r="V1051" s="30" t="s">
        <v>77</v>
      </c>
      <c r="W1051" s="30" t="s">
        <v>116</v>
      </c>
      <c r="X1051" s="30" t="s">
        <v>93</v>
      </c>
      <c r="Y1051" s="30" t="s">
        <v>3080</v>
      </c>
      <c r="Z1051" s="30" t="s">
        <v>64</v>
      </c>
      <c r="AA1051" s="30" t="s">
        <v>565</v>
      </c>
      <c r="AB1051" s="30" t="s">
        <v>56</v>
      </c>
      <c r="AC1051" s="30" t="s">
        <v>3081</v>
      </c>
    </row>
    <row r="1052" spans="1:29" s="4" customFormat="1">
      <c r="A1052" s="24" t="s">
        <v>3082</v>
      </c>
      <c r="B1052" s="24" t="str">
        <f>IF(ISNUMBER(SEARCH(E1052,A1052)),A1052,IF(OR(E1052="",E1052=""),A1052,A1052&amp;" - "&amp;E1052))</f>
        <v>MCCN NO. 5 - Lemon Sour Diesel</v>
      </c>
      <c r="C1052" s="24" t="s">
        <v>564</v>
      </c>
      <c r="D1052" s="24" t="s">
        <v>565</v>
      </c>
      <c r="E1052" s="24" t="s">
        <v>387</v>
      </c>
      <c r="F1052" s="24" t="s">
        <v>144</v>
      </c>
      <c r="G1052" s="27">
        <v>23</v>
      </c>
      <c r="H1052" s="28">
        <v>1</v>
      </c>
      <c r="I1052" s="24"/>
      <c r="J1052" s="24"/>
      <c r="K1052" s="24" t="s">
        <v>52</v>
      </c>
      <c r="L1052" s="24" t="s">
        <v>202</v>
      </c>
      <c r="M1052" s="24" t="s">
        <v>111</v>
      </c>
      <c r="N1052" s="24" t="s">
        <v>88</v>
      </c>
      <c r="O1052" s="24" t="s">
        <v>71</v>
      </c>
      <c r="P1052" s="24" t="s">
        <v>75</v>
      </c>
      <c r="Q1052" s="24" t="s">
        <v>56</v>
      </c>
      <c r="R1052" s="24" t="s">
        <v>56</v>
      </c>
      <c r="S1052" s="24" t="s">
        <v>60</v>
      </c>
      <c r="T1052" s="24" t="s">
        <v>106</v>
      </c>
      <c r="U1052" s="24" t="s">
        <v>91</v>
      </c>
      <c r="V1052" s="24" t="s">
        <v>77</v>
      </c>
      <c r="W1052" s="24" t="s">
        <v>79</v>
      </c>
      <c r="X1052" s="24" t="s">
        <v>173</v>
      </c>
      <c r="Y1052" s="24" t="s">
        <v>56</v>
      </c>
      <c r="Z1052" s="24" t="s">
        <v>64</v>
      </c>
      <c r="AA1052" s="24" t="s">
        <v>565</v>
      </c>
      <c r="AB1052" s="24" t="s">
        <v>3083</v>
      </c>
      <c r="AC1052" s="24" t="s">
        <v>3084</v>
      </c>
    </row>
    <row r="1053" spans="1:29">
      <c r="A1053" s="30" t="s">
        <v>3085</v>
      </c>
      <c r="B1053" s="30" t="str">
        <f>IF(ISNUMBER(SEARCH(E1053,A1053)),A1053,IF(OR(E1053="",E1053=""),A1053,A1053&amp;" - "&amp;E1053))</f>
        <v>MeCann 19/1 - Jack Herer</v>
      </c>
      <c r="C1053" s="29" t="s">
        <v>3086</v>
      </c>
      <c r="D1053" s="30" t="s">
        <v>3087</v>
      </c>
      <c r="E1053" s="30" t="s">
        <v>382</v>
      </c>
      <c r="F1053" s="30" t="s">
        <v>69</v>
      </c>
      <c r="G1053" s="34">
        <v>18</v>
      </c>
      <c r="H1053" s="35">
        <v>1</v>
      </c>
      <c r="I1053" s="30"/>
      <c r="J1053" s="30"/>
      <c r="K1053" s="30" t="s">
        <v>52</v>
      </c>
      <c r="L1053" s="30" t="s">
        <v>965</v>
      </c>
      <c r="M1053" s="30" t="s">
        <v>54</v>
      </c>
      <c r="N1053" s="30" t="s">
        <v>111</v>
      </c>
      <c r="O1053" s="30" t="s">
        <v>71</v>
      </c>
      <c r="P1053" s="30" t="s">
        <v>146</v>
      </c>
      <c r="Q1053" s="30" t="s">
        <v>74</v>
      </c>
      <c r="R1053" s="30" t="s">
        <v>113</v>
      </c>
      <c r="S1053" s="30" t="s">
        <v>90</v>
      </c>
      <c r="T1053" s="30" t="s">
        <v>76</v>
      </c>
      <c r="U1053" s="30" t="s">
        <v>62</v>
      </c>
      <c r="V1053" s="30" t="s">
        <v>77</v>
      </c>
      <c r="W1053" s="30" t="s">
        <v>253</v>
      </c>
      <c r="X1053" s="30" t="s">
        <v>383</v>
      </c>
      <c r="Y1053" s="30" t="s">
        <v>240</v>
      </c>
      <c r="Z1053" s="30" t="s">
        <v>64</v>
      </c>
      <c r="AA1053" s="30" t="s">
        <v>3087</v>
      </c>
      <c r="AB1053" s="30" t="s">
        <v>56</v>
      </c>
      <c r="AC1053" s="30" t="s">
        <v>3088</v>
      </c>
    </row>
    <row r="1054" spans="1:29">
      <c r="A1054" s="24" t="s">
        <v>3089</v>
      </c>
      <c r="B1054" s="24" t="str">
        <f>IF(ISNUMBER(SEARCH(E1054,A1054)),A1054,IF(OR(E1054="",E1054=""),A1054,A1054&amp;" - "&amp;E1054))</f>
        <v>MeCann 24/1 - Oreoz</v>
      </c>
      <c r="C1054" s="23" t="s">
        <v>3086</v>
      </c>
      <c r="D1054" s="24" t="s">
        <v>3087</v>
      </c>
      <c r="E1054" s="24" t="s">
        <v>603</v>
      </c>
      <c r="F1054" s="24" t="s">
        <v>120</v>
      </c>
      <c r="G1054" s="27">
        <v>24</v>
      </c>
      <c r="H1054" s="28">
        <v>1</v>
      </c>
      <c r="I1054" s="24"/>
      <c r="J1054" s="24"/>
      <c r="K1054" s="24" t="s">
        <v>52</v>
      </c>
      <c r="L1054" s="24" t="s">
        <v>965</v>
      </c>
      <c r="M1054" s="24" t="s">
        <v>88</v>
      </c>
      <c r="N1054" s="24" t="s">
        <v>71</v>
      </c>
      <c r="O1054" s="24" t="s">
        <v>103</v>
      </c>
      <c r="P1054" s="24" t="s">
        <v>604</v>
      </c>
      <c r="Q1054" s="24" t="s">
        <v>591</v>
      </c>
      <c r="R1054" s="24" t="s">
        <v>73</v>
      </c>
      <c r="S1054" s="24" t="s">
        <v>123</v>
      </c>
      <c r="T1054" s="24" t="s">
        <v>106</v>
      </c>
      <c r="U1054" s="24" t="s">
        <v>62</v>
      </c>
      <c r="V1054" s="24" t="s">
        <v>77</v>
      </c>
      <c r="W1054" s="24" t="s">
        <v>116</v>
      </c>
      <c r="X1054" s="24" t="s">
        <v>79</v>
      </c>
      <c r="Y1054" s="24" t="s">
        <v>1036</v>
      </c>
      <c r="Z1054" s="24" t="s">
        <v>64</v>
      </c>
      <c r="AA1054" s="24" t="s">
        <v>3087</v>
      </c>
      <c r="AB1054" s="24" t="s">
        <v>56</v>
      </c>
      <c r="AC1054" s="24" t="s">
        <v>3090</v>
      </c>
    </row>
    <row r="1055" spans="1:29">
      <c r="A1055" s="30" t="s">
        <v>3091</v>
      </c>
      <c r="B1055" s="30" t="str">
        <f>IF(ISNUMBER(SEARCH(E1055,A1055)),A1055,IF(OR(E1055="",E1055=""),A1055,A1055&amp;" - "&amp;E1055))</f>
        <v>Medican Heri - Herijuana</v>
      </c>
      <c r="C1055" s="30" t="s">
        <v>2243</v>
      </c>
      <c r="D1055" s="30" t="s">
        <v>2244</v>
      </c>
      <c r="E1055" s="30" t="s">
        <v>3092</v>
      </c>
      <c r="F1055" s="30" t="s">
        <v>51</v>
      </c>
      <c r="G1055" s="34">
        <v>13</v>
      </c>
      <c r="H1055" s="35">
        <v>1</v>
      </c>
      <c r="I1055" s="30"/>
      <c r="J1055" s="30"/>
      <c r="K1055" s="30" t="s">
        <v>17</v>
      </c>
      <c r="L1055" s="30" t="s">
        <v>87</v>
      </c>
      <c r="M1055" s="30" t="s">
        <v>121</v>
      </c>
      <c r="N1055" s="30" t="s">
        <v>72</v>
      </c>
      <c r="O1055" s="30" t="s">
        <v>56</v>
      </c>
      <c r="P1055" s="30" t="s">
        <v>122</v>
      </c>
      <c r="Q1055" s="30" t="s">
        <v>113</v>
      </c>
      <c r="R1055" s="30" t="s">
        <v>59</v>
      </c>
      <c r="S1055" s="30" t="s">
        <v>105</v>
      </c>
      <c r="T1055" s="30" t="s">
        <v>60</v>
      </c>
      <c r="U1055" s="30" t="s">
        <v>123</v>
      </c>
      <c r="V1055" s="30" t="s">
        <v>77</v>
      </c>
      <c r="W1055" s="30" t="s">
        <v>116</v>
      </c>
      <c r="X1055" s="30" t="s">
        <v>107</v>
      </c>
      <c r="Y1055" s="30" t="s">
        <v>56</v>
      </c>
      <c r="Z1055" s="30" t="s">
        <v>64</v>
      </c>
      <c r="AA1055" s="30" t="s">
        <v>2244</v>
      </c>
      <c r="AB1055" s="30" t="s">
        <v>56</v>
      </c>
      <c r="AC1055" s="30" t="s">
        <v>3093</v>
      </c>
    </row>
    <row r="1056" spans="1:29">
      <c r="A1056" s="24" t="s">
        <v>3094</v>
      </c>
      <c r="B1056" s="24" t="str">
        <f>IF(ISNUMBER(SEARCH(E1056,A1056)),A1056,IF(OR(E1056="",E1056=""),A1056,A1056&amp;" - "&amp;E1056))</f>
        <v>MediCann OZ 26/1 - Oreoz</v>
      </c>
      <c r="C1056" s="24" t="s">
        <v>2243</v>
      </c>
      <c r="D1056" s="24" t="s">
        <v>2244</v>
      </c>
      <c r="E1056" s="24" t="s">
        <v>603</v>
      </c>
      <c r="F1056" s="24" t="s">
        <v>86</v>
      </c>
      <c r="G1056" s="27">
        <v>24</v>
      </c>
      <c r="H1056" s="28">
        <v>1</v>
      </c>
      <c r="I1056" s="24"/>
      <c r="J1056" s="24"/>
      <c r="K1056" s="24" t="s">
        <v>52</v>
      </c>
      <c r="L1056" s="24" t="s">
        <v>965</v>
      </c>
      <c r="M1056" s="24" t="s">
        <v>88</v>
      </c>
      <c r="N1056" s="24" t="s">
        <v>71</v>
      </c>
      <c r="O1056" s="24" t="s">
        <v>103</v>
      </c>
      <c r="P1056" s="24" t="s">
        <v>604</v>
      </c>
      <c r="Q1056" s="24" t="s">
        <v>591</v>
      </c>
      <c r="R1056" s="24" t="s">
        <v>73</v>
      </c>
      <c r="S1056" s="24" t="s">
        <v>147</v>
      </c>
      <c r="T1056" s="24" t="s">
        <v>106</v>
      </c>
      <c r="U1056" s="24" t="s">
        <v>62</v>
      </c>
      <c r="V1056" s="24" t="s">
        <v>77</v>
      </c>
      <c r="W1056" s="24" t="s">
        <v>116</v>
      </c>
      <c r="X1056" s="24" t="s">
        <v>79</v>
      </c>
      <c r="Y1056" s="24" t="s">
        <v>56</v>
      </c>
      <c r="Z1056" s="24" t="s">
        <v>64</v>
      </c>
      <c r="AA1056" s="24" t="s">
        <v>2244</v>
      </c>
      <c r="AB1056" s="24" t="s">
        <v>56</v>
      </c>
      <c r="AC1056" s="24" t="s">
        <v>3095</v>
      </c>
    </row>
    <row r="1057" spans="1:29">
      <c r="A1057" s="30" t="s">
        <v>3096</v>
      </c>
      <c r="B1057" s="30" t="str">
        <f>IF(ISNUMBER(SEARCH(E1057,A1057)),A1057,IF(OR(E1057="",E1057=""),A1057,A1057&amp;" - "&amp;E1057))</f>
        <v>Medicus 24/1 EVS - Godfather Biscotti</v>
      </c>
      <c r="C1057" s="30" t="s">
        <v>83</v>
      </c>
      <c r="D1057" s="30" t="s">
        <v>84</v>
      </c>
      <c r="E1057" s="30" t="s">
        <v>3097</v>
      </c>
      <c r="F1057" s="30" t="s">
        <v>86</v>
      </c>
      <c r="G1057" s="34">
        <v>24</v>
      </c>
      <c r="H1057" s="35">
        <v>1</v>
      </c>
      <c r="I1057" s="30"/>
      <c r="J1057" s="30"/>
      <c r="K1057" s="30" t="s">
        <v>52</v>
      </c>
      <c r="L1057" s="30" t="s">
        <v>1506</v>
      </c>
      <c r="M1057" s="30" t="s">
        <v>56</v>
      </c>
      <c r="N1057" s="30"/>
      <c r="O1057" s="30" t="s">
        <v>56</v>
      </c>
      <c r="P1057" s="30" t="s">
        <v>56</v>
      </c>
      <c r="Q1057" s="30" t="s">
        <v>56</v>
      </c>
      <c r="R1057" s="30" t="s">
        <v>56</v>
      </c>
      <c r="S1057" s="30" t="s">
        <v>56</v>
      </c>
      <c r="T1057" s="30" t="s">
        <v>56</v>
      </c>
      <c r="U1057" s="30" t="s">
        <v>56</v>
      </c>
      <c r="V1057" s="30" t="s">
        <v>56</v>
      </c>
      <c r="W1057" s="30"/>
      <c r="X1057" s="30" t="s">
        <v>56</v>
      </c>
      <c r="Y1057" s="30" t="s">
        <v>3098</v>
      </c>
      <c r="Z1057" s="30" t="s">
        <v>64</v>
      </c>
      <c r="AA1057" s="30" t="s">
        <v>95</v>
      </c>
      <c r="AB1057" s="30" t="s">
        <v>56</v>
      </c>
      <c r="AC1057" s="30" t="s">
        <v>3099</v>
      </c>
    </row>
    <row r="1058" spans="1:29">
      <c r="A1058" s="24" t="s">
        <v>3100</v>
      </c>
      <c r="B1058" s="24" t="str">
        <f>IF(ISNUMBER(SEARCH(E1058,A1058)),A1058,IF(OR(E1058="",E1058=""),A1058,A1058&amp;" - "&amp;E1058))</f>
        <v>Medicus 27/1 EVS - Cereal Milk</v>
      </c>
      <c r="C1058" s="24" t="s">
        <v>83</v>
      </c>
      <c r="D1058" s="24" t="s">
        <v>84</v>
      </c>
      <c r="E1058" s="24" t="s">
        <v>2586</v>
      </c>
      <c r="F1058" s="24" t="s">
        <v>144</v>
      </c>
      <c r="G1058" s="27">
        <v>27</v>
      </c>
      <c r="H1058" s="28">
        <v>1</v>
      </c>
      <c r="I1058" s="24"/>
      <c r="J1058" s="24"/>
      <c r="K1058" s="24" t="s">
        <v>52</v>
      </c>
      <c r="L1058" s="24"/>
      <c r="M1058" s="24" t="s">
        <v>88</v>
      </c>
      <c r="N1058" s="24" t="s">
        <v>72</v>
      </c>
      <c r="O1058" s="24" t="s">
        <v>56</v>
      </c>
      <c r="P1058" s="24" t="s">
        <v>57</v>
      </c>
      <c r="Q1058" s="24" t="s">
        <v>75</v>
      </c>
      <c r="R1058" s="24" t="s">
        <v>89</v>
      </c>
      <c r="S1058" s="24" t="s">
        <v>56</v>
      </c>
      <c r="T1058" s="24" t="s">
        <v>56</v>
      </c>
      <c r="U1058" s="24" t="s">
        <v>56</v>
      </c>
      <c r="V1058" s="24" t="s">
        <v>92</v>
      </c>
      <c r="W1058" s="24" t="s">
        <v>116</v>
      </c>
      <c r="X1058" s="24" t="s">
        <v>78</v>
      </c>
      <c r="Y1058" s="24" t="s">
        <v>1762</v>
      </c>
      <c r="Z1058" s="24" t="s">
        <v>64</v>
      </c>
      <c r="AA1058" s="24" t="s">
        <v>95</v>
      </c>
      <c r="AB1058" s="24" t="s">
        <v>56</v>
      </c>
      <c r="AC1058" s="24" t="s">
        <v>3101</v>
      </c>
    </row>
    <row r="1059" spans="1:29">
      <c r="A1059" s="30" t="s">
        <v>3102</v>
      </c>
      <c r="B1059" s="30" t="str">
        <f>IF(ISNUMBER(SEARCH(E1059,A1059)),A1059,IF(OR(E1059="",E1059=""),A1059,A1059&amp;" - "&amp;E1059))</f>
        <v>Mediprocan Lunaris 19/1 - Motor Breath</v>
      </c>
      <c r="C1059" s="30" t="s">
        <v>317</v>
      </c>
      <c r="D1059" s="30" t="s">
        <v>318</v>
      </c>
      <c r="E1059" s="30" t="s">
        <v>3103</v>
      </c>
      <c r="F1059" s="30" t="s">
        <v>120</v>
      </c>
      <c r="G1059" s="34">
        <v>19</v>
      </c>
      <c r="H1059" s="35">
        <v>1</v>
      </c>
      <c r="I1059" s="30"/>
      <c r="J1059" s="30"/>
      <c r="K1059" s="30" t="s">
        <v>52</v>
      </c>
      <c r="L1059" s="30"/>
      <c r="M1059" s="30" t="s">
        <v>54</v>
      </c>
      <c r="N1059" s="30" t="s">
        <v>88</v>
      </c>
      <c r="O1059" s="30" t="s">
        <v>178</v>
      </c>
      <c r="P1059" s="30" t="s">
        <v>73</v>
      </c>
      <c r="Q1059" s="30" t="s">
        <v>146</v>
      </c>
      <c r="R1059" s="30" t="s">
        <v>74</v>
      </c>
      <c r="S1059" s="30" t="s">
        <v>147</v>
      </c>
      <c r="T1059" s="30" t="s">
        <v>106</v>
      </c>
      <c r="U1059" s="30" t="s">
        <v>62</v>
      </c>
      <c r="V1059" s="30" t="s">
        <v>77</v>
      </c>
      <c r="W1059" s="30" t="s">
        <v>116</v>
      </c>
      <c r="X1059" s="30" t="s">
        <v>107</v>
      </c>
      <c r="Y1059" s="30" t="s">
        <v>56</v>
      </c>
      <c r="Z1059" s="30" t="s">
        <v>64</v>
      </c>
      <c r="AA1059" s="30" t="s">
        <v>320</v>
      </c>
      <c r="AB1059" s="30" t="s">
        <v>56</v>
      </c>
      <c r="AC1059" s="30" t="s">
        <v>3104</v>
      </c>
    </row>
    <row r="1060" spans="1:29">
      <c r="A1060" s="24" t="s">
        <v>3105</v>
      </c>
      <c r="B1060" s="24" t="str">
        <f>IF(ISNUMBER(SEARCH(E1060,A1060)),A1060,IF(OR(E1060="",E1060=""),A1060,A1060&amp;" - "&amp;E1060))</f>
        <v>MEDMEN BCP T25 - Black Cherry Punch</v>
      </c>
      <c r="C1060" s="24" t="s">
        <v>996</v>
      </c>
      <c r="D1060" s="24" t="s">
        <v>997</v>
      </c>
      <c r="E1060" s="24" t="s">
        <v>685</v>
      </c>
      <c r="F1060" s="24" t="s">
        <v>86</v>
      </c>
      <c r="G1060" s="27">
        <v>25</v>
      </c>
      <c r="H1060" s="28">
        <v>1</v>
      </c>
      <c r="I1060" s="24"/>
      <c r="J1060" s="24"/>
      <c r="K1060" s="24" t="s">
        <v>52</v>
      </c>
      <c r="L1060" s="24" t="s">
        <v>102</v>
      </c>
      <c r="M1060" s="24" t="s">
        <v>71</v>
      </c>
      <c r="N1060" s="24" t="s">
        <v>103</v>
      </c>
      <c r="O1060" s="24" t="s">
        <v>121</v>
      </c>
      <c r="P1060" s="24" t="s">
        <v>104</v>
      </c>
      <c r="Q1060" s="24" t="s">
        <v>89</v>
      </c>
      <c r="R1060" s="24" t="s">
        <v>58</v>
      </c>
      <c r="S1060" s="24" t="s">
        <v>123</v>
      </c>
      <c r="T1060" s="24" t="s">
        <v>106</v>
      </c>
      <c r="U1060" s="24" t="s">
        <v>114</v>
      </c>
      <c r="V1060" s="24" t="s">
        <v>77</v>
      </c>
      <c r="W1060" s="24" t="s">
        <v>116</v>
      </c>
      <c r="X1060" s="24" t="s">
        <v>79</v>
      </c>
      <c r="Y1060" s="24" t="s">
        <v>56</v>
      </c>
      <c r="Z1060" s="24" t="s">
        <v>64</v>
      </c>
      <c r="AA1060" s="24" t="s">
        <v>997</v>
      </c>
      <c r="AB1060" s="24" t="s">
        <v>56</v>
      </c>
      <c r="AC1060" s="24" t="s">
        <v>3106</v>
      </c>
    </row>
    <row r="1061" spans="1:29">
      <c r="A1061" s="30" t="s">
        <v>3107</v>
      </c>
      <c r="B1061" s="30" t="str">
        <f>IF(ISNUMBER(SEARCH(E1061,A1061)),A1061,IF(OR(E1061="",E1061=""),A1061,A1061&amp;" - "&amp;E1061))</f>
        <v>MGF AB 22/1 - Apples &amp; Bananas</v>
      </c>
      <c r="C1061" s="30" t="s">
        <v>3108</v>
      </c>
      <c r="D1061" s="30" t="s">
        <v>3109</v>
      </c>
      <c r="E1061" s="30" t="s">
        <v>1120</v>
      </c>
      <c r="F1061" s="30" t="s">
        <v>86</v>
      </c>
      <c r="G1061" s="34">
        <v>22</v>
      </c>
      <c r="H1061" s="35">
        <v>1</v>
      </c>
      <c r="I1061" s="30"/>
      <c r="J1061" s="30"/>
      <c r="K1061" s="30" t="s">
        <v>52</v>
      </c>
      <c r="L1061" s="30" t="s">
        <v>102</v>
      </c>
      <c r="M1061" s="30" t="s">
        <v>54</v>
      </c>
      <c r="N1061" s="30" t="s">
        <v>71</v>
      </c>
      <c r="O1061" s="30" t="s">
        <v>55</v>
      </c>
      <c r="P1061" s="30" t="s">
        <v>58</v>
      </c>
      <c r="Q1061" s="30" t="s">
        <v>56</v>
      </c>
      <c r="R1061" s="30" t="s">
        <v>56</v>
      </c>
      <c r="S1061" s="30" t="s">
        <v>56</v>
      </c>
      <c r="T1061" s="30" t="s">
        <v>56</v>
      </c>
      <c r="U1061" s="30" t="s">
        <v>56</v>
      </c>
      <c r="V1061" s="30" t="s">
        <v>92</v>
      </c>
      <c r="W1061" s="30" t="s">
        <v>77</v>
      </c>
      <c r="X1061" s="30" t="s">
        <v>129</v>
      </c>
      <c r="Y1061" s="30" t="s">
        <v>2671</v>
      </c>
      <c r="Z1061" s="30" t="s">
        <v>64</v>
      </c>
      <c r="AA1061" s="30" t="s">
        <v>3109</v>
      </c>
      <c r="AB1061" s="30" t="s">
        <v>56</v>
      </c>
      <c r="AC1061" s="30" t="s">
        <v>3110</v>
      </c>
    </row>
    <row r="1062" spans="1:29">
      <c r="A1062" s="24" t="s">
        <v>3111</v>
      </c>
      <c r="B1062" s="24" t="str">
        <f>IF(ISNUMBER(SEARCH(E1062,A1062)),A1062,IF(OR(E1062="",E1062=""),A1062,A1062&amp;" - "&amp;E1062))</f>
        <v>MGF AB 27/1 - Apples &amp; Bananas</v>
      </c>
      <c r="C1062" s="24" t="s">
        <v>3108</v>
      </c>
      <c r="D1062" s="24" t="s">
        <v>3109</v>
      </c>
      <c r="E1062" s="24" t="s">
        <v>1120</v>
      </c>
      <c r="F1062" s="24" t="s">
        <v>86</v>
      </c>
      <c r="G1062" s="27">
        <v>27</v>
      </c>
      <c r="H1062" s="28">
        <v>1</v>
      </c>
      <c r="I1062" s="24"/>
      <c r="J1062" s="24"/>
      <c r="K1062" s="24" t="s">
        <v>52</v>
      </c>
      <c r="L1062" s="24" t="s">
        <v>102</v>
      </c>
      <c r="M1062" s="24" t="s">
        <v>54</v>
      </c>
      <c r="N1062" s="24" t="s">
        <v>71</v>
      </c>
      <c r="O1062" s="24" t="s">
        <v>55</v>
      </c>
      <c r="P1062" s="24" t="s">
        <v>58</v>
      </c>
      <c r="Q1062" s="24" t="s">
        <v>56</v>
      </c>
      <c r="R1062" s="24" t="s">
        <v>56</v>
      </c>
      <c r="S1062" s="24" t="s">
        <v>56</v>
      </c>
      <c r="T1062" s="24" t="s">
        <v>56</v>
      </c>
      <c r="U1062" s="24" t="s">
        <v>56</v>
      </c>
      <c r="V1062" s="24" t="s">
        <v>92</v>
      </c>
      <c r="W1062" s="24" t="s">
        <v>77</v>
      </c>
      <c r="X1062" s="24" t="s">
        <v>129</v>
      </c>
      <c r="Y1062" s="24" t="s">
        <v>56</v>
      </c>
      <c r="Z1062" s="24" t="s">
        <v>64</v>
      </c>
      <c r="AA1062" s="24" t="s">
        <v>3109</v>
      </c>
      <c r="AB1062" s="24" t="s">
        <v>56</v>
      </c>
      <c r="AC1062" s="24" t="s">
        <v>3112</v>
      </c>
    </row>
    <row r="1063" spans="1:29">
      <c r="A1063" s="30" t="s">
        <v>3113</v>
      </c>
      <c r="B1063" s="30" t="str">
        <f>IF(ISNUMBER(SEARCH(E1063,A1063)),A1063,IF(OR(E1063="",E1063=""),A1063,A1063&amp;" - "&amp;E1063))</f>
        <v>MGF Bifrost 26/1</v>
      </c>
      <c r="C1063" s="30" t="s">
        <v>3108</v>
      </c>
      <c r="D1063" s="30" t="s">
        <v>3109</v>
      </c>
      <c r="E1063" s="30" t="s">
        <v>3114</v>
      </c>
      <c r="F1063" s="30" t="s">
        <v>177</v>
      </c>
      <c r="G1063" s="34">
        <v>26</v>
      </c>
      <c r="H1063" s="35">
        <v>1</v>
      </c>
      <c r="I1063" s="30"/>
      <c r="J1063" s="30"/>
      <c r="K1063" s="30" t="s">
        <v>52</v>
      </c>
      <c r="L1063" s="30" t="s">
        <v>1719</v>
      </c>
      <c r="M1063" s="30" t="s">
        <v>54</v>
      </c>
      <c r="N1063" s="30" t="s">
        <v>72</v>
      </c>
      <c r="O1063" s="30" t="s">
        <v>56</v>
      </c>
      <c r="P1063" s="30" t="s">
        <v>74</v>
      </c>
      <c r="Q1063" s="30" t="s">
        <v>89</v>
      </c>
      <c r="R1063" s="30" t="s">
        <v>59</v>
      </c>
      <c r="S1063" s="30" t="s">
        <v>56</v>
      </c>
      <c r="T1063" s="30" t="s">
        <v>56</v>
      </c>
      <c r="U1063" s="30" t="s">
        <v>56</v>
      </c>
      <c r="V1063" s="30" t="s">
        <v>77</v>
      </c>
      <c r="W1063" s="30" t="s">
        <v>173</v>
      </c>
      <c r="X1063" s="30" t="s">
        <v>56</v>
      </c>
      <c r="Y1063" s="30" t="s">
        <v>849</v>
      </c>
      <c r="Z1063" s="30" t="s">
        <v>64</v>
      </c>
      <c r="AA1063" s="30" t="s">
        <v>3109</v>
      </c>
      <c r="AB1063" s="30" t="s">
        <v>56</v>
      </c>
      <c r="AC1063" s="30" t="s">
        <v>3115</v>
      </c>
    </row>
    <row r="1064" spans="1:29">
      <c r="A1064" s="24" t="s">
        <v>3116</v>
      </c>
      <c r="B1064" s="24" t="str">
        <f>IF(ISNUMBER(SEARCH(E1064,A1064)),A1064,IF(OR(E1064="",E1064=""),A1064,A1064&amp;" - "&amp;E1064))</f>
        <v>MGF Blue Monkey 26/1</v>
      </c>
      <c r="C1064" s="24" t="s">
        <v>3108</v>
      </c>
      <c r="D1064" s="24" t="s">
        <v>3109</v>
      </c>
      <c r="E1064" s="41" t="s">
        <v>1706</v>
      </c>
      <c r="F1064" s="24" t="s">
        <v>177</v>
      </c>
      <c r="G1064" s="27">
        <v>26</v>
      </c>
      <c r="H1064" s="28">
        <v>1</v>
      </c>
      <c r="I1064" s="24"/>
      <c r="J1064" s="24"/>
      <c r="K1064" s="24" t="s">
        <v>52</v>
      </c>
      <c r="L1064" s="24" t="s">
        <v>102</v>
      </c>
      <c r="M1064" s="24" t="s">
        <v>121</v>
      </c>
      <c r="N1064" s="24" t="s">
        <v>72</v>
      </c>
      <c r="O1064" s="24"/>
      <c r="P1064" s="24" t="s">
        <v>73</v>
      </c>
      <c r="Q1064" s="24" t="s">
        <v>89</v>
      </c>
      <c r="R1064" s="24" t="s">
        <v>58</v>
      </c>
      <c r="S1064" s="24" t="s">
        <v>62</v>
      </c>
      <c r="T1064" s="24" t="s">
        <v>128</v>
      </c>
      <c r="U1064" s="24"/>
      <c r="V1064" s="24" t="s">
        <v>77</v>
      </c>
      <c r="W1064" s="24" t="s">
        <v>116</v>
      </c>
      <c r="X1064" s="24" t="s">
        <v>107</v>
      </c>
      <c r="Y1064" s="24" t="s">
        <v>331</v>
      </c>
      <c r="Z1064" s="24" t="s">
        <v>64</v>
      </c>
      <c r="AA1064" s="24" t="s">
        <v>3109</v>
      </c>
      <c r="AB1064" s="24"/>
      <c r="AC1064" s="24" t="s">
        <v>3117</v>
      </c>
    </row>
    <row r="1065" spans="1:29">
      <c r="A1065" s="30" t="s">
        <v>3118</v>
      </c>
      <c r="B1065" s="30" t="str">
        <f>IF(ISNUMBER(SEARCH(E1065,A1065)),A1065,IF(OR(E1065="",E1065=""),A1065,A1065&amp;" - "&amp;E1065))</f>
        <v>MGF CD 22/1 - Cherry DoSiDos</v>
      </c>
      <c r="C1065" s="30" t="s">
        <v>3108</v>
      </c>
      <c r="D1065" s="30" t="s">
        <v>3109</v>
      </c>
      <c r="E1065" s="30" t="s">
        <v>3008</v>
      </c>
      <c r="F1065" s="30" t="s">
        <v>86</v>
      </c>
      <c r="G1065" s="34">
        <v>22</v>
      </c>
      <c r="H1065" s="35">
        <v>1</v>
      </c>
      <c r="I1065" s="30"/>
      <c r="J1065" s="30"/>
      <c r="K1065" s="30" t="s">
        <v>52</v>
      </c>
      <c r="L1065" s="30" t="s">
        <v>1719</v>
      </c>
      <c r="M1065" s="30" t="s">
        <v>54</v>
      </c>
      <c r="N1065" s="30" t="s">
        <v>111</v>
      </c>
      <c r="O1065" s="30" t="s">
        <v>88</v>
      </c>
      <c r="P1065" s="30" t="s">
        <v>74</v>
      </c>
      <c r="Q1065" s="30" t="s">
        <v>89</v>
      </c>
      <c r="R1065" s="30" t="s">
        <v>58</v>
      </c>
      <c r="S1065" s="30" t="s">
        <v>56</v>
      </c>
      <c r="T1065" s="30" t="s">
        <v>56</v>
      </c>
      <c r="U1065" s="30" t="s">
        <v>56</v>
      </c>
      <c r="V1065" s="30" t="s">
        <v>77</v>
      </c>
      <c r="W1065" s="30" t="s">
        <v>116</v>
      </c>
      <c r="X1065" s="30" t="s">
        <v>107</v>
      </c>
      <c r="Y1065" s="30" t="s">
        <v>56</v>
      </c>
      <c r="Z1065" s="30" t="s">
        <v>64</v>
      </c>
      <c r="AA1065" s="30" t="s">
        <v>3109</v>
      </c>
      <c r="AB1065" s="30" t="s">
        <v>56</v>
      </c>
      <c r="AC1065" s="30" t="s">
        <v>3119</v>
      </c>
    </row>
    <row r="1066" spans="1:29">
      <c r="A1066" s="24" t="s">
        <v>3120</v>
      </c>
      <c r="B1066" s="24" t="str">
        <f>IF(ISNUMBER(SEARCH(E1066,A1066)),A1066,IF(OR(E1066="",E1066=""),A1066,A1066&amp;" - "&amp;E1066))</f>
        <v>MGF GM 26/1 - Grape Mintz</v>
      </c>
      <c r="C1066" s="24" t="s">
        <v>3108</v>
      </c>
      <c r="D1066" s="24" t="s">
        <v>3109</v>
      </c>
      <c r="E1066" s="24" t="s">
        <v>3121</v>
      </c>
      <c r="F1066" s="24" t="s">
        <v>86</v>
      </c>
      <c r="G1066" s="27">
        <v>26</v>
      </c>
      <c r="H1066" s="28">
        <v>1</v>
      </c>
      <c r="I1066" s="24"/>
      <c r="J1066" s="24"/>
      <c r="K1066" s="24" t="s">
        <v>52</v>
      </c>
      <c r="L1066" s="24"/>
      <c r="M1066" s="24" t="s">
        <v>54</v>
      </c>
      <c r="N1066" s="24" t="s">
        <v>88</v>
      </c>
      <c r="O1066" s="24" t="s">
        <v>178</v>
      </c>
      <c r="P1066" s="24" t="s">
        <v>73</v>
      </c>
      <c r="Q1066" s="24" t="s">
        <v>112</v>
      </c>
      <c r="R1066" s="24" t="s">
        <v>74</v>
      </c>
      <c r="S1066" s="24" t="s">
        <v>147</v>
      </c>
      <c r="T1066" s="24" t="s">
        <v>123</v>
      </c>
      <c r="U1066" s="24" t="s">
        <v>62</v>
      </c>
      <c r="V1066" s="24" t="s">
        <v>77</v>
      </c>
      <c r="W1066" s="24" t="s">
        <v>79</v>
      </c>
      <c r="X1066" s="24" t="s">
        <v>107</v>
      </c>
      <c r="Y1066" s="24" t="s">
        <v>56</v>
      </c>
      <c r="Z1066" s="24" t="s">
        <v>64</v>
      </c>
      <c r="AA1066" s="24" t="s">
        <v>3109</v>
      </c>
      <c r="AB1066" s="24" t="s">
        <v>56</v>
      </c>
      <c r="AC1066" s="24" t="s">
        <v>3122</v>
      </c>
    </row>
    <row r="1067" spans="1:29">
      <c r="A1067" s="30" t="s">
        <v>3123</v>
      </c>
      <c r="B1067" s="30" t="str">
        <f>IF(ISNUMBER(SEARCH(E1067,A1067)),A1067,IF(OR(E1067="",E1067=""),A1067,A1067&amp;" - "&amp;E1067))</f>
        <v>MGF GP 26/1 - Grapple Pie</v>
      </c>
      <c r="C1067" s="30" t="s">
        <v>3108</v>
      </c>
      <c r="D1067" s="30" t="s">
        <v>3109</v>
      </c>
      <c r="E1067" s="30" t="s">
        <v>1581</v>
      </c>
      <c r="F1067" s="30" t="s">
        <v>86</v>
      </c>
      <c r="G1067" s="34">
        <v>26</v>
      </c>
      <c r="H1067" s="35">
        <v>1</v>
      </c>
      <c r="I1067" s="30"/>
      <c r="J1067" s="30"/>
      <c r="K1067" s="30" t="s">
        <v>52</v>
      </c>
      <c r="L1067" s="30"/>
      <c r="M1067" s="30" t="s">
        <v>54</v>
      </c>
      <c r="N1067" s="30" t="s">
        <v>111</v>
      </c>
      <c r="O1067" s="30" t="s">
        <v>88</v>
      </c>
      <c r="P1067" s="30" t="s">
        <v>73</v>
      </c>
      <c r="Q1067" s="30" t="s">
        <v>74</v>
      </c>
      <c r="R1067" s="30" t="s">
        <v>89</v>
      </c>
      <c r="S1067" s="30" t="s">
        <v>147</v>
      </c>
      <c r="T1067" s="30" t="s">
        <v>123</v>
      </c>
      <c r="U1067" s="30" t="s">
        <v>62</v>
      </c>
      <c r="V1067" s="30" t="s">
        <v>77</v>
      </c>
      <c r="W1067" s="30" t="s">
        <v>116</v>
      </c>
      <c r="X1067" s="30" t="s">
        <v>107</v>
      </c>
      <c r="Y1067" s="30" t="s">
        <v>849</v>
      </c>
      <c r="Z1067" s="30" t="s">
        <v>64</v>
      </c>
      <c r="AA1067" s="30" t="s">
        <v>3109</v>
      </c>
      <c r="AB1067" s="30" t="s">
        <v>56</v>
      </c>
      <c r="AC1067" s="30" t="s">
        <v>3124</v>
      </c>
    </row>
    <row r="1068" spans="1:29">
      <c r="A1068" s="24" t="s">
        <v>3125</v>
      </c>
      <c r="B1068" s="24" t="str">
        <f>IF(ISNUMBER(SEARCH(E1068,A1068)),A1068,IF(OR(E1068="",E1068=""),A1068,A1068&amp;" - "&amp;E1068))</f>
        <v>MGF Lambo Diablo 22/1 - El Chivo</v>
      </c>
      <c r="C1068" s="24" t="s">
        <v>3108</v>
      </c>
      <c r="D1068" s="24" t="s">
        <v>3109</v>
      </c>
      <c r="E1068" s="24" t="s">
        <v>1578</v>
      </c>
      <c r="F1068" s="24" t="s">
        <v>177</v>
      </c>
      <c r="G1068" s="27">
        <v>22</v>
      </c>
      <c r="H1068" s="28">
        <v>1</v>
      </c>
      <c r="I1068" s="24"/>
      <c r="J1068" s="24"/>
      <c r="K1068" s="24" t="s">
        <v>52</v>
      </c>
      <c r="L1068" s="24"/>
      <c r="M1068" s="24" t="s">
        <v>54</v>
      </c>
      <c r="N1068" s="24" t="s">
        <v>111</v>
      </c>
      <c r="O1068" s="24" t="s">
        <v>88</v>
      </c>
      <c r="P1068" s="24" t="s">
        <v>73</v>
      </c>
      <c r="Q1068" s="24" t="s">
        <v>74</v>
      </c>
      <c r="R1068" s="24" t="s">
        <v>89</v>
      </c>
      <c r="S1068" s="24" t="s">
        <v>147</v>
      </c>
      <c r="T1068" s="24" t="s">
        <v>106</v>
      </c>
      <c r="U1068" s="24" t="s">
        <v>179</v>
      </c>
      <c r="V1068" s="24" t="s">
        <v>77</v>
      </c>
      <c r="W1068" s="24" t="s">
        <v>116</v>
      </c>
      <c r="X1068" s="24" t="s">
        <v>107</v>
      </c>
      <c r="Y1068" s="24" t="s">
        <v>56</v>
      </c>
      <c r="Z1068" s="24" t="s">
        <v>64</v>
      </c>
      <c r="AA1068" s="24" t="s">
        <v>3109</v>
      </c>
      <c r="AB1068" s="24" t="s">
        <v>56</v>
      </c>
      <c r="AC1068" s="24" t="s">
        <v>3126</v>
      </c>
    </row>
    <row r="1069" spans="1:29">
      <c r="A1069" s="30" t="s">
        <v>3127</v>
      </c>
      <c r="B1069" s="30" t="str">
        <f>IF(ISNUMBER(SEARCH(E1069,A1069)),A1069,IF(OR(E1069="",E1069=""),A1069,A1069&amp;" - "&amp;E1069))</f>
        <v>MGF Pop Up No. 1 26/1 - Grapple Pie</v>
      </c>
      <c r="C1069" s="30" t="s">
        <v>3108</v>
      </c>
      <c r="D1069" s="30" t="s">
        <v>3109</v>
      </c>
      <c r="E1069" s="30" t="s">
        <v>1581</v>
      </c>
      <c r="F1069" s="30" t="s">
        <v>86</v>
      </c>
      <c r="G1069" s="34">
        <v>26</v>
      </c>
      <c r="H1069" s="35">
        <v>1</v>
      </c>
      <c r="I1069" s="30"/>
      <c r="J1069" s="30"/>
      <c r="K1069" s="30" t="s">
        <v>52</v>
      </c>
      <c r="L1069" s="30"/>
      <c r="M1069" s="30" t="s">
        <v>54</v>
      </c>
      <c r="N1069" s="30" t="s">
        <v>111</v>
      </c>
      <c r="O1069" s="30" t="s">
        <v>88</v>
      </c>
      <c r="P1069" s="30" t="s">
        <v>73</v>
      </c>
      <c r="Q1069" s="30" t="s">
        <v>74</v>
      </c>
      <c r="R1069" s="30" t="s">
        <v>89</v>
      </c>
      <c r="S1069" s="30" t="s">
        <v>147</v>
      </c>
      <c r="T1069" s="30" t="s">
        <v>123</v>
      </c>
      <c r="U1069" s="30" t="s">
        <v>62</v>
      </c>
      <c r="V1069" s="30" t="s">
        <v>77</v>
      </c>
      <c r="W1069" s="30" t="s">
        <v>116</v>
      </c>
      <c r="X1069" s="30" t="s">
        <v>107</v>
      </c>
      <c r="Y1069" s="30" t="s">
        <v>56</v>
      </c>
      <c r="Z1069" s="30" t="s">
        <v>64</v>
      </c>
      <c r="AA1069" s="30" t="s">
        <v>3109</v>
      </c>
      <c r="AB1069" s="30" t="s">
        <v>56</v>
      </c>
      <c r="AC1069" s="30" t="s">
        <v>3128</v>
      </c>
    </row>
    <row r="1070" spans="1:29">
      <c r="A1070" s="24" t="s">
        <v>3129</v>
      </c>
      <c r="B1070" s="24" t="str">
        <f>IF(ISNUMBER(SEARCH(E1070,A1070)),A1070,IF(OR(E1070="",E1070=""),A1070,A1070&amp;" - "&amp;E1070))</f>
        <v>MGF Pop Up No. 2 22/1 - El Chivo</v>
      </c>
      <c r="C1070" s="24" t="s">
        <v>3108</v>
      </c>
      <c r="D1070" s="24" t="s">
        <v>3109</v>
      </c>
      <c r="E1070" s="24" t="s">
        <v>1578</v>
      </c>
      <c r="F1070" s="24" t="s">
        <v>177</v>
      </c>
      <c r="G1070" s="27">
        <v>22</v>
      </c>
      <c r="H1070" s="28">
        <v>1</v>
      </c>
      <c r="I1070" s="24"/>
      <c r="J1070" s="24"/>
      <c r="K1070" s="24" t="s">
        <v>52</v>
      </c>
      <c r="L1070" s="24"/>
      <c r="M1070" s="24" t="s">
        <v>54</v>
      </c>
      <c r="N1070" s="24" t="s">
        <v>111</v>
      </c>
      <c r="O1070" s="24" t="s">
        <v>88</v>
      </c>
      <c r="P1070" s="24" t="s">
        <v>73</v>
      </c>
      <c r="Q1070" s="24" t="s">
        <v>74</v>
      </c>
      <c r="R1070" s="24" t="s">
        <v>89</v>
      </c>
      <c r="S1070" s="24" t="s">
        <v>147</v>
      </c>
      <c r="T1070" s="24" t="s">
        <v>106</v>
      </c>
      <c r="U1070" s="24" t="s">
        <v>179</v>
      </c>
      <c r="V1070" s="24" t="s">
        <v>77</v>
      </c>
      <c r="W1070" s="24" t="s">
        <v>116</v>
      </c>
      <c r="X1070" s="24" t="s">
        <v>107</v>
      </c>
      <c r="Y1070" s="24" t="s">
        <v>56</v>
      </c>
      <c r="Z1070" s="24" t="s">
        <v>64</v>
      </c>
      <c r="AA1070" s="24" t="s">
        <v>3109</v>
      </c>
      <c r="AB1070" s="24" t="s">
        <v>56</v>
      </c>
      <c r="AC1070" s="24" t="s">
        <v>3130</v>
      </c>
    </row>
    <row r="1071" spans="1:29">
      <c r="A1071" s="30" t="s">
        <v>3131</v>
      </c>
      <c r="B1071" s="30" t="str">
        <f>IF(ISNUMBER(SEARCH(E1071,A1071)),A1071,IF(OR(E1071="",E1071=""),A1071,A1071&amp;" - "&amp;E1071))</f>
        <v>MGF Pop Up No. 4 26/1 - Grape Mintz</v>
      </c>
      <c r="C1071" s="30" t="s">
        <v>3108</v>
      </c>
      <c r="D1071" s="30" t="s">
        <v>3109</v>
      </c>
      <c r="E1071" s="30" t="s">
        <v>3121</v>
      </c>
      <c r="F1071" s="30" t="s">
        <v>86</v>
      </c>
      <c r="G1071" s="34">
        <v>26</v>
      </c>
      <c r="H1071" s="35">
        <v>1</v>
      </c>
      <c r="I1071" s="30"/>
      <c r="J1071" s="30"/>
      <c r="K1071" s="30" t="s">
        <v>52</v>
      </c>
      <c r="L1071" s="30"/>
      <c r="M1071" s="30" t="s">
        <v>54</v>
      </c>
      <c r="N1071" s="30" t="s">
        <v>88</v>
      </c>
      <c r="O1071" s="30" t="s">
        <v>178</v>
      </c>
      <c r="P1071" s="30" t="s">
        <v>73</v>
      </c>
      <c r="Q1071" s="30" t="s">
        <v>112</v>
      </c>
      <c r="R1071" s="30" t="s">
        <v>74</v>
      </c>
      <c r="S1071" s="30" t="s">
        <v>147</v>
      </c>
      <c r="T1071" s="30" t="s">
        <v>123</v>
      </c>
      <c r="U1071" s="30" t="s">
        <v>62</v>
      </c>
      <c r="V1071" s="30" t="s">
        <v>77</v>
      </c>
      <c r="W1071" s="30" t="s">
        <v>79</v>
      </c>
      <c r="X1071" s="30" t="s">
        <v>107</v>
      </c>
      <c r="Y1071" s="30" t="s">
        <v>56</v>
      </c>
      <c r="Z1071" s="30" t="s">
        <v>64</v>
      </c>
      <c r="AA1071" s="30" t="s">
        <v>3109</v>
      </c>
      <c r="AB1071" s="30" t="s">
        <v>56</v>
      </c>
      <c r="AC1071" s="30" t="s">
        <v>3132</v>
      </c>
    </row>
    <row r="1072" spans="1:29">
      <c r="A1072" s="24" t="s">
        <v>3133</v>
      </c>
      <c r="B1072" s="24" t="str">
        <f>IF(ISNUMBER(SEARCH(E1072,A1072)),A1072,IF(OR(E1072="",E1072=""),A1072,A1072&amp;" - "&amp;E1072))</f>
        <v>MGF Pop Up No. 5 22/1 - Rose Gold Runtz</v>
      </c>
      <c r="C1072" s="24" t="s">
        <v>3108</v>
      </c>
      <c r="D1072" s="24" t="s">
        <v>3109</v>
      </c>
      <c r="E1072" s="24" t="s">
        <v>1587</v>
      </c>
      <c r="F1072" s="24" t="s">
        <v>86</v>
      </c>
      <c r="G1072" s="27">
        <v>22</v>
      </c>
      <c r="H1072" s="28">
        <v>1</v>
      </c>
      <c r="I1072" s="24"/>
      <c r="J1072" s="24"/>
      <c r="K1072" s="24" t="s">
        <v>52</v>
      </c>
      <c r="L1072" s="24"/>
      <c r="M1072" s="24" t="s">
        <v>54</v>
      </c>
      <c r="N1072" s="24" t="s">
        <v>111</v>
      </c>
      <c r="O1072" s="24" t="s">
        <v>88</v>
      </c>
      <c r="P1072" s="24" t="s">
        <v>75</v>
      </c>
      <c r="Q1072" s="24" t="s">
        <v>89</v>
      </c>
      <c r="R1072" s="24" t="s">
        <v>58</v>
      </c>
      <c r="S1072" s="24" t="s">
        <v>192</v>
      </c>
      <c r="T1072" s="24" t="s">
        <v>147</v>
      </c>
      <c r="U1072" s="24" t="s">
        <v>62</v>
      </c>
      <c r="V1072" s="24" t="s">
        <v>180</v>
      </c>
      <c r="W1072" s="24" t="s">
        <v>79</v>
      </c>
      <c r="X1072" s="24" t="s">
        <v>107</v>
      </c>
      <c r="Y1072" s="24" t="s">
        <v>56</v>
      </c>
      <c r="Z1072" s="24" t="s">
        <v>64</v>
      </c>
      <c r="AA1072" s="24" t="s">
        <v>3109</v>
      </c>
      <c r="AB1072" s="24" t="s">
        <v>56</v>
      </c>
      <c r="AC1072" s="24" t="s">
        <v>3134</v>
      </c>
    </row>
    <row r="1073" spans="1:29">
      <c r="A1073" s="30" t="s">
        <v>3135</v>
      </c>
      <c r="B1073" s="30" t="str">
        <f>IF(ISNUMBER(SEARCH(E1073,A1073)),A1073,IF(OR(E1073="",E1073=""),A1073,A1073&amp;" - "&amp;E1073))</f>
        <v>MGF Purple Babo 26/1 - Grapple Pie</v>
      </c>
      <c r="C1073" s="30" t="s">
        <v>3108</v>
      </c>
      <c r="D1073" s="30" t="s">
        <v>3109</v>
      </c>
      <c r="E1073" s="30" t="s">
        <v>1581</v>
      </c>
      <c r="F1073" s="30" t="s">
        <v>86</v>
      </c>
      <c r="G1073" s="34">
        <v>26</v>
      </c>
      <c r="H1073" s="35">
        <v>1</v>
      </c>
      <c r="I1073" s="30"/>
      <c r="J1073" s="30"/>
      <c r="K1073" s="30" t="s">
        <v>52</v>
      </c>
      <c r="L1073" s="30"/>
      <c r="M1073" s="30" t="s">
        <v>54</v>
      </c>
      <c r="N1073" s="30" t="s">
        <v>111</v>
      </c>
      <c r="O1073" s="30" t="s">
        <v>88</v>
      </c>
      <c r="P1073" s="30" t="s">
        <v>73</v>
      </c>
      <c r="Q1073" s="30" t="s">
        <v>74</v>
      </c>
      <c r="R1073" s="30" t="s">
        <v>89</v>
      </c>
      <c r="S1073" s="30" t="s">
        <v>147</v>
      </c>
      <c r="T1073" s="30" t="s">
        <v>123</v>
      </c>
      <c r="U1073" s="30" t="s">
        <v>62</v>
      </c>
      <c r="V1073" s="30" t="s">
        <v>77</v>
      </c>
      <c r="W1073" s="30" t="s">
        <v>116</v>
      </c>
      <c r="X1073" s="30" t="s">
        <v>107</v>
      </c>
      <c r="Y1073" s="30" t="s">
        <v>56</v>
      </c>
      <c r="Z1073" s="30" t="s">
        <v>64</v>
      </c>
      <c r="AA1073" s="30" t="s">
        <v>3109</v>
      </c>
      <c r="AB1073" s="30" t="s">
        <v>56</v>
      </c>
      <c r="AC1073" s="30" t="s">
        <v>3136</v>
      </c>
    </row>
    <row r="1074" spans="1:29">
      <c r="A1074" s="24" t="s">
        <v>3137</v>
      </c>
      <c r="B1074" s="24" t="str">
        <f>IF(ISNUMBER(SEARCH(E1074,A1074)),A1074,IF(OR(E1074="",E1074=""),A1074,A1074&amp;" - "&amp;E1074))</f>
        <v>MGF Run Run Run 26/1 - Grape Mintz</v>
      </c>
      <c r="C1074" s="24" t="s">
        <v>3108</v>
      </c>
      <c r="D1074" s="24" t="s">
        <v>3109</v>
      </c>
      <c r="E1074" s="24" t="s">
        <v>3121</v>
      </c>
      <c r="F1074" s="24" t="s">
        <v>86</v>
      </c>
      <c r="G1074" s="27">
        <v>26</v>
      </c>
      <c r="H1074" s="28">
        <v>1</v>
      </c>
      <c r="I1074" s="24"/>
      <c r="J1074" s="24"/>
      <c r="K1074" s="24" t="s">
        <v>52</v>
      </c>
      <c r="L1074" s="24"/>
      <c r="M1074" s="24" t="s">
        <v>54</v>
      </c>
      <c r="N1074" s="24" t="s">
        <v>88</v>
      </c>
      <c r="O1074" s="24" t="s">
        <v>178</v>
      </c>
      <c r="P1074" s="24" t="s">
        <v>73</v>
      </c>
      <c r="Q1074" s="24" t="s">
        <v>112</v>
      </c>
      <c r="R1074" s="24" t="s">
        <v>74</v>
      </c>
      <c r="S1074" s="24" t="s">
        <v>147</v>
      </c>
      <c r="T1074" s="24" t="s">
        <v>123</v>
      </c>
      <c r="U1074" s="24" t="s">
        <v>62</v>
      </c>
      <c r="V1074" s="24" t="s">
        <v>77</v>
      </c>
      <c r="W1074" s="24" t="s">
        <v>79</v>
      </c>
      <c r="X1074" s="24" t="s">
        <v>107</v>
      </c>
      <c r="Y1074" s="24" t="s">
        <v>56</v>
      </c>
      <c r="Z1074" s="24" t="s">
        <v>64</v>
      </c>
      <c r="AA1074" s="24" t="s">
        <v>3109</v>
      </c>
      <c r="AB1074" s="24" t="s">
        <v>56</v>
      </c>
      <c r="AC1074" s="24" t="s">
        <v>3138</v>
      </c>
    </row>
    <row r="1075" spans="1:29">
      <c r="A1075" s="30" t="s">
        <v>3139</v>
      </c>
      <c r="B1075" s="30" t="str">
        <f>IF(ISNUMBER(SEARCH(E1075,A1075)),A1075,IF(OR(E1075="",E1075=""),A1075,A1075&amp;" - "&amp;E1075))</f>
        <v>MGF UP - Unicorn Pop</v>
      </c>
      <c r="C1075" s="30" t="s">
        <v>3108</v>
      </c>
      <c r="D1075" s="30" t="s">
        <v>3109</v>
      </c>
      <c r="E1075" s="30" t="s">
        <v>3140</v>
      </c>
      <c r="F1075" s="30" t="s">
        <v>86</v>
      </c>
      <c r="G1075" s="34">
        <v>27</v>
      </c>
      <c r="H1075" s="35">
        <v>1</v>
      </c>
      <c r="I1075" s="30"/>
      <c r="J1075" s="30"/>
      <c r="K1075" s="30" t="s">
        <v>52</v>
      </c>
      <c r="L1075" s="30" t="s">
        <v>102</v>
      </c>
      <c r="M1075" s="30" t="s">
        <v>54</v>
      </c>
      <c r="N1075" s="30" t="s">
        <v>212</v>
      </c>
      <c r="O1075" s="30" t="s">
        <v>88</v>
      </c>
      <c r="P1075" s="30" t="s">
        <v>73</v>
      </c>
      <c r="Q1075" s="30" t="s">
        <v>74</v>
      </c>
      <c r="R1075" s="30" t="s">
        <v>75</v>
      </c>
      <c r="S1075" s="30" t="s">
        <v>56</v>
      </c>
      <c r="T1075" s="30" t="s">
        <v>56</v>
      </c>
      <c r="U1075" s="30" t="s">
        <v>56</v>
      </c>
      <c r="V1075" s="30" t="s">
        <v>77</v>
      </c>
      <c r="W1075" s="30" t="s">
        <v>116</v>
      </c>
      <c r="X1075" s="30" t="s">
        <v>107</v>
      </c>
      <c r="Y1075" s="30" t="s">
        <v>56</v>
      </c>
      <c r="Z1075" s="30" t="s">
        <v>64</v>
      </c>
      <c r="AA1075" s="30" t="s">
        <v>3109</v>
      </c>
      <c r="AB1075" s="30" t="s">
        <v>56</v>
      </c>
      <c r="AC1075" s="30" t="s">
        <v>3141</v>
      </c>
    </row>
    <row r="1076" spans="1:29">
      <c r="A1076" s="24" t="s">
        <v>3142</v>
      </c>
      <c r="B1076" s="24" t="str">
        <f>IF(ISNUMBER(SEARCH(E1076,A1076)),A1076,IF(OR(E1076="",E1076=""),A1076,A1076&amp;" - "&amp;E1076))</f>
        <v>Mother 28 B8 CAN - Beta 808</v>
      </c>
      <c r="C1076" s="24" t="s">
        <v>911</v>
      </c>
      <c r="D1076" s="24" t="s">
        <v>912</v>
      </c>
      <c r="E1076" s="24" t="s">
        <v>3143</v>
      </c>
      <c r="F1076" s="24" t="s">
        <v>86</v>
      </c>
      <c r="G1076" s="27">
        <v>28</v>
      </c>
      <c r="H1076" s="28">
        <v>1</v>
      </c>
      <c r="I1076" s="24"/>
      <c r="J1076" s="24"/>
      <c r="K1076" s="24" t="s">
        <v>52</v>
      </c>
      <c r="L1076" s="24" t="s">
        <v>53</v>
      </c>
      <c r="M1076" s="24" t="s">
        <v>54</v>
      </c>
      <c r="N1076" s="24" t="s">
        <v>111</v>
      </c>
      <c r="O1076" s="24" t="s">
        <v>88</v>
      </c>
      <c r="P1076" s="24" t="s">
        <v>73</v>
      </c>
      <c r="Q1076" s="24" t="s">
        <v>75</v>
      </c>
      <c r="R1076" s="24" t="s">
        <v>89</v>
      </c>
      <c r="S1076" s="24" t="s">
        <v>466</v>
      </c>
      <c r="T1076" s="24" t="s">
        <v>106</v>
      </c>
      <c r="U1076" s="24" t="s">
        <v>179</v>
      </c>
      <c r="V1076" s="24" t="s">
        <v>77</v>
      </c>
      <c r="W1076" s="24" t="s">
        <v>116</v>
      </c>
      <c r="X1076" s="24" t="s">
        <v>79</v>
      </c>
      <c r="Y1076" s="24" t="s">
        <v>3144</v>
      </c>
      <c r="Z1076" s="24" t="s">
        <v>64</v>
      </c>
      <c r="AA1076" s="24" t="s">
        <v>912</v>
      </c>
      <c r="AB1076" s="24" t="s">
        <v>56</v>
      </c>
      <c r="AC1076" s="24" t="s">
        <v>3145</v>
      </c>
    </row>
    <row r="1077" spans="1:29">
      <c r="A1077" s="30" t="s">
        <v>3146</v>
      </c>
      <c r="B1077" s="30" t="str">
        <f>IF(ISNUMBER(SEARCH(E1077,A1077)),A1077,IF(OR(E1077="",E1077=""),A1077,A1077&amp;" - "&amp;E1077))</f>
        <v>MV RNTZ - Detroit Runtz</v>
      </c>
      <c r="C1077" s="30" t="s">
        <v>564</v>
      </c>
      <c r="D1077" s="30" t="s">
        <v>565</v>
      </c>
      <c r="E1077" s="30" t="s">
        <v>1369</v>
      </c>
      <c r="F1077" s="30" t="s">
        <v>86</v>
      </c>
      <c r="G1077" s="34">
        <v>23</v>
      </c>
      <c r="H1077" s="35">
        <v>1</v>
      </c>
      <c r="I1077" s="30"/>
      <c r="J1077" s="30"/>
      <c r="K1077" s="30" t="s">
        <v>52</v>
      </c>
      <c r="L1077" s="30" t="s">
        <v>53</v>
      </c>
      <c r="M1077" s="30" t="s">
        <v>54</v>
      </c>
      <c r="N1077" s="30" t="s">
        <v>111</v>
      </c>
      <c r="O1077" s="30" t="s">
        <v>88</v>
      </c>
      <c r="P1077" s="30" t="s">
        <v>57</v>
      </c>
      <c r="Q1077" s="30" t="s">
        <v>75</v>
      </c>
      <c r="R1077" s="30" t="s">
        <v>89</v>
      </c>
      <c r="S1077" s="30" t="s">
        <v>123</v>
      </c>
      <c r="T1077" s="30" t="s">
        <v>61</v>
      </c>
      <c r="U1077" s="30" t="s">
        <v>62</v>
      </c>
      <c r="V1077" s="30" t="s">
        <v>138</v>
      </c>
      <c r="W1077" s="30" t="s">
        <v>79</v>
      </c>
      <c r="X1077" s="30" t="s">
        <v>107</v>
      </c>
      <c r="Y1077" s="30" t="s">
        <v>311</v>
      </c>
      <c r="Z1077" s="30" t="s">
        <v>64</v>
      </c>
      <c r="AA1077" s="30" t="s">
        <v>565</v>
      </c>
      <c r="AB1077" s="30" t="s">
        <v>663</v>
      </c>
      <c r="AC1077" s="36" t="s">
        <v>3147</v>
      </c>
    </row>
    <row r="1078" spans="1:29">
      <c r="A1078" s="24" t="s">
        <v>3148</v>
      </c>
      <c r="B1078" s="24" t="str">
        <f>IF(ISNUMBER(SEARCH(E1078,A1078)),A1078,IF(OR(E1078="",E1078=""),A1078,A1078&amp;" - "&amp;E1078))</f>
        <v>N!CE 26/1 C - Cherry Pie</v>
      </c>
      <c r="C1078" s="24" t="s">
        <v>996</v>
      </c>
      <c r="D1078" s="24" t="s">
        <v>997</v>
      </c>
      <c r="E1078" s="24" t="s">
        <v>998</v>
      </c>
      <c r="F1078" s="24" t="s">
        <v>51</v>
      </c>
      <c r="G1078" s="27">
        <v>26</v>
      </c>
      <c r="H1078" s="28">
        <v>1</v>
      </c>
      <c r="I1078" s="24"/>
      <c r="J1078" s="24"/>
      <c r="K1078" s="24" t="s">
        <v>52</v>
      </c>
      <c r="L1078" s="24" t="s">
        <v>102</v>
      </c>
      <c r="M1078" s="24" t="s">
        <v>212</v>
      </c>
      <c r="N1078" s="24" t="s">
        <v>88</v>
      </c>
      <c r="O1078" s="24" t="s">
        <v>71</v>
      </c>
      <c r="P1078" s="24" t="s">
        <v>89</v>
      </c>
      <c r="Q1078" s="24" t="s">
        <v>58</v>
      </c>
      <c r="R1078" s="24" t="s">
        <v>56</v>
      </c>
      <c r="S1078" s="24" t="s">
        <v>123</v>
      </c>
      <c r="T1078" s="24" t="s">
        <v>106</v>
      </c>
      <c r="U1078" s="24" t="s">
        <v>62</v>
      </c>
      <c r="V1078" s="24" t="s">
        <v>77</v>
      </c>
      <c r="W1078" s="24" t="s">
        <v>79</v>
      </c>
      <c r="X1078" s="24" t="s">
        <v>56</v>
      </c>
      <c r="Y1078" s="24" t="s">
        <v>56</v>
      </c>
      <c r="Z1078" s="24" t="s">
        <v>64</v>
      </c>
      <c r="AA1078" s="24" t="s">
        <v>997</v>
      </c>
      <c r="AB1078" s="24" t="s">
        <v>56</v>
      </c>
      <c r="AC1078" s="24" t="s">
        <v>3149</v>
      </c>
    </row>
    <row r="1079" spans="1:29" s="6" customFormat="1">
      <c r="A1079" s="30" t="s">
        <v>3150</v>
      </c>
      <c r="B1079" s="30" t="str">
        <f>IF(ISNUMBER(SEARCH(E1079,A1079)),A1079,IF(OR(E1079="",E1079=""),A1079,A1079&amp;" - "&amp;E1079))</f>
        <v>NICE KW 24/1 - Kirkwood White</v>
      </c>
      <c r="C1079" s="30" t="s">
        <v>996</v>
      </c>
      <c r="D1079" s="30" t="s">
        <v>997</v>
      </c>
      <c r="E1079" s="30" t="s">
        <v>3151</v>
      </c>
      <c r="F1079" s="30" t="s">
        <v>51</v>
      </c>
      <c r="G1079" s="34">
        <v>25</v>
      </c>
      <c r="H1079" s="35">
        <v>1</v>
      </c>
      <c r="I1079" s="30"/>
      <c r="J1079" s="30"/>
      <c r="K1079" s="30" t="s">
        <v>52</v>
      </c>
      <c r="L1079" s="30" t="s">
        <v>202</v>
      </c>
      <c r="M1079" s="30" t="s">
        <v>111</v>
      </c>
      <c r="N1079" s="30" t="s">
        <v>88</v>
      </c>
      <c r="O1079" s="30" t="s">
        <v>56</v>
      </c>
      <c r="P1079" s="30" t="s">
        <v>146</v>
      </c>
      <c r="Q1079" s="30" t="s">
        <v>74</v>
      </c>
      <c r="R1079" s="30" t="s">
        <v>75</v>
      </c>
      <c r="S1079" s="30" t="s">
        <v>106</v>
      </c>
      <c r="T1079" s="30" t="s">
        <v>62</v>
      </c>
      <c r="U1079" s="30" t="s">
        <v>164</v>
      </c>
      <c r="V1079" s="30" t="s">
        <v>77</v>
      </c>
      <c r="W1079" s="30" t="s">
        <v>116</v>
      </c>
      <c r="X1079" s="30" t="s">
        <v>180</v>
      </c>
      <c r="Y1079" s="30" t="s">
        <v>3152</v>
      </c>
      <c r="Z1079" s="30" t="s">
        <v>64</v>
      </c>
      <c r="AA1079" s="30" t="s">
        <v>997</v>
      </c>
      <c r="AB1079" s="30" t="s">
        <v>56</v>
      </c>
      <c r="AC1079" s="30" t="s">
        <v>3153</v>
      </c>
    </row>
    <row r="1080" spans="1:29">
      <c r="A1080" s="24" t="s">
        <v>3154</v>
      </c>
      <c r="B1080" s="24" t="str">
        <f>IF(ISNUMBER(SEARCH(E1080,A1080)),A1080,IF(OR(E1080="",E1080=""),A1080,A1080&amp;" - "&amp;E1080))</f>
        <v>Navcora THC 22 Spotlight Montevideo - Gorilla Glue</v>
      </c>
      <c r="C1080" s="24" t="s">
        <v>133</v>
      </c>
      <c r="D1080" s="24" t="s">
        <v>134</v>
      </c>
      <c r="E1080" s="24" t="s">
        <v>363</v>
      </c>
      <c r="F1080" s="24" t="s">
        <v>86</v>
      </c>
      <c r="G1080" s="27">
        <v>22</v>
      </c>
      <c r="H1080" s="28">
        <v>1</v>
      </c>
      <c r="I1080" s="24"/>
      <c r="J1080" s="24"/>
      <c r="K1080" s="24" t="s">
        <v>17</v>
      </c>
      <c r="L1080" s="24" t="s">
        <v>185</v>
      </c>
      <c r="M1080" s="24" t="s">
        <v>103</v>
      </c>
      <c r="N1080" s="24" t="s">
        <v>121</v>
      </c>
      <c r="O1080" s="24" t="s">
        <v>72</v>
      </c>
      <c r="P1080" s="24" t="s">
        <v>146</v>
      </c>
      <c r="Q1080" s="24" t="s">
        <v>74</v>
      </c>
      <c r="R1080" s="24" t="s">
        <v>59</v>
      </c>
      <c r="S1080" s="24" t="s">
        <v>60</v>
      </c>
      <c r="T1080" s="24" t="s">
        <v>106</v>
      </c>
      <c r="U1080" s="24" t="s">
        <v>203</v>
      </c>
      <c r="V1080" s="24" t="s">
        <v>257</v>
      </c>
      <c r="W1080" s="24" t="s">
        <v>252</v>
      </c>
      <c r="X1080" s="24" t="s">
        <v>77</v>
      </c>
      <c r="Y1080" s="24" t="s">
        <v>56</v>
      </c>
      <c r="Z1080" s="24" t="s">
        <v>64</v>
      </c>
      <c r="AA1080" s="24" t="s">
        <v>134</v>
      </c>
      <c r="AB1080" s="24" t="s">
        <v>56</v>
      </c>
      <c r="AC1080" s="24" t="s">
        <v>3155</v>
      </c>
    </row>
    <row r="1081" spans="1:29">
      <c r="A1081" s="30" t="s">
        <v>369</v>
      </c>
      <c r="B1081" s="30" t="str">
        <f>IF(ISNUMBER(SEARCH(E1081,A1081)),A1081,IF(OR(E1081="",E1081=""),A1081,A1081&amp;" - "&amp;E1081))</f>
        <v>Navcora THC 22 Spotlight Porto - Sour Diesel</v>
      </c>
      <c r="C1081" s="30" t="s">
        <v>133</v>
      </c>
      <c r="D1081" s="30" t="s">
        <v>134</v>
      </c>
      <c r="E1081" s="30" t="s">
        <v>256</v>
      </c>
      <c r="F1081" s="30" t="s">
        <v>69</v>
      </c>
      <c r="G1081" s="34">
        <v>22</v>
      </c>
      <c r="H1081" s="35">
        <v>1</v>
      </c>
      <c r="I1081" s="30"/>
      <c r="J1081" s="30"/>
      <c r="K1081" s="30" t="s">
        <v>17</v>
      </c>
      <c r="L1081" s="30" t="s">
        <v>102</v>
      </c>
      <c r="M1081" s="30" t="s">
        <v>156</v>
      </c>
      <c r="N1081" s="30" t="s">
        <v>111</v>
      </c>
      <c r="O1081" s="30" t="s">
        <v>88</v>
      </c>
      <c r="P1081" s="30" t="s">
        <v>73</v>
      </c>
      <c r="Q1081" s="30" t="s">
        <v>74</v>
      </c>
      <c r="R1081" s="30" t="s">
        <v>75</v>
      </c>
      <c r="S1081" s="30" t="s">
        <v>60</v>
      </c>
      <c r="T1081" s="30" t="s">
        <v>123</v>
      </c>
      <c r="U1081" s="30" t="s">
        <v>106</v>
      </c>
      <c r="V1081" s="30" t="s">
        <v>257</v>
      </c>
      <c r="W1081" s="30" t="s">
        <v>77</v>
      </c>
      <c r="X1081" s="30" t="s">
        <v>225</v>
      </c>
      <c r="Y1081" s="30" t="s">
        <v>56</v>
      </c>
      <c r="Z1081" s="30" t="s">
        <v>64</v>
      </c>
      <c r="AA1081" s="30" t="s">
        <v>134</v>
      </c>
      <c r="AB1081" s="30" t="s">
        <v>56</v>
      </c>
      <c r="AC1081" s="30" t="s">
        <v>3156</v>
      </c>
    </row>
    <row r="1082" spans="1:29">
      <c r="A1082" s="24" t="s">
        <v>369</v>
      </c>
      <c r="B1082" s="24" t="str">
        <f>IF(ISNUMBER(SEARCH(E1082,A1082)),A1082,IF(OR(E1082="",E1082=""),A1082,A1082&amp;" - "&amp;E1082))</f>
        <v>Navcora THC 22 Spotlight Porto - Galaxy Walker OG</v>
      </c>
      <c r="C1082" s="24" t="s">
        <v>133</v>
      </c>
      <c r="D1082" s="24" t="s">
        <v>134</v>
      </c>
      <c r="E1082" s="24" t="s">
        <v>242</v>
      </c>
      <c r="F1082" s="24" t="s">
        <v>86</v>
      </c>
      <c r="G1082" s="27">
        <v>22</v>
      </c>
      <c r="H1082" s="28">
        <v>1</v>
      </c>
      <c r="I1082" s="24"/>
      <c r="J1082" s="24"/>
      <c r="K1082" s="24" t="s">
        <v>52</v>
      </c>
      <c r="L1082" s="24" t="s">
        <v>102</v>
      </c>
      <c r="M1082" s="24" t="s">
        <v>72</v>
      </c>
      <c r="N1082" s="24"/>
      <c r="O1082" s="24" t="s">
        <v>56</v>
      </c>
      <c r="P1082" s="24" t="s">
        <v>74</v>
      </c>
      <c r="Q1082" s="24" t="s">
        <v>75</v>
      </c>
      <c r="R1082" s="24" t="s">
        <v>59</v>
      </c>
      <c r="S1082" s="24" t="s">
        <v>60</v>
      </c>
      <c r="T1082" s="24" t="s">
        <v>106</v>
      </c>
      <c r="U1082" s="24" t="s">
        <v>91</v>
      </c>
      <c r="V1082" s="24" t="s">
        <v>77</v>
      </c>
      <c r="W1082" s="24" t="s">
        <v>56</v>
      </c>
      <c r="X1082" s="24" t="s">
        <v>56</v>
      </c>
      <c r="Y1082" s="24" t="s">
        <v>870</v>
      </c>
      <c r="Z1082" s="24" t="s">
        <v>64</v>
      </c>
      <c r="AA1082" s="24" t="s">
        <v>134</v>
      </c>
      <c r="AB1082" s="24" t="s">
        <v>56</v>
      </c>
      <c r="AC1082" s="24" t="s">
        <v>3157</v>
      </c>
    </row>
    <row r="1083" spans="1:29">
      <c r="A1083" s="30" t="s">
        <v>369</v>
      </c>
      <c r="B1083" s="30" t="str">
        <f>IF(ISNUMBER(SEARCH(E1083,A1083)),A1083,IF(OR(E1083="",E1083=""),A1083,A1083&amp;" - "&amp;E1083))</f>
        <v>Navcora THC 22 Spotlight Porto - Headband</v>
      </c>
      <c r="C1083" s="30" t="s">
        <v>133</v>
      </c>
      <c r="D1083" s="30" t="s">
        <v>134</v>
      </c>
      <c r="E1083" s="30" t="s">
        <v>233</v>
      </c>
      <c r="F1083" s="30" t="s">
        <v>69</v>
      </c>
      <c r="G1083" s="34">
        <v>22</v>
      </c>
      <c r="H1083" s="35">
        <v>1</v>
      </c>
      <c r="I1083" s="30"/>
      <c r="J1083" s="30"/>
      <c r="K1083" s="30" t="s">
        <v>17</v>
      </c>
      <c r="L1083" s="30" t="s">
        <v>102</v>
      </c>
      <c r="M1083" s="30" t="s">
        <v>54</v>
      </c>
      <c r="N1083" s="30" t="s">
        <v>88</v>
      </c>
      <c r="O1083" s="30" t="s">
        <v>178</v>
      </c>
      <c r="P1083" s="30" t="s">
        <v>73</v>
      </c>
      <c r="Q1083" s="30" t="s">
        <v>57</v>
      </c>
      <c r="R1083" s="30" t="s">
        <v>75</v>
      </c>
      <c r="S1083" s="30" t="s">
        <v>106</v>
      </c>
      <c r="T1083" s="30" t="s">
        <v>62</v>
      </c>
      <c r="U1083" s="30" t="s">
        <v>164</v>
      </c>
      <c r="V1083" s="30" t="s">
        <v>77</v>
      </c>
      <c r="W1083" s="30" t="s">
        <v>129</v>
      </c>
      <c r="X1083" s="30" t="s">
        <v>79</v>
      </c>
      <c r="Y1083" s="30" t="s">
        <v>391</v>
      </c>
      <c r="Z1083" s="30" t="s">
        <v>64</v>
      </c>
      <c r="AA1083" s="30" t="s">
        <v>134</v>
      </c>
      <c r="AB1083" s="30" t="s">
        <v>56</v>
      </c>
      <c r="AC1083" s="30" t="s">
        <v>3158</v>
      </c>
    </row>
    <row r="1084" spans="1:29">
      <c r="A1084" s="24" t="s">
        <v>369</v>
      </c>
      <c r="B1084" s="24" t="str">
        <f>IF(ISNUMBER(SEARCH(E1084,A1084)),A1084,IF(OR(E1084="",E1084=""),A1084,A1084&amp;" - "&amp;E1084))</f>
        <v>Navcora THC 22 Spotlight Porto - Sirius</v>
      </c>
      <c r="C1084" s="24" t="s">
        <v>133</v>
      </c>
      <c r="D1084" s="24" t="s">
        <v>134</v>
      </c>
      <c r="E1084" s="24" t="s">
        <v>334</v>
      </c>
      <c r="F1084" s="24" t="s">
        <v>120</v>
      </c>
      <c r="G1084" s="27">
        <v>22</v>
      </c>
      <c r="H1084" s="28">
        <v>1</v>
      </c>
      <c r="I1084" s="24"/>
      <c r="J1084" s="24"/>
      <c r="K1084" s="24" t="s">
        <v>17</v>
      </c>
      <c r="L1084" s="24" t="s">
        <v>102</v>
      </c>
      <c r="M1084" s="24" t="s">
        <v>111</v>
      </c>
      <c r="N1084" s="24" t="s">
        <v>71</v>
      </c>
      <c r="O1084" s="24" t="s">
        <v>178</v>
      </c>
      <c r="P1084" s="24" t="s">
        <v>74</v>
      </c>
      <c r="Q1084" s="24" t="s">
        <v>58</v>
      </c>
      <c r="R1084" s="24" t="s">
        <v>56</v>
      </c>
      <c r="S1084" s="24" t="s">
        <v>106</v>
      </c>
      <c r="T1084" s="24" t="s">
        <v>164</v>
      </c>
      <c r="U1084" s="24" t="s">
        <v>234</v>
      </c>
      <c r="V1084" s="24" t="s">
        <v>77</v>
      </c>
      <c r="W1084" s="24" t="s">
        <v>79</v>
      </c>
      <c r="X1084" s="24" t="s">
        <v>107</v>
      </c>
      <c r="Y1084" s="24" t="s">
        <v>391</v>
      </c>
      <c r="Z1084" s="24" t="s">
        <v>64</v>
      </c>
      <c r="AA1084" s="24" t="s">
        <v>134</v>
      </c>
      <c r="AB1084" s="24" t="s">
        <v>56</v>
      </c>
      <c r="AC1084" s="24" t="s">
        <v>3159</v>
      </c>
    </row>
    <row r="1085" spans="1:29">
      <c r="A1085" s="30" t="s">
        <v>3160</v>
      </c>
      <c r="B1085" s="30" t="str">
        <f>IF(ISNUMBER(SEARCH(E1085,A1085)),A1085,IF(OR(E1085="",E1085=""),A1085,A1085&amp;" - "&amp;E1085))</f>
        <v>Navcora THC 25 Spotlight Porto - Sirius</v>
      </c>
      <c r="C1085" s="30" t="s">
        <v>133</v>
      </c>
      <c r="D1085" s="30" t="s">
        <v>134</v>
      </c>
      <c r="E1085" s="30" t="s">
        <v>334</v>
      </c>
      <c r="F1085" s="30" t="s">
        <v>120</v>
      </c>
      <c r="G1085" s="34">
        <v>25</v>
      </c>
      <c r="H1085" s="35">
        <v>1</v>
      </c>
      <c r="I1085" s="30"/>
      <c r="J1085" s="30"/>
      <c r="K1085" s="30" t="s">
        <v>17</v>
      </c>
      <c r="L1085" s="30" t="s">
        <v>102</v>
      </c>
      <c r="M1085" s="30" t="s">
        <v>111</v>
      </c>
      <c r="N1085" s="30" t="s">
        <v>71</v>
      </c>
      <c r="O1085" s="30" t="s">
        <v>178</v>
      </c>
      <c r="P1085" s="30" t="s">
        <v>74</v>
      </c>
      <c r="Q1085" s="30" t="s">
        <v>58</v>
      </c>
      <c r="R1085" s="30" t="s">
        <v>56</v>
      </c>
      <c r="S1085" s="30" t="s">
        <v>106</v>
      </c>
      <c r="T1085" s="30" t="s">
        <v>62</v>
      </c>
      <c r="U1085" s="30" t="s">
        <v>164</v>
      </c>
      <c r="V1085" s="30" t="s">
        <v>77</v>
      </c>
      <c r="W1085" s="30" t="s">
        <v>79</v>
      </c>
      <c r="X1085" s="30" t="s">
        <v>107</v>
      </c>
      <c r="Y1085" s="30" t="s">
        <v>56</v>
      </c>
      <c r="Z1085" s="30" t="s">
        <v>64</v>
      </c>
      <c r="AA1085" s="30" t="s">
        <v>134</v>
      </c>
      <c r="AB1085" s="30" t="s">
        <v>56</v>
      </c>
      <c r="AC1085" s="30" t="s">
        <v>3161</v>
      </c>
    </row>
    <row r="1086" spans="1:29">
      <c r="A1086" s="24" t="s">
        <v>3162</v>
      </c>
      <c r="B1086" s="24" t="str">
        <f>IF(ISNUMBER(SEARCH(E1086,A1086)),A1086,IF(OR(E1086="",E1086=""),A1086,A1086&amp;" - "&amp;E1086))</f>
        <v>Nimbus 21/1 ZRP - Zour Apple</v>
      </c>
      <c r="C1086" s="24" t="s">
        <v>141</v>
      </c>
      <c r="D1086" s="24" t="s">
        <v>142</v>
      </c>
      <c r="E1086" s="24" t="s">
        <v>590</v>
      </c>
      <c r="F1086" s="24" t="s">
        <v>86</v>
      </c>
      <c r="G1086" s="27">
        <v>21</v>
      </c>
      <c r="H1086" s="28">
        <v>1</v>
      </c>
      <c r="I1086" s="24"/>
      <c r="J1086" s="24"/>
      <c r="K1086" s="24" t="s">
        <v>52</v>
      </c>
      <c r="L1086" s="24" t="s">
        <v>53</v>
      </c>
      <c r="M1086" s="24" t="s">
        <v>111</v>
      </c>
      <c r="N1086" s="24" t="s">
        <v>55</v>
      </c>
      <c r="O1086" s="24" t="s">
        <v>178</v>
      </c>
      <c r="P1086" s="24" t="s">
        <v>591</v>
      </c>
      <c r="Q1086" s="24" t="s">
        <v>58</v>
      </c>
      <c r="R1086" s="24" t="s">
        <v>56</v>
      </c>
      <c r="S1086" s="24" t="s">
        <v>90</v>
      </c>
      <c r="T1086" s="24" t="s">
        <v>60</v>
      </c>
      <c r="U1086" s="24" t="s">
        <v>106</v>
      </c>
      <c r="V1086" s="24" t="s">
        <v>92</v>
      </c>
      <c r="W1086" s="24" t="s">
        <v>129</v>
      </c>
      <c r="X1086" s="24" t="s">
        <v>107</v>
      </c>
      <c r="Y1086" s="24" t="s">
        <v>56</v>
      </c>
      <c r="Z1086" s="24" t="s">
        <v>64</v>
      </c>
      <c r="AA1086" s="24" t="s">
        <v>149</v>
      </c>
      <c r="AB1086" s="24" t="s">
        <v>56</v>
      </c>
      <c r="AC1086" s="24" t="s">
        <v>3163</v>
      </c>
    </row>
    <row r="1087" spans="1:29">
      <c r="A1087" s="30" t="s">
        <v>3164</v>
      </c>
      <c r="B1087" s="30" t="str">
        <f>IF(ISNUMBER(SEARCH(E1087,A1087)),A1087,IF(OR(E1087="",E1087=""),A1087,A1087&amp;" - "&amp;E1087))</f>
        <v>Nimbus 22/1 RZM - Runtz Mintz</v>
      </c>
      <c r="C1087" s="30" t="s">
        <v>141</v>
      </c>
      <c r="D1087" s="30" t="s">
        <v>142</v>
      </c>
      <c r="E1087" s="30" t="s">
        <v>3165</v>
      </c>
      <c r="F1087" s="30" t="s">
        <v>86</v>
      </c>
      <c r="G1087" s="34">
        <v>22</v>
      </c>
      <c r="H1087" s="35">
        <v>1</v>
      </c>
      <c r="I1087" s="30"/>
      <c r="J1087" s="30"/>
      <c r="K1087" s="30" t="s">
        <v>52</v>
      </c>
      <c r="L1087" s="30" t="s">
        <v>53</v>
      </c>
      <c r="M1087" s="30" t="s">
        <v>88</v>
      </c>
      <c r="N1087" s="30" t="s">
        <v>178</v>
      </c>
      <c r="O1087" s="30" t="s">
        <v>56</v>
      </c>
      <c r="P1087" s="30" t="s">
        <v>74</v>
      </c>
      <c r="Q1087" s="30" t="s">
        <v>89</v>
      </c>
      <c r="R1087" s="30" t="s">
        <v>58</v>
      </c>
      <c r="S1087" s="30" t="s">
        <v>60</v>
      </c>
      <c r="T1087" s="30" t="s">
        <v>123</v>
      </c>
      <c r="U1087" s="30" t="s">
        <v>106</v>
      </c>
      <c r="V1087" s="30" t="s">
        <v>129</v>
      </c>
      <c r="W1087" s="30" t="s">
        <v>292</v>
      </c>
      <c r="X1087" s="30" t="s">
        <v>79</v>
      </c>
      <c r="Y1087" s="30" t="s">
        <v>311</v>
      </c>
      <c r="Z1087" s="30" t="s">
        <v>64</v>
      </c>
      <c r="AA1087" s="30" t="s">
        <v>149</v>
      </c>
      <c r="AB1087" s="30" t="s">
        <v>3166</v>
      </c>
      <c r="AC1087" s="30" t="s">
        <v>3167</v>
      </c>
    </row>
    <row r="1088" spans="1:29" s="4" customFormat="1">
      <c r="A1088" s="24" t="s">
        <v>3168</v>
      </c>
      <c r="B1088" s="24" t="str">
        <f>IF(ISNUMBER(SEARCH(E1088,A1088)),A1088,IF(OR(E1088="",E1088=""),A1088,A1088&amp;" - "&amp;E1088))</f>
        <v>Nimbus 26/1 ZRP - Zour Apple</v>
      </c>
      <c r="C1088" s="24" t="s">
        <v>141</v>
      </c>
      <c r="D1088" s="24" t="s">
        <v>142</v>
      </c>
      <c r="E1088" s="24" t="s">
        <v>590</v>
      </c>
      <c r="F1088" s="24" t="s">
        <v>86</v>
      </c>
      <c r="G1088" s="27">
        <v>26</v>
      </c>
      <c r="H1088" s="28">
        <v>1</v>
      </c>
      <c r="I1088" s="24"/>
      <c r="J1088" s="24"/>
      <c r="K1088" s="24" t="s">
        <v>52</v>
      </c>
      <c r="L1088" s="24" t="s">
        <v>53</v>
      </c>
      <c r="M1088" s="24" t="s">
        <v>111</v>
      </c>
      <c r="N1088" s="24" t="s">
        <v>55</v>
      </c>
      <c r="O1088" s="24" t="s">
        <v>178</v>
      </c>
      <c r="P1088" s="24" t="s">
        <v>591</v>
      </c>
      <c r="Q1088" s="24" t="s">
        <v>58</v>
      </c>
      <c r="R1088" s="24" t="s">
        <v>56</v>
      </c>
      <c r="S1088" s="24" t="s">
        <v>90</v>
      </c>
      <c r="T1088" s="24" t="s">
        <v>60</v>
      </c>
      <c r="U1088" s="24" t="s">
        <v>106</v>
      </c>
      <c r="V1088" s="24" t="s">
        <v>92</v>
      </c>
      <c r="W1088" s="24" t="s">
        <v>129</v>
      </c>
      <c r="X1088" s="24" t="s">
        <v>107</v>
      </c>
      <c r="Y1088" s="24" t="s">
        <v>56</v>
      </c>
      <c r="Z1088" s="24" t="s">
        <v>64</v>
      </c>
      <c r="AA1088" s="24" t="s">
        <v>149</v>
      </c>
      <c r="AB1088" s="24" t="s">
        <v>56</v>
      </c>
      <c r="AC1088" s="24" t="s">
        <v>3169</v>
      </c>
    </row>
    <row r="1089" spans="1:29">
      <c r="A1089" s="30" t="s">
        <v>3170</v>
      </c>
      <c r="B1089" s="30" t="str">
        <f>IF(ISNUMBER(SEARCH(E1089,A1089)),A1089,IF(OR(E1089="",E1089=""),A1089,A1089&amp;" - "&amp;E1089))</f>
        <v>Ostara Balance - Long Valley Legend</v>
      </c>
      <c r="C1089" s="30" t="s">
        <v>564</v>
      </c>
      <c r="D1089" s="30" t="s">
        <v>565</v>
      </c>
      <c r="E1089" s="30" t="s">
        <v>3171</v>
      </c>
      <c r="F1089" s="30" t="s">
        <v>120</v>
      </c>
      <c r="G1089" s="34">
        <v>9</v>
      </c>
      <c r="H1089" s="35">
        <v>12</v>
      </c>
      <c r="I1089" s="30"/>
      <c r="J1089" s="30"/>
      <c r="K1089" s="30" t="s">
        <v>52</v>
      </c>
      <c r="L1089" s="30" t="s">
        <v>53</v>
      </c>
      <c r="M1089" s="30" t="s">
        <v>88</v>
      </c>
      <c r="N1089" s="30" t="s">
        <v>55</v>
      </c>
      <c r="O1089" s="30" t="s">
        <v>56</v>
      </c>
      <c r="P1089" s="30" t="s">
        <v>73</v>
      </c>
      <c r="Q1089" s="30" t="s">
        <v>75</v>
      </c>
      <c r="R1089" s="30" t="s">
        <v>56</v>
      </c>
      <c r="S1089" s="30" t="s">
        <v>192</v>
      </c>
      <c r="T1089" s="30" t="s">
        <v>147</v>
      </c>
      <c r="U1089" s="30" t="s">
        <v>106</v>
      </c>
      <c r="V1089" s="30" t="s">
        <v>77</v>
      </c>
      <c r="W1089" s="30" t="s">
        <v>107</v>
      </c>
      <c r="X1089" s="30" t="s">
        <v>173</v>
      </c>
      <c r="Y1089" s="30" t="s">
        <v>80</v>
      </c>
      <c r="Z1089" s="30" t="s">
        <v>64</v>
      </c>
      <c r="AA1089" s="30" t="s">
        <v>565</v>
      </c>
      <c r="AB1089" s="30" t="s">
        <v>56</v>
      </c>
      <c r="AC1089" s="30" t="s">
        <v>3172</v>
      </c>
    </row>
    <row r="1090" spans="1:29">
      <c r="A1090" s="24" t="s">
        <v>3173</v>
      </c>
      <c r="B1090" s="24" t="str">
        <f>IF(ISNUMBER(SEARCH(E1090,A1090)),A1090,IF(OR(E1090="",E1090=""),A1090,A1090&amp;" - "&amp;E1090))</f>
        <v>Ostara Eclipse - Life Hack</v>
      </c>
      <c r="C1090" s="24" t="s">
        <v>564</v>
      </c>
      <c r="D1090" s="24" t="s">
        <v>565</v>
      </c>
      <c r="E1090" s="24" t="s">
        <v>3174</v>
      </c>
      <c r="F1090" s="24" t="s">
        <v>51</v>
      </c>
      <c r="G1090" s="27">
        <v>22</v>
      </c>
      <c r="H1090" s="28">
        <v>1</v>
      </c>
      <c r="I1090" s="24"/>
      <c r="J1090" s="24"/>
      <c r="K1090" s="24" t="s">
        <v>52</v>
      </c>
      <c r="L1090" s="24" t="s">
        <v>53</v>
      </c>
      <c r="M1090" s="24" t="s">
        <v>54</v>
      </c>
      <c r="N1090" s="24" t="s">
        <v>111</v>
      </c>
      <c r="O1090" s="24" t="s">
        <v>88</v>
      </c>
      <c r="P1090" s="24" t="s">
        <v>104</v>
      </c>
      <c r="Q1090" s="24" t="s">
        <v>89</v>
      </c>
      <c r="R1090" s="24" t="s">
        <v>56</v>
      </c>
      <c r="S1090" s="24" t="s">
        <v>192</v>
      </c>
      <c r="T1090" s="24" t="s">
        <v>147</v>
      </c>
      <c r="U1090" s="24" t="s">
        <v>106</v>
      </c>
      <c r="V1090" s="24" t="s">
        <v>77</v>
      </c>
      <c r="W1090" s="24" t="s">
        <v>292</v>
      </c>
      <c r="X1090" s="24" t="s">
        <v>173</v>
      </c>
      <c r="Y1090" s="24" t="s">
        <v>56</v>
      </c>
      <c r="Z1090" s="24" t="s">
        <v>64</v>
      </c>
      <c r="AA1090" s="24" t="s">
        <v>565</v>
      </c>
      <c r="AB1090" s="24" t="s">
        <v>56</v>
      </c>
      <c r="AC1090" s="24" t="s">
        <v>3175</v>
      </c>
    </row>
    <row r="1091" spans="1:29">
      <c r="A1091" s="30" t="s">
        <v>3176</v>
      </c>
      <c r="B1091" s="30" t="str">
        <f>IF(ISNUMBER(SEARCH(E1091,A1091)),A1091,IF(OR(E1091="",E1091=""),A1091,A1091&amp;" - "&amp;E1091))</f>
        <v>Ostara GC - Gas Cake</v>
      </c>
      <c r="C1091" s="30" t="s">
        <v>564</v>
      </c>
      <c r="D1091" s="30" t="s">
        <v>565</v>
      </c>
      <c r="E1091" s="30" t="s">
        <v>1392</v>
      </c>
      <c r="F1091" s="30" t="s">
        <v>86</v>
      </c>
      <c r="G1091" s="34">
        <v>32</v>
      </c>
      <c r="H1091" s="35">
        <v>1</v>
      </c>
      <c r="I1091" s="30"/>
      <c r="J1091" s="30"/>
      <c r="K1091" s="30" t="s">
        <v>52</v>
      </c>
      <c r="L1091" s="30" t="s">
        <v>53</v>
      </c>
      <c r="M1091" s="30" t="s">
        <v>88</v>
      </c>
      <c r="N1091" s="30" t="s">
        <v>121</v>
      </c>
      <c r="O1091" s="30" t="s">
        <v>72</v>
      </c>
      <c r="P1091" s="30" t="s">
        <v>73</v>
      </c>
      <c r="Q1091" s="30" t="s">
        <v>57</v>
      </c>
      <c r="R1091" s="30" t="s">
        <v>74</v>
      </c>
      <c r="S1091" s="30" t="s">
        <v>192</v>
      </c>
      <c r="T1091" s="30" t="s">
        <v>147</v>
      </c>
      <c r="U1091" s="30" t="s">
        <v>106</v>
      </c>
      <c r="V1091" s="30" t="s">
        <v>77</v>
      </c>
      <c r="W1091" s="30" t="s">
        <v>116</v>
      </c>
      <c r="X1091" s="30" t="s">
        <v>79</v>
      </c>
      <c r="Y1091" s="30" t="s">
        <v>331</v>
      </c>
      <c r="Z1091" s="30" t="s">
        <v>64</v>
      </c>
      <c r="AA1091" s="30" t="s">
        <v>565</v>
      </c>
      <c r="AB1091" s="30" t="s">
        <v>56</v>
      </c>
      <c r="AC1091" s="30" t="s">
        <v>3177</v>
      </c>
    </row>
    <row r="1092" spans="1:29">
      <c r="A1092" s="24" t="s">
        <v>3178</v>
      </c>
      <c r="B1092" s="24" t="str">
        <f>IF(ISNUMBER(SEARCH(E1092,A1092)),A1092,IF(OR(E1092="",E1092=""),A1092,A1092&amp;" - "&amp;E1092))</f>
        <v>Ostara Nova - Bubblegum Biscotti x Grape Gasoline</v>
      </c>
      <c r="C1092" s="24" t="s">
        <v>564</v>
      </c>
      <c r="D1092" s="24" t="s">
        <v>565</v>
      </c>
      <c r="E1092" s="24" t="s">
        <v>3179</v>
      </c>
      <c r="F1092" s="24" t="s">
        <v>86</v>
      </c>
      <c r="G1092" s="27">
        <v>26</v>
      </c>
      <c r="H1092" s="28">
        <v>1</v>
      </c>
      <c r="I1092" s="24"/>
      <c r="J1092" s="24"/>
      <c r="K1092" s="24" t="s">
        <v>52</v>
      </c>
      <c r="L1092" s="24" t="s">
        <v>53</v>
      </c>
      <c r="M1092" s="24" t="s">
        <v>111</v>
      </c>
      <c r="N1092" s="24" t="s">
        <v>55</v>
      </c>
      <c r="O1092" s="24" t="s">
        <v>72</v>
      </c>
      <c r="P1092" s="24" t="s">
        <v>74</v>
      </c>
      <c r="Q1092" s="24" t="s">
        <v>75</v>
      </c>
      <c r="R1092" s="24" t="s">
        <v>56</v>
      </c>
      <c r="S1092" s="24" t="s">
        <v>106</v>
      </c>
      <c r="T1092" s="24" t="s">
        <v>62</v>
      </c>
      <c r="U1092" s="24" t="s">
        <v>179</v>
      </c>
      <c r="V1092" s="24" t="s">
        <v>116</v>
      </c>
      <c r="W1092" s="24" t="s">
        <v>107</v>
      </c>
      <c r="X1092" s="24" t="s">
        <v>56</v>
      </c>
      <c r="Y1092" s="24" t="s">
        <v>56</v>
      </c>
      <c r="Z1092" s="24" t="s">
        <v>64</v>
      </c>
      <c r="AA1092" s="24" t="s">
        <v>565</v>
      </c>
      <c r="AB1092" s="24" t="s">
        <v>56</v>
      </c>
      <c r="AC1092" s="24" t="s">
        <v>3180</v>
      </c>
    </row>
    <row r="1093" spans="1:29">
      <c r="A1093" s="30" t="s">
        <v>3181</v>
      </c>
      <c r="B1093" s="30" t="str">
        <f>IF(ISNUMBER(SEARCH(E1093,A1093)),A1093,IF(OR(E1093="",E1093=""),A1093,A1093&amp;" - "&amp;E1093))</f>
        <v>Ostara Solar 24/1 - Bubblegum Biscotti x Grape Gasoline</v>
      </c>
      <c r="C1093" s="30" t="s">
        <v>564</v>
      </c>
      <c r="D1093" s="30" t="s">
        <v>565</v>
      </c>
      <c r="E1093" s="30" t="s">
        <v>3179</v>
      </c>
      <c r="F1093" s="30" t="s">
        <v>86</v>
      </c>
      <c r="G1093" s="34">
        <v>24</v>
      </c>
      <c r="H1093" s="35">
        <v>1</v>
      </c>
      <c r="I1093" s="30"/>
      <c r="J1093" s="30"/>
      <c r="K1093" s="30" t="s">
        <v>52</v>
      </c>
      <c r="L1093" s="30" t="s">
        <v>53</v>
      </c>
      <c r="M1093" s="30" t="s">
        <v>111</v>
      </c>
      <c r="N1093" s="30" t="s">
        <v>55</v>
      </c>
      <c r="O1093" s="30" t="s">
        <v>72</v>
      </c>
      <c r="P1093" s="30" t="s">
        <v>74</v>
      </c>
      <c r="Q1093" s="30" t="s">
        <v>75</v>
      </c>
      <c r="R1093" s="30" t="s">
        <v>56</v>
      </c>
      <c r="S1093" s="30" t="s">
        <v>192</v>
      </c>
      <c r="T1093" s="30" t="s">
        <v>61</v>
      </c>
      <c r="U1093" s="30" t="s">
        <v>62</v>
      </c>
      <c r="V1093" s="30" t="s">
        <v>116</v>
      </c>
      <c r="W1093" s="30" t="s">
        <v>107</v>
      </c>
      <c r="X1093" s="30" t="s">
        <v>56</v>
      </c>
      <c r="Y1093" s="30" t="s">
        <v>56</v>
      </c>
      <c r="Z1093" s="30" t="s">
        <v>64</v>
      </c>
      <c r="AA1093" s="30" t="s">
        <v>565</v>
      </c>
      <c r="AB1093" s="30" t="s">
        <v>56</v>
      </c>
      <c r="AC1093" s="30" t="s">
        <v>3182</v>
      </c>
    </row>
    <row r="1094" spans="1:29">
      <c r="A1094" s="24" t="s">
        <v>3183</v>
      </c>
      <c r="B1094" s="24" t="str">
        <f>IF(ISNUMBER(SEARCH(E1094,A1094)),A1094,IF(OR(E1094="",E1094=""),A1094,A1094&amp;" - "&amp;E1094))</f>
        <v>Peace Naturals 29/1 SC - Space Cake</v>
      </c>
      <c r="C1094" s="24" t="s">
        <v>811</v>
      </c>
      <c r="D1094" s="24" t="s">
        <v>812</v>
      </c>
      <c r="E1094" s="41" t="s">
        <v>722</v>
      </c>
      <c r="F1094" s="24" t="s">
        <v>69</v>
      </c>
      <c r="G1094" s="27">
        <v>29</v>
      </c>
      <c r="H1094" s="28">
        <v>1</v>
      </c>
      <c r="I1094" s="24"/>
      <c r="J1094" s="24"/>
      <c r="K1094" s="24" t="s">
        <v>52</v>
      </c>
      <c r="L1094" s="24" t="s">
        <v>53</v>
      </c>
      <c r="M1094" s="24" t="s">
        <v>54</v>
      </c>
      <c r="N1094" s="24" t="s">
        <v>212</v>
      </c>
      <c r="O1094" s="24" t="s">
        <v>55</v>
      </c>
      <c r="P1094" s="24" t="s">
        <v>57</v>
      </c>
      <c r="Q1094" s="24" t="s">
        <v>74</v>
      </c>
      <c r="R1094" s="24" t="s">
        <v>59</v>
      </c>
      <c r="S1094" s="24" t="s">
        <v>123</v>
      </c>
      <c r="T1094" s="24" t="s">
        <v>106</v>
      </c>
      <c r="U1094" s="24" t="s">
        <v>128</v>
      </c>
      <c r="V1094" s="24" t="s">
        <v>77</v>
      </c>
      <c r="W1094" s="24" t="s">
        <v>79</v>
      </c>
      <c r="X1094" s="24" t="s">
        <v>107</v>
      </c>
      <c r="Y1094" s="24"/>
      <c r="Z1094" s="24" t="s">
        <v>64</v>
      </c>
      <c r="AA1094" s="24" t="s">
        <v>812</v>
      </c>
      <c r="AB1094" s="24" t="s">
        <v>812</v>
      </c>
      <c r="AC1094" s="24" t="s">
        <v>3184</v>
      </c>
    </row>
    <row r="1095" spans="1:29">
      <c r="A1095" s="30" t="s">
        <v>3185</v>
      </c>
      <c r="B1095" s="30" t="str">
        <f>IF(ISNUMBER(SEARCH(E1095,A1095)),A1095,IF(OR(E1095="",E1095=""),A1095,A1095&amp;" - "&amp;E1095))</f>
        <v>Peace Naturals 31/1 CB - Cocoa Bomba</v>
      </c>
      <c r="C1095" s="30" t="s">
        <v>811</v>
      </c>
      <c r="D1095" s="30" t="s">
        <v>812</v>
      </c>
      <c r="E1095" s="30" t="s">
        <v>813</v>
      </c>
      <c r="F1095" s="30" t="s">
        <v>177</v>
      </c>
      <c r="G1095" s="34">
        <v>31</v>
      </c>
      <c r="H1095" s="35">
        <v>1</v>
      </c>
      <c r="I1095" s="30"/>
      <c r="J1095" s="30"/>
      <c r="K1095" s="30" t="s">
        <v>52</v>
      </c>
      <c r="L1095" s="30" t="s">
        <v>53</v>
      </c>
      <c r="M1095" s="30" t="s">
        <v>55</v>
      </c>
      <c r="N1095" s="30" t="s">
        <v>72</v>
      </c>
      <c r="O1095" s="30" t="s">
        <v>56</v>
      </c>
      <c r="P1095" s="30" t="s">
        <v>74</v>
      </c>
      <c r="Q1095" s="30" t="s">
        <v>75</v>
      </c>
      <c r="R1095" s="30" t="s">
        <v>59</v>
      </c>
      <c r="S1095" s="30" t="s">
        <v>192</v>
      </c>
      <c r="T1095" s="30" t="s">
        <v>147</v>
      </c>
      <c r="U1095" s="30" t="s">
        <v>106</v>
      </c>
      <c r="V1095" s="30" t="s">
        <v>77</v>
      </c>
      <c r="W1095" s="30" t="s">
        <v>116</v>
      </c>
      <c r="X1095" s="30" t="s">
        <v>208</v>
      </c>
      <c r="Y1095" s="30" t="s">
        <v>1595</v>
      </c>
      <c r="Z1095" s="30" t="s">
        <v>64</v>
      </c>
      <c r="AA1095" s="30" t="s">
        <v>812</v>
      </c>
      <c r="AB1095" s="30" t="s">
        <v>812</v>
      </c>
      <c r="AC1095" s="30" t="s">
        <v>3186</v>
      </c>
    </row>
    <row r="1096" spans="1:29">
      <c r="A1096" s="24" t="s">
        <v>3187</v>
      </c>
      <c r="B1096" s="24" t="str">
        <f>IF(ISNUMBER(SEARCH(E1096,A1096)),A1096,IF(OR(E1096="",E1096=""),A1096,A1096&amp;" - "&amp;E1096))</f>
        <v>Pedanios 18/1 - Sour Tangie</v>
      </c>
      <c r="C1096" s="24" t="s">
        <v>511</v>
      </c>
      <c r="D1096" s="24" t="s">
        <v>512</v>
      </c>
      <c r="E1096" s="24" t="s">
        <v>1663</v>
      </c>
      <c r="F1096" s="24" t="s">
        <v>69</v>
      </c>
      <c r="G1096" s="27">
        <v>18</v>
      </c>
      <c r="H1096" s="28">
        <v>1</v>
      </c>
      <c r="I1096" s="24"/>
      <c r="J1096" s="24"/>
      <c r="K1096" s="24" t="s">
        <v>17</v>
      </c>
      <c r="L1096" s="24" t="s">
        <v>53</v>
      </c>
      <c r="M1096" s="24" t="s">
        <v>54</v>
      </c>
      <c r="N1096" s="24" t="s">
        <v>111</v>
      </c>
      <c r="O1096" s="24" t="s">
        <v>88</v>
      </c>
      <c r="P1096" s="24" t="s">
        <v>75</v>
      </c>
      <c r="Q1096" s="24" t="s">
        <v>56</v>
      </c>
      <c r="R1096" s="24" t="s">
        <v>56</v>
      </c>
      <c r="S1096" s="24" t="s">
        <v>60</v>
      </c>
      <c r="T1096" s="24" t="s">
        <v>123</v>
      </c>
      <c r="U1096" s="24" t="s">
        <v>106</v>
      </c>
      <c r="V1096" s="24" t="s">
        <v>79</v>
      </c>
      <c r="W1096" s="24" t="s">
        <v>107</v>
      </c>
      <c r="X1096" s="24" t="s">
        <v>711</v>
      </c>
      <c r="Y1096" s="24" t="s">
        <v>56</v>
      </c>
      <c r="Z1096" s="24" t="s">
        <v>64</v>
      </c>
      <c r="AA1096" s="24" t="s">
        <v>512</v>
      </c>
      <c r="AB1096" s="24" t="s">
        <v>56</v>
      </c>
      <c r="AC1096" s="24" t="s">
        <v>3188</v>
      </c>
    </row>
    <row r="1097" spans="1:29">
      <c r="A1097" s="30" t="s">
        <v>3189</v>
      </c>
      <c r="B1097" s="30" t="str">
        <f>IF(ISNUMBER(SEARCH(E1097,A1097)),A1097,IF(OR(E1097="",E1097=""),A1097,A1097&amp;" - "&amp;E1097))</f>
        <v>Pedanios 20/1 - LA Confidential</v>
      </c>
      <c r="C1097" s="30" t="s">
        <v>511</v>
      </c>
      <c r="D1097" s="30" t="s">
        <v>512</v>
      </c>
      <c r="E1097" s="30" t="s">
        <v>519</v>
      </c>
      <c r="F1097" s="30" t="s">
        <v>120</v>
      </c>
      <c r="G1097" s="34">
        <v>20</v>
      </c>
      <c r="H1097" s="35">
        <v>1</v>
      </c>
      <c r="I1097" s="30"/>
      <c r="J1097" s="30"/>
      <c r="K1097" s="30" t="s">
        <v>17</v>
      </c>
      <c r="L1097" s="30" t="s">
        <v>87</v>
      </c>
      <c r="M1097" s="30" t="s">
        <v>88</v>
      </c>
      <c r="N1097" s="30" t="s">
        <v>103</v>
      </c>
      <c r="O1097" s="30" t="s">
        <v>121</v>
      </c>
      <c r="P1097" s="30" t="s">
        <v>146</v>
      </c>
      <c r="Q1097" s="30" t="s">
        <v>59</v>
      </c>
      <c r="R1097" s="30" t="s">
        <v>56</v>
      </c>
      <c r="S1097" s="30" t="s">
        <v>786</v>
      </c>
      <c r="T1097" s="30" t="s">
        <v>128</v>
      </c>
      <c r="U1097" s="30" t="s">
        <v>62</v>
      </c>
      <c r="V1097" s="30" t="s">
        <v>77</v>
      </c>
      <c r="W1097" s="30" t="s">
        <v>107</v>
      </c>
      <c r="X1097" s="30" t="s">
        <v>56</v>
      </c>
      <c r="Y1097" s="30" t="s">
        <v>1357</v>
      </c>
      <c r="Z1097" s="30" t="s">
        <v>64</v>
      </c>
      <c r="AA1097" s="30" t="s">
        <v>512</v>
      </c>
      <c r="AB1097" s="30" t="s">
        <v>56</v>
      </c>
      <c r="AC1097" s="30" t="s">
        <v>3190</v>
      </c>
    </row>
    <row r="1098" spans="1:29">
      <c r="A1098" s="24" t="s">
        <v>3191</v>
      </c>
      <c r="B1098" s="24" t="str">
        <f>IF(ISNUMBER(SEARCH(E1098,A1098)),A1098,IF(OR(E1098="",E1098=""),A1098,A1098&amp;" - "&amp;E1098))</f>
        <v>Pedanios 27/1 BLY-CA - Black Jelly</v>
      </c>
      <c r="C1098" s="24" t="s">
        <v>511</v>
      </c>
      <c r="D1098" s="24" t="s">
        <v>512</v>
      </c>
      <c r="E1098" s="24" t="s">
        <v>3192</v>
      </c>
      <c r="F1098" s="24" t="s">
        <v>144</v>
      </c>
      <c r="G1098" s="27">
        <v>27</v>
      </c>
      <c r="H1098" s="28">
        <v>1</v>
      </c>
      <c r="I1098" s="24"/>
      <c r="J1098" s="24"/>
      <c r="K1098" s="24" t="s">
        <v>52</v>
      </c>
      <c r="L1098" s="24" t="s">
        <v>53</v>
      </c>
      <c r="M1098" s="24" t="s">
        <v>111</v>
      </c>
      <c r="N1098" s="24" t="s">
        <v>72</v>
      </c>
      <c r="O1098" s="24" t="s">
        <v>56</v>
      </c>
      <c r="P1098" s="24" t="s">
        <v>74</v>
      </c>
      <c r="Q1098" s="24" t="s">
        <v>89</v>
      </c>
      <c r="R1098" s="24" t="s">
        <v>58</v>
      </c>
      <c r="S1098" s="24" t="s">
        <v>106</v>
      </c>
      <c r="T1098" s="24" t="s">
        <v>76</v>
      </c>
      <c r="U1098" s="24" t="s">
        <v>62</v>
      </c>
      <c r="V1098" s="24" t="s">
        <v>77</v>
      </c>
      <c r="W1098" s="24" t="s">
        <v>116</v>
      </c>
      <c r="X1098" s="24" t="s">
        <v>180</v>
      </c>
      <c r="Y1098" s="24" t="s">
        <v>3193</v>
      </c>
      <c r="Z1098" s="24" t="s">
        <v>64</v>
      </c>
      <c r="AA1098" s="24" t="s">
        <v>512</v>
      </c>
      <c r="AB1098" s="24" t="s">
        <v>56</v>
      </c>
      <c r="AC1098" s="24" t="s">
        <v>3194</v>
      </c>
    </row>
    <row r="1099" spans="1:29">
      <c r="A1099" s="30" t="s">
        <v>3195</v>
      </c>
      <c r="B1099" s="30" t="str">
        <f>IF(ISNUMBER(SEARCH(E1099,A1099)),A1099,IF(OR(E1099="",E1099=""),A1099,A1099&amp;" - "&amp;E1099))</f>
        <v>Pedanios 8/8 - Equiposa</v>
      </c>
      <c r="C1099" s="30" t="s">
        <v>511</v>
      </c>
      <c r="D1099" s="30" t="s">
        <v>512</v>
      </c>
      <c r="E1099" s="30" t="s">
        <v>554</v>
      </c>
      <c r="F1099" s="30" t="s">
        <v>86</v>
      </c>
      <c r="G1099" s="34">
        <v>8</v>
      </c>
      <c r="H1099" s="35">
        <v>8</v>
      </c>
      <c r="I1099" s="30"/>
      <c r="J1099" s="30"/>
      <c r="K1099" s="30" t="s">
        <v>17</v>
      </c>
      <c r="L1099" s="30" t="s">
        <v>87</v>
      </c>
      <c r="M1099" s="30" t="s">
        <v>54</v>
      </c>
      <c r="N1099" s="30" t="s">
        <v>111</v>
      </c>
      <c r="O1099" s="30" t="s">
        <v>88</v>
      </c>
      <c r="P1099" s="30" t="s">
        <v>112</v>
      </c>
      <c r="Q1099" s="30" t="s">
        <v>104</v>
      </c>
      <c r="R1099" s="30" t="s">
        <v>89</v>
      </c>
      <c r="S1099" s="30" t="s">
        <v>123</v>
      </c>
      <c r="T1099" s="30" t="s">
        <v>106</v>
      </c>
      <c r="U1099" s="30" t="s">
        <v>128</v>
      </c>
      <c r="V1099" s="30" t="s">
        <v>116</v>
      </c>
      <c r="W1099" s="30" t="s">
        <v>79</v>
      </c>
      <c r="X1099" s="30" t="s">
        <v>56</v>
      </c>
      <c r="Y1099" s="30" t="s">
        <v>56</v>
      </c>
      <c r="Z1099" s="30" t="s">
        <v>64</v>
      </c>
      <c r="AA1099" s="30" t="s">
        <v>512</v>
      </c>
      <c r="AB1099" s="30" t="s">
        <v>56</v>
      </c>
      <c r="AC1099" s="30" t="s">
        <v>3196</v>
      </c>
    </row>
    <row r="1100" spans="1:29">
      <c r="A1100" s="24" t="s">
        <v>3197</v>
      </c>
      <c r="B1100" s="24" t="str">
        <f>IF(ISNUMBER(SEARCH(E1100,A1100)),A1100,IF(OR(E1100="",E1100=""),A1100,A1100&amp;" - "&amp;E1100))</f>
        <v>PharmaRolly Primo - Meringue</v>
      </c>
      <c r="C1100" s="24" t="s">
        <v>564</v>
      </c>
      <c r="D1100" s="24" t="s">
        <v>565</v>
      </c>
      <c r="E1100" s="24" t="s">
        <v>3198</v>
      </c>
      <c r="F1100" s="24" t="s">
        <v>86</v>
      </c>
      <c r="G1100" s="27">
        <v>21</v>
      </c>
      <c r="H1100" s="28">
        <v>1</v>
      </c>
      <c r="I1100" s="24"/>
      <c r="J1100" s="24"/>
      <c r="K1100" s="24" t="s">
        <v>17</v>
      </c>
      <c r="L1100" s="24" t="s">
        <v>145</v>
      </c>
      <c r="M1100" s="24" t="s">
        <v>54</v>
      </c>
      <c r="N1100" s="24" t="s">
        <v>55</v>
      </c>
      <c r="O1100" s="24" t="s">
        <v>72</v>
      </c>
      <c r="P1100" s="24" t="s">
        <v>75</v>
      </c>
      <c r="Q1100" s="24" t="s">
        <v>89</v>
      </c>
      <c r="R1100" s="24" t="s">
        <v>56</v>
      </c>
      <c r="S1100" s="24" t="s">
        <v>123</v>
      </c>
      <c r="T1100" s="24" t="s">
        <v>106</v>
      </c>
      <c r="U1100" s="24" t="s">
        <v>128</v>
      </c>
      <c r="V1100" s="24" t="s">
        <v>77</v>
      </c>
      <c r="W1100" s="24" t="s">
        <v>107</v>
      </c>
      <c r="X1100" s="24" t="s">
        <v>173</v>
      </c>
      <c r="Y1100" s="24" t="s">
        <v>56</v>
      </c>
      <c r="Z1100" s="24" t="s">
        <v>64</v>
      </c>
      <c r="AA1100" s="24" t="s">
        <v>565</v>
      </c>
      <c r="AB1100" s="24" t="s">
        <v>56</v>
      </c>
      <c r="AC1100" s="24" t="s">
        <v>3199</v>
      </c>
    </row>
    <row r="1101" spans="1:29">
      <c r="A1101" s="30" t="s">
        <v>3200</v>
      </c>
      <c r="B1101" s="30" t="str">
        <f>IF(ISNUMBER(SEARCH(E1101,A1101)),A1101,IF(OR(E1101="",E1101=""),A1101,A1101&amp;" - "&amp;E1101))</f>
        <v>PharmCann Silver THC22 - La Sage</v>
      </c>
      <c r="C1101" s="29" t="s">
        <v>3201</v>
      </c>
      <c r="D1101" s="30" t="s">
        <v>3202</v>
      </c>
      <c r="E1101" s="30" t="s">
        <v>219</v>
      </c>
      <c r="F1101" s="30" t="s">
        <v>86</v>
      </c>
      <c r="G1101" s="34">
        <v>22</v>
      </c>
      <c r="H1101" s="35">
        <v>1</v>
      </c>
      <c r="I1101" s="30"/>
      <c r="J1101" s="30"/>
      <c r="K1101" s="30" t="s">
        <v>52</v>
      </c>
      <c r="L1101" s="30" t="s">
        <v>145</v>
      </c>
      <c r="M1101" s="30" t="s">
        <v>88</v>
      </c>
      <c r="N1101" s="30" t="s">
        <v>71</v>
      </c>
      <c r="O1101" s="30" t="s">
        <v>55</v>
      </c>
      <c r="P1101" s="30" t="s">
        <v>146</v>
      </c>
      <c r="Q1101" s="30" t="s">
        <v>75</v>
      </c>
      <c r="R1101" s="30" t="s">
        <v>56</v>
      </c>
      <c r="S1101" s="30" t="s">
        <v>90</v>
      </c>
      <c r="T1101" s="30" t="s">
        <v>106</v>
      </c>
      <c r="U1101" s="30" t="s">
        <v>224</v>
      </c>
      <c r="V1101" s="30" t="s">
        <v>77</v>
      </c>
      <c r="W1101" s="30" t="s">
        <v>116</v>
      </c>
      <c r="X1101" s="30" t="s">
        <v>107</v>
      </c>
      <c r="Y1101" s="30" t="s">
        <v>56</v>
      </c>
      <c r="Z1101" s="30" t="s">
        <v>64</v>
      </c>
      <c r="AA1101" s="30" t="s">
        <v>3202</v>
      </c>
      <c r="AB1101" s="30" t="s">
        <v>56</v>
      </c>
      <c r="AC1101" s="30" t="s">
        <v>3203</v>
      </c>
    </row>
    <row r="1102" spans="1:29">
      <c r="A1102" s="24" t="s">
        <v>3204</v>
      </c>
      <c r="B1102" s="24" t="str">
        <f>IF(ISNUMBER(SEARCH(E1102,A1102)),A1102,IF(OR(E1102="",E1102=""),A1102,A1102&amp;" - "&amp;E1102))</f>
        <v>PureCan B4NANA 25/1 - Banana Sherbet</v>
      </c>
      <c r="C1102" s="23" t="s">
        <v>3205</v>
      </c>
      <c r="D1102" s="24" t="s">
        <v>3206</v>
      </c>
      <c r="E1102" s="24" t="s">
        <v>3207</v>
      </c>
      <c r="F1102" s="24" t="s">
        <v>86</v>
      </c>
      <c r="G1102" s="27">
        <v>26</v>
      </c>
      <c r="H1102" s="28">
        <v>1</v>
      </c>
      <c r="I1102" s="24"/>
      <c r="J1102" s="24"/>
      <c r="K1102" s="24" t="s">
        <v>52</v>
      </c>
      <c r="L1102" s="24"/>
      <c r="M1102" s="24" t="s">
        <v>54</v>
      </c>
      <c r="N1102" s="24" t="s">
        <v>178</v>
      </c>
      <c r="O1102" s="24" t="s">
        <v>72</v>
      </c>
      <c r="P1102" s="24" t="s">
        <v>136</v>
      </c>
      <c r="Q1102" s="24" t="s">
        <v>74</v>
      </c>
      <c r="R1102" s="24" t="s">
        <v>75</v>
      </c>
      <c r="S1102" s="24" t="s">
        <v>192</v>
      </c>
      <c r="T1102" s="24" t="s">
        <v>147</v>
      </c>
      <c r="U1102" s="24" t="s">
        <v>62</v>
      </c>
      <c r="V1102" s="24" t="s">
        <v>77</v>
      </c>
      <c r="W1102" s="24" t="s">
        <v>116</v>
      </c>
      <c r="X1102" s="24" t="s">
        <v>79</v>
      </c>
      <c r="Y1102" s="24" t="s">
        <v>56</v>
      </c>
      <c r="Z1102" s="24" t="s">
        <v>64</v>
      </c>
      <c r="AA1102" s="24" t="s">
        <v>3206</v>
      </c>
      <c r="AB1102" s="24" t="s">
        <v>56</v>
      </c>
      <c r="AC1102" s="24" t="s">
        <v>3208</v>
      </c>
    </row>
    <row r="1103" spans="1:29">
      <c r="A1103" s="30" t="s">
        <v>3209</v>
      </c>
      <c r="B1103" s="30" t="str">
        <f>IF(ISNUMBER(SEARCH(E1103,A1103)),A1103,IF(OR(E1103="",E1103=""),A1103,A1103&amp;" - "&amp;E1103))</f>
        <v>Relecan Hybrid Strong - Gorilla Glue</v>
      </c>
      <c r="C1103" s="30" t="s">
        <v>564</v>
      </c>
      <c r="D1103" s="30" t="s">
        <v>565</v>
      </c>
      <c r="E1103" s="30" t="s">
        <v>363</v>
      </c>
      <c r="F1103" s="30" t="s">
        <v>86</v>
      </c>
      <c r="G1103" s="34">
        <v>22</v>
      </c>
      <c r="H1103" s="35">
        <v>1</v>
      </c>
      <c r="I1103" s="30"/>
      <c r="J1103" s="30"/>
      <c r="K1103" s="30" t="s">
        <v>52</v>
      </c>
      <c r="L1103" s="30" t="s">
        <v>102</v>
      </c>
      <c r="M1103" s="30" t="s">
        <v>103</v>
      </c>
      <c r="N1103" s="30" t="s">
        <v>121</v>
      </c>
      <c r="O1103" s="30" t="s">
        <v>72</v>
      </c>
      <c r="P1103" s="30" t="s">
        <v>146</v>
      </c>
      <c r="Q1103" s="30" t="s">
        <v>74</v>
      </c>
      <c r="R1103" s="30" t="s">
        <v>59</v>
      </c>
      <c r="S1103" s="30" t="s">
        <v>60</v>
      </c>
      <c r="T1103" s="30" t="s">
        <v>147</v>
      </c>
      <c r="U1103" s="30" t="s">
        <v>123</v>
      </c>
      <c r="V1103" s="30" t="s">
        <v>257</v>
      </c>
      <c r="W1103" s="30" t="s">
        <v>252</v>
      </c>
      <c r="X1103" s="30" t="s">
        <v>77</v>
      </c>
      <c r="Y1103" s="30" t="s">
        <v>56</v>
      </c>
      <c r="Z1103" s="30" t="s">
        <v>64</v>
      </c>
      <c r="AA1103" s="30" t="s">
        <v>565</v>
      </c>
      <c r="AB1103" s="30" t="s">
        <v>56</v>
      </c>
      <c r="AC1103" s="30" t="s">
        <v>3210</v>
      </c>
    </row>
    <row r="1104" spans="1:29">
      <c r="A1104" s="24" t="s">
        <v>3211</v>
      </c>
      <c r="B1104" s="24" t="str">
        <f>IF(ISNUMBER(SEARCH(E1104,A1104)),A1104,IF(OR(E1104="",E1104=""),A1104,A1104&amp;" - "&amp;E1104))</f>
        <v>Relecan Indica Strong - Peyote Critical</v>
      </c>
      <c r="C1104" s="24" t="s">
        <v>564</v>
      </c>
      <c r="D1104" s="24" t="s">
        <v>565</v>
      </c>
      <c r="E1104" s="24" t="s">
        <v>1248</v>
      </c>
      <c r="F1104" s="24" t="s">
        <v>120</v>
      </c>
      <c r="G1104" s="27">
        <v>19</v>
      </c>
      <c r="H1104" s="28">
        <v>1</v>
      </c>
      <c r="I1104" s="24"/>
      <c r="J1104" s="24"/>
      <c r="K1104" s="24" t="s">
        <v>52</v>
      </c>
      <c r="L1104" s="24" t="s">
        <v>102</v>
      </c>
      <c r="M1104" s="24" t="s">
        <v>55</v>
      </c>
      <c r="N1104" s="24" t="s">
        <v>121</v>
      </c>
      <c r="O1104" s="24" t="s">
        <v>72</v>
      </c>
      <c r="P1104" s="24" t="s">
        <v>591</v>
      </c>
      <c r="Q1104" s="24" t="s">
        <v>157</v>
      </c>
      <c r="R1104" s="24" t="s">
        <v>57</v>
      </c>
      <c r="S1104" s="24" t="s">
        <v>147</v>
      </c>
      <c r="T1104" s="24" t="s">
        <v>106</v>
      </c>
      <c r="U1104" s="24" t="s">
        <v>76</v>
      </c>
      <c r="V1104" s="24" t="s">
        <v>77</v>
      </c>
      <c r="W1104" s="24" t="s">
        <v>116</v>
      </c>
      <c r="X1104" s="24" t="s">
        <v>165</v>
      </c>
      <c r="Y1104" s="24" t="s">
        <v>56</v>
      </c>
      <c r="Z1104" s="24" t="s">
        <v>64</v>
      </c>
      <c r="AA1104" s="24" t="s">
        <v>565</v>
      </c>
      <c r="AB1104" s="24" t="s">
        <v>56</v>
      </c>
      <c r="AC1104" s="24" t="s">
        <v>3212</v>
      </c>
    </row>
    <row r="1105" spans="1:29">
      <c r="A1105" s="30" t="s">
        <v>3213</v>
      </c>
      <c r="B1105" s="30" t="str">
        <f>IF(ISNUMBER(SEARCH(E1105,A1105)),A1105,IF(OR(E1105="",E1105=""),A1105,A1105&amp;" - "&amp;E1105))</f>
        <v>Remexian 16/1 Nordle</v>
      </c>
      <c r="C1105" s="30" t="s">
        <v>83</v>
      </c>
      <c r="D1105" s="30" t="s">
        <v>84</v>
      </c>
      <c r="E1105" s="30" t="s">
        <v>3214</v>
      </c>
      <c r="F1105" s="30" t="s">
        <v>86</v>
      </c>
      <c r="G1105" s="34">
        <v>17</v>
      </c>
      <c r="H1105" s="35">
        <v>1</v>
      </c>
      <c r="I1105" s="30"/>
      <c r="J1105" s="30"/>
      <c r="K1105" s="30" t="s">
        <v>17</v>
      </c>
      <c r="L1105" s="30" t="s">
        <v>87</v>
      </c>
      <c r="M1105" s="30" t="s">
        <v>103</v>
      </c>
      <c r="N1105" s="30" t="s">
        <v>72</v>
      </c>
      <c r="O1105" s="30" t="s">
        <v>56</v>
      </c>
      <c r="P1105" s="30" t="s">
        <v>157</v>
      </c>
      <c r="Q1105" s="30" t="s">
        <v>104</v>
      </c>
      <c r="R1105" s="30" t="s">
        <v>89</v>
      </c>
      <c r="S1105" s="30" t="s">
        <v>90</v>
      </c>
      <c r="T1105" s="30" t="s">
        <v>147</v>
      </c>
      <c r="U1105" s="30" t="s">
        <v>123</v>
      </c>
      <c r="V1105" s="30" t="s">
        <v>77</v>
      </c>
      <c r="W1105" s="30" t="s">
        <v>107</v>
      </c>
      <c r="X1105" s="30" t="s">
        <v>93</v>
      </c>
      <c r="Y1105" s="30" t="s">
        <v>3215</v>
      </c>
      <c r="Z1105" s="30" t="s">
        <v>64</v>
      </c>
      <c r="AA1105" s="30" t="s">
        <v>95</v>
      </c>
      <c r="AB1105" s="30" t="s">
        <v>56</v>
      </c>
      <c r="AC1105" s="30" t="s">
        <v>3216</v>
      </c>
    </row>
    <row r="1106" spans="1:29">
      <c r="A1106" s="24" t="s">
        <v>3217</v>
      </c>
      <c r="B1106" s="24" t="str">
        <f>IF(ISNUMBER(SEARCH(E1106,A1106)),A1106,IF(OR(E1106="",E1106=""),A1106,A1106&amp;" - "&amp;E1106))</f>
        <v>Remexian 20/1 - Nordle</v>
      </c>
      <c r="C1106" s="24" t="s">
        <v>83</v>
      </c>
      <c r="D1106" s="24" t="s">
        <v>84</v>
      </c>
      <c r="E1106" s="24" t="s">
        <v>3214</v>
      </c>
      <c r="F1106" s="24" t="s">
        <v>51</v>
      </c>
      <c r="G1106" s="27">
        <v>20</v>
      </c>
      <c r="H1106" s="28">
        <v>1</v>
      </c>
      <c r="I1106" s="24"/>
      <c r="J1106" s="24"/>
      <c r="K1106" s="24" t="s">
        <v>17</v>
      </c>
      <c r="L1106" s="24" t="s">
        <v>87</v>
      </c>
      <c r="M1106" s="24" t="s">
        <v>103</v>
      </c>
      <c r="N1106" s="24" t="s">
        <v>72</v>
      </c>
      <c r="O1106" s="24" t="s">
        <v>56</v>
      </c>
      <c r="P1106" s="24" t="s">
        <v>157</v>
      </c>
      <c r="Q1106" s="24" t="s">
        <v>104</v>
      </c>
      <c r="R1106" s="24" t="s">
        <v>89</v>
      </c>
      <c r="S1106" s="24" t="s">
        <v>90</v>
      </c>
      <c r="T1106" s="24" t="s">
        <v>147</v>
      </c>
      <c r="U1106" s="24" t="s">
        <v>123</v>
      </c>
      <c r="V1106" s="24" t="s">
        <v>77</v>
      </c>
      <c r="W1106" s="24" t="s">
        <v>107</v>
      </c>
      <c r="X1106" s="24" t="s">
        <v>93</v>
      </c>
      <c r="Y1106" s="24" t="s">
        <v>1036</v>
      </c>
      <c r="Z1106" s="24" t="s">
        <v>64</v>
      </c>
      <c r="AA1106" s="24" t="s">
        <v>95</v>
      </c>
      <c r="AB1106" s="24" t="s">
        <v>56</v>
      </c>
      <c r="AC1106" s="24" t="s">
        <v>3218</v>
      </c>
    </row>
    <row r="1107" spans="1:29">
      <c r="A1107" s="30" t="s">
        <v>3219</v>
      </c>
      <c r="B1107" s="30" t="str">
        <f>IF(ISNUMBER(SEARCH(E1107,A1107)),A1107,IF(OR(E1107="",E1107=""),A1107,A1107&amp;" - "&amp;E1107))</f>
        <v>Remexian 20/1 AVA FRY - MacFlurry</v>
      </c>
      <c r="C1107" s="30" t="s">
        <v>83</v>
      </c>
      <c r="D1107" s="30" t="s">
        <v>84</v>
      </c>
      <c r="E1107" s="40" t="s">
        <v>927</v>
      </c>
      <c r="F1107" s="30" t="s">
        <v>177</v>
      </c>
      <c r="G1107" s="34">
        <v>20</v>
      </c>
      <c r="H1107" s="35">
        <v>1</v>
      </c>
      <c r="I1107" s="30"/>
      <c r="J1107" s="30"/>
      <c r="K1107" s="30" t="s">
        <v>52</v>
      </c>
      <c r="L1107" s="30" t="s">
        <v>53</v>
      </c>
      <c r="M1107" s="30" t="s">
        <v>88</v>
      </c>
      <c r="N1107" s="30" t="s">
        <v>121</v>
      </c>
      <c r="O1107" s="30" t="s">
        <v>72</v>
      </c>
      <c r="P1107" s="30" t="s">
        <v>73</v>
      </c>
      <c r="Q1107" s="30" t="s">
        <v>104</v>
      </c>
      <c r="R1107" s="30" t="s">
        <v>75</v>
      </c>
      <c r="S1107" s="30" t="s">
        <v>90</v>
      </c>
      <c r="T1107" s="30" t="s">
        <v>493</v>
      </c>
      <c r="U1107" s="30" t="s">
        <v>61</v>
      </c>
      <c r="V1107" s="30" t="s">
        <v>77</v>
      </c>
      <c r="W1107" s="30" t="s">
        <v>116</v>
      </c>
      <c r="X1107" s="30" t="s">
        <v>79</v>
      </c>
      <c r="Y1107" s="30" t="s">
        <v>3220</v>
      </c>
      <c r="Z1107" s="30" t="s">
        <v>64</v>
      </c>
      <c r="AA1107" s="30" t="s">
        <v>95</v>
      </c>
      <c r="AB1107" s="30"/>
      <c r="AC1107" s="30" t="s">
        <v>3221</v>
      </c>
    </row>
    <row r="1108" spans="1:29">
      <c r="A1108" s="24" t="s">
        <v>3222</v>
      </c>
      <c r="B1108" s="24" t="str">
        <f>IF(ISNUMBER(SEARCH(E1108,A1108)),A1108,IF(OR(E1108="",E1108=""),A1108,A1108&amp;" - "&amp;E1108))</f>
        <v>Remexian 20/1 HCC DBU - Donkey Butter</v>
      </c>
      <c r="C1108" s="24" t="s">
        <v>83</v>
      </c>
      <c r="D1108" s="24" t="s">
        <v>84</v>
      </c>
      <c r="E1108" s="41" t="s">
        <v>2565</v>
      </c>
      <c r="F1108" s="24" t="s">
        <v>51</v>
      </c>
      <c r="G1108" s="27">
        <v>20</v>
      </c>
      <c r="H1108" s="28">
        <v>1</v>
      </c>
      <c r="I1108" s="24"/>
      <c r="J1108" s="24"/>
      <c r="K1108" s="24" t="s">
        <v>52</v>
      </c>
      <c r="L1108" s="24" t="s">
        <v>53</v>
      </c>
      <c r="M1108" s="24" t="s">
        <v>72</v>
      </c>
      <c r="N1108" s="24"/>
      <c r="O1108" s="24"/>
      <c r="P1108" s="24" t="s">
        <v>73</v>
      </c>
      <c r="Q1108" s="24" t="s">
        <v>74</v>
      </c>
      <c r="R1108" s="24" t="s">
        <v>59</v>
      </c>
      <c r="S1108" s="24" t="s">
        <v>147</v>
      </c>
      <c r="T1108" s="24" t="s">
        <v>106</v>
      </c>
      <c r="U1108" s="24" t="s">
        <v>62</v>
      </c>
      <c r="V1108" s="24" t="s">
        <v>77</v>
      </c>
      <c r="W1108" s="24" t="s">
        <v>116</v>
      </c>
      <c r="X1108" s="24" t="s">
        <v>180</v>
      </c>
      <c r="Y1108" s="24" t="s">
        <v>1681</v>
      </c>
      <c r="Z1108" s="24" t="s">
        <v>64</v>
      </c>
      <c r="AA1108" s="24" t="s">
        <v>95</v>
      </c>
      <c r="AB1108" s="24"/>
      <c r="AC1108" s="24" t="s">
        <v>3223</v>
      </c>
    </row>
    <row r="1109" spans="1:29">
      <c r="A1109" s="30" t="s">
        <v>3224</v>
      </c>
      <c r="B1109" s="30" t="str">
        <f>IF(ISNUMBER(SEARCH(E1109,A1109)),A1109,IF(OR(E1109="",E1109=""),A1109,A1109&amp;" - "&amp;E1109))</f>
        <v>Remexian 21/1 ISL - Animal Face</v>
      </c>
      <c r="C1109" s="30" t="s">
        <v>83</v>
      </c>
      <c r="D1109" s="30" t="s">
        <v>84</v>
      </c>
      <c r="E1109" s="30" t="s">
        <v>1653</v>
      </c>
      <c r="F1109" s="30" t="s">
        <v>86</v>
      </c>
      <c r="G1109" s="34">
        <v>20</v>
      </c>
      <c r="H1109" s="35">
        <v>1</v>
      </c>
      <c r="I1109" s="30"/>
      <c r="J1109" s="30"/>
      <c r="K1109" s="30" t="s">
        <v>52</v>
      </c>
      <c r="L1109" s="30" t="s">
        <v>53</v>
      </c>
      <c r="M1109" s="30" t="s">
        <v>111</v>
      </c>
      <c r="N1109" s="30" t="s">
        <v>88</v>
      </c>
      <c r="O1109" s="30" t="s">
        <v>72</v>
      </c>
      <c r="P1109" s="30" t="s">
        <v>112</v>
      </c>
      <c r="Q1109" s="30" t="s">
        <v>146</v>
      </c>
      <c r="R1109" s="30" t="s">
        <v>57</v>
      </c>
      <c r="S1109" s="30" t="s">
        <v>106</v>
      </c>
      <c r="T1109" s="30" t="s">
        <v>62</v>
      </c>
      <c r="U1109" s="30" t="s">
        <v>128</v>
      </c>
      <c r="V1109" s="30" t="s">
        <v>77</v>
      </c>
      <c r="W1109" s="30" t="s">
        <v>116</v>
      </c>
      <c r="X1109" s="30" t="s">
        <v>107</v>
      </c>
      <c r="Y1109" s="30" t="s">
        <v>1135</v>
      </c>
      <c r="Z1109" s="30" t="s">
        <v>64</v>
      </c>
      <c r="AA1109" s="30" t="s">
        <v>95</v>
      </c>
      <c r="AB1109" s="30" t="s">
        <v>56</v>
      </c>
      <c r="AC1109" s="30" t="s">
        <v>3225</v>
      </c>
    </row>
    <row r="1110" spans="1:29">
      <c r="A1110" s="24" t="s">
        <v>3226</v>
      </c>
      <c r="B1110" s="24" t="str">
        <f>IF(ISNUMBER(SEARCH(E1110,A1110)),A1110,IF(OR(E1110="",E1110=""),A1110,A1110&amp;" - "&amp;E1110))</f>
        <v>Remexian 22/1 APX - Apex OG</v>
      </c>
      <c r="C1110" s="24" t="s">
        <v>83</v>
      </c>
      <c r="D1110" s="24" t="s">
        <v>84</v>
      </c>
      <c r="E1110" s="24" t="s">
        <v>3227</v>
      </c>
      <c r="F1110" s="24" t="s">
        <v>86</v>
      </c>
      <c r="G1110" s="27">
        <v>22</v>
      </c>
      <c r="H1110" s="28">
        <v>1</v>
      </c>
      <c r="I1110" s="24"/>
      <c r="J1110" s="24"/>
      <c r="K1110" s="24" t="s">
        <v>52</v>
      </c>
      <c r="L1110" s="24" t="s">
        <v>53</v>
      </c>
      <c r="M1110" s="24" t="s">
        <v>103</v>
      </c>
      <c r="N1110" s="24" t="s">
        <v>72</v>
      </c>
      <c r="O1110" s="24" t="s">
        <v>56</v>
      </c>
      <c r="P1110" s="24" t="s">
        <v>75</v>
      </c>
      <c r="Q1110" s="24" t="s">
        <v>58</v>
      </c>
      <c r="R1110" s="24" t="s">
        <v>56</v>
      </c>
      <c r="S1110" s="24" t="s">
        <v>123</v>
      </c>
      <c r="T1110" s="24" t="s">
        <v>61</v>
      </c>
      <c r="U1110" s="24" t="s">
        <v>1241</v>
      </c>
      <c r="V1110" s="24" t="s">
        <v>77</v>
      </c>
      <c r="W1110" s="24" t="s">
        <v>129</v>
      </c>
      <c r="X1110" s="24" t="s">
        <v>138</v>
      </c>
      <c r="Y1110" s="24" t="s">
        <v>56</v>
      </c>
      <c r="Z1110" s="24" t="s">
        <v>64</v>
      </c>
      <c r="AA1110" s="24" t="s">
        <v>95</v>
      </c>
      <c r="AB1110" s="24" t="s">
        <v>56</v>
      </c>
      <c r="AC1110" s="24" t="s">
        <v>3228</v>
      </c>
    </row>
    <row r="1111" spans="1:29">
      <c r="A1111" s="30" t="s">
        <v>3229</v>
      </c>
      <c r="B1111" s="30" t="str">
        <f>IF(ISNUMBER(SEARCH(E1111,A1111)),A1111,IF(OR(E1111="",E1111=""),A1111,A1111&amp;" - "&amp;E1111))</f>
        <v>Remexian 22/1 GG4 - Gorilla Glue</v>
      </c>
      <c r="C1111" s="30" t="s">
        <v>83</v>
      </c>
      <c r="D1111" s="30" t="s">
        <v>84</v>
      </c>
      <c r="E1111" s="30" t="s">
        <v>363</v>
      </c>
      <c r="F1111" s="30" t="s">
        <v>120</v>
      </c>
      <c r="G1111" s="34">
        <v>22</v>
      </c>
      <c r="H1111" s="35">
        <v>1</v>
      </c>
      <c r="I1111" s="30"/>
      <c r="J1111" s="30"/>
      <c r="K1111" s="30" t="s">
        <v>52</v>
      </c>
      <c r="L1111" s="30" t="s">
        <v>53</v>
      </c>
      <c r="M1111" s="30" t="s">
        <v>103</v>
      </c>
      <c r="N1111" s="30" t="s">
        <v>121</v>
      </c>
      <c r="O1111" s="30" t="s">
        <v>72</v>
      </c>
      <c r="P1111" s="30" t="s">
        <v>146</v>
      </c>
      <c r="Q1111" s="30" t="s">
        <v>74</v>
      </c>
      <c r="R1111" s="30" t="s">
        <v>59</v>
      </c>
      <c r="S1111" s="30" t="s">
        <v>60</v>
      </c>
      <c r="T1111" s="30" t="s">
        <v>123</v>
      </c>
      <c r="U1111" s="30" t="s">
        <v>106</v>
      </c>
      <c r="V1111" s="30" t="s">
        <v>257</v>
      </c>
      <c r="W1111" s="30" t="s">
        <v>252</v>
      </c>
      <c r="X1111" s="30" t="s">
        <v>77</v>
      </c>
      <c r="Y1111" s="30" t="s">
        <v>56</v>
      </c>
      <c r="Z1111" s="30" t="s">
        <v>64</v>
      </c>
      <c r="AA1111" s="30" t="s">
        <v>95</v>
      </c>
      <c r="AB1111" s="30" t="s">
        <v>56</v>
      </c>
      <c r="AC1111" s="30" t="s">
        <v>3230</v>
      </c>
    </row>
    <row r="1112" spans="1:29">
      <c r="A1112" s="24" t="s">
        <v>3231</v>
      </c>
      <c r="B1112" s="24" t="str">
        <f>IF(ISNUMBER(SEARCH(E1112,A1112)),A1112,IF(OR(E1112="",E1112=""),A1112,A1112&amp;" - "&amp;E1112))</f>
        <v>Remexian 22/1 GG4 Mini - Gorilla Glue</v>
      </c>
      <c r="C1112" s="24" t="s">
        <v>83</v>
      </c>
      <c r="D1112" s="24" t="s">
        <v>84</v>
      </c>
      <c r="E1112" s="24" t="s">
        <v>363</v>
      </c>
      <c r="F1112" s="24" t="s">
        <v>51</v>
      </c>
      <c r="G1112" s="27">
        <v>22</v>
      </c>
      <c r="H1112" s="28">
        <v>1</v>
      </c>
      <c r="I1112" s="24"/>
      <c r="J1112" s="24"/>
      <c r="K1112" s="24" t="s">
        <v>52</v>
      </c>
      <c r="L1112" s="24" t="s">
        <v>53</v>
      </c>
      <c r="M1112" s="24" t="s">
        <v>103</v>
      </c>
      <c r="N1112" s="24" t="s">
        <v>121</v>
      </c>
      <c r="O1112" s="24" t="s">
        <v>72</v>
      </c>
      <c r="P1112" s="24" t="s">
        <v>146</v>
      </c>
      <c r="Q1112" s="24" t="s">
        <v>74</v>
      </c>
      <c r="R1112" s="24" t="s">
        <v>59</v>
      </c>
      <c r="S1112" s="24" t="s">
        <v>60</v>
      </c>
      <c r="T1112" s="24" t="s">
        <v>123</v>
      </c>
      <c r="U1112" s="24" t="s">
        <v>106</v>
      </c>
      <c r="V1112" s="24" t="s">
        <v>257</v>
      </c>
      <c r="W1112" s="24" t="s">
        <v>252</v>
      </c>
      <c r="X1112" s="24" t="s">
        <v>77</v>
      </c>
      <c r="Y1112" s="24" t="s">
        <v>56</v>
      </c>
      <c r="Z1112" s="24" t="s">
        <v>64</v>
      </c>
      <c r="AA1112" s="24" t="s">
        <v>95</v>
      </c>
      <c r="AB1112" s="24" t="s">
        <v>56</v>
      </c>
      <c r="AC1112" s="24" t="s">
        <v>3232</v>
      </c>
    </row>
    <row r="1113" spans="1:29">
      <c r="A1113" s="30" t="s">
        <v>3233</v>
      </c>
      <c r="B1113" s="30" t="str">
        <f>IF(ISNUMBER(SEARCH(E1113,A1113)),A1113,IF(OR(E1113="",E1113=""),A1113,A1113&amp;" - "&amp;E1113))</f>
        <v>Remexian 22/1 HUW Minis - Humble Warrior</v>
      </c>
      <c r="C1113" s="30" t="s">
        <v>83</v>
      </c>
      <c r="D1113" s="30" t="s">
        <v>84</v>
      </c>
      <c r="E1113" s="30" t="s">
        <v>1051</v>
      </c>
      <c r="F1113" s="30" t="s">
        <v>144</v>
      </c>
      <c r="G1113" s="34">
        <v>22</v>
      </c>
      <c r="H1113" s="35">
        <v>1</v>
      </c>
      <c r="I1113" s="30"/>
      <c r="J1113" s="30"/>
      <c r="K1113" s="30" t="s">
        <v>52</v>
      </c>
      <c r="L1113" s="30" t="s">
        <v>102</v>
      </c>
      <c r="M1113" s="30" t="s">
        <v>156</v>
      </c>
      <c r="N1113" s="30" t="s">
        <v>111</v>
      </c>
      <c r="O1113" s="30" t="s">
        <v>88</v>
      </c>
      <c r="P1113" s="30" t="s">
        <v>58</v>
      </c>
      <c r="Q1113" s="30" t="s">
        <v>56</v>
      </c>
      <c r="R1113" s="30" t="s">
        <v>56</v>
      </c>
      <c r="S1113" s="30" t="s">
        <v>90</v>
      </c>
      <c r="T1113" s="30" t="s">
        <v>60</v>
      </c>
      <c r="U1113" s="30" t="s">
        <v>123</v>
      </c>
      <c r="V1113" s="30" t="s">
        <v>77</v>
      </c>
      <c r="W1113" s="30" t="s">
        <v>116</v>
      </c>
      <c r="X1113" s="30" t="s">
        <v>138</v>
      </c>
      <c r="Y1113" s="30" t="s">
        <v>56</v>
      </c>
      <c r="Z1113" s="30" t="s">
        <v>64</v>
      </c>
      <c r="AA1113" s="30" t="s">
        <v>95</v>
      </c>
      <c r="AB1113" s="30" t="s">
        <v>56</v>
      </c>
      <c r="AC1113" s="30" t="s">
        <v>3234</v>
      </c>
    </row>
    <row r="1114" spans="1:29">
      <c r="A1114" s="24" t="s">
        <v>3235</v>
      </c>
      <c r="B1114" s="24" t="str">
        <f>IF(ISNUMBER(SEARCH(E1114,A1114)),A1114,IF(OR(E1114="",E1114=""),A1114,A1114&amp;" - "&amp;E1114))</f>
        <v>Remexian 23/1 MAD - Magic Dream</v>
      </c>
      <c r="C1114" s="24" t="s">
        <v>83</v>
      </c>
      <c r="D1114" s="24" t="s">
        <v>84</v>
      </c>
      <c r="E1114" s="24" t="s">
        <v>3236</v>
      </c>
      <c r="F1114" s="24" t="s">
        <v>86</v>
      </c>
      <c r="G1114" s="27">
        <v>23</v>
      </c>
      <c r="H1114" s="28">
        <v>1</v>
      </c>
      <c r="I1114" s="24"/>
      <c r="J1114" s="24"/>
      <c r="K1114" s="24" t="s">
        <v>52</v>
      </c>
      <c r="L1114" s="24" t="s">
        <v>102</v>
      </c>
      <c r="M1114" s="24" t="s">
        <v>88</v>
      </c>
      <c r="N1114" s="24" t="s">
        <v>178</v>
      </c>
      <c r="O1114" s="24" t="s">
        <v>72</v>
      </c>
      <c r="P1114" s="24" t="s">
        <v>74</v>
      </c>
      <c r="Q1114" s="24" t="s">
        <v>58</v>
      </c>
      <c r="R1114" s="24" t="s">
        <v>59</v>
      </c>
      <c r="S1114" s="24" t="s">
        <v>90</v>
      </c>
      <c r="T1114" s="24" t="s">
        <v>147</v>
      </c>
      <c r="U1114" s="24" t="s">
        <v>62</v>
      </c>
      <c r="V1114" s="24" t="s">
        <v>77</v>
      </c>
      <c r="W1114" s="24" t="s">
        <v>107</v>
      </c>
      <c r="X1114" s="24" t="s">
        <v>173</v>
      </c>
      <c r="Y1114" s="24" t="s">
        <v>56</v>
      </c>
      <c r="Z1114" s="24" t="s">
        <v>64</v>
      </c>
      <c r="AA1114" s="24" t="s">
        <v>95</v>
      </c>
      <c r="AB1114" s="24" t="s">
        <v>3237</v>
      </c>
      <c r="AC1114" s="24" t="s">
        <v>3238</v>
      </c>
    </row>
    <row r="1115" spans="1:29">
      <c r="A1115" s="30" t="s">
        <v>3239</v>
      </c>
      <c r="B1115" s="30" t="str">
        <f>IF(ISNUMBER(SEARCH(E1115,A1115)),A1115,IF(OR(E1115="",E1115=""),A1115,A1115&amp;" - "&amp;E1115))</f>
        <v>Remexian 24/1 DCT MOO - Monaco Octane</v>
      </c>
      <c r="C1115" s="30" t="s">
        <v>83</v>
      </c>
      <c r="D1115" s="30" t="s">
        <v>84</v>
      </c>
      <c r="E1115" s="30" t="s">
        <v>3240</v>
      </c>
      <c r="F1115" s="30" t="s">
        <v>86</v>
      </c>
      <c r="G1115" s="34">
        <v>24</v>
      </c>
      <c r="H1115" s="35">
        <v>1</v>
      </c>
      <c r="I1115" s="30"/>
      <c r="J1115" s="30"/>
      <c r="K1115" s="30" t="s">
        <v>52</v>
      </c>
      <c r="L1115" s="30"/>
      <c r="M1115" s="30" t="s">
        <v>88</v>
      </c>
      <c r="N1115" s="30" t="s">
        <v>72</v>
      </c>
      <c r="O1115" s="30" t="s">
        <v>56</v>
      </c>
      <c r="P1115" s="30" t="s">
        <v>73</v>
      </c>
      <c r="Q1115" s="30" t="s">
        <v>112</v>
      </c>
      <c r="R1115" s="30" t="s">
        <v>57</v>
      </c>
      <c r="S1115" s="30" t="s">
        <v>123</v>
      </c>
      <c r="T1115" s="30" t="s">
        <v>106</v>
      </c>
      <c r="U1115" s="30" t="s">
        <v>62</v>
      </c>
      <c r="V1115" s="30" t="s">
        <v>77</v>
      </c>
      <c r="W1115" s="30" t="s">
        <v>107</v>
      </c>
      <c r="X1115" s="30" t="s">
        <v>56</v>
      </c>
      <c r="Y1115" s="30" t="s">
        <v>338</v>
      </c>
      <c r="Z1115" s="30" t="s">
        <v>64</v>
      </c>
      <c r="AA1115" s="30" t="s">
        <v>95</v>
      </c>
      <c r="AB1115" s="30" t="s">
        <v>56</v>
      </c>
      <c r="AC1115" s="30" t="s">
        <v>3241</v>
      </c>
    </row>
    <row r="1116" spans="1:29">
      <c r="A1116" s="24" t="s">
        <v>3242</v>
      </c>
      <c r="B1116" s="24" t="str">
        <f>IF(ISNUMBER(SEARCH(E1116,A1116)),A1116,IF(OR(E1116="",E1116=""),A1116,A1116&amp;" - "&amp;E1116))</f>
        <v>Remexian 24/1 GRG - Grape Galena</v>
      </c>
      <c r="C1116" s="24" t="s">
        <v>83</v>
      </c>
      <c r="D1116" s="24" t="s">
        <v>84</v>
      </c>
      <c r="E1116" s="24" t="s">
        <v>3243</v>
      </c>
      <c r="F1116" s="24" t="s">
        <v>120</v>
      </c>
      <c r="G1116" s="27">
        <v>24</v>
      </c>
      <c r="H1116" s="28">
        <v>1</v>
      </c>
      <c r="I1116" s="24"/>
      <c r="J1116" s="24"/>
      <c r="K1116" s="24" t="s">
        <v>52</v>
      </c>
      <c r="L1116" s="24" t="s">
        <v>53</v>
      </c>
      <c r="M1116" s="24" t="s">
        <v>71</v>
      </c>
      <c r="N1116" s="24" t="s">
        <v>121</v>
      </c>
      <c r="O1116" s="24" t="s">
        <v>72</v>
      </c>
      <c r="P1116" s="24" t="s">
        <v>104</v>
      </c>
      <c r="Q1116" s="24" t="s">
        <v>58</v>
      </c>
      <c r="R1116" s="24" t="s">
        <v>56</v>
      </c>
      <c r="S1116" s="24" t="s">
        <v>801</v>
      </c>
      <c r="T1116" s="24" t="s">
        <v>123</v>
      </c>
      <c r="U1116" s="24" t="s">
        <v>106</v>
      </c>
      <c r="V1116" s="24" t="s">
        <v>77</v>
      </c>
      <c r="W1116" s="24" t="s">
        <v>116</v>
      </c>
      <c r="X1116" s="24" t="s">
        <v>107</v>
      </c>
      <c r="Y1116" s="24" t="s">
        <v>3244</v>
      </c>
      <c r="Z1116" s="24" t="s">
        <v>64</v>
      </c>
      <c r="AA1116" s="24" t="s">
        <v>95</v>
      </c>
      <c r="AB1116" s="24" t="s">
        <v>56</v>
      </c>
      <c r="AC1116" s="24" t="s">
        <v>3245</v>
      </c>
    </row>
    <row r="1117" spans="1:29">
      <c r="A1117" s="30" t="s">
        <v>3246</v>
      </c>
      <c r="B1117" s="30" t="str">
        <f>IF(ISNUMBER(SEARCH(E1117,A1117)),A1117,IF(OR(E1117="",E1117=""),A1117,A1117&amp;" - "&amp;E1117))</f>
        <v>Remexian 24/1 GRO DBK - Death Bubba Kush</v>
      </c>
      <c r="C1117" s="30" t="s">
        <v>83</v>
      </c>
      <c r="D1117" s="30" t="s">
        <v>84</v>
      </c>
      <c r="E1117" s="40" t="s">
        <v>3247</v>
      </c>
      <c r="F1117" s="30" t="s">
        <v>177</v>
      </c>
      <c r="G1117" s="34">
        <v>23</v>
      </c>
      <c r="H1117" s="35">
        <v>1</v>
      </c>
      <c r="I1117" s="30"/>
      <c r="J1117" s="30"/>
      <c r="K1117" s="30" t="s">
        <v>52</v>
      </c>
      <c r="L1117" s="30" t="s">
        <v>53</v>
      </c>
      <c r="M1117" s="30"/>
      <c r="N1117" s="30"/>
      <c r="O1117" s="30"/>
      <c r="P1117" s="30" t="s">
        <v>146</v>
      </c>
      <c r="Q1117" s="30" t="s">
        <v>74</v>
      </c>
      <c r="R1117" s="30" t="s">
        <v>75</v>
      </c>
      <c r="S1117" s="30" t="s">
        <v>123</v>
      </c>
      <c r="T1117" s="30" t="s">
        <v>164</v>
      </c>
      <c r="U1117" s="30"/>
      <c r="V1117" s="30" t="s">
        <v>77</v>
      </c>
      <c r="W1117" s="30" t="s">
        <v>116</v>
      </c>
      <c r="X1117" s="30" t="s">
        <v>107</v>
      </c>
      <c r="Y1117" s="30" t="s">
        <v>283</v>
      </c>
      <c r="Z1117" s="30" t="s">
        <v>64</v>
      </c>
      <c r="AA1117" s="30" t="s">
        <v>95</v>
      </c>
      <c r="AB1117" s="30" t="s">
        <v>3248</v>
      </c>
      <c r="AC1117" s="30" t="s">
        <v>3249</v>
      </c>
    </row>
    <row r="1118" spans="1:29">
      <c r="A1118" s="24" t="s">
        <v>3250</v>
      </c>
      <c r="B1118" s="24" t="str">
        <f>IF(ISNUMBER(SEARCH(E1118,A1118)),A1118,IF(OR(E1118="",E1118=""),A1118,A1118&amp;" - "&amp;E1118))</f>
        <v>Remexian 24/1 MYW - Mystic Wonder</v>
      </c>
      <c r="C1118" s="24" t="s">
        <v>83</v>
      </c>
      <c r="D1118" s="24" t="s">
        <v>84</v>
      </c>
      <c r="E1118" s="24" t="s">
        <v>3251</v>
      </c>
      <c r="F1118" s="24" t="s">
        <v>177</v>
      </c>
      <c r="G1118" s="27">
        <v>24</v>
      </c>
      <c r="H1118" s="28">
        <v>1</v>
      </c>
      <c r="I1118" s="24"/>
      <c r="J1118" s="24"/>
      <c r="K1118" s="24" t="s">
        <v>52</v>
      </c>
      <c r="L1118" s="24" t="s">
        <v>102</v>
      </c>
      <c r="M1118" s="24" t="s">
        <v>121</v>
      </c>
      <c r="N1118" s="24" t="s">
        <v>72</v>
      </c>
      <c r="O1118" s="24" t="s">
        <v>56</v>
      </c>
      <c r="P1118" s="24" t="s">
        <v>74</v>
      </c>
      <c r="Q1118" s="24" t="s">
        <v>75</v>
      </c>
      <c r="R1118" s="24" t="s">
        <v>89</v>
      </c>
      <c r="S1118" s="24" t="s">
        <v>147</v>
      </c>
      <c r="T1118" s="24" t="s">
        <v>106</v>
      </c>
      <c r="U1118" s="24" t="s">
        <v>493</v>
      </c>
      <c r="V1118" s="24" t="s">
        <v>116</v>
      </c>
      <c r="W1118" s="24" t="s">
        <v>107</v>
      </c>
      <c r="X1118" s="24" t="s">
        <v>93</v>
      </c>
      <c r="Y1118" s="24" t="s">
        <v>1357</v>
      </c>
      <c r="Z1118" s="24" t="s">
        <v>64</v>
      </c>
      <c r="AA1118" s="24" t="s">
        <v>95</v>
      </c>
      <c r="AB1118" s="24" t="s">
        <v>56</v>
      </c>
      <c r="AC1118" s="24" t="s">
        <v>3252</v>
      </c>
    </row>
    <row r="1119" spans="1:29">
      <c r="A1119" s="30" t="s">
        <v>3253</v>
      </c>
      <c r="B1119" s="30" t="str">
        <f>IF(ISNUMBER(SEARCH(E1119,A1119)),A1119,IF(OR(E1119="",E1119=""),A1119,A1119&amp;" - "&amp;E1119))</f>
        <v>Remexian 24/1 PRT MAB - Mad Berry</v>
      </c>
      <c r="C1119" s="30" t="s">
        <v>83</v>
      </c>
      <c r="D1119" s="30" t="s">
        <v>84</v>
      </c>
      <c r="E1119" s="30" t="s">
        <v>3254</v>
      </c>
      <c r="F1119" s="30" t="s">
        <v>86</v>
      </c>
      <c r="G1119" s="34">
        <v>25</v>
      </c>
      <c r="H1119" s="35">
        <v>1</v>
      </c>
      <c r="I1119" s="30"/>
      <c r="J1119" s="30"/>
      <c r="K1119" s="30" t="s">
        <v>52</v>
      </c>
      <c r="L1119" s="30" t="s">
        <v>102</v>
      </c>
      <c r="M1119" s="30" t="s">
        <v>55</v>
      </c>
      <c r="N1119" s="30" t="s">
        <v>121</v>
      </c>
      <c r="O1119" s="30" t="s">
        <v>72</v>
      </c>
      <c r="P1119" s="30" t="s">
        <v>591</v>
      </c>
      <c r="Q1119" s="30" t="s">
        <v>75</v>
      </c>
      <c r="R1119" s="30" t="s">
        <v>56</v>
      </c>
      <c r="S1119" s="30" t="s">
        <v>56</v>
      </c>
      <c r="T1119" s="30" t="s">
        <v>56</v>
      </c>
      <c r="U1119" s="30" t="s">
        <v>56</v>
      </c>
      <c r="V1119" s="30" t="s">
        <v>77</v>
      </c>
      <c r="W1119" s="30" t="s">
        <v>116</v>
      </c>
      <c r="X1119" s="30" t="s">
        <v>107</v>
      </c>
      <c r="Y1119" s="30" t="s">
        <v>311</v>
      </c>
      <c r="Z1119" s="30" t="s">
        <v>64</v>
      </c>
      <c r="AA1119" s="30" t="s">
        <v>95</v>
      </c>
      <c r="AB1119" s="30" t="s">
        <v>56</v>
      </c>
      <c r="AC1119" s="30" t="s">
        <v>3255</v>
      </c>
    </row>
    <row r="1120" spans="1:29">
      <c r="A1120" s="24" t="s">
        <v>3256</v>
      </c>
      <c r="B1120" s="24" t="str">
        <f>IF(ISNUMBER(SEARCH(E1120,A1120)),A1120,IF(OR(E1120="",E1120=""),A1120,A1120&amp;" - "&amp;E1120))</f>
        <v>Remexian 24/1 VLI - Vanilla Ice Cream</v>
      </c>
      <c r="C1120" s="24" t="s">
        <v>83</v>
      </c>
      <c r="D1120" s="24" t="s">
        <v>84</v>
      </c>
      <c r="E1120" s="24" t="s">
        <v>3257</v>
      </c>
      <c r="F1120" s="24" t="s">
        <v>86</v>
      </c>
      <c r="G1120" s="27">
        <v>23</v>
      </c>
      <c r="H1120" s="28">
        <v>1</v>
      </c>
      <c r="I1120" s="24"/>
      <c r="J1120" s="24"/>
      <c r="K1120" s="24" t="s">
        <v>52</v>
      </c>
      <c r="L1120" s="24" t="s">
        <v>53</v>
      </c>
      <c r="M1120" s="24" t="s">
        <v>111</v>
      </c>
      <c r="N1120" s="24" t="s">
        <v>88</v>
      </c>
      <c r="O1120" s="24" t="s">
        <v>71</v>
      </c>
      <c r="P1120" s="24" t="s">
        <v>57</v>
      </c>
      <c r="Q1120" s="24" t="s">
        <v>74</v>
      </c>
      <c r="R1120" s="24" t="s">
        <v>89</v>
      </c>
      <c r="S1120" s="24" t="s">
        <v>56</v>
      </c>
      <c r="T1120" s="24" t="s">
        <v>56</v>
      </c>
      <c r="U1120" s="24" t="s">
        <v>56</v>
      </c>
      <c r="V1120" s="24" t="s">
        <v>77</v>
      </c>
      <c r="W1120" s="24" t="s">
        <v>116</v>
      </c>
      <c r="X1120" s="24" t="s">
        <v>79</v>
      </c>
      <c r="Y1120" s="24" t="s">
        <v>1762</v>
      </c>
      <c r="Z1120" s="24" t="s">
        <v>64</v>
      </c>
      <c r="AA1120" s="24" t="s">
        <v>95</v>
      </c>
      <c r="AB1120" s="24" t="s">
        <v>56</v>
      </c>
      <c r="AC1120" s="24" t="s">
        <v>3258</v>
      </c>
    </row>
    <row r="1121" spans="1:29">
      <c r="A1121" s="30" t="s">
        <v>3259</v>
      </c>
      <c r="B1121" s="30" t="str">
        <f>IF(ISNUMBER(SEARCH(E1121,A1121)),A1121,IF(OR(E1121="",E1121=""),A1121,A1121&amp;" - "&amp;E1121))</f>
        <v>Remexian 25/1 GAC - Grapes and Cream</v>
      </c>
      <c r="C1121" s="30" t="s">
        <v>83</v>
      </c>
      <c r="D1121" s="30" t="s">
        <v>84</v>
      </c>
      <c r="E1121" s="30" t="s">
        <v>794</v>
      </c>
      <c r="F1121" s="30" t="s">
        <v>86</v>
      </c>
      <c r="G1121" s="34">
        <v>25</v>
      </c>
      <c r="H1121" s="35">
        <v>1</v>
      </c>
      <c r="I1121" s="30"/>
      <c r="J1121" s="30"/>
      <c r="K1121" s="30" t="s">
        <v>52</v>
      </c>
      <c r="L1121" s="30" t="s">
        <v>53</v>
      </c>
      <c r="M1121" s="30" t="s">
        <v>54</v>
      </c>
      <c r="N1121" s="30" t="s">
        <v>121</v>
      </c>
      <c r="O1121" s="30" t="s">
        <v>72</v>
      </c>
      <c r="P1121" s="30" t="s">
        <v>89</v>
      </c>
      <c r="Q1121" s="30" t="s">
        <v>58</v>
      </c>
      <c r="R1121" s="30" t="s">
        <v>56</v>
      </c>
      <c r="S1121" s="30" t="s">
        <v>123</v>
      </c>
      <c r="T1121" s="30" t="s">
        <v>106</v>
      </c>
      <c r="U1121" s="30" t="s">
        <v>76</v>
      </c>
      <c r="V1121" s="30" t="s">
        <v>77</v>
      </c>
      <c r="W1121" s="30" t="s">
        <v>107</v>
      </c>
      <c r="X1121" s="30" t="s">
        <v>93</v>
      </c>
      <c r="Y1121" s="30" t="s">
        <v>56</v>
      </c>
      <c r="Z1121" s="30" t="s">
        <v>64</v>
      </c>
      <c r="AA1121" s="30" t="s">
        <v>95</v>
      </c>
      <c r="AB1121" s="30" t="s">
        <v>56</v>
      </c>
      <c r="AC1121" s="30" t="s">
        <v>3260</v>
      </c>
    </row>
    <row r="1122" spans="1:29">
      <c r="A1122" s="24" t="s">
        <v>3261</v>
      </c>
      <c r="B1122" s="24" t="str">
        <f>IF(ISNUMBER(SEARCH(E1122,A1122)),A1122,IF(OR(E1122="",E1122=""),A1122,A1122&amp;" - "&amp;E1122))</f>
        <v>Remexian 25/1 GFR - Godfather OG x Schroll Medical</v>
      </c>
      <c r="C1122" s="24" t="s">
        <v>83</v>
      </c>
      <c r="D1122" s="24" t="s">
        <v>84</v>
      </c>
      <c r="E1122" s="24" t="s">
        <v>1127</v>
      </c>
      <c r="F1122" s="24" t="s">
        <v>177</v>
      </c>
      <c r="G1122" s="27">
        <v>26</v>
      </c>
      <c r="H1122" s="28">
        <v>1</v>
      </c>
      <c r="I1122" s="24"/>
      <c r="J1122" s="24"/>
      <c r="K1122" s="24" t="s">
        <v>17</v>
      </c>
      <c r="L1122" s="24" t="s">
        <v>87</v>
      </c>
      <c r="M1122" s="24" t="s">
        <v>121</v>
      </c>
      <c r="N1122" s="24"/>
      <c r="O1122" s="24" t="s">
        <v>56</v>
      </c>
      <c r="P1122" s="24" t="s">
        <v>146</v>
      </c>
      <c r="Q1122" s="24" t="s">
        <v>113</v>
      </c>
      <c r="R1122" s="24" t="s">
        <v>75</v>
      </c>
      <c r="S1122" s="24" t="s">
        <v>90</v>
      </c>
      <c r="T1122" s="24" t="s">
        <v>123</v>
      </c>
      <c r="U1122" s="24" t="s">
        <v>106</v>
      </c>
      <c r="V1122" s="24" t="s">
        <v>116</v>
      </c>
      <c r="W1122" s="24" t="s">
        <v>107</v>
      </c>
      <c r="X1122" s="24" t="s">
        <v>56</v>
      </c>
      <c r="Y1122" s="24" t="s">
        <v>220</v>
      </c>
      <c r="Z1122" s="24" t="s">
        <v>64</v>
      </c>
      <c r="AA1122" s="24" t="s">
        <v>95</v>
      </c>
      <c r="AB1122" s="24" t="s">
        <v>56</v>
      </c>
      <c r="AC1122" s="24" t="s">
        <v>3262</v>
      </c>
    </row>
    <row r="1123" spans="1:29">
      <c r="A1123" s="30" t="s">
        <v>3263</v>
      </c>
      <c r="B1123" s="30" t="str">
        <f>IF(ISNUMBER(SEARCH(E1123,A1123)),A1123,IF(OR(E1123="",E1123=""),A1123,A1123&amp;" - "&amp;E1123))</f>
        <v>Remexian 25/1 GG4 - Gorilla Glue</v>
      </c>
      <c r="C1123" s="30" t="s">
        <v>83</v>
      </c>
      <c r="D1123" s="30" t="s">
        <v>84</v>
      </c>
      <c r="E1123" s="30" t="s">
        <v>363</v>
      </c>
      <c r="F1123" s="30" t="s">
        <v>120</v>
      </c>
      <c r="G1123" s="34">
        <v>25</v>
      </c>
      <c r="H1123" s="35">
        <v>1</v>
      </c>
      <c r="I1123" s="30"/>
      <c r="J1123" s="30"/>
      <c r="K1123" s="30" t="s">
        <v>52</v>
      </c>
      <c r="L1123" s="30" t="s">
        <v>53</v>
      </c>
      <c r="M1123" s="30" t="s">
        <v>103</v>
      </c>
      <c r="N1123" s="30" t="s">
        <v>121</v>
      </c>
      <c r="O1123" s="30" t="s">
        <v>72</v>
      </c>
      <c r="P1123" s="30" t="s">
        <v>146</v>
      </c>
      <c r="Q1123" s="30" t="s">
        <v>74</v>
      </c>
      <c r="R1123" s="30" t="s">
        <v>59</v>
      </c>
      <c r="S1123" s="30" t="s">
        <v>60</v>
      </c>
      <c r="T1123" s="30" t="s">
        <v>123</v>
      </c>
      <c r="U1123" s="30" t="s">
        <v>106</v>
      </c>
      <c r="V1123" s="30" t="s">
        <v>257</v>
      </c>
      <c r="W1123" s="30" t="s">
        <v>252</v>
      </c>
      <c r="X1123" s="30" t="s">
        <v>77</v>
      </c>
      <c r="Y1123" s="30" t="s">
        <v>56</v>
      </c>
      <c r="Z1123" s="30" t="s">
        <v>64</v>
      </c>
      <c r="AA1123" s="30" t="s">
        <v>95</v>
      </c>
      <c r="AB1123" s="30" t="s">
        <v>56</v>
      </c>
      <c r="AC1123" s="30" t="s">
        <v>3264</v>
      </c>
    </row>
    <row r="1124" spans="1:29">
      <c r="A1124" s="24" t="s">
        <v>3265</v>
      </c>
      <c r="B1124" s="24" t="str">
        <f>IF(ISNUMBER(SEARCH(E1124,A1124)),A1124,IF(OR(E1124="",E1124=""),A1124,A1124&amp;" - "&amp;E1124))</f>
        <v>Remexian 25/1 LPP - Lemon Pepper Punch</v>
      </c>
      <c r="C1124" s="24" t="s">
        <v>83</v>
      </c>
      <c r="D1124" s="24" t="s">
        <v>84</v>
      </c>
      <c r="E1124" s="24" t="s">
        <v>3266</v>
      </c>
      <c r="F1124" s="24" t="s">
        <v>69</v>
      </c>
      <c r="G1124" s="27">
        <v>25</v>
      </c>
      <c r="H1124" s="28">
        <v>1</v>
      </c>
      <c r="I1124" s="24"/>
      <c r="J1124" s="24"/>
      <c r="K1124" s="24" t="s">
        <v>52</v>
      </c>
      <c r="L1124" s="24" t="s">
        <v>53</v>
      </c>
      <c r="M1124" s="24" t="s">
        <v>103</v>
      </c>
      <c r="N1124" s="24" t="s">
        <v>55</v>
      </c>
      <c r="O1124" s="24" t="s">
        <v>72</v>
      </c>
      <c r="P1124" s="24" t="s">
        <v>73</v>
      </c>
      <c r="Q1124" s="24" t="s">
        <v>75</v>
      </c>
      <c r="R1124" s="24" t="s">
        <v>59</v>
      </c>
      <c r="S1124" s="24" t="s">
        <v>192</v>
      </c>
      <c r="T1124" s="24" t="s">
        <v>147</v>
      </c>
      <c r="U1124" s="24" t="s">
        <v>123</v>
      </c>
      <c r="V1124" s="24" t="s">
        <v>116</v>
      </c>
      <c r="W1124" s="24" t="s">
        <v>138</v>
      </c>
      <c r="X1124" s="24" t="s">
        <v>79</v>
      </c>
      <c r="Y1124" s="24" t="s">
        <v>56</v>
      </c>
      <c r="Z1124" s="24" t="s">
        <v>64</v>
      </c>
      <c r="AA1124" s="24" t="s">
        <v>95</v>
      </c>
      <c r="AB1124" s="24" t="s">
        <v>56</v>
      </c>
      <c r="AC1124" s="24" t="s">
        <v>3267</v>
      </c>
    </row>
    <row r="1125" spans="1:29">
      <c r="A1125" s="30" t="s">
        <v>3268</v>
      </c>
      <c r="B1125" s="30" t="str">
        <f>IF(ISNUMBER(SEARCH(E1125,A1125)),A1125,IF(OR(E1125="",E1125=""),A1125,A1125&amp;" - "&amp;E1125))</f>
        <v>Remexian 27/1 Eco MYZ - Munyunz</v>
      </c>
      <c r="C1125" s="30" t="s">
        <v>83</v>
      </c>
      <c r="D1125" s="30" t="s">
        <v>84</v>
      </c>
      <c r="E1125" s="30" t="s">
        <v>3269</v>
      </c>
      <c r="F1125" s="30" t="s">
        <v>144</v>
      </c>
      <c r="G1125" s="34">
        <v>27</v>
      </c>
      <c r="H1125" s="35">
        <v>1</v>
      </c>
      <c r="I1125" s="30"/>
      <c r="J1125" s="30"/>
      <c r="K1125" s="30" t="s">
        <v>52</v>
      </c>
      <c r="L1125" s="30" t="s">
        <v>53</v>
      </c>
      <c r="M1125" s="30" t="s">
        <v>111</v>
      </c>
      <c r="N1125" s="30" t="s">
        <v>88</v>
      </c>
      <c r="O1125" s="30" t="s">
        <v>55</v>
      </c>
      <c r="P1125" s="30" t="s">
        <v>73</v>
      </c>
      <c r="Q1125" s="30" t="s">
        <v>136</v>
      </c>
      <c r="R1125" s="30" t="s">
        <v>75</v>
      </c>
      <c r="S1125" s="30" t="s">
        <v>56</v>
      </c>
      <c r="T1125" s="30" t="s">
        <v>56</v>
      </c>
      <c r="U1125" s="30" t="s">
        <v>56</v>
      </c>
      <c r="V1125" s="30" t="s">
        <v>77</v>
      </c>
      <c r="W1125" s="30" t="s">
        <v>116</v>
      </c>
      <c r="X1125" s="30" t="s">
        <v>79</v>
      </c>
      <c r="Y1125" s="30" t="s">
        <v>311</v>
      </c>
      <c r="Z1125" s="30" t="s">
        <v>64</v>
      </c>
      <c r="AA1125" s="30" t="s">
        <v>95</v>
      </c>
      <c r="AB1125" s="30" t="s">
        <v>56</v>
      </c>
      <c r="AC1125" s="30" t="s">
        <v>3270</v>
      </c>
    </row>
    <row r="1126" spans="1:29">
      <c r="A1126" s="24" t="s">
        <v>3271</v>
      </c>
      <c r="B1126" s="24" t="str">
        <f>IF(ISNUMBER(SEARCH(E1126,A1126)),A1126,IF(OR(E1126="",E1126=""),A1126,A1126&amp;" - "&amp;E1126))</f>
        <v>Remexian 27/1 FCO - Frosted Cookies</v>
      </c>
      <c r="C1126" s="24" t="s">
        <v>83</v>
      </c>
      <c r="D1126" s="24" t="s">
        <v>84</v>
      </c>
      <c r="E1126" s="41" t="s">
        <v>1414</v>
      </c>
      <c r="F1126" s="24" t="s">
        <v>86</v>
      </c>
      <c r="G1126" s="27">
        <v>27</v>
      </c>
      <c r="H1126" s="28">
        <v>1</v>
      </c>
      <c r="I1126" s="24"/>
      <c r="J1126" s="24"/>
      <c r="K1126" s="24" t="s">
        <v>52</v>
      </c>
      <c r="L1126" s="24" t="s">
        <v>53</v>
      </c>
      <c r="M1126" s="24" t="s">
        <v>71</v>
      </c>
      <c r="N1126" s="24" t="s">
        <v>121</v>
      </c>
      <c r="O1126" s="24" t="s">
        <v>72</v>
      </c>
      <c r="P1126" s="24" t="s">
        <v>74</v>
      </c>
      <c r="Q1126" s="24" t="s">
        <v>75</v>
      </c>
      <c r="R1126" s="24"/>
      <c r="S1126" s="24" t="s">
        <v>147</v>
      </c>
      <c r="T1126" s="24" t="s">
        <v>106</v>
      </c>
      <c r="U1126" s="24" t="s">
        <v>91</v>
      </c>
      <c r="V1126" s="24" t="s">
        <v>116</v>
      </c>
      <c r="W1126" s="24" t="s">
        <v>79</v>
      </c>
      <c r="X1126" s="24" t="s">
        <v>107</v>
      </c>
      <c r="Y1126" s="24" t="s">
        <v>955</v>
      </c>
      <c r="Z1126" s="24" t="s">
        <v>64</v>
      </c>
      <c r="AA1126" s="24" t="s">
        <v>95</v>
      </c>
      <c r="AB1126" s="24"/>
      <c r="AC1126" s="37" t="s">
        <v>3272</v>
      </c>
    </row>
    <row r="1127" spans="1:29">
      <c r="A1127" s="30" t="s">
        <v>3273</v>
      </c>
      <c r="B1127" s="30" t="str">
        <f>IF(ISNUMBER(SEARCH(E1127,A1127)),A1127,IF(OR(E1127="",E1127=""),A1127,A1127&amp;" - "&amp;E1127))</f>
        <v>Remexian 27/1 FFG - Franco's Fullgas</v>
      </c>
      <c r="C1127" s="30" t="s">
        <v>83</v>
      </c>
      <c r="D1127" s="30" t="s">
        <v>84</v>
      </c>
      <c r="E1127" s="30" t="s">
        <v>3274</v>
      </c>
      <c r="F1127" s="30" t="s">
        <v>86</v>
      </c>
      <c r="G1127" s="34">
        <v>26</v>
      </c>
      <c r="H1127" s="35">
        <v>1</v>
      </c>
      <c r="I1127" s="30"/>
      <c r="J1127" s="30"/>
      <c r="K1127" s="30" t="s">
        <v>52</v>
      </c>
      <c r="L1127" s="30" t="s">
        <v>102</v>
      </c>
      <c r="M1127" s="30" t="s">
        <v>111</v>
      </c>
      <c r="N1127" s="30" t="s">
        <v>88</v>
      </c>
      <c r="O1127" s="30" t="s">
        <v>178</v>
      </c>
      <c r="P1127" s="30" t="s">
        <v>186</v>
      </c>
      <c r="Q1127" s="30" t="s">
        <v>74</v>
      </c>
      <c r="R1127" s="30" t="s">
        <v>75</v>
      </c>
      <c r="S1127" s="30" t="s">
        <v>123</v>
      </c>
      <c r="T1127" s="30" t="s">
        <v>106</v>
      </c>
      <c r="U1127" s="30" t="s">
        <v>62</v>
      </c>
      <c r="V1127" s="30" t="s">
        <v>116</v>
      </c>
      <c r="W1127" s="30" t="s">
        <v>79</v>
      </c>
      <c r="X1127" s="30" t="s">
        <v>107</v>
      </c>
      <c r="Y1127" s="30" t="s">
        <v>870</v>
      </c>
      <c r="Z1127" s="30" t="s">
        <v>64</v>
      </c>
      <c r="AA1127" s="30" t="s">
        <v>95</v>
      </c>
      <c r="AB1127" s="30" t="s">
        <v>56</v>
      </c>
      <c r="AC1127" s="30" t="s">
        <v>3275</v>
      </c>
    </row>
    <row r="1128" spans="1:29">
      <c r="A1128" s="24" t="s">
        <v>3276</v>
      </c>
      <c r="B1128" s="24" t="str">
        <f>IF(ISNUMBER(SEARCH(E1128,A1128)),A1128,IF(OR(E1128="",E1128=""),A1128,A1128&amp;" - "&amp;E1128))</f>
        <v>Remexian 27/1 GRG - Grape Galena</v>
      </c>
      <c r="C1128" s="24" t="s">
        <v>83</v>
      </c>
      <c r="D1128" s="24" t="s">
        <v>84</v>
      </c>
      <c r="E1128" s="24" t="s">
        <v>3243</v>
      </c>
      <c r="F1128" s="24" t="s">
        <v>51</v>
      </c>
      <c r="G1128" s="27">
        <v>27</v>
      </c>
      <c r="H1128" s="28">
        <v>1</v>
      </c>
      <c r="I1128" s="24"/>
      <c r="J1128" s="24"/>
      <c r="K1128" s="24" t="s">
        <v>52</v>
      </c>
      <c r="L1128" s="24" t="s">
        <v>53</v>
      </c>
      <c r="M1128" s="24" t="s">
        <v>71</v>
      </c>
      <c r="N1128" s="24" t="s">
        <v>121</v>
      </c>
      <c r="O1128" s="24" t="s">
        <v>72</v>
      </c>
      <c r="P1128" s="24" t="s">
        <v>104</v>
      </c>
      <c r="Q1128" s="24" t="s">
        <v>58</v>
      </c>
      <c r="R1128" s="24" t="s">
        <v>56</v>
      </c>
      <c r="S1128" s="24" t="s">
        <v>801</v>
      </c>
      <c r="T1128" s="24" t="s">
        <v>123</v>
      </c>
      <c r="U1128" s="24" t="s">
        <v>106</v>
      </c>
      <c r="V1128" s="24" t="s">
        <v>77</v>
      </c>
      <c r="W1128" s="24" t="s">
        <v>116</v>
      </c>
      <c r="X1128" s="24" t="s">
        <v>107</v>
      </c>
      <c r="Y1128" s="24" t="s">
        <v>3277</v>
      </c>
      <c r="Z1128" s="24" t="s">
        <v>64</v>
      </c>
      <c r="AA1128" s="24" t="s">
        <v>95</v>
      </c>
      <c r="AB1128" s="24" t="s">
        <v>56</v>
      </c>
      <c r="AC1128" s="24" t="s">
        <v>3278</v>
      </c>
    </row>
    <row r="1129" spans="1:29">
      <c r="A1129" s="30" t="s">
        <v>3279</v>
      </c>
      <c r="B1129" s="30" t="str">
        <f>IF(ISNUMBER(SEARCH(E1129,A1129)),A1129,IF(OR(E1129="",E1129=""),A1129,A1129&amp;" - "&amp;E1129))</f>
        <v>Remexian 27/1 OKC - Orange Kush Cake</v>
      </c>
      <c r="C1129" s="30" t="s">
        <v>83</v>
      </c>
      <c r="D1129" s="30" t="s">
        <v>84</v>
      </c>
      <c r="E1129" s="30" t="s">
        <v>785</v>
      </c>
      <c r="F1129" s="30" t="s">
        <v>86</v>
      </c>
      <c r="G1129" s="34">
        <v>27</v>
      </c>
      <c r="H1129" s="35">
        <v>1</v>
      </c>
      <c r="I1129" s="30"/>
      <c r="J1129" s="30"/>
      <c r="K1129" s="30" t="s">
        <v>52</v>
      </c>
      <c r="L1129" s="30" t="s">
        <v>53</v>
      </c>
      <c r="M1129" s="30" t="s">
        <v>156</v>
      </c>
      <c r="N1129" s="30" t="s">
        <v>111</v>
      </c>
      <c r="O1129" s="30" t="s">
        <v>71</v>
      </c>
      <c r="P1129" s="30" t="s">
        <v>73</v>
      </c>
      <c r="Q1129" s="30" t="s">
        <v>75</v>
      </c>
      <c r="R1129" s="30" t="s">
        <v>58</v>
      </c>
      <c r="S1129" s="30" t="s">
        <v>56</v>
      </c>
      <c r="T1129" s="30" t="s">
        <v>56</v>
      </c>
      <c r="U1129" s="30" t="s">
        <v>56</v>
      </c>
      <c r="V1129" s="30" t="s">
        <v>77</v>
      </c>
      <c r="W1129" s="30" t="s">
        <v>292</v>
      </c>
      <c r="X1129" s="30" t="s">
        <v>79</v>
      </c>
      <c r="Y1129" s="30" t="s">
        <v>56</v>
      </c>
      <c r="Z1129" s="30" t="s">
        <v>64</v>
      </c>
      <c r="AA1129" s="30" t="s">
        <v>95</v>
      </c>
      <c r="AB1129" s="30" t="s">
        <v>56</v>
      </c>
      <c r="AC1129" s="30" t="s">
        <v>3280</v>
      </c>
    </row>
    <row r="1130" spans="1:29">
      <c r="A1130" s="24" t="s">
        <v>3281</v>
      </c>
      <c r="B1130" s="24" t="str">
        <f>IF(ISNUMBER(SEARCH(E1130,A1130)),A1130,IF(OR(E1130="",E1130=""),A1130,A1130&amp;" - "&amp;E1130))</f>
        <v>Remexian 27/1 PBB - Peanut Butter Breath</v>
      </c>
      <c r="C1130" s="24" t="s">
        <v>83</v>
      </c>
      <c r="D1130" s="24" t="s">
        <v>84</v>
      </c>
      <c r="E1130" s="24" t="s">
        <v>2855</v>
      </c>
      <c r="F1130" s="24" t="s">
        <v>86</v>
      </c>
      <c r="G1130" s="27">
        <v>27</v>
      </c>
      <c r="H1130" s="28">
        <v>1</v>
      </c>
      <c r="I1130" s="24"/>
      <c r="J1130" s="24"/>
      <c r="K1130" s="24" t="s">
        <v>52</v>
      </c>
      <c r="L1130" s="24" t="s">
        <v>53</v>
      </c>
      <c r="M1130" s="24" t="s">
        <v>88</v>
      </c>
      <c r="N1130" s="24" t="s">
        <v>103</v>
      </c>
      <c r="O1130" s="24" t="s">
        <v>72</v>
      </c>
      <c r="P1130" s="24" t="s">
        <v>157</v>
      </c>
      <c r="Q1130" s="24" t="s">
        <v>74</v>
      </c>
      <c r="R1130" s="24" t="s">
        <v>113</v>
      </c>
      <c r="S1130" s="24" t="s">
        <v>56</v>
      </c>
      <c r="T1130" s="24" t="s">
        <v>56</v>
      </c>
      <c r="U1130" s="24" t="s">
        <v>56</v>
      </c>
      <c r="V1130" s="24" t="s">
        <v>77</v>
      </c>
      <c r="W1130" s="24" t="s">
        <v>116</v>
      </c>
      <c r="X1130" s="24" t="s">
        <v>107</v>
      </c>
      <c r="Y1130" s="24" t="s">
        <v>159</v>
      </c>
      <c r="Z1130" s="24" t="s">
        <v>64</v>
      </c>
      <c r="AA1130" s="24" t="s">
        <v>95</v>
      </c>
      <c r="AB1130" s="24" t="s">
        <v>56</v>
      </c>
      <c r="AC1130" s="24" t="s">
        <v>3282</v>
      </c>
    </row>
    <row r="1131" spans="1:29">
      <c r="A1131" s="30" t="s">
        <v>3283</v>
      </c>
      <c r="B1131" s="30" t="str">
        <f>IF(ISNUMBER(SEARCH(E1131,A1131)),A1131,IF(OR(E1131="",E1131=""),A1131,A1131&amp;" - "&amp;E1131))</f>
        <v>Remexian 27/1 PRT WEC Minis - Wedding Cake</v>
      </c>
      <c r="C1131" s="30" t="s">
        <v>83</v>
      </c>
      <c r="D1131" s="30" t="s">
        <v>84</v>
      </c>
      <c r="E1131" s="30" t="s">
        <v>1195</v>
      </c>
      <c r="F1131" s="30" t="s">
        <v>86</v>
      </c>
      <c r="G1131" s="34">
        <v>27</v>
      </c>
      <c r="H1131" s="35">
        <v>1</v>
      </c>
      <c r="I1131" s="30"/>
      <c r="J1131" s="30"/>
      <c r="K1131" s="30" t="s">
        <v>52</v>
      </c>
      <c r="L1131" s="30"/>
      <c r="M1131" s="30" t="s">
        <v>156</v>
      </c>
      <c r="N1131" s="30" t="s">
        <v>72</v>
      </c>
      <c r="O1131" s="30" t="s">
        <v>56</v>
      </c>
      <c r="P1131" s="30" t="s">
        <v>57</v>
      </c>
      <c r="Q1131" s="30" t="s">
        <v>104</v>
      </c>
      <c r="R1131" s="30" t="s">
        <v>74</v>
      </c>
      <c r="S1131" s="30" t="s">
        <v>147</v>
      </c>
      <c r="T1131" s="30" t="s">
        <v>106</v>
      </c>
      <c r="U1131" s="30" t="s">
        <v>234</v>
      </c>
      <c r="V1131" s="30" t="s">
        <v>116</v>
      </c>
      <c r="W1131" s="30" t="s">
        <v>107</v>
      </c>
      <c r="X1131" s="30" t="s">
        <v>93</v>
      </c>
      <c r="Y1131" s="30" t="s">
        <v>2894</v>
      </c>
      <c r="Z1131" s="30" t="s">
        <v>64</v>
      </c>
      <c r="AA1131" s="30" t="s">
        <v>95</v>
      </c>
      <c r="AB1131" s="30" t="s">
        <v>56</v>
      </c>
      <c r="AC1131" s="30" t="s">
        <v>3284</v>
      </c>
    </row>
    <row r="1132" spans="1:29">
      <c r="A1132" s="24" t="s">
        <v>3285</v>
      </c>
      <c r="B1132" s="24" t="str">
        <f>IF(ISNUMBER(SEARCH(E1132,A1132)),A1132,IF(OR(E1132="",E1132=""),A1132,A1132&amp;" - "&amp;E1132))</f>
        <v>Remexian 27/1 SWV - ShockWave</v>
      </c>
      <c r="C1132" s="24" t="s">
        <v>83</v>
      </c>
      <c r="D1132" s="24" t="s">
        <v>84</v>
      </c>
      <c r="E1132" s="41" t="s">
        <v>3286</v>
      </c>
      <c r="F1132" s="24" t="s">
        <v>144</v>
      </c>
      <c r="G1132" s="27">
        <v>29</v>
      </c>
      <c r="H1132" s="28">
        <v>1</v>
      </c>
      <c r="I1132" s="24"/>
      <c r="J1132" s="24"/>
      <c r="K1132" s="24" t="s">
        <v>52</v>
      </c>
      <c r="L1132" s="24" t="s">
        <v>53</v>
      </c>
      <c r="M1132" s="24" t="s">
        <v>54</v>
      </c>
      <c r="N1132" s="24" t="s">
        <v>55</v>
      </c>
      <c r="O1132" s="24" t="s">
        <v>72</v>
      </c>
      <c r="P1132" s="24" t="s">
        <v>104</v>
      </c>
      <c r="Q1132" s="24" t="s">
        <v>74</v>
      </c>
      <c r="R1132" s="24" t="s">
        <v>89</v>
      </c>
      <c r="S1132" s="24" t="s">
        <v>123</v>
      </c>
      <c r="T1132" s="24" t="s">
        <v>106</v>
      </c>
      <c r="U1132" s="24" t="s">
        <v>62</v>
      </c>
      <c r="V1132" s="24" t="s">
        <v>79</v>
      </c>
      <c r="W1132" s="24" t="s">
        <v>107</v>
      </c>
      <c r="X1132" s="24" t="s">
        <v>173</v>
      </c>
      <c r="Y1132" s="24" t="s">
        <v>966</v>
      </c>
      <c r="Z1132" s="24" t="s">
        <v>64</v>
      </c>
      <c r="AA1132" s="24" t="s">
        <v>95</v>
      </c>
      <c r="AB1132" s="24"/>
      <c r="AC1132" s="24" t="s">
        <v>3287</v>
      </c>
    </row>
    <row r="1133" spans="1:29">
      <c r="A1133" s="30" t="s">
        <v>3288</v>
      </c>
      <c r="B1133" s="30" t="str">
        <f>IF(ISNUMBER(SEARCH(E1133,A1133)),A1133,IF(OR(E1133="",E1133=""),A1133,A1133&amp;" - "&amp;E1133))</f>
        <v>Remexian 27/1 TRS - Tropical Sour</v>
      </c>
      <c r="C1133" s="30" t="s">
        <v>83</v>
      </c>
      <c r="D1133" s="30" t="s">
        <v>84</v>
      </c>
      <c r="E1133" s="40" t="s">
        <v>3289</v>
      </c>
      <c r="F1133" s="30" t="s">
        <v>86</v>
      </c>
      <c r="G1133" s="34">
        <v>27</v>
      </c>
      <c r="H1133" s="35">
        <v>1</v>
      </c>
      <c r="I1133" s="30"/>
      <c r="J1133" s="30"/>
      <c r="K1133" s="30" t="s">
        <v>52</v>
      </c>
      <c r="L1133" s="30" t="s">
        <v>53</v>
      </c>
      <c r="M1133" s="30" t="s">
        <v>111</v>
      </c>
      <c r="N1133" s="30" t="s">
        <v>55</v>
      </c>
      <c r="O1133" s="30" t="s">
        <v>72</v>
      </c>
      <c r="P1133" s="30" t="s">
        <v>73</v>
      </c>
      <c r="Q1133" s="30" t="s">
        <v>146</v>
      </c>
      <c r="R1133" s="30" t="s">
        <v>74</v>
      </c>
      <c r="S1133" s="30" t="s">
        <v>147</v>
      </c>
      <c r="T1133" s="30" t="s">
        <v>106</v>
      </c>
      <c r="U1133" s="30" t="s">
        <v>62</v>
      </c>
      <c r="V1133" s="30" t="s">
        <v>77</v>
      </c>
      <c r="W1133" s="30" t="s">
        <v>79</v>
      </c>
      <c r="X1133" s="30" t="s">
        <v>107</v>
      </c>
      <c r="Y1133" s="30" t="s">
        <v>555</v>
      </c>
      <c r="Z1133" s="30" t="s">
        <v>64</v>
      </c>
      <c r="AA1133" s="30" t="s">
        <v>95</v>
      </c>
      <c r="AB1133" s="30"/>
      <c r="AC1133" s="30" t="s">
        <v>3290</v>
      </c>
    </row>
    <row r="1134" spans="1:29">
      <c r="A1134" s="24" t="s">
        <v>3291</v>
      </c>
      <c r="B1134" s="24" t="str">
        <f>IF(ISNUMBER(SEARCH(E1134,A1134)),A1134,IF(OR(E1134="",E1134=""),A1134,A1134&amp;" - "&amp;E1134))</f>
        <v>Remexian 30/1 - Oasis OG</v>
      </c>
      <c r="C1134" s="24" t="s">
        <v>83</v>
      </c>
      <c r="D1134" s="24" t="s">
        <v>84</v>
      </c>
      <c r="E1134" s="24" t="s">
        <v>1187</v>
      </c>
      <c r="F1134" s="24" t="s">
        <v>86</v>
      </c>
      <c r="G1134" s="27">
        <v>30</v>
      </c>
      <c r="H1134" s="28">
        <v>1</v>
      </c>
      <c r="I1134" s="24"/>
      <c r="J1134" s="24"/>
      <c r="K1134" s="24" t="s">
        <v>52</v>
      </c>
      <c r="L1134" s="24"/>
      <c r="M1134" s="24" t="s">
        <v>72</v>
      </c>
      <c r="N1134" s="24"/>
      <c r="O1134" s="24" t="s">
        <v>56</v>
      </c>
      <c r="P1134" s="24" t="s">
        <v>146</v>
      </c>
      <c r="Q1134" s="24" t="s">
        <v>104</v>
      </c>
      <c r="R1134" s="24" t="s">
        <v>74</v>
      </c>
      <c r="S1134" s="24" t="s">
        <v>106</v>
      </c>
      <c r="T1134" s="24" t="s">
        <v>493</v>
      </c>
      <c r="U1134" s="24" t="s">
        <v>62</v>
      </c>
      <c r="V1134" s="24" t="s">
        <v>107</v>
      </c>
      <c r="W1134" s="24" t="s">
        <v>93</v>
      </c>
      <c r="X1134" s="24" t="s">
        <v>56</v>
      </c>
      <c r="Y1134" s="24" t="s">
        <v>56</v>
      </c>
      <c r="Z1134" s="24" t="s">
        <v>64</v>
      </c>
      <c r="AA1134" s="24" t="s">
        <v>95</v>
      </c>
      <c r="AB1134" s="24" t="s">
        <v>56</v>
      </c>
      <c r="AC1134" s="24" t="s">
        <v>3292</v>
      </c>
    </row>
    <row r="1135" spans="1:29">
      <c r="A1135" s="30" t="s">
        <v>3293</v>
      </c>
      <c r="B1135" s="30" t="str">
        <f>IF(ISNUMBER(SEARCH(E1135,A1135)),A1135,IF(OR(E1135="",E1135=""),A1135,A1135&amp;" - "&amp;E1135))</f>
        <v>Remexian 30/1 BKC - Black Kyber Crystal</v>
      </c>
      <c r="C1135" s="30" t="s">
        <v>83</v>
      </c>
      <c r="D1135" s="30" t="s">
        <v>84</v>
      </c>
      <c r="E1135" s="30" t="s">
        <v>3294</v>
      </c>
      <c r="F1135" s="30" t="s">
        <v>177</v>
      </c>
      <c r="G1135" s="34">
        <v>30</v>
      </c>
      <c r="H1135" s="35">
        <v>1</v>
      </c>
      <c r="I1135" s="30"/>
      <c r="J1135" s="30"/>
      <c r="K1135" s="30" t="s">
        <v>52</v>
      </c>
      <c r="L1135" s="30" t="s">
        <v>53</v>
      </c>
      <c r="M1135" s="30" t="s">
        <v>111</v>
      </c>
      <c r="N1135" s="30" t="s">
        <v>88</v>
      </c>
      <c r="O1135" s="30" t="s">
        <v>56</v>
      </c>
      <c r="P1135" s="30" t="s">
        <v>74</v>
      </c>
      <c r="Q1135" s="30" t="s">
        <v>75</v>
      </c>
      <c r="R1135" s="30" t="s">
        <v>89</v>
      </c>
      <c r="S1135" s="30" t="s">
        <v>56</v>
      </c>
      <c r="T1135" s="30" t="s">
        <v>56</v>
      </c>
      <c r="U1135" s="30" t="s">
        <v>56</v>
      </c>
      <c r="V1135" s="30" t="s">
        <v>77</v>
      </c>
      <c r="W1135" s="30" t="s">
        <v>116</v>
      </c>
      <c r="X1135" s="30" t="s">
        <v>107</v>
      </c>
      <c r="Y1135" s="30" t="s">
        <v>361</v>
      </c>
      <c r="Z1135" s="30" t="s">
        <v>64</v>
      </c>
      <c r="AA1135" s="30" t="s">
        <v>95</v>
      </c>
      <c r="AB1135" s="30" t="s">
        <v>56</v>
      </c>
      <c r="AC1135" s="30" t="s">
        <v>3295</v>
      </c>
    </row>
    <row r="1136" spans="1:29">
      <c r="A1136" s="24" t="s">
        <v>3296</v>
      </c>
      <c r="B1136" s="24" t="str">
        <f>IF(ISNUMBER(SEARCH(E1136,A1136)),A1136,IF(OR(E1136="",E1136=""),A1136,A1136&amp;" - "&amp;E1136))</f>
        <v>Remexian 30/1 BNM - Bananimal</v>
      </c>
      <c r="C1136" s="24" t="s">
        <v>83</v>
      </c>
      <c r="D1136" s="24" t="s">
        <v>84</v>
      </c>
      <c r="E1136" s="24" t="s">
        <v>3297</v>
      </c>
      <c r="F1136" s="24" t="s">
        <v>86</v>
      </c>
      <c r="G1136" s="27">
        <v>28</v>
      </c>
      <c r="H1136" s="28">
        <v>1</v>
      </c>
      <c r="I1136" s="24"/>
      <c r="J1136" s="24"/>
      <c r="K1136" s="24" t="s">
        <v>52</v>
      </c>
      <c r="L1136" s="24" t="s">
        <v>53</v>
      </c>
      <c r="M1136" s="24" t="s">
        <v>156</v>
      </c>
      <c r="N1136" s="24" t="s">
        <v>54</v>
      </c>
      <c r="O1136" s="24" t="s">
        <v>55</v>
      </c>
      <c r="P1136" s="24" t="s">
        <v>74</v>
      </c>
      <c r="Q1136" s="24" t="s">
        <v>89</v>
      </c>
      <c r="R1136" s="24" t="s">
        <v>58</v>
      </c>
      <c r="S1136" s="24" t="s">
        <v>56</v>
      </c>
      <c r="T1136" s="24" t="s">
        <v>56</v>
      </c>
      <c r="U1136" s="24" t="s">
        <v>56</v>
      </c>
      <c r="V1136" s="24" t="s">
        <v>77</v>
      </c>
      <c r="W1136" s="24" t="s">
        <v>79</v>
      </c>
      <c r="X1136" s="24" t="s">
        <v>107</v>
      </c>
      <c r="Y1136" s="24" t="s">
        <v>3298</v>
      </c>
      <c r="Z1136" s="24" t="s">
        <v>64</v>
      </c>
      <c r="AA1136" s="24" t="s">
        <v>95</v>
      </c>
      <c r="AB1136" s="24" t="s">
        <v>56</v>
      </c>
      <c r="AC1136" s="24" t="s">
        <v>3299</v>
      </c>
    </row>
    <row r="1137" spans="1:29">
      <c r="A1137" s="30" t="s">
        <v>3300</v>
      </c>
      <c r="B1137" s="30" t="str">
        <f>IF(ISNUMBER(SEARCH(E1137,A1137)),A1137,IF(OR(E1137="",E1137=""),A1137,A1137&amp;" - "&amp;E1137))</f>
        <v>Remexian 30/1 CHK - Chemical Kush</v>
      </c>
      <c r="C1137" s="30" t="s">
        <v>83</v>
      </c>
      <c r="D1137" s="30" t="s">
        <v>84</v>
      </c>
      <c r="E1137" s="30" t="s">
        <v>3301</v>
      </c>
      <c r="F1137" s="30" t="s">
        <v>86</v>
      </c>
      <c r="G1137" s="34">
        <v>30</v>
      </c>
      <c r="H1137" s="35">
        <v>1</v>
      </c>
      <c r="I1137" s="30"/>
      <c r="J1137" s="30"/>
      <c r="K1137" s="30" t="s">
        <v>52</v>
      </c>
      <c r="L1137" s="30" t="s">
        <v>53</v>
      </c>
      <c r="M1137" s="30" t="s">
        <v>88</v>
      </c>
      <c r="N1137" s="30" t="s">
        <v>71</v>
      </c>
      <c r="O1137" s="30" t="s">
        <v>178</v>
      </c>
      <c r="P1137" s="30" t="s">
        <v>73</v>
      </c>
      <c r="Q1137" s="30" t="s">
        <v>74</v>
      </c>
      <c r="R1137" s="30" t="s">
        <v>89</v>
      </c>
      <c r="S1137" s="30" t="s">
        <v>147</v>
      </c>
      <c r="T1137" s="30" t="s">
        <v>106</v>
      </c>
      <c r="U1137" s="30" t="s">
        <v>62</v>
      </c>
      <c r="V1137" s="30" t="s">
        <v>180</v>
      </c>
      <c r="W1137" s="30" t="s">
        <v>107</v>
      </c>
      <c r="X1137" s="30" t="s">
        <v>93</v>
      </c>
      <c r="Y1137" s="30" t="s">
        <v>421</v>
      </c>
      <c r="Z1137" s="30" t="s">
        <v>64</v>
      </c>
      <c r="AA1137" s="30" t="s">
        <v>95</v>
      </c>
      <c r="AB1137" s="30" t="s">
        <v>56</v>
      </c>
      <c r="AC1137" s="30" t="s">
        <v>3302</v>
      </c>
    </row>
    <row r="1138" spans="1:29">
      <c r="A1138" s="24" t="s">
        <v>3303</v>
      </c>
      <c r="B1138" s="24" t="str">
        <f>IF(ISNUMBER(SEARCH(E1138,A1138)),A1138,IF(OR(E1138="",E1138=""),A1138,A1138&amp;" - "&amp;E1138))</f>
        <v>Remexian 30/1 CRN - Ventura Dawg</v>
      </c>
      <c r="C1138" s="24" t="s">
        <v>83</v>
      </c>
      <c r="D1138" s="24" t="s">
        <v>84</v>
      </c>
      <c r="E1138" s="41" t="s">
        <v>1494</v>
      </c>
      <c r="F1138" s="24" t="s">
        <v>86</v>
      </c>
      <c r="G1138" s="27">
        <v>30</v>
      </c>
      <c r="H1138" s="28">
        <v>1</v>
      </c>
      <c r="I1138" s="24"/>
      <c r="J1138" s="24"/>
      <c r="K1138" s="24" t="s">
        <v>52</v>
      </c>
      <c r="L1138" s="24" t="s">
        <v>53</v>
      </c>
      <c r="M1138" s="24" t="s">
        <v>72</v>
      </c>
      <c r="N1138" s="24"/>
      <c r="O1138" s="24"/>
      <c r="P1138" s="24" t="s">
        <v>73</v>
      </c>
      <c r="Q1138" s="24" t="s">
        <v>74</v>
      </c>
      <c r="R1138" s="24" t="s">
        <v>113</v>
      </c>
      <c r="S1138" s="24" t="s">
        <v>147</v>
      </c>
      <c r="T1138" s="24" t="s">
        <v>106</v>
      </c>
      <c r="U1138" s="24" t="s">
        <v>493</v>
      </c>
      <c r="V1138" s="24" t="s">
        <v>77</v>
      </c>
      <c r="W1138" s="24" t="s">
        <v>107</v>
      </c>
      <c r="X1138" s="24"/>
      <c r="Y1138" s="24" t="s">
        <v>311</v>
      </c>
      <c r="Z1138" s="24" t="s">
        <v>64</v>
      </c>
      <c r="AA1138" s="24" t="s">
        <v>95</v>
      </c>
      <c r="AB1138" s="24"/>
      <c r="AC1138" s="24" t="s">
        <v>3304</v>
      </c>
    </row>
    <row r="1139" spans="1:29">
      <c r="A1139" s="30" t="s">
        <v>3305</v>
      </c>
      <c r="B1139" s="30" t="str">
        <f>IF(ISNUMBER(SEARCH(E1139,A1139)),A1139,IF(OR(E1139="",E1139=""),A1139,A1139&amp;" - "&amp;E1139))</f>
        <v>Remexian 30/1 FLJ - Flap Jacks</v>
      </c>
      <c r="C1139" s="30" t="s">
        <v>83</v>
      </c>
      <c r="D1139" s="30" t="s">
        <v>84</v>
      </c>
      <c r="E1139" s="40" t="s">
        <v>1709</v>
      </c>
      <c r="F1139" s="30" t="s">
        <v>177</v>
      </c>
      <c r="G1139" s="34">
        <v>29</v>
      </c>
      <c r="H1139" s="35">
        <v>1</v>
      </c>
      <c r="I1139" s="30"/>
      <c r="J1139" s="30"/>
      <c r="K1139" s="30" t="s">
        <v>17</v>
      </c>
      <c r="L1139" s="30" t="s">
        <v>53</v>
      </c>
      <c r="M1139" s="30" t="s">
        <v>54</v>
      </c>
      <c r="N1139" s="30" t="s">
        <v>88</v>
      </c>
      <c r="O1139" s="30" t="s">
        <v>178</v>
      </c>
      <c r="P1139" s="30" t="s">
        <v>146</v>
      </c>
      <c r="Q1139" s="30" t="s">
        <v>74</v>
      </c>
      <c r="R1139" s="30" t="s">
        <v>89</v>
      </c>
      <c r="S1139" s="30" t="s">
        <v>147</v>
      </c>
      <c r="T1139" s="30" t="s">
        <v>106</v>
      </c>
      <c r="U1139" s="30" t="s">
        <v>62</v>
      </c>
      <c r="V1139" s="30" t="s">
        <v>77</v>
      </c>
      <c r="W1139" s="30" t="s">
        <v>116</v>
      </c>
      <c r="X1139" s="30" t="s">
        <v>107</v>
      </c>
      <c r="Y1139" s="30" t="s">
        <v>523</v>
      </c>
      <c r="Z1139" s="30" t="s">
        <v>64</v>
      </c>
      <c r="AA1139" s="30" t="s">
        <v>95</v>
      </c>
      <c r="AB1139" s="30"/>
      <c r="AC1139" s="30" t="s">
        <v>3306</v>
      </c>
    </row>
    <row r="1140" spans="1:29">
      <c r="A1140" s="24" t="s">
        <v>3307</v>
      </c>
      <c r="B1140" s="24" t="str">
        <f>IF(ISNUMBER(SEARCH(E1140,A1140)),A1140,IF(OR(E1140="",E1140=""),A1140,A1140&amp;" - "&amp;E1140))</f>
        <v>Remexian 30/1 GJY CCA - Cosmic Candy</v>
      </c>
      <c r="C1140" s="24" t="s">
        <v>83</v>
      </c>
      <c r="D1140" s="24" t="s">
        <v>84</v>
      </c>
      <c r="E1140" s="41" t="s">
        <v>3308</v>
      </c>
      <c r="F1140" s="24" t="s">
        <v>86</v>
      </c>
      <c r="G1140" s="27">
        <v>30</v>
      </c>
      <c r="H1140" s="28">
        <v>1</v>
      </c>
      <c r="I1140" s="24"/>
      <c r="J1140" s="24"/>
      <c r="K1140" s="24" t="s">
        <v>52</v>
      </c>
      <c r="L1140" s="24" t="s">
        <v>53</v>
      </c>
      <c r="M1140" s="24" t="s">
        <v>88</v>
      </c>
      <c r="N1140" s="24" t="s">
        <v>72</v>
      </c>
      <c r="O1140" s="24"/>
      <c r="P1140" s="24" t="s">
        <v>89</v>
      </c>
      <c r="Q1140" s="24" t="s">
        <v>58</v>
      </c>
      <c r="R1140" s="24"/>
      <c r="S1140" s="24" t="s">
        <v>147</v>
      </c>
      <c r="T1140" s="24" t="s">
        <v>123</v>
      </c>
      <c r="U1140" s="24" t="s">
        <v>106</v>
      </c>
      <c r="V1140" s="24" t="s">
        <v>77</v>
      </c>
      <c r="W1140" s="24" t="s">
        <v>79</v>
      </c>
      <c r="X1140" s="24" t="s">
        <v>107</v>
      </c>
      <c r="Y1140" s="24" t="s">
        <v>289</v>
      </c>
      <c r="Z1140" s="24" t="s">
        <v>64</v>
      </c>
      <c r="AA1140" s="24" t="s">
        <v>95</v>
      </c>
      <c r="AB1140" s="24"/>
      <c r="AC1140" s="24" t="s">
        <v>3309</v>
      </c>
    </row>
    <row r="1141" spans="1:29">
      <c r="A1141" s="30" t="s">
        <v>3310</v>
      </c>
      <c r="B1141" s="30" t="str">
        <f>IF(ISNUMBER(SEARCH(E1141,A1141)),A1141,IF(OR(E1141="",E1141=""),A1141,A1141&amp;" - "&amp;E1141))</f>
        <v>Remexian 30/1 GMO: - GMO Breath</v>
      </c>
      <c r="C1141" s="30" t="s">
        <v>83</v>
      </c>
      <c r="D1141" s="30" t="s">
        <v>84</v>
      </c>
      <c r="E1141" s="30" t="s">
        <v>3311</v>
      </c>
      <c r="F1141" s="30" t="s">
        <v>86</v>
      </c>
      <c r="G1141" s="34">
        <v>29</v>
      </c>
      <c r="H1141" s="35">
        <v>1</v>
      </c>
      <c r="I1141" s="30"/>
      <c r="J1141" s="30"/>
      <c r="K1141" s="30" t="s">
        <v>52</v>
      </c>
      <c r="L1141" s="30" t="s">
        <v>53</v>
      </c>
      <c r="M1141" s="30" t="s">
        <v>121</v>
      </c>
      <c r="N1141" s="30" t="s">
        <v>72</v>
      </c>
      <c r="O1141" s="30" t="s">
        <v>56</v>
      </c>
      <c r="P1141" s="30" t="s">
        <v>75</v>
      </c>
      <c r="Q1141" s="30" t="s">
        <v>59</v>
      </c>
      <c r="R1141" s="30" t="s">
        <v>56</v>
      </c>
      <c r="S1141" s="30" t="s">
        <v>147</v>
      </c>
      <c r="T1141" s="30" t="s">
        <v>106</v>
      </c>
      <c r="U1141" s="30" t="s">
        <v>62</v>
      </c>
      <c r="V1141" s="30" t="s">
        <v>77</v>
      </c>
      <c r="W1141" s="30" t="s">
        <v>116</v>
      </c>
      <c r="X1141" s="30" t="s">
        <v>79</v>
      </c>
      <c r="Y1141" s="30" t="s">
        <v>539</v>
      </c>
      <c r="Z1141" s="30" t="s">
        <v>64</v>
      </c>
      <c r="AA1141" s="30" t="s">
        <v>95</v>
      </c>
      <c r="AB1141" s="30" t="s">
        <v>56</v>
      </c>
      <c r="AC1141" s="36" t="s">
        <v>3312</v>
      </c>
    </row>
    <row r="1142" spans="1:29">
      <c r="A1142" s="24" t="s">
        <v>3313</v>
      </c>
      <c r="B1142" s="24" t="str">
        <f>IF(ISNUMBER(SEARCH(E1142,A1142)),A1142,IF(OR(E1142="",E1142=""),A1142,A1142&amp;" - "&amp;E1142))</f>
        <v>Remexian 30/1 HCC GRM - Grease Monkey</v>
      </c>
      <c r="C1142" s="24" t="s">
        <v>83</v>
      </c>
      <c r="D1142" s="24" t="s">
        <v>84</v>
      </c>
      <c r="E1142" s="24" t="s">
        <v>3314</v>
      </c>
      <c r="F1142" s="24" t="s">
        <v>86</v>
      </c>
      <c r="G1142" s="27">
        <v>30</v>
      </c>
      <c r="H1142" s="28">
        <v>1</v>
      </c>
      <c r="I1142" s="24"/>
      <c r="J1142" s="24"/>
      <c r="K1142" s="24" t="s">
        <v>52</v>
      </c>
      <c r="L1142" s="24" t="s">
        <v>53</v>
      </c>
      <c r="M1142" s="24" t="s">
        <v>111</v>
      </c>
      <c r="N1142" s="24" t="s">
        <v>88</v>
      </c>
      <c r="O1142" s="24" t="s">
        <v>72</v>
      </c>
      <c r="P1142" s="24" t="s">
        <v>73</v>
      </c>
      <c r="Q1142" s="24" t="s">
        <v>157</v>
      </c>
      <c r="R1142" s="24" t="s">
        <v>57</v>
      </c>
      <c r="S1142" s="24" t="s">
        <v>106</v>
      </c>
      <c r="T1142" s="24" t="s">
        <v>62</v>
      </c>
      <c r="U1142" s="24" t="s">
        <v>128</v>
      </c>
      <c r="V1142" s="24" t="s">
        <v>77</v>
      </c>
      <c r="W1142" s="24" t="s">
        <v>116</v>
      </c>
      <c r="X1142" s="24" t="s">
        <v>107</v>
      </c>
      <c r="Y1142" s="24" t="s">
        <v>516</v>
      </c>
      <c r="Z1142" s="24" t="s">
        <v>64</v>
      </c>
      <c r="AA1142" s="24" t="s">
        <v>95</v>
      </c>
      <c r="AB1142" s="24" t="s">
        <v>56</v>
      </c>
      <c r="AC1142" s="24" t="s">
        <v>3315</v>
      </c>
    </row>
    <row r="1143" spans="1:29">
      <c r="A1143" s="30" t="s">
        <v>3316</v>
      </c>
      <c r="B1143" s="30" t="str">
        <f>IF(ISNUMBER(SEARCH(E1143,A1143)),A1143,IF(OR(E1143="",E1143=""),A1143,A1143&amp;" - "&amp;E1143))</f>
        <v>Remexian 30/1 HEG - Helios Gold</v>
      </c>
      <c r="C1143" s="30" t="s">
        <v>83</v>
      </c>
      <c r="D1143" s="30" t="s">
        <v>84</v>
      </c>
      <c r="E1143" s="30" t="s">
        <v>3317</v>
      </c>
      <c r="F1143" s="30" t="s">
        <v>177</v>
      </c>
      <c r="G1143" s="34">
        <v>30</v>
      </c>
      <c r="H1143" s="35">
        <v>1</v>
      </c>
      <c r="I1143" s="30"/>
      <c r="J1143" s="30"/>
      <c r="K1143" s="30" t="s">
        <v>52</v>
      </c>
      <c r="L1143" s="30" t="s">
        <v>53</v>
      </c>
      <c r="M1143" s="30" t="s">
        <v>88</v>
      </c>
      <c r="N1143" s="30" t="s">
        <v>72</v>
      </c>
      <c r="O1143" s="30" t="s">
        <v>56</v>
      </c>
      <c r="P1143" s="30" t="s">
        <v>75</v>
      </c>
      <c r="Q1143" s="30" t="s">
        <v>89</v>
      </c>
      <c r="R1143" s="30" t="s">
        <v>58</v>
      </c>
      <c r="S1143" s="30" t="s">
        <v>56</v>
      </c>
      <c r="T1143" s="30" t="s">
        <v>56</v>
      </c>
      <c r="U1143" s="30" t="s">
        <v>56</v>
      </c>
      <c r="V1143" s="30" t="s">
        <v>77</v>
      </c>
      <c r="W1143" s="30" t="s">
        <v>116</v>
      </c>
      <c r="X1143" s="30" t="s">
        <v>107</v>
      </c>
      <c r="Y1143" s="30" t="s">
        <v>870</v>
      </c>
      <c r="Z1143" s="30" t="s">
        <v>64</v>
      </c>
      <c r="AA1143" s="30" t="s">
        <v>95</v>
      </c>
      <c r="AB1143" s="30" t="s">
        <v>56</v>
      </c>
      <c r="AC1143" s="30" t="s">
        <v>3318</v>
      </c>
    </row>
    <row r="1144" spans="1:29">
      <c r="A1144" s="24" t="s">
        <v>3319</v>
      </c>
      <c r="B1144" s="24" t="str">
        <f>IF(ISNUMBER(SEARCH(E1144,A1144)),A1144,IF(OR(E1144="",E1144=""),A1144,A1144&amp;" - "&amp;E1144))</f>
        <v>Remexian 30/1 LPP - Lemon Pepper Punch</v>
      </c>
      <c r="C1144" s="24" t="s">
        <v>83</v>
      </c>
      <c r="D1144" s="24" t="s">
        <v>84</v>
      </c>
      <c r="E1144" s="24" t="s">
        <v>3266</v>
      </c>
      <c r="F1144" s="24" t="s">
        <v>69</v>
      </c>
      <c r="G1144" s="27">
        <v>30</v>
      </c>
      <c r="H1144" s="28">
        <v>1</v>
      </c>
      <c r="I1144" s="24"/>
      <c r="J1144" s="24"/>
      <c r="K1144" s="24" t="s">
        <v>52</v>
      </c>
      <c r="L1144" s="24" t="s">
        <v>53</v>
      </c>
      <c r="M1144" s="24" t="s">
        <v>103</v>
      </c>
      <c r="N1144" s="24" t="s">
        <v>55</v>
      </c>
      <c r="O1144" s="24" t="s">
        <v>72</v>
      </c>
      <c r="P1144" s="24" t="s">
        <v>73</v>
      </c>
      <c r="Q1144" s="24" t="s">
        <v>75</v>
      </c>
      <c r="R1144" s="24" t="s">
        <v>59</v>
      </c>
      <c r="S1144" s="24" t="s">
        <v>192</v>
      </c>
      <c r="T1144" s="24" t="s">
        <v>147</v>
      </c>
      <c r="U1144" s="24" t="s">
        <v>123</v>
      </c>
      <c r="V1144" s="24" t="s">
        <v>116</v>
      </c>
      <c r="W1144" s="24" t="s">
        <v>138</v>
      </c>
      <c r="X1144" s="24" t="s">
        <v>79</v>
      </c>
      <c r="Y1144" s="24" t="s">
        <v>293</v>
      </c>
      <c r="Z1144" s="24" t="s">
        <v>64</v>
      </c>
      <c r="AA1144" s="24" t="s">
        <v>95</v>
      </c>
      <c r="AB1144" s="24" t="s">
        <v>56</v>
      </c>
      <c r="AC1144" s="24" t="s">
        <v>3320</v>
      </c>
    </row>
    <row r="1145" spans="1:29" s="6" customFormat="1">
      <c r="A1145" s="30" t="s">
        <v>3321</v>
      </c>
      <c r="B1145" s="30" t="str">
        <f>IF(ISNUMBER(SEARCH(E1145,A1145)),A1145,IF(OR(E1145="",E1145=""),A1145,A1145&amp;" - "&amp;E1145))</f>
        <v>Remexian 30/1 NLC ANM - Animal Mints</v>
      </c>
      <c r="C1145" s="30" t="s">
        <v>83</v>
      </c>
      <c r="D1145" s="30" t="s">
        <v>84</v>
      </c>
      <c r="E1145" s="30" t="s">
        <v>3322</v>
      </c>
      <c r="F1145" s="30" t="s">
        <v>86</v>
      </c>
      <c r="G1145" s="34">
        <v>30</v>
      </c>
      <c r="H1145" s="35">
        <v>1</v>
      </c>
      <c r="I1145" s="30"/>
      <c r="J1145" s="30"/>
      <c r="K1145" s="30" t="s">
        <v>52</v>
      </c>
      <c r="L1145" s="30" t="s">
        <v>53</v>
      </c>
      <c r="M1145" s="30" t="s">
        <v>103</v>
      </c>
      <c r="N1145" s="30" t="s">
        <v>121</v>
      </c>
      <c r="O1145" s="30" t="s">
        <v>72</v>
      </c>
      <c r="P1145" s="30" t="s">
        <v>112</v>
      </c>
      <c r="Q1145" s="30" t="s">
        <v>89</v>
      </c>
      <c r="R1145" s="30" t="s">
        <v>56</v>
      </c>
      <c r="S1145" s="30" t="s">
        <v>147</v>
      </c>
      <c r="T1145" s="30" t="s">
        <v>106</v>
      </c>
      <c r="U1145" s="30" t="s">
        <v>62</v>
      </c>
      <c r="V1145" s="30" t="s">
        <v>77</v>
      </c>
      <c r="W1145" s="30" t="s">
        <v>116</v>
      </c>
      <c r="X1145" s="30" t="s">
        <v>79</v>
      </c>
      <c r="Y1145" s="30" t="s">
        <v>983</v>
      </c>
      <c r="Z1145" s="30" t="s">
        <v>64</v>
      </c>
      <c r="AA1145" s="30" t="s">
        <v>95</v>
      </c>
      <c r="AB1145" s="30" t="s">
        <v>56</v>
      </c>
      <c r="AC1145" s="30" t="s">
        <v>3323</v>
      </c>
    </row>
    <row r="1146" spans="1:29">
      <c r="A1146" s="24" t="s">
        <v>3324</v>
      </c>
      <c r="B1146" s="24" t="str">
        <f>IF(ISNUMBER(SEARCH(E1146,A1146)),A1146,IF(OR(E1146="",E1146=""),A1146,A1146&amp;" - "&amp;E1146))</f>
        <v>Remexian 30/1 STG - Strawberry Grail</v>
      </c>
      <c r="C1146" s="24" t="s">
        <v>83</v>
      </c>
      <c r="D1146" s="24" t="s">
        <v>84</v>
      </c>
      <c r="E1146" s="41" t="s">
        <v>3325</v>
      </c>
      <c r="F1146" s="24" t="s">
        <v>177</v>
      </c>
      <c r="G1146" s="27">
        <v>31</v>
      </c>
      <c r="H1146" s="28">
        <v>1</v>
      </c>
      <c r="I1146" s="24"/>
      <c r="J1146" s="24"/>
      <c r="K1146" s="24" t="s">
        <v>52</v>
      </c>
      <c r="L1146" s="24" t="s">
        <v>53</v>
      </c>
      <c r="M1146" s="24" t="s">
        <v>88</v>
      </c>
      <c r="N1146" s="24" t="s">
        <v>121</v>
      </c>
      <c r="O1146" s="24" t="s">
        <v>72</v>
      </c>
      <c r="P1146" s="24" t="s">
        <v>73</v>
      </c>
      <c r="Q1146" s="24" t="s">
        <v>113</v>
      </c>
      <c r="R1146" s="24" t="s">
        <v>58</v>
      </c>
      <c r="S1146" s="24" t="s">
        <v>106</v>
      </c>
      <c r="T1146" s="24" t="s">
        <v>128</v>
      </c>
      <c r="U1146" s="24" t="s">
        <v>62</v>
      </c>
      <c r="V1146" s="24" t="s">
        <v>77</v>
      </c>
      <c r="W1146" s="24" t="s">
        <v>116</v>
      </c>
      <c r="X1146" s="24" t="s">
        <v>107</v>
      </c>
      <c r="Y1146" s="24" t="s">
        <v>1419</v>
      </c>
      <c r="Z1146" s="24" t="s">
        <v>64</v>
      </c>
      <c r="AA1146" s="24" t="s">
        <v>95</v>
      </c>
      <c r="AB1146" s="24"/>
      <c r="AC1146" s="24" t="s">
        <v>3326</v>
      </c>
    </row>
    <row r="1147" spans="1:29" s="6" customFormat="1">
      <c r="A1147" s="30" t="s">
        <v>3327</v>
      </c>
      <c r="B1147" s="30" t="str">
        <f>IF(ISNUMBER(SEARCH(E1147,A1147)),A1147,IF(OR(E1147="",E1147=""),A1147,A1147&amp;" - "&amp;E1147))</f>
        <v>Rua Kia Kaha 26/1 - OG Kush x Wedding Cake</v>
      </c>
      <c r="C1147" s="30" t="s">
        <v>141</v>
      </c>
      <c r="D1147" s="30" t="s">
        <v>142</v>
      </c>
      <c r="E1147" s="30" t="s">
        <v>3328</v>
      </c>
      <c r="F1147" s="30" t="s">
        <v>120</v>
      </c>
      <c r="G1147" s="34">
        <v>26</v>
      </c>
      <c r="H1147" s="35">
        <v>1</v>
      </c>
      <c r="I1147" s="30"/>
      <c r="J1147" s="30"/>
      <c r="K1147" s="30" t="s">
        <v>52</v>
      </c>
      <c r="L1147" s="30" t="s">
        <v>1418</v>
      </c>
      <c r="M1147" s="30" t="s">
        <v>88</v>
      </c>
      <c r="N1147" s="30" t="s">
        <v>71</v>
      </c>
      <c r="O1147" s="30" t="s">
        <v>72</v>
      </c>
      <c r="P1147" s="30" t="s">
        <v>57</v>
      </c>
      <c r="Q1147" s="30" t="s">
        <v>74</v>
      </c>
      <c r="R1147" s="30" t="s">
        <v>59</v>
      </c>
      <c r="S1147" s="30" t="s">
        <v>106</v>
      </c>
      <c r="T1147" s="30" t="s">
        <v>91</v>
      </c>
      <c r="U1147" s="30" t="s">
        <v>76</v>
      </c>
      <c r="V1147" s="30" t="s">
        <v>77</v>
      </c>
      <c r="W1147" s="30" t="s">
        <v>79</v>
      </c>
      <c r="X1147" s="30" t="s">
        <v>107</v>
      </c>
      <c r="Y1147" s="30" t="s">
        <v>56</v>
      </c>
      <c r="Z1147" s="30" t="s">
        <v>64</v>
      </c>
      <c r="AA1147" s="30" t="s">
        <v>149</v>
      </c>
      <c r="AB1147" s="30" t="s">
        <v>56</v>
      </c>
      <c r="AC1147" s="30" t="s">
        <v>3329</v>
      </c>
    </row>
    <row r="1148" spans="1:29">
      <c r="A1148" s="24" t="s">
        <v>3330</v>
      </c>
      <c r="B1148" s="24" t="str">
        <f>IF(ISNUMBER(SEARCH(E1148,A1148)),A1148,IF(OR(E1148="",E1148=""),A1148,A1148&amp;" - "&amp;E1148))</f>
        <v>Rua Kia Kaha 29/1 - OG Kush x Wedding Cake</v>
      </c>
      <c r="C1148" s="24" t="s">
        <v>141</v>
      </c>
      <c r="D1148" s="24" t="s">
        <v>142</v>
      </c>
      <c r="E1148" s="24" t="s">
        <v>3328</v>
      </c>
      <c r="F1148" s="24" t="s">
        <v>120</v>
      </c>
      <c r="G1148" s="27">
        <v>29</v>
      </c>
      <c r="H1148" s="28">
        <v>1</v>
      </c>
      <c r="I1148" s="24"/>
      <c r="J1148" s="24"/>
      <c r="K1148" s="24" t="s">
        <v>52</v>
      </c>
      <c r="L1148" s="24" t="s">
        <v>1418</v>
      </c>
      <c r="M1148" s="24" t="s">
        <v>88</v>
      </c>
      <c r="N1148" s="24" t="s">
        <v>71</v>
      </c>
      <c r="O1148" s="24" t="s">
        <v>72</v>
      </c>
      <c r="P1148" s="24" t="s">
        <v>57</v>
      </c>
      <c r="Q1148" s="24" t="s">
        <v>74</v>
      </c>
      <c r="R1148" s="24" t="s">
        <v>59</v>
      </c>
      <c r="S1148" s="24" t="s">
        <v>91</v>
      </c>
      <c r="T1148" s="24" t="s">
        <v>61</v>
      </c>
      <c r="U1148" s="24" t="s">
        <v>76</v>
      </c>
      <c r="V1148" s="24" t="s">
        <v>77</v>
      </c>
      <c r="W1148" s="24" t="s">
        <v>79</v>
      </c>
      <c r="X1148" s="24" t="s">
        <v>107</v>
      </c>
      <c r="Y1148" s="24" t="s">
        <v>56</v>
      </c>
      <c r="Z1148" s="24" t="s">
        <v>64</v>
      </c>
      <c r="AA1148" s="24" t="s">
        <v>149</v>
      </c>
      <c r="AB1148" s="24" t="s">
        <v>56</v>
      </c>
      <c r="AC1148" s="24" t="s">
        <v>3331</v>
      </c>
    </row>
    <row r="1149" spans="1:29">
      <c r="A1149" s="30" t="s">
        <v>3332</v>
      </c>
      <c r="B1149" s="30" t="str">
        <f>IF(ISNUMBER(SEARCH(E1149,A1149)),A1149,IF(OR(E1149="",E1149=""),A1149,A1149&amp;" - "&amp;E1149))</f>
        <v>Sibanax Crescendo Cookies 19/1</v>
      </c>
      <c r="C1149" s="30" t="s">
        <v>2296</v>
      </c>
      <c r="D1149" s="30" t="s">
        <v>2297</v>
      </c>
      <c r="E1149" s="30" t="s">
        <v>893</v>
      </c>
      <c r="F1149" s="30" t="s">
        <v>144</v>
      </c>
      <c r="G1149" s="34">
        <v>19</v>
      </c>
      <c r="H1149" s="35">
        <v>1</v>
      </c>
      <c r="I1149" s="30"/>
      <c r="J1149" s="30"/>
      <c r="K1149" s="30" t="s">
        <v>52</v>
      </c>
      <c r="L1149" s="30" t="s">
        <v>87</v>
      </c>
      <c r="M1149" s="30" t="s">
        <v>212</v>
      </c>
      <c r="N1149" s="30" t="s">
        <v>88</v>
      </c>
      <c r="O1149" s="30" t="s">
        <v>72</v>
      </c>
      <c r="P1149" s="30" t="s">
        <v>113</v>
      </c>
      <c r="Q1149" s="30" t="s">
        <v>89</v>
      </c>
      <c r="R1149" s="30" t="s">
        <v>58</v>
      </c>
      <c r="S1149" s="30" t="s">
        <v>60</v>
      </c>
      <c r="T1149" s="30" t="s">
        <v>128</v>
      </c>
      <c r="U1149" s="30" t="s">
        <v>62</v>
      </c>
      <c r="V1149" s="30" t="s">
        <v>77</v>
      </c>
      <c r="W1149" s="30" t="s">
        <v>116</v>
      </c>
      <c r="X1149" s="30" t="s">
        <v>79</v>
      </c>
      <c r="Y1149" s="30" t="s">
        <v>328</v>
      </c>
      <c r="Z1149" s="30" t="s">
        <v>64</v>
      </c>
      <c r="AA1149" s="30" t="s">
        <v>2298</v>
      </c>
      <c r="AB1149" s="30" t="s">
        <v>56</v>
      </c>
      <c r="AC1149" s="30" t="s">
        <v>3333</v>
      </c>
    </row>
    <row r="1150" spans="1:29">
      <c r="A1150" s="24" t="s">
        <v>3334</v>
      </c>
      <c r="B1150" s="24" t="str">
        <f>IF(ISNUMBER(SEARCH(E1150,A1150)),A1150,IF(OR(E1150="",E1150=""),A1150,A1150&amp;" - "&amp;E1150))</f>
        <v>Sibanax GMO Zkittlez 19/1</v>
      </c>
      <c r="C1150" s="24" t="s">
        <v>2296</v>
      </c>
      <c r="D1150" s="24" t="s">
        <v>2297</v>
      </c>
      <c r="E1150" s="24" t="s">
        <v>3335</v>
      </c>
      <c r="F1150" s="24" t="s">
        <v>177</v>
      </c>
      <c r="G1150" s="27">
        <v>19</v>
      </c>
      <c r="H1150" s="28">
        <v>1</v>
      </c>
      <c r="I1150" s="24"/>
      <c r="J1150" s="24"/>
      <c r="K1150" s="24" t="s">
        <v>52</v>
      </c>
      <c r="L1150" s="24" t="s">
        <v>87</v>
      </c>
      <c r="M1150" s="24" t="s">
        <v>88</v>
      </c>
      <c r="N1150" s="24" t="s">
        <v>71</v>
      </c>
      <c r="O1150" s="24" t="s">
        <v>72</v>
      </c>
      <c r="P1150" s="24" t="s">
        <v>73</v>
      </c>
      <c r="Q1150" s="24" t="s">
        <v>104</v>
      </c>
      <c r="R1150" s="24" t="s">
        <v>74</v>
      </c>
      <c r="S1150" s="24" t="s">
        <v>90</v>
      </c>
      <c r="T1150" s="24" t="s">
        <v>105</v>
      </c>
      <c r="U1150" s="24" t="s">
        <v>62</v>
      </c>
      <c r="V1150" s="24" t="s">
        <v>77</v>
      </c>
      <c r="W1150" s="24" t="s">
        <v>116</v>
      </c>
      <c r="X1150" s="24" t="s">
        <v>129</v>
      </c>
      <c r="Y1150" s="24" t="s">
        <v>56</v>
      </c>
      <c r="Z1150" s="24" t="s">
        <v>64</v>
      </c>
      <c r="AA1150" s="24" t="s">
        <v>2298</v>
      </c>
      <c r="AB1150" s="24" t="s">
        <v>56</v>
      </c>
      <c r="AC1150" s="24" t="s">
        <v>3336</v>
      </c>
    </row>
    <row r="1151" spans="1:29">
      <c r="A1151" s="30" t="s">
        <v>3337</v>
      </c>
      <c r="B1151" s="30" t="str">
        <f>IF(ISNUMBER(SEARCH(E1151,A1151)),A1151,IF(OR(E1151="",E1151=""),A1151,A1151&amp;" - "&amp;E1151))</f>
        <v>Sibanax GMO Zkittlez 21/1</v>
      </c>
      <c r="C1151" s="30" t="s">
        <v>2296</v>
      </c>
      <c r="D1151" s="30" t="s">
        <v>2297</v>
      </c>
      <c r="E1151" s="30" t="s">
        <v>3335</v>
      </c>
      <c r="F1151" s="30" t="s">
        <v>177</v>
      </c>
      <c r="G1151" s="34">
        <v>21</v>
      </c>
      <c r="H1151" s="35">
        <v>1</v>
      </c>
      <c r="I1151" s="30"/>
      <c r="J1151" s="30"/>
      <c r="K1151" s="30" t="s">
        <v>52</v>
      </c>
      <c r="L1151" s="30" t="s">
        <v>87</v>
      </c>
      <c r="M1151" s="30" t="s">
        <v>88</v>
      </c>
      <c r="N1151" s="30" t="s">
        <v>71</v>
      </c>
      <c r="O1151" s="30" t="s">
        <v>72</v>
      </c>
      <c r="P1151" s="30" t="s">
        <v>73</v>
      </c>
      <c r="Q1151" s="30" t="s">
        <v>104</v>
      </c>
      <c r="R1151" s="30" t="s">
        <v>74</v>
      </c>
      <c r="S1151" s="30" t="s">
        <v>90</v>
      </c>
      <c r="T1151" s="30" t="s">
        <v>105</v>
      </c>
      <c r="U1151" s="30" t="s">
        <v>60</v>
      </c>
      <c r="V1151" s="30" t="s">
        <v>77</v>
      </c>
      <c r="W1151" s="30" t="s">
        <v>116</v>
      </c>
      <c r="X1151" s="30" t="s">
        <v>129</v>
      </c>
      <c r="Y1151" s="30" t="s">
        <v>3338</v>
      </c>
      <c r="Z1151" s="30" t="s">
        <v>64</v>
      </c>
      <c r="AA1151" s="30" t="s">
        <v>2298</v>
      </c>
      <c r="AB1151" s="30" t="s">
        <v>56</v>
      </c>
      <c r="AC1151" s="30" t="s">
        <v>3339</v>
      </c>
    </row>
    <row r="1152" spans="1:29">
      <c r="A1152" s="24" t="s">
        <v>3340</v>
      </c>
      <c r="B1152" s="24" t="str">
        <f>IF(ISNUMBER(SEARCH(E1152,A1152)),A1152,IF(OR(E1152="",E1152=""),A1152,A1152&amp;" - "&amp;E1152))</f>
        <v>Sibanax MCF 20/1 Mac Fem</v>
      </c>
      <c r="C1152" s="24" t="s">
        <v>2296</v>
      </c>
      <c r="D1152" s="24" t="s">
        <v>2297</v>
      </c>
      <c r="E1152" s="24" t="s">
        <v>2612</v>
      </c>
      <c r="F1152" s="24" t="s">
        <v>86</v>
      </c>
      <c r="G1152" s="27">
        <v>20</v>
      </c>
      <c r="H1152" s="28">
        <v>1</v>
      </c>
      <c r="I1152" s="24"/>
      <c r="J1152" s="24"/>
      <c r="K1152" s="24" t="s">
        <v>17</v>
      </c>
      <c r="L1152" s="24" t="s">
        <v>102</v>
      </c>
      <c r="M1152" s="24" t="s">
        <v>54</v>
      </c>
      <c r="N1152" s="24" t="s">
        <v>88</v>
      </c>
      <c r="O1152" s="24" t="s">
        <v>72</v>
      </c>
      <c r="P1152" s="24" t="s">
        <v>104</v>
      </c>
      <c r="Q1152" s="24" t="s">
        <v>74</v>
      </c>
      <c r="R1152" s="24" t="s">
        <v>59</v>
      </c>
      <c r="S1152" s="24" t="s">
        <v>60</v>
      </c>
      <c r="T1152" s="24" t="s">
        <v>106</v>
      </c>
      <c r="U1152" s="24" t="s">
        <v>128</v>
      </c>
      <c r="V1152" s="24" t="s">
        <v>77</v>
      </c>
      <c r="W1152" s="24" t="s">
        <v>107</v>
      </c>
      <c r="X1152" s="24" t="s">
        <v>56</v>
      </c>
      <c r="Y1152" s="24" t="s">
        <v>1464</v>
      </c>
      <c r="Z1152" s="24" t="s">
        <v>64</v>
      </c>
      <c r="AA1152" s="24" t="s">
        <v>2298</v>
      </c>
      <c r="AB1152" s="24" t="s">
        <v>56</v>
      </c>
      <c r="AC1152" s="24" t="s">
        <v>3341</v>
      </c>
    </row>
    <row r="1153" spans="1:29">
      <c r="A1153" s="30" t="s">
        <v>3342</v>
      </c>
      <c r="B1153" s="30" t="str">
        <f>IF(ISNUMBER(SEARCH(E1153,A1153)),A1153,IF(OR(E1153="",E1153=""),A1153,A1153&amp;" - "&amp;E1153))</f>
        <v>Sibanax MCF 23/1 Mac Fem</v>
      </c>
      <c r="C1153" s="30" t="s">
        <v>2296</v>
      </c>
      <c r="D1153" s="30" t="s">
        <v>2297</v>
      </c>
      <c r="E1153" s="30" t="s">
        <v>2612</v>
      </c>
      <c r="F1153" s="30" t="s">
        <v>86</v>
      </c>
      <c r="G1153" s="34">
        <v>23</v>
      </c>
      <c r="H1153" s="35">
        <v>1</v>
      </c>
      <c r="I1153" s="30"/>
      <c r="J1153" s="30"/>
      <c r="K1153" s="30" t="s">
        <v>17</v>
      </c>
      <c r="L1153" s="30" t="s">
        <v>102</v>
      </c>
      <c r="M1153" s="30" t="s">
        <v>54</v>
      </c>
      <c r="N1153" s="30" t="s">
        <v>88</v>
      </c>
      <c r="O1153" s="30" t="s">
        <v>72</v>
      </c>
      <c r="P1153" s="30" t="s">
        <v>104</v>
      </c>
      <c r="Q1153" s="30" t="s">
        <v>74</v>
      </c>
      <c r="R1153" s="30" t="s">
        <v>59</v>
      </c>
      <c r="S1153" s="30" t="s">
        <v>60</v>
      </c>
      <c r="T1153" s="30" t="s">
        <v>106</v>
      </c>
      <c r="U1153" s="30" t="s">
        <v>62</v>
      </c>
      <c r="V1153" s="30" t="s">
        <v>77</v>
      </c>
      <c r="W1153" s="30" t="s">
        <v>107</v>
      </c>
      <c r="X1153" s="30" t="s">
        <v>56</v>
      </c>
      <c r="Y1153" s="30" t="s">
        <v>3343</v>
      </c>
      <c r="Z1153" s="30" t="s">
        <v>64</v>
      </c>
      <c r="AA1153" s="30" t="s">
        <v>2298</v>
      </c>
      <c r="AB1153" s="30" t="s">
        <v>56</v>
      </c>
      <c r="AC1153" s="30" t="s">
        <v>3344</v>
      </c>
    </row>
    <row r="1154" spans="1:29">
      <c r="A1154" s="24" t="s">
        <v>3345</v>
      </c>
      <c r="B1154" s="24" t="str">
        <f>IF(ISNUMBER(SEARCH(E1154,A1154)),A1154,IF(OR(E1154="",E1154=""),A1154,A1154&amp;" - "&amp;E1154))</f>
        <v>Sibanax The New 18/1</v>
      </c>
      <c r="C1154" s="24" t="s">
        <v>2296</v>
      </c>
      <c r="D1154" s="24" t="s">
        <v>2297</v>
      </c>
      <c r="E1154" s="24" t="s">
        <v>1395</v>
      </c>
      <c r="F1154" s="24" t="s">
        <v>86</v>
      </c>
      <c r="G1154" s="27">
        <v>18</v>
      </c>
      <c r="H1154" s="28">
        <v>1</v>
      </c>
      <c r="I1154" s="24"/>
      <c r="J1154" s="24"/>
      <c r="K1154" s="24" t="s">
        <v>52</v>
      </c>
      <c r="L1154" s="24" t="s">
        <v>87</v>
      </c>
      <c r="M1154" s="24" t="s">
        <v>71</v>
      </c>
      <c r="N1154" s="24" t="s">
        <v>72</v>
      </c>
      <c r="O1154" s="24" t="s">
        <v>56</v>
      </c>
      <c r="P1154" s="24" t="s">
        <v>73</v>
      </c>
      <c r="Q1154" s="24" t="s">
        <v>74</v>
      </c>
      <c r="R1154" s="24" t="s">
        <v>89</v>
      </c>
      <c r="S1154" s="24" t="s">
        <v>147</v>
      </c>
      <c r="T1154" s="24" t="s">
        <v>123</v>
      </c>
      <c r="U1154" s="24" t="s">
        <v>106</v>
      </c>
      <c r="V1154" s="24" t="s">
        <v>77</v>
      </c>
      <c r="W1154" s="24" t="s">
        <v>79</v>
      </c>
      <c r="X1154" s="24" t="s">
        <v>107</v>
      </c>
      <c r="Y1154" s="24" t="s">
        <v>413</v>
      </c>
      <c r="Z1154" s="24" t="s">
        <v>64</v>
      </c>
      <c r="AA1154" s="24" t="s">
        <v>2298</v>
      </c>
      <c r="AB1154" s="24" t="s">
        <v>56</v>
      </c>
      <c r="AC1154" s="24" t="s">
        <v>3346</v>
      </c>
    </row>
    <row r="1155" spans="1:29">
      <c r="A1155" s="30" t="s">
        <v>3347</v>
      </c>
      <c r="B1155" s="30" t="str">
        <f>IF(ISNUMBER(SEARCH(E1155,A1155)),A1155,IF(OR(E1155="",E1155=""),A1155,A1155&amp;" - "&amp;E1155))</f>
        <v>Social Choice 24/1 ICS DIE - Driftwood Diesel</v>
      </c>
      <c r="C1155" s="30" t="s">
        <v>83</v>
      </c>
      <c r="D1155" s="30" t="s">
        <v>84</v>
      </c>
      <c r="E1155" s="30" t="s">
        <v>3348</v>
      </c>
      <c r="F1155" s="30" t="s">
        <v>120</v>
      </c>
      <c r="G1155" s="34">
        <v>23</v>
      </c>
      <c r="H1155" s="35">
        <v>1</v>
      </c>
      <c r="I1155" s="30"/>
      <c r="J1155" s="30"/>
      <c r="K1155" s="30" t="s">
        <v>52</v>
      </c>
      <c r="L1155" s="30" t="s">
        <v>53</v>
      </c>
      <c r="M1155" s="30" t="s">
        <v>54</v>
      </c>
      <c r="N1155" s="30" t="s">
        <v>88</v>
      </c>
      <c r="O1155" s="30" t="s">
        <v>55</v>
      </c>
      <c r="P1155" s="30" t="s">
        <v>73</v>
      </c>
      <c r="Q1155" s="30" t="s">
        <v>74</v>
      </c>
      <c r="R1155" s="30" t="s">
        <v>75</v>
      </c>
      <c r="S1155" s="30" t="s">
        <v>147</v>
      </c>
      <c r="T1155" s="30" t="s">
        <v>106</v>
      </c>
      <c r="U1155" s="30" t="s">
        <v>62</v>
      </c>
      <c r="V1155" s="30" t="s">
        <v>77</v>
      </c>
      <c r="W1155" s="30" t="s">
        <v>116</v>
      </c>
      <c r="X1155" s="30" t="s">
        <v>79</v>
      </c>
      <c r="Y1155" s="30" t="s">
        <v>307</v>
      </c>
      <c r="Z1155" s="30" t="s">
        <v>64</v>
      </c>
      <c r="AA1155" s="30" t="s">
        <v>95</v>
      </c>
      <c r="AB1155" s="30" t="s">
        <v>56</v>
      </c>
      <c r="AC1155" s="30" t="s">
        <v>3349</v>
      </c>
    </row>
    <row r="1156" spans="1:29">
      <c r="A1156" s="24" t="s">
        <v>3350</v>
      </c>
      <c r="B1156" s="24" t="str">
        <f>IF(ISNUMBER(SEARCH(E1156,A1156)),A1156,IF(OR(E1156="",E1156=""),A1156,A1156&amp;" - "&amp;E1156))</f>
        <v>Soma OG 28/1 FG - Gelato Sherbert</v>
      </c>
      <c r="C1156" s="24" t="s">
        <v>1957</v>
      </c>
      <c r="D1156" s="24" t="s">
        <v>1958</v>
      </c>
      <c r="E1156" s="41" t="s">
        <v>1332</v>
      </c>
      <c r="F1156" s="24" t="s">
        <v>177</v>
      </c>
      <c r="G1156" s="27">
        <v>28</v>
      </c>
      <c r="H1156" s="28">
        <v>1</v>
      </c>
      <c r="I1156" s="24"/>
      <c r="J1156" s="24"/>
      <c r="K1156" s="24" t="s">
        <v>52</v>
      </c>
      <c r="L1156" s="24" t="s">
        <v>53</v>
      </c>
      <c r="M1156" s="24" t="s">
        <v>54</v>
      </c>
      <c r="N1156" s="24" t="s">
        <v>111</v>
      </c>
      <c r="O1156" s="24" t="s">
        <v>103</v>
      </c>
      <c r="P1156" s="24" t="s">
        <v>112</v>
      </c>
      <c r="Q1156" s="24" t="s">
        <v>146</v>
      </c>
      <c r="R1156" s="24" t="s">
        <v>89</v>
      </c>
      <c r="S1156" s="24" t="s">
        <v>106</v>
      </c>
      <c r="T1156" s="24" t="s">
        <v>493</v>
      </c>
      <c r="U1156" s="24" t="s">
        <v>62</v>
      </c>
      <c r="V1156" s="24" t="s">
        <v>77</v>
      </c>
      <c r="W1156" s="24" t="s">
        <v>395</v>
      </c>
      <c r="X1156" s="24" t="s">
        <v>79</v>
      </c>
      <c r="Y1156" s="24" t="s">
        <v>130</v>
      </c>
      <c r="Z1156" s="24" t="s">
        <v>64</v>
      </c>
      <c r="AA1156" s="24" t="s">
        <v>1961</v>
      </c>
      <c r="AB1156" s="24"/>
      <c r="AC1156" s="24" t="s">
        <v>3351</v>
      </c>
    </row>
    <row r="1157" spans="1:29">
      <c r="A1157" s="30" t="s">
        <v>3352</v>
      </c>
      <c r="B1157" s="30" t="str">
        <f>IF(ISNUMBER(SEARCH(E1157,A1157)),A1157,IF(OR(E1157="",E1157=""),A1157,A1157&amp;" - "&amp;E1157))</f>
        <v>Spectrum 18/1 Red No. 2 - Lemon Skunk</v>
      </c>
      <c r="C1157" s="30" t="s">
        <v>547</v>
      </c>
      <c r="D1157" s="30" t="s">
        <v>548</v>
      </c>
      <c r="E1157" s="30" t="s">
        <v>2595</v>
      </c>
      <c r="F1157" s="30" t="s">
        <v>69</v>
      </c>
      <c r="G1157" s="34">
        <v>18</v>
      </c>
      <c r="H1157" s="35">
        <v>1</v>
      </c>
      <c r="I1157" s="30"/>
      <c r="J1157" s="30"/>
      <c r="K1157" s="30" t="s">
        <v>17</v>
      </c>
      <c r="L1157" s="30" t="s">
        <v>53</v>
      </c>
      <c r="M1157" s="30" t="s">
        <v>54</v>
      </c>
      <c r="N1157" s="30" t="s">
        <v>111</v>
      </c>
      <c r="O1157" s="30" t="s">
        <v>71</v>
      </c>
      <c r="P1157" s="30" t="s">
        <v>75</v>
      </c>
      <c r="Q1157" s="30" t="s">
        <v>56</v>
      </c>
      <c r="R1157" s="30" t="s">
        <v>56</v>
      </c>
      <c r="S1157" s="30" t="s">
        <v>192</v>
      </c>
      <c r="T1157" s="30" t="s">
        <v>147</v>
      </c>
      <c r="U1157" s="30" t="s">
        <v>62</v>
      </c>
      <c r="V1157" s="30" t="s">
        <v>77</v>
      </c>
      <c r="W1157" s="30" t="s">
        <v>79</v>
      </c>
      <c r="X1157" s="30" t="s">
        <v>173</v>
      </c>
      <c r="Y1157" s="30" t="s">
        <v>56</v>
      </c>
      <c r="Z1157" s="30" t="s">
        <v>64</v>
      </c>
      <c r="AA1157" s="30" t="s">
        <v>551</v>
      </c>
      <c r="AB1157" s="30" t="s">
        <v>56</v>
      </c>
      <c r="AC1157" s="30" t="s">
        <v>3353</v>
      </c>
    </row>
    <row r="1158" spans="1:29">
      <c r="A1158" s="24" t="s">
        <v>3354</v>
      </c>
      <c r="B1158" s="24" t="str">
        <f>IF(ISNUMBER(SEARCH(E1158,A1158)),A1158,IF(OR(E1158="",E1158=""),A1158,A1158&amp;" - "&amp;E1158))</f>
        <v>Spectrum Blue 8/7 - CBD Skunk Haze</v>
      </c>
      <c r="C1158" s="24" t="s">
        <v>547</v>
      </c>
      <c r="D1158" s="24" t="s">
        <v>548</v>
      </c>
      <c r="E1158" s="24" t="s">
        <v>876</v>
      </c>
      <c r="F1158" s="24" t="s">
        <v>86</v>
      </c>
      <c r="G1158" s="27">
        <v>8</v>
      </c>
      <c r="H1158" s="28">
        <v>7.0000000000000009</v>
      </c>
      <c r="I1158" s="24"/>
      <c r="J1158" s="24"/>
      <c r="K1158" s="24" t="s">
        <v>17</v>
      </c>
      <c r="L1158" s="24" t="s">
        <v>53</v>
      </c>
      <c r="M1158" s="24" t="s">
        <v>71</v>
      </c>
      <c r="N1158" s="24" t="s">
        <v>72</v>
      </c>
      <c r="O1158" s="24" t="s">
        <v>56</v>
      </c>
      <c r="P1158" s="24" t="s">
        <v>56</v>
      </c>
      <c r="Q1158" s="24" t="s">
        <v>56</v>
      </c>
      <c r="R1158" s="24" t="s">
        <v>56</v>
      </c>
      <c r="S1158" s="24" t="s">
        <v>192</v>
      </c>
      <c r="T1158" s="24" t="s">
        <v>147</v>
      </c>
      <c r="U1158" s="24" t="s">
        <v>61</v>
      </c>
      <c r="V1158" s="24" t="s">
        <v>77</v>
      </c>
      <c r="W1158" s="24" t="s">
        <v>107</v>
      </c>
      <c r="X1158" s="24" t="s">
        <v>56</v>
      </c>
      <c r="Y1158" s="24" t="s">
        <v>539</v>
      </c>
      <c r="Z1158" s="24" t="s">
        <v>64</v>
      </c>
      <c r="AA1158" s="24" t="s">
        <v>551</v>
      </c>
      <c r="AB1158" s="24" t="s">
        <v>56</v>
      </c>
      <c r="AC1158" s="24" t="s">
        <v>3355</v>
      </c>
    </row>
    <row r="1159" spans="1:29">
      <c r="A1159" s="30" t="s">
        <v>3356</v>
      </c>
      <c r="B1159" s="30" t="str">
        <f>IF(ISNUMBER(SEARCH(E1159,A1159)),A1159,IF(OR(E1159="",E1159=""),A1159,A1159&amp;" - "&amp;E1159))</f>
        <v>Stratus Indica 3 - Death Star</v>
      </c>
      <c r="C1159" s="30" t="s">
        <v>564</v>
      </c>
      <c r="D1159" s="30" t="s">
        <v>565</v>
      </c>
      <c r="E1159" s="30" t="s">
        <v>3357</v>
      </c>
      <c r="F1159" s="30" t="s">
        <v>120</v>
      </c>
      <c r="G1159" s="34">
        <v>20</v>
      </c>
      <c r="H1159" s="35">
        <v>1</v>
      </c>
      <c r="I1159" s="30"/>
      <c r="J1159" s="30"/>
      <c r="K1159" s="30" t="s">
        <v>52</v>
      </c>
      <c r="L1159" s="30" t="s">
        <v>53</v>
      </c>
      <c r="M1159" s="30" t="s">
        <v>88</v>
      </c>
      <c r="N1159" s="30" t="s">
        <v>121</v>
      </c>
      <c r="O1159" s="30" t="s">
        <v>72</v>
      </c>
      <c r="P1159" s="30" t="s">
        <v>73</v>
      </c>
      <c r="Q1159" s="30" t="s">
        <v>89</v>
      </c>
      <c r="R1159" s="30" t="s">
        <v>56</v>
      </c>
      <c r="S1159" s="30" t="s">
        <v>105</v>
      </c>
      <c r="T1159" s="30" t="s">
        <v>128</v>
      </c>
      <c r="U1159" s="30" t="s">
        <v>62</v>
      </c>
      <c r="V1159" s="30" t="s">
        <v>116</v>
      </c>
      <c r="W1159" s="30" t="s">
        <v>107</v>
      </c>
      <c r="X1159" s="30" t="s">
        <v>173</v>
      </c>
      <c r="Y1159" s="30" t="s">
        <v>213</v>
      </c>
      <c r="Z1159" s="30" t="s">
        <v>64</v>
      </c>
      <c r="AA1159" s="30" t="s">
        <v>565</v>
      </c>
      <c r="AB1159" s="30" t="s">
        <v>56</v>
      </c>
      <c r="AC1159" s="30" t="s">
        <v>3358</v>
      </c>
    </row>
    <row r="1160" spans="1:29" s="6" customFormat="1">
      <c r="A1160" s="24" t="s">
        <v>3359</v>
      </c>
      <c r="B1160" s="24" t="str">
        <f>IF(ISNUMBER(SEARCH(E1160,A1160)),A1160,IF(OR(E1160="",E1160=""),A1160,A1160&amp;" - "&amp;E1160))</f>
        <v>Stratus Indica Wappa</v>
      </c>
      <c r="C1160" s="24" t="s">
        <v>564</v>
      </c>
      <c r="D1160" s="24" t="s">
        <v>565</v>
      </c>
      <c r="E1160" s="24" t="s">
        <v>566</v>
      </c>
      <c r="F1160" s="24" t="s">
        <v>86</v>
      </c>
      <c r="G1160" s="27">
        <v>20</v>
      </c>
      <c r="H1160" s="28">
        <v>1</v>
      </c>
      <c r="I1160" s="24"/>
      <c r="J1160" s="24"/>
      <c r="K1160" s="24" t="s">
        <v>52</v>
      </c>
      <c r="L1160" s="24" t="s">
        <v>1418</v>
      </c>
      <c r="M1160" s="24" t="s">
        <v>54</v>
      </c>
      <c r="N1160" s="24" t="s">
        <v>111</v>
      </c>
      <c r="O1160" s="24" t="s">
        <v>212</v>
      </c>
      <c r="P1160" s="24" t="s">
        <v>75</v>
      </c>
      <c r="Q1160" s="24" t="s">
        <v>89</v>
      </c>
      <c r="R1160" s="24" t="s">
        <v>56</v>
      </c>
      <c r="S1160" s="24" t="s">
        <v>106</v>
      </c>
      <c r="T1160" s="24" t="s">
        <v>128</v>
      </c>
      <c r="U1160" s="24" t="s">
        <v>62</v>
      </c>
      <c r="V1160" s="24" t="s">
        <v>77</v>
      </c>
      <c r="W1160" s="24" t="s">
        <v>116</v>
      </c>
      <c r="X1160" s="24" t="s">
        <v>79</v>
      </c>
      <c r="Y1160" s="24" t="s">
        <v>56</v>
      </c>
      <c r="Z1160" s="24" t="s">
        <v>64</v>
      </c>
      <c r="AA1160" s="24" t="s">
        <v>565</v>
      </c>
      <c r="AB1160" s="24" t="s">
        <v>56</v>
      </c>
      <c r="AC1160" s="24" t="s">
        <v>3360</v>
      </c>
    </row>
    <row r="1161" spans="1:29">
      <c r="A1161" s="30" t="s">
        <v>3361</v>
      </c>
      <c r="B1161" s="30" t="str">
        <f>IF(ISNUMBER(SEARCH(E1161,A1161)),A1161,IF(OR(E1161="",E1161=""),A1161,A1161&amp;" - "&amp;E1161))</f>
        <v>Sumo Canada Craft No. 1 - MAC Deluxe</v>
      </c>
      <c r="C1161" s="30" t="s">
        <v>564</v>
      </c>
      <c r="D1161" s="30" t="s">
        <v>565</v>
      </c>
      <c r="E1161" s="30" t="s">
        <v>3362</v>
      </c>
      <c r="F1161" s="30" t="s">
        <v>177</v>
      </c>
      <c r="G1161" s="34">
        <v>29</v>
      </c>
      <c r="H1161" s="35">
        <v>1</v>
      </c>
      <c r="I1161" s="30"/>
      <c r="J1161" s="30"/>
      <c r="K1161" s="30" t="s">
        <v>52</v>
      </c>
      <c r="L1161" s="30" t="s">
        <v>53</v>
      </c>
      <c r="M1161" s="30" t="s">
        <v>54</v>
      </c>
      <c r="N1161" s="30" t="s">
        <v>111</v>
      </c>
      <c r="O1161" s="30" t="s">
        <v>88</v>
      </c>
      <c r="P1161" s="30" t="s">
        <v>57</v>
      </c>
      <c r="Q1161" s="30" t="s">
        <v>74</v>
      </c>
      <c r="R1161" s="30" t="s">
        <v>75</v>
      </c>
      <c r="S1161" s="30" t="s">
        <v>90</v>
      </c>
      <c r="T1161" s="30" t="s">
        <v>147</v>
      </c>
      <c r="U1161" s="30" t="s">
        <v>106</v>
      </c>
      <c r="V1161" s="30" t="s">
        <v>116</v>
      </c>
      <c r="W1161" s="30" t="s">
        <v>107</v>
      </c>
      <c r="X1161" s="30" t="s">
        <v>173</v>
      </c>
      <c r="Y1161" s="30" t="s">
        <v>3363</v>
      </c>
      <c r="Z1161" s="30" t="s">
        <v>64</v>
      </c>
      <c r="AA1161" s="30" t="s">
        <v>565</v>
      </c>
      <c r="AB1161" s="30" t="s">
        <v>56</v>
      </c>
      <c r="AC1161" s="30" t="s">
        <v>3364</v>
      </c>
    </row>
    <row r="1162" spans="1:29">
      <c r="A1162" s="24" t="s">
        <v>3365</v>
      </c>
      <c r="B1162" s="24" t="str">
        <f>IF(ISNUMBER(SEARCH(E1162,A1162)),A1162,IF(OR(E1162="",E1162=""),A1162,A1162&amp;" - "&amp;E1162))</f>
        <v>Sumo Canada Craft No.2 - Apex OG</v>
      </c>
      <c r="C1162" s="24" t="s">
        <v>564</v>
      </c>
      <c r="D1162" s="24" t="s">
        <v>565</v>
      </c>
      <c r="E1162" s="24" t="s">
        <v>3227</v>
      </c>
      <c r="F1162" s="24" t="s">
        <v>86</v>
      </c>
      <c r="G1162" s="27">
        <v>22</v>
      </c>
      <c r="H1162" s="28">
        <v>1</v>
      </c>
      <c r="I1162" s="24"/>
      <c r="J1162" s="24"/>
      <c r="K1162" s="24" t="s">
        <v>52</v>
      </c>
      <c r="L1162" s="24" t="s">
        <v>53</v>
      </c>
      <c r="M1162" s="24" t="s">
        <v>103</v>
      </c>
      <c r="N1162" s="24" t="s">
        <v>72</v>
      </c>
      <c r="O1162" s="24" t="s">
        <v>56</v>
      </c>
      <c r="P1162" s="24" t="s">
        <v>75</v>
      </c>
      <c r="Q1162" s="24" t="s">
        <v>58</v>
      </c>
      <c r="R1162" s="24" t="s">
        <v>56</v>
      </c>
      <c r="S1162" s="24" t="s">
        <v>147</v>
      </c>
      <c r="T1162" s="24" t="s">
        <v>106</v>
      </c>
      <c r="U1162" s="24" t="s">
        <v>62</v>
      </c>
      <c r="V1162" s="24" t="s">
        <v>77</v>
      </c>
      <c r="W1162" s="24" t="s">
        <v>129</v>
      </c>
      <c r="X1162" s="24" t="s">
        <v>138</v>
      </c>
      <c r="Y1162" s="24" t="s">
        <v>56</v>
      </c>
      <c r="Z1162" s="24" t="s">
        <v>64</v>
      </c>
      <c r="AA1162" s="24" t="s">
        <v>565</v>
      </c>
      <c r="AB1162" s="24" t="s">
        <v>56</v>
      </c>
      <c r="AC1162" s="24" t="s">
        <v>3366</v>
      </c>
    </row>
    <row r="1163" spans="1:29">
      <c r="A1163" s="30" t="s">
        <v>3367</v>
      </c>
      <c r="B1163" s="30" t="str">
        <f>IF(ISNUMBER(SEARCH(E1163,A1163)),A1163,IF(OR(E1163="",E1163=""),A1163,A1163&amp;" - "&amp;E1163))</f>
        <v>Therismos 22/1 DSM - Dark Side Of The Moon</v>
      </c>
      <c r="C1163" s="30" t="s">
        <v>741</v>
      </c>
      <c r="D1163" s="30" t="s">
        <v>742</v>
      </c>
      <c r="E1163" s="30" t="s">
        <v>743</v>
      </c>
      <c r="F1163" s="30" t="s">
        <v>120</v>
      </c>
      <c r="G1163" s="34">
        <v>22</v>
      </c>
      <c r="H1163" s="35">
        <v>1</v>
      </c>
      <c r="I1163" s="30"/>
      <c r="J1163" s="30"/>
      <c r="K1163" s="30" t="s">
        <v>52</v>
      </c>
      <c r="L1163" s="30" t="s">
        <v>53</v>
      </c>
      <c r="M1163" s="30" t="s">
        <v>88</v>
      </c>
      <c r="N1163" s="30" t="s">
        <v>121</v>
      </c>
      <c r="O1163" s="30" t="s">
        <v>72</v>
      </c>
      <c r="P1163" s="30" t="s">
        <v>74</v>
      </c>
      <c r="Q1163" s="30" t="s">
        <v>58</v>
      </c>
      <c r="R1163" s="30" t="s">
        <v>56</v>
      </c>
      <c r="S1163" s="30" t="s">
        <v>123</v>
      </c>
      <c r="T1163" s="30" t="s">
        <v>91</v>
      </c>
      <c r="U1163" s="30" t="s">
        <v>56</v>
      </c>
      <c r="V1163" s="30" t="s">
        <v>77</v>
      </c>
      <c r="W1163" s="30" t="s">
        <v>116</v>
      </c>
      <c r="X1163" s="30" t="s">
        <v>107</v>
      </c>
      <c r="Y1163" s="30" t="s">
        <v>56</v>
      </c>
      <c r="Z1163" s="30" t="s">
        <v>64</v>
      </c>
      <c r="AA1163" s="30" t="s">
        <v>742</v>
      </c>
      <c r="AB1163" s="30" t="s">
        <v>56</v>
      </c>
      <c r="AC1163" s="30" t="s">
        <v>3368</v>
      </c>
    </row>
    <row r="1164" spans="1:29">
      <c r="A1164" s="24" t="s">
        <v>3369</v>
      </c>
      <c r="B1164" s="24" t="str">
        <f>IF(ISNUMBER(SEARCH(E1164,A1164)),A1164,IF(OR(E1164="",E1164=""),A1164,A1164&amp;" - "&amp;E1164))</f>
        <v>Therismos 24/1 DRL - Dr. Lime</v>
      </c>
      <c r="C1164" s="24" t="s">
        <v>741</v>
      </c>
      <c r="D1164" s="24" t="s">
        <v>742</v>
      </c>
      <c r="E1164" s="24" t="s">
        <v>3370</v>
      </c>
      <c r="F1164" s="24" t="s">
        <v>69</v>
      </c>
      <c r="G1164" s="27">
        <v>24</v>
      </c>
      <c r="H1164" s="28">
        <v>1</v>
      </c>
      <c r="I1164" s="24"/>
      <c r="J1164" s="24"/>
      <c r="K1164" s="24" t="s">
        <v>52</v>
      </c>
      <c r="L1164" s="24" t="s">
        <v>53</v>
      </c>
      <c r="M1164" s="24" t="s">
        <v>54</v>
      </c>
      <c r="N1164" s="24" t="s">
        <v>72</v>
      </c>
      <c r="O1164" s="24" t="s">
        <v>56</v>
      </c>
      <c r="P1164" s="24" t="s">
        <v>157</v>
      </c>
      <c r="Q1164" s="24" t="s">
        <v>146</v>
      </c>
      <c r="R1164" s="24" t="s">
        <v>75</v>
      </c>
      <c r="S1164" s="24" t="s">
        <v>123</v>
      </c>
      <c r="T1164" s="24" t="s">
        <v>61</v>
      </c>
      <c r="U1164" s="24" t="s">
        <v>128</v>
      </c>
      <c r="V1164" s="24" t="s">
        <v>165</v>
      </c>
      <c r="W1164" s="24" t="s">
        <v>129</v>
      </c>
      <c r="X1164" s="24" t="s">
        <v>79</v>
      </c>
      <c r="Y1164" s="24" t="s">
        <v>56</v>
      </c>
      <c r="Z1164" s="24" t="s">
        <v>64</v>
      </c>
      <c r="AA1164" s="24" t="s">
        <v>742</v>
      </c>
      <c r="AB1164" s="24" t="s">
        <v>56</v>
      </c>
      <c r="AC1164" s="24" t="s">
        <v>3371</v>
      </c>
    </row>
    <row r="1165" spans="1:29">
      <c r="A1165" s="30" t="s">
        <v>3372</v>
      </c>
      <c r="B1165" s="30" t="str">
        <f>IF(ISNUMBER(SEARCH(E1165,A1165)),A1165,IF(OR(E1165="",E1165=""),A1165,A1165&amp;" - "&amp;E1165))</f>
        <v>Therismos 25/1 BRB - Bruce Banner</v>
      </c>
      <c r="C1165" s="30" t="s">
        <v>741</v>
      </c>
      <c r="D1165" s="30" t="s">
        <v>742</v>
      </c>
      <c r="E1165" s="30" t="s">
        <v>986</v>
      </c>
      <c r="F1165" s="30" t="s">
        <v>69</v>
      </c>
      <c r="G1165" s="34">
        <v>25</v>
      </c>
      <c r="H1165" s="35">
        <v>1</v>
      </c>
      <c r="I1165" s="30"/>
      <c r="J1165" s="30"/>
      <c r="K1165" s="30" t="s">
        <v>52</v>
      </c>
      <c r="L1165" s="30" t="s">
        <v>53</v>
      </c>
      <c r="M1165" s="30" t="s">
        <v>54</v>
      </c>
      <c r="N1165" s="30" t="s">
        <v>55</v>
      </c>
      <c r="O1165" s="30" t="s">
        <v>178</v>
      </c>
      <c r="P1165" s="30" t="s">
        <v>74</v>
      </c>
      <c r="Q1165" s="30" t="s">
        <v>59</v>
      </c>
      <c r="R1165" s="30" t="s">
        <v>56</v>
      </c>
      <c r="S1165" s="30" t="s">
        <v>123</v>
      </c>
      <c r="T1165" s="30" t="s">
        <v>61</v>
      </c>
      <c r="U1165" s="30" t="s">
        <v>128</v>
      </c>
      <c r="V1165" s="30" t="s">
        <v>77</v>
      </c>
      <c r="W1165" s="30" t="s">
        <v>79</v>
      </c>
      <c r="X1165" s="30" t="s">
        <v>107</v>
      </c>
      <c r="Y1165" s="30" t="s">
        <v>56</v>
      </c>
      <c r="Z1165" s="30" t="s">
        <v>64</v>
      </c>
      <c r="AA1165" s="30" t="s">
        <v>742</v>
      </c>
      <c r="AB1165" s="30" t="s">
        <v>979</v>
      </c>
      <c r="AC1165" s="30" t="s">
        <v>3373</v>
      </c>
    </row>
    <row r="1166" spans="1:29">
      <c r="A1166" s="24" t="s">
        <v>3374</v>
      </c>
      <c r="B1166" s="24" t="str">
        <f>IF(ISNUMBER(SEARCH(E1166,A1166)),A1166,IF(OR(E1166="",E1166=""),A1166,A1166&amp;" - "&amp;E1166))</f>
        <v>Therismos 27/1 JFG - Jet Fuel Gelato</v>
      </c>
      <c r="C1166" s="24" t="s">
        <v>741</v>
      </c>
      <c r="D1166" s="24" t="s">
        <v>742</v>
      </c>
      <c r="E1166" s="24" t="s">
        <v>797</v>
      </c>
      <c r="F1166" s="24" t="s">
        <v>69</v>
      </c>
      <c r="G1166" s="27">
        <v>27</v>
      </c>
      <c r="H1166" s="28">
        <v>1</v>
      </c>
      <c r="I1166" s="24"/>
      <c r="J1166" s="24"/>
      <c r="K1166" s="24" t="s">
        <v>52</v>
      </c>
      <c r="L1166" s="24" t="s">
        <v>53</v>
      </c>
      <c r="M1166" s="24" t="s">
        <v>88</v>
      </c>
      <c r="N1166" s="24" t="s">
        <v>71</v>
      </c>
      <c r="O1166" s="24" t="s">
        <v>72</v>
      </c>
      <c r="P1166" s="24" t="s">
        <v>75</v>
      </c>
      <c r="Q1166" s="24" t="s">
        <v>89</v>
      </c>
      <c r="R1166" s="24" t="s">
        <v>58</v>
      </c>
      <c r="S1166" s="24" t="s">
        <v>106</v>
      </c>
      <c r="T1166" s="24" t="s">
        <v>91</v>
      </c>
      <c r="U1166" s="24" t="s">
        <v>62</v>
      </c>
      <c r="V1166" s="24" t="s">
        <v>77</v>
      </c>
      <c r="W1166" s="24" t="s">
        <v>116</v>
      </c>
      <c r="X1166" s="24" t="s">
        <v>79</v>
      </c>
      <c r="Y1166" s="24" t="s">
        <v>56</v>
      </c>
      <c r="Z1166" s="24" t="s">
        <v>64</v>
      </c>
      <c r="AA1166" s="24" t="s">
        <v>742</v>
      </c>
      <c r="AB1166" s="24" t="s">
        <v>56</v>
      </c>
      <c r="AC1166" s="24" t="s">
        <v>3375</v>
      </c>
    </row>
    <row r="1167" spans="1:29">
      <c r="A1167" s="30" t="s">
        <v>3376</v>
      </c>
      <c r="B1167" s="30" t="str">
        <f>IF(ISNUMBER(SEARCH(E1167,A1167)),A1167,IF(OR(E1167="",E1167=""),A1167,A1167&amp;" - "&amp;E1167))</f>
        <v>Therismos 28/1 SDK - Sensi Double Kush</v>
      </c>
      <c r="C1167" s="30" t="s">
        <v>741</v>
      </c>
      <c r="D1167" s="30" t="s">
        <v>742</v>
      </c>
      <c r="E1167" s="30" t="s">
        <v>977</v>
      </c>
      <c r="F1167" s="30" t="s">
        <v>120</v>
      </c>
      <c r="G1167" s="34">
        <v>28</v>
      </c>
      <c r="H1167" s="35">
        <v>1</v>
      </c>
      <c r="I1167" s="30"/>
      <c r="J1167" s="30"/>
      <c r="K1167" s="30" t="s">
        <v>52</v>
      </c>
      <c r="L1167" s="30" t="s">
        <v>53</v>
      </c>
      <c r="M1167" s="30" t="s">
        <v>71</v>
      </c>
      <c r="N1167" s="30" t="s">
        <v>121</v>
      </c>
      <c r="O1167" s="30" t="s">
        <v>72</v>
      </c>
      <c r="P1167" s="30" t="s">
        <v>146</v>
      </c>
      <c r="Q1167" s="30" t="s">
        <v>104</v>
      </c>
      <c r="R1167" s="30" t="s">
        <v>74</v>
      </c>
      <c r="S1167" s="30" t="s">
        <v>786</v>
      </c>
      <c r="T1167" s="30" t="s">
        <v>61</v>
      </c>
      <c r="U1167" s="30" t="s">
        <v>62</v>
      </c>
      <c r="V1167" s="30" t="s">
        <v>77</v>
      </c>
      <c r="W1167" s="30" t="s">
        <v>116</v>
      </c>
      <c r="X1167" s="30" t="s">
        <v>107</v>
      </c>
      <c r="Y1167" s="30" t="s">
        <v>56</v>
      </c>
      <c r="Z1167" s="30" t="s">
        <v>64</v>
      </c>
      <c r="AA1167" s="30" t="s">
        <v>742</v>
      </c>
      <c r="AB1167" s="30" t="s">
        <v>979</v>
      </c>
      <c r="AC1167" s="30" t="s">
        <v>3377</v>
      </c>
    </row>
    <row r="1168" spans="1:29">
      <c r="A1168" s="24" t="s">
        <v>3378</v>
      </c>
      <c r="B1168" s="24" t="str">
        <f>IF(ISNUMBER(SEARCH(E1168,A1168)),A1168,IF(OR(E1168="",E1168=""),A1168,A1168&amp;" - "&amp;E1168))</f>
        <v>Tilray Hybrid THC Strong - Gorilla Glue</v>
      </c>
      <c r="C1168" s="24" t="s">
        <v>133</v>
      </c>
      <c r="D1168" s="24" t="s">
        <v>134</v>
      </c>
      <c r="E1168" s="24" t="s">
        <v>363</v>
      </c>
      <c r="F1168" s="24" t="s">
        <v>86</v>
      </c>
      <c r="G1168" s="27">
        <v>22</v>
      </c>
      <c r="H1168" s="28">
        <v>1</v>
      </c>
      <c r="I1168" s="24"/>
      <c r="J1168" s="24"/>
      <c r="K1168" s="24" t="s">
        <v>17</v>
      </c>
      <c r="L1168" s="24" t="s">
        <v>185</v>
      </c>
      <c r="M1168" s="24" t="s">
        <v>103</v>
      </c>
      <c r="N1168" s="24" t="s">
        <v>121</v>
      </c>
      <c r="O1168" s="24" t="s">
        <v>72</v>
      </c>
      <c r="P1168" s="24" t="s">
        <v>146</v>
      </c>
      <c r="Q1168" s="24" t="s">
        <v>74</v>
      </c>
      <c r="R1168" s="24" t="s">
        <v>59</v>
      </c>
      <c r="S1168" s="24" t="s">
        <v>90</v>
      </c>
      <c r="T1168" s="24" t="s">
        <v>91</v>
      </c>
      <c r="U1168" s="24" t="s">
        <v>61</v>
      </c>
      <c r="V1168" s="24" t="s">
        <v>257</v>
      </c>
      <c r="W1168" s="24" t="s">
        <v>252</v>
      </c>
      <c r="X1168" s="24" t="s">
        <v>77</v>
      </c>
      <c r="Y1168" s="24" t="s">
        <v>56</v>
      </c>
      <c r="Z1168" s="24" t="s">
        <v>64</v>
      </c>
      <c r="AA1168" s="24" t="s">
        <v>134</v>
      </c>
      <c r="AB1168" s="24" t="s">
        <v>56</v>
      </c>
      <c r="AC1168" s="24" t="s">
        <v>3379</v>
      </c>
    </row>
    <row r="1169" spans="1:29">
      <c r="A1169" s="30" t="s">
        <v>3380</v>
      </c>
      <c r="B1169" s="30" t="str">
        <f>IF(ISNUMBER(SEARCH(E1169,A1169)),A1169,IF(OR(E1169="",E1169=""),A1169,A1169&amp;" - "&amp;E1169))</f>
        <v>Tilray Indica THC Medium - Cheese Quake</v>
      </c>
      <c r="C1169" s="30" t="s">
        <v>133</v>
      </c>
      <c r="D1169" s="30" t="s">
        <v>134</v>
      </c>
      <c r="E1169" s="30" t="s">
        <v>2760</v>
      </c>
      <c r="F1169" s="30" t="s">
        <v>120</v>
      </c>
      <c r="G1169" s="34">
        <v>18</v>
      </c>
      <c r="H1169" s="35">
        <v>1</v>
      </c>
      <c r="I1169" s="30"/>
      <c r="J1169" s="30"/>
      <c r="K1169" s="30" t="s">
        <v>17</v>
      </c>
      <c r="L1169" s="30" t="s">
        <v>185</v>
      </c>
      <c r="M1169" s="30" t="s">
        <v>212</v>
      </c>
      <c r="N1169" s="30" t="s">
        <v>88</v>
      </c>
      <c r="O1169" s="30" t="s">
        <v>103</v>
      </c>
      <c r="P1169" s="30" t="s">
        <v>186</v>
      </c>
      <c r="Q1169" s="30" t="s">
        <v>58</v>
      </c>
      <c r="R1169" s="30" t="s">
        <v>56</v>
      </c>
      <c r="S1169" s="30" t="s">
        <v>106</v>
      </c>
      <c r="T1169" s="30" t="s">
        <v>91</v>
      </c>
      <c r="U1169" s="30" t="s">
        <v>62</v>
      </c>
      <c r="V1169" s="30" t="s">
        <v>77</v>
      </c>
      <c r="W1169" s="30" t="s">
        <v>129</v>
      </c>
      <c r="X1169" s="30" t="s">
        <v>107</v>
      </c>
      <c r="Y1169" s="30" t="s">
        <v>56</v>
      </c>
      <c r="Z1169" s="30" t="s">
        <v>64</v>
      </c>
      <c r="AA1169" s="30" t="s">
        <v>134</v>
      </c>
      <c r="AB1169" s="30" t="s">
        <v>56</v>
      </c>
      <c r="AC1169" s="30" t="s">
        <v>3381</v>
      </c>
    </row>
    <row r="1170" spans="1:29">
      <c r="A1170" s="24" t="s">
        <v>3382</v>
      </c>
      <c r="B1170" s="24" t="str">
        <f>IF(ISNUMBER(SEARCH(E1170,A1170)),A1170,IF(OR(E1170="",E1170=""),A1170,A1170&amp;" - "&amp;E1170))</f>
        <v>Tilray Indica THC Strong - Purple Dog Bud</v>
      </c>
      <c r="C1170" s="24" t="s">
        <v>133</v>
      </c>
      <c r="D1170" s="24" t="s">
        <v>134</v>
      </c>
      <c r="E1170" s="24" t="s">
        <v>330</v>
      </c>
      <c r="F1170" s="24" t="s">
        <v>120</v>
      </c>
      <c r="G1170" s="27">
        <v>22</v>
      </c>
      <c r="H1170" s="28">
        <v>1</v>
      </c>
      <c r="I1170" s="24"/>
      <c r="J1170" s="24"/>
      <c r="K1170" s="24" t="s">
        <v>17</v>
      </c>
      <c r="L1170" s="24" t="s">
        <v>185</v>
      </c>
      <c r="M1170" s="24" t="s">
        <v>212</v>
      </c>
      <c r="N1170" s="24" t="s">
        <v>88</v>
      </c>
      <c r="O1170" s="24" t="s">
        <v>71</v>
      </c>
      <c r="P1170" s="24" t="s">
        <v>104</v>
      </c>
      <c r="Q1170" s="24" t="s">
        <v>58</v>
      </c>
      <c r="R1170" s="24" t="s">
        <v>56</v>
      </c>
      <c r="S1170" s="24" t="s">
        <v>106</v>
      </c>
      <c r="T1170" s="24" t="s">
        <v>164</v>
      </c>
      <c r="U1170" s="24" t="s">
        <v>234</v>
      </c>
      <c r="V1170" s="24" t="s">
        <v>77</v>
      </c>
      <c r="W1170" s="24" t="s">
        <v>93</v>
      </c>
      <c r="X1170" s="24" t="s">
        <v>56</v>
      </c>
      <c r="Y1170" s="24" t="s">
        <v>56</v>
      </c>
      <c r="Z1170" s="24" t="s">
        <v>64</v>
      </c>
      <c r="AA1170" s="24" t="s">
        <v>134</v>
      </c>
      <c r="AB1170" s="24" t="s">
        <v>56</v>
      </c>
      <c r="AC1170" s="24" t="s">
        <v>3383</v>
      </c>
    </row>
    <row r="1171" spans="1:29">
      <c r="A1171" s="30" t="s">
        <v>3382</v>
      </c>
      <c r="B1171" s="30" t="str">
        <f>IF(ISNUMBER(SEARCH(E1171,A1171)),A1171,IF(OR(E1171="",E1171=""),A1171,A1171&amp;" - "&amp;E1171))</f>
        <v>Tilray Indica THC Strong - Cheese Quake</v>
      </c>
      <c r="C1171" s="30" t="s">
        <v>133</v>
      </c>
      <c r="D1171" s="30" t="s">
        <v>134</v>
      </c>
      <c r="E1171" s="30" t="s">
        <v>2760</v>
      </c>
      <c r="F1171" s="30" t="s">
        <v>120</v>
      </c>
      <c r="G1171" s="34">
        <v>24</v>
      </c>
      <c r="H1171" s="35">
        <v>1</v>
      </c>
      <c r="I1171" s="30"/>
      <c r="J1171" s="30"/>
      <c r="K1171" s="30" t="s">
        <v>17</v>
      </c>
      <c r="L1171" s="30" t="s">
        <v>185</v>
      </c>
      <c r="M1171" s="30" t="s">
        <v>212</v>
      </c>
      <c r="N1171" s="30" t="s">
        <v>88</v>
      </c>
      <c r="O1171" s="30" t="s">
        <v>103</v>
      </c>
      <c r="P1171" s="30" t="s">
        <v>186</v>
      </c>
      <c r="Q1171" s="30" t="s">
        <v>58</v>
      </c>
      <c r="R1171" s="30" t="s">
        <v>56</v>
      </c>
      <c r="S1171" s="30" t="s">
        <v>106</v>
      </c>
      <c r="T1171" s="30" t="s">
        <v>62</v>
      </c>
      <c r="U1171" s="30" t="s">
        <v>164</v>
      </c>
      <c r="V1171" s="30" t="s">
        <v>77</v>
      </c>
      <c r="W1171" s="30" t="s">
        <v>129</v>
      </c>
      <c r="X1171" s="30" t="s">
        <v>107</v>
      </c>
      <c r="Y1171" s="30" t="s">
        <v>56</v>
      </c>
      <c r="Z1171" s="30" t="s">
        <v>64</v>
      </c>
      <c r="AA1171" s="30" t="s">
        <v>134</v>
      </c>
      <c r="AB1171" s="30" t="s">
        <v>56</v>
      </c>
      <c r="AC1171" s="30" t="s">
        <v>3384</v>
      </c>
    </row>
    <row r="1172" spans="1:29">
      <c r="A1172" s="24" t="s">
        <v>3385</v>
      </c>
      <c r="B1172" s="24" t="str">
        <f>IF(ISNUMBER(SEARCH(E1172,A1172)),A1172,IF(OR(E1172="",E1172=""),A1172,A1172&amp;" - "&amp;E1172))</f>
        <v>Tilray THC 18 Indica Sirius No. 4</v>
      </c>
      <c r="C1172" s="24" t="s">
        <v>133</v>
      </c>
      <c r="D1172" s="24" t="s">
        <v>134</v>
      </c>
      <c r="E1172" s="41" t="s">
        <v>334</v>
      </c>
      <c r="F1172" s="24" t="s">
        <v>120</v>
      </c>
      <c r="G1172" s="27">
        <v>18</v>
      </c>
      <c r="H1172" s="28">
        <v>1</v>
      </c>
      <c r="I1172" s="24"/>
      <c r="J1172" s="24"/>
      <c r="K1172" s="24" t="s">
        <v>17</v>
      </c>
      <c r="L1172" s="24" t="s">
        <v>102</v>
      </c>
      <c r="M1172" s="24" t="s">
        <v>111</v>
      </c>
      <c r="N1172" s="24" t="s">
        <v>71</v>
      </c>
      <c r="O1172" s="24" t="s">
        <v>178</v>
      </c>
      <c r="P1172" s="24" t="s">
        <v>74</v>
      </c>
      <c r="Q1172" s="24" t="s">
        <v>58</v>
      </c>
      <c r="R1172" s="24"/>
      <c r="S1172" s="24" t="s">
        <v>147</v>
      </c>
      <c r="T1172" s="24" t="s">
        <v>123</v>
      </c>
      <c r="U1172" s="24" t="s">
        <v>76</v>
      </c>
      <c r="V1172" s="24" t="s">
        <v>77</v>
      </c>
      <c r="W1172" s="24" t="s">
        <v>79</v>
      </c>
      <c r="X1172" s="24" t="s">
        <v>107</v>
      </c>
      <c r="Y1172" s="24" t="s">
        <v>3386</v>
      </c>
      <c r="Z1172" s="24" t="s">
        <v>64</v>
      </c>
      <c r="AA1172" s="24" t="s">
        <v>134</v>
      </c>
      <c r="AB1172" s="24"/>
      <c r="AC1172" s="24" t="s">
        <v>3387</v>
      </c>
    </row>
    <row r="1173" spans="1:29">
      <c r="A1173" s="30" t="s">
        <v>3388</v>
      </c>
      <c r="B1173" s="30" t="str">
        <f>IF(ISNUMBER(SEARCH(E1173,A1173)),A1173,IF(OR(E1173="",E1173=""),A1173,A1173&amp;" - "&amp;E1173))</f>
        <v>Tilray THC 18 Spotlight Vancouver - Rockstar</v>
      </c>
      <c r="C1173" s="30" t="s">
        <v>133</v>
      </c>
      <c r="D1173" s="30" t="s">
        <v>134</v>
      </c>
      <c r="E1173" s="30" t="s">
        <v>385</v>
      </c>
      <c r="F1173" s="30" t="s">
        <v>120</v>
      </c>
      <c r="G1173" s="34">
        <v>18</v>
      </c>
      <c r="H1173" s="35">
        <v>1</v>
      </c>
      <c r="I1173" s="30"/>
      <c r="J1173" s="30"/>
      <c r="K1173" s="30" t="s">
        <v>17</v>
      </c>
      <c r="L1173" s="30" t="s">
        <v>53</v>
      </c>
      <c r="M1173" s="30" t="s">
        <v>111</v>
      </c>
      <c r="N1173" s="30" t="s">
        <v>103</v>
      </c>
      <c r="O1173" s="30" t="s">
        <v>121</v>
      </c>
      <c r="P1173" s="30" t="s">
        <v>157</v>
      </c>
      <c r="Q1173" s="30" t="s">
        <v>89</v>
      </c>
      <c r="R1173" s="30" t="s">
        <v>59</v>
      </c>
      <c r="S1173" s="30" t="s">
        <v>56</v>
      </c>
      <c r="T1173" s="30" t="s">
        <v>56</v>
      </c>
      <c r="U1173" s="30" t="s">
        <v>56</v>
      </c>
      <c r="V1173" s="30" t="s">
        <v>77</v>
      </c>
      <c r="W1173" s="30" t="s">
        <v>116</v>
      </c>
      <c r="X1173" s="30" t="s">
        <v>107</v>
      </c>
      <c r="Y1173" s="30" t="s">
        <v>268</v>
      </c>
      <c r="Z1173" s="30" t="s">
        <v>64</v>
      </c>
      <c r="AA1173" s="30" t="s">
        <v>134</v>
      </c>
      <c r="AB1173" s="30" t="s">
        <v>56</v>
      </c>
      <c r="AC1173" s="30" t="s">
        <v>3389</v>
      </c>
    </row>
    <row r="1174" spans="1:29">
      <c r="A1174" s="24" t="s">
        <v>3390</v>
      </c>
      <c r="B1174" s="24" t="str">
        <f>IF(ISNUMBER(SEARCH(E1174,A1174)),A1174,IF(OR(E1174="",E1174=""),A1174,A1174&amp;" - "&amp;E1174))</f>
        <v>Tilray THC 22 Indica Sirius No.4</v>
      </c>
      <c r="C1174" s="24" t="s">
        <v>133</v>
      </c>
      <c r="D1174" s="24" t="s">
        <v>134</v>
      </c>
      <c r="E1174" s="24" t="s">
        <v>334</v>
      </c>
      <c r="F1174" s="24" t="s">
        <v>120</v>
      </c>
      <c r="G1174" s="27">
        <v>22</v>
      </c>
      <c r="H1174" s="28">
        <v>1</v>
      </c>
      <c r="I1174" s="24"/>
      <c r="J1174" s="24"/>
      <c r="K1174" s="24" t="s">
        <v>17</v>
      </c>
      <c r="L1174" s="24" t="s">
        <v>102</v>
      </c>
      <c r="M1174" s="24" t="s">
        <v>111</v>
      </c>
      <c r="N1174" s="24" t="s">
        <v>71</v>
      </c>
      <c r="O1174" s="24" t="s">
        <v>178</v>
      </c>
      <c r="P1174" s="24" t="s">
        <v>74</v>
      </c>
      <c r="Q1174" s="24" t="s">
        <v>58</v>
      </c>
      <c r="R1174" s="24" t="s">
        <v>56</v>
      </c>
      <c r="S1174" s="24" t="s">
        <v>106</v>
      </c>
      <c r="T1174" s="24" t="s">
        <v>164</v>
      </c>
      <c r="U1174" s="24" t="s">
        <v>234</v>
      </c>
      <c r="V1174" s="24" t="s">
        <v>77</v>
      </c>
      <c r="W1174" s="24" t="s">
        <v>79</v>
      </c>
      <c r="X1174" s="24" t="s">
        <v>107</v>
      </c>
      <c r="Y1174" s="24" t="s">
        <v>56</v>
      </c>
      <c r="Z1174" s="24" t="s">
        <v>64</v>
      </c>
      <c r="AA1174" s="24" t="s">
        <v>134</v>
      </c>
      <c r="AB1174" s="24" t="s">
        <v>56</v>
      </c>
      <c r="AC1174" s="24" t="s">
        <v>3391</v>
      </c>
    </row>
    <row r="1175" spans="1:29">
      <c r="A1175" s="30" t="s">
        <v>1544</v>
      </c>
      <c r="B1175" s="30" t="str">
        <f>IF(ISNUMBER(SEARCH(E1175,A1175)),A1175,IF(OR(E1175="",E1175=""),A1175,A1175&amp;" - "&amp;E1175))</f>
        <v>Tilray THC 22 Spotlight Montevideo - Purple Dog Bud</v>
      </c>
      <c r="C1175" s="30" t="s">
        <v>133</v>
      </c>
      <c r="D1175" s="30" t="s">
        <v>134</v>
      </c>
      <c r="E1175" s="30" t="s">
        <v>330</v>
      </c>
      <c r="F1175" s="30" t="s">
        <v>69</v>
      </c>
      <c r="G1175" s="34">
        <v>22</v>
      </c>
      <c r="H1175" s="35">
        <v>1</v>
      </c>
      <c r="I1175" s="30"/>
      <c r="J1175" s="30"/>
      <c r="K1175" s="30" t="s">
        <v>17</v>
      </c>
      <c r="L1175" s="30" t="s">
        <v>185</v>
      </c>
      <c r="M1175" s="30" t="s">
        <v>212</v>
      </c>
      <c r="N1175" s="30" t="s">
        <v>88</v>
      </c>
      <c r="O1175" s="30" t="s">
        <v>71</v>
      </c>
      <c r="P1175" s="30" t="s">
        <v>104</v>
      </c>
      <c r="Q1175" s="30" t="s">
        <v>58</v>
      </c>
      <c r="R1175" s="30" t="s">
        <v>56</v>
      </c>
      <c r="S1175" s="30" t="s">
        <v>147</v>
      </c>
      <c r="T1175" s="30" t="s">
        <v>123</v>
      </c>
      <c r="U1175" s="30" t="s">
        <v>76</v>
      </c>
      <c r="V1175" s="30" t="s">
        <v>77</v>
      </c>
      <c r="W1175" s="30" t="s">
        <v>93</v>
      </c>
      <c r="X1175" s="30" t="s">
        <v>56</v>
      </c>
      <c r="Y1175" s="30" t="s">
        <v>56</v>
      </c>
      <c r="Z1175" s="30" t="s">
        <v>64</v>
      </c>
      <c r="AA1175" s="30" t="s">
        <v>134</v>
      </c>
      <c r="AB1175" s="30" t="s">
        <v>56</v>
      </c>
      <c r="AC1175" s="30" t="s">
        <v>3392</v>
      </c>
    </row>
    <row r="1176" spans="1:29">
      <c r="A1176" s="24" t="s">
        <v>132</v>
      </c>
      <c r="B1176" s="24" t="str">
        <f>IF(ISNUMBER(SEARCH(E1176,A1176)),A1176,IF(OR(E1176="",E1176=""),A1176,A1176&amp;" - "&amp;E1176))</f>
        <v>Tilray THC 22 Spotlight Porto - White Widow</v>
      </c>
      <c r="C1176" s="24" t="s">
        <v>133</v>
      </c>
      <c r="D1176" s="24" t="s">
        <v>134</v>
      </c>
      <c r="E1176" s="24" t="s">
        <v>251</v>
      </c>
      <c r="F1176" s="24" t="s">
        <v>86</v>
      </c>
      <c r="G1176" s="27">
        <v>22</v>
      </c>
      <c r="H1176" s="28">
        <v>1</v>
      </c>
      <c r="I1176" s="24"/>
      <c r="J1176" s="24"/>
      <c r="K1176" s="24" t="s">
        <v>17</v>
      </c>
      <c r="L1176" s="24" t="s">
        <v>102</v>
      </c>
      <c r="M1176" s="24" t="s">
        <v>54</v>
      </c>
      <c r="N1176" s="24" t="s">
        <v>111</v>
      </c>
      <c r="O1176" s="24" t="s">
        <v>88</v>
      </c>
      <c r="P1176" s="24" t="s">
        <v>146</v>
      </c>
      <c r="Q1176" s="24" t="s">
        <v>74</v>
      </c>
      <c r="R1176" s="24" t="s">
        <v>113</v>
      </c>
      <c r="S1176" s="24" t="s">
        <v>106</v>
      </c>
      <c r="T1176" s="24" t="s">
        <v>76</v>
      </c>
      <c r="U1176" s="24" t="s">
        <v>128</v>
      </c>
      <c r="V1176" s="24" t="s">
        <v>252</v>
      </c>
      <c r="W1176" s="24" t="s">
        <v>77</v>
      </c>
      <c r="X1176" s="24" t="s">
        <v>253</v>
      </c>
      <c r="Y1176" s="24" t="s">
        <v>1762</v>
      </c>
      <c r="Z1176" s="24" t="s">
        <v>64</v>
      </c>
      <c r="AA1176" s="24" t="s">
        <v>134</v>
      </c>
      <c r="AB1176" s="24" t="s">
        <v>56</v>
      </c>
      <c r="AC1176" s="24" t="s">
        <v>3393</v>
      </c>
    </row>
    <row r="1177" spans="1:29">
      <c r="A1177" s="30" t="s">
        <v>132</v>
      </c>
      <c r="B1177" s="30" t="str">
        <f>IF(ISNUMBER(SEARCH(E1177,A1177)),A1177,IF(OR(E1177="",E1177=""),A1177,A1177&amp;" - "&amp;E1177))</f>
        <v>Tilray THC 22 Spotlight Porto - Lemon Sour Diesel</v>
      </c>
      <c r="C1177" s="30" t="s">
        <v>133</v>
      </c>
      <c r="D1177" s="30" t="s">
        <v>134</v>
      </c>
      <c r="E1177" s="30" t="s">
        <v>387</v>
      </c>
      <c r="F1177" s="30" t="s">
        <v>86</v>
      </c>
      <c r="G1177" s="34">
        <v>22</v>
      </c>
      <c r="H1177" s="35">
        <v>1</v>
      </c>
      <c r="I1177" s="30"/>
      <c r="J1177" s="30"/>
      <c r="K1177" s="30" t="s">
        <v>17</v>
      </c>
      <c r="L1177" s="30" t="s">
        <v>102</v>
      </c>
      <c r="M1177" s="30" t="s">
        <v>111</v>
      </c>
      <c r="N1177" s="30" t="s">
        <v>88</v>
      </c>
      <c r="O1177" s="30" t="s">
        <v>71</v>
      </c>
      <c r="P1177" s="30" t="s">
        <v>75</v>
      </c>
      <c r="Q1177" s="30" t="s">
        <v>56</v>
      </c>
      <c r="R1177" s="30" t="s">
        <v>56</v>
      </c>
      <c r="S1177" s="30" t="s">
        <v>60</v>
      </c>
      <c r="T1177" s="30" t="s">
        <v>106</v>
      </c>
      <c r="U1177" s="30" t="s">
        <v>91</v>
      </c>
      <c r="V1177" s="30" t="s">
        <v>77</v>
      </c>
      <c r="W1177" s="30" t="s">
        <v>79</v>
      </c>
      <c r="X1177" s="30" t="s">
        <v>173</v>
      </c>
      <c r="Y1177" s="30" t="s">
        <v>56</v>
      </c>
      <c r="Z1177" s="30" t="s">
        <v>64</v>
      </c>
      <c r="AA1177" s="30" t="s">
        <v>134</v>
      </c>
      <c r="AB1177" s="30" t="s">
        <v>56</v>
      </c>
      <c r="AC1177" s="30" t="s">
        <v>3394</v>
      </c>
    </row>
    <row r="1178" spans="1:29">
      <c r="A1178" s="24" t="s">
        <v>132</v>
      </c>
      <c r="B1178" s="24" t="str">
        <f>IF(ISNUMBER(SEARCH(E1178,A1178)),A1178,IF(OR(E1178="",E1178=""),A1178,A1178&amp;" - "&amp;E1178))</f>
        <v>Tilray THC 22 Spotlight Porto - Blueberry</v>
      </c>
      <c r="C1178" s="24" t="s">
        <v>133</v>
      </c>
      <c r="D1178" s="24" t="s">
        <v>134</v>
      </c>
      <c r="E1178" s="24" t="s">
        <v>223</v>
      </c>
      <c r="F1178" s="24" t="s">
        <v>120</v>
      </c>
      <c r="G1178" s="27">
        <v>22</v>
      </c>
      <c r="H1178" s="28">
        <v>1</v>
      </c>
      <c r="I1178" s="24"/>
      <c r="J1178" s="24"/>
      <c r="K1178" s="24" t="s">
        <v>17</v>
      </c>
      <c r="L1178" s="24" t="s">
        <v>102</v>
      </c>
      <c r="M1178" s="24" t="s">
        <v>88</v>
      </c>
      <c r="N1178" s="24" t="s">
        <v>71</v>
      </c>
      <c r="O1178" s="24" t="s">
        <v>103</v>
      </c>
      <c r="P1178" s="24" t="s">
        <v>89</v>
      </c>
      <c r="Q1178" s="24" t="s">
        <v>58</v>
      </c>
      <c r="R1178" s="24" t="s">
        <v>56</v>
      </c>
      <c r="S1178" s="24" t="s">
        <v>56</v>
      </c>
      <c r="T1178" s="24" t="s">
        <v>56</v>
      </c>
      <c r="U1178" s="24" t="s">
        <v>56</v>
      </c>
      <c r="V1178" s="24" t="s">
        <v>77</v>
      </c>
      <c r="W1178" s="24" t="s">
        <v>225</v>
      </c>
      <c r="X1178" s="24" t="s">
        <v>197</v>
      </c>
      <c r="Y1178" s="24" t="s">
        <v>56</v>
      </c>
      <c r="Z1178" s="24" t="s">
        <v>64</v>
      </c>
      <c r="AA1178" s="24" t="s">
        <v>134</v>
      </c>
      <c r="AB1178" s="24" t="s">
        <v>56</v>
      </c>
      <c r="AC1178" s="24" t="s">
        <v>3395</v>
      </c>
    </row>
    <row r="1179" spans="1:29">
      <c r="A1179" s="30" t="s">
        <v>3396</v>
      </c>
      <c r="B1179" s="30" t="str">
        <f>IF(ISNUMBER(SEARCH(E1179,A1179)),A1179,IF(OR(E1179="",E1179=""),A1179,A1179&amp;" - "&amp;E1179))</f>
        <v>Tilray THC 25 Indica No. 1 - Master Kush</v>
      </c>
      <c r="C1179" s="30" t="s">
        <v>133</v>
      </c>
      <c r="D1179" s="30" t="s">
        <v>134</v>
      </c>
      <c r="E1179" s="30" t="s">
        <v>237</v>
      </c>
      <c r="F1179" s="30" t="s">
        <v>120</v>
      </c>
      <c r="G1179" s="34">
        <v>25</v>
      </c>
      <c r="H1179" s="35">
        <v>1</v>
      </c>
      <c r="I1179" s="30"/>
      <c r="J1179" s="30"/>
      <c r="K1179" s="30" t="s">
        <v>17</v>
      </c>
      <c r="L1179" s="30" t="s">
        <v>53</v>
      </c>
      <c r="M1179" s="30" t="s">
        <v>103</v>
      </c>
      <c r="N1179" s="30" t="s">
        <v>121</v>
      </c>
      <c r="O1179" s="30" t="s">
        <v>72</v>
      </c>
      <c r="P1179" s="30" t="s">
        <v>74</v>
      </c>
      <c r="Q1179" s="30" t="s">
        <v>59</v>
      </c>
      <c r="R1179" s="30" t="s">
        <v>56</v>
      </c>
      <c r="S1179" s="30" t="s">
        <v>147</v>
      </c>
      <c r="T1179" s="30" t="s">
        <v>123</v>
      </c>
      <c r="U1179" s="30" t="s">
        <v>106</v>
      </c>
      <c r="V1179" s="30" t="s">
        <v>77</v>
      </c>
      <c r="W1179" s="30" t="s">
        <v>78</v>
      </c>
      <c r="X1179" s="30" t="s">
        <v>107</v>
      </c>
      <c r="Y1179" s="30" t="s">
        <v>56</v>
      </c>
      <c r="Z1179" s="30" t="s">
        <v>64</v>
      </c>
      <c r="AA1179" s="30" t="s">
        <v>134</v>
      </c>
      <c r="AB1179" s="30" t="s">
        <v>56</v>
      </c>
      <c r="AC1179" s="30" t="s">
        <v>3397</v>
      </c>
    </row>
    <row r="1180" spans="1:29">
      <c r="A1180" s="24" t="s">
        <v>3398</v>
      </c>
      <c r="B1180" s="24" t="str">
        <f>IF(ISNUMBER(SEARCH(E1180,A1180)),A1180,IF(OR(E1180="",E1180=""),A1180,A1180&amp;" - "&amp;E1180))</f>
        <v>Tilray THC 25 Spotlight Montevideo - Purple Dog Bud</v>
      </c>
      <c r="C1180" s="24" t="s">
        <v>133</v>
      </c>
      <c r="D1180" s="24" t="s">
        <v>134</v>
      </c>
      <c r="E1180" s="24" t="s">
        <v>330</v>
      </c>
      <c r="F1180" s="24" t="s">
        <v>120</v>
      </c>
      <c r="G1180" s="27">
        <v>25</v>
      </c>
      <c r="H1180" s="28">
        <v>1</v>
      </c>
      <c r="I1180" s="24"/>
      <c r="J1180" s="24"/>
      <c r="K1180" s="24" t="s">
        <v>17</v>
      </c>
      <c r="L1180" s="24" t="s">
        <v>185</v>
      </c>
      <c r="M1180" s="24" t="s">
        <v>212</v>
      </c>
      <c r="N1180" s="24" t="s">
        <v>88</v>
      </c>
      <c r="O1180" s="24" t="s">
        <v>71</v>
      </c>
      <c r="P1180" s="24" t="s">
        <v>104</v>
      </c>
      <c r="Q1180" s="24" t="s">
        <v>58</v>
      </c>
      <c r="R1180" s="24" t="s">
        <v>56</v>
      </c>
      <c r="S1180" s="24" t="s">
        <v>60</v>
      </c>
      <c r="T1180" s="24" t="s">
        <v>123</v>
      </c>
      <c r="U1180" s="24" t="s">
        <v>91</v>
      </c>
      <c r="V1180" s="24" t="s">
        <v>77</v>
      </c>
      <c r="W1180" s="24" t="s">
        <v>93</v>
      </c>
      <c r="X1180" s="24" t="s">
        <v>56</v>
      </c>
      <c r="Y1180" s="24" t="s">
        <v>56</v>
      </c>
      <c r="Z1180" s="24" t="s">
        <v>64</v>
      </c>
      <c r="AA1180" s="24" t="s">
        <v>134</v>
      </c>
      <c r="AB1180" s="24" t="s">
        <v>56</v>
      </c>
      <c r="AC1180" s="24" t="s">
        <v>3399</v>
      </c>
    </row>
    <row r="1181" spans="1:29">
      <c r="A1181" s="30" t="s">
        <v>3398</v>
      </c>
      <c r="B1181" s="30" t="str">
        <f>IF(ISNUMBER(SEARCH(E1181,A1181)),A1181,IF(OR(E1181="",E1181=""),A1181,A1181&amp;" - "&amp;E1181))</f>
        <v>Tilray THC 25 Spotlight Montevideo - Gorilla Glue</v>
      </c>
      <c r="C1181" s="30" t="s">
        <v>133</v>
      </c>
      <c r="D1181" s="30" t="s">
        <v>134</v>
      </c>
      <c r="E1181" s="30" t="s">
        <v>363</v>
      </c>
      <c r="F1181" s="30" t="s">
        <v>86</v>
      </c>
      <c r="G1181" s="34">
        <v>25</v>
      </c>
      <c r="H1181" s="35">
        <v>1</v>
      </c>
      <c r="I1181" s="30"/>
      <c r="J1181" s="30"/>
      <c r="K1181" s="30" t="s">
        <v>17</v>
      </c>
      <c r="L1181" s="30" t="s">
        <v>185</v>
      </c>
      <c r="M1181" s="30" t="s">
        <v>103</v>
      </c>
      <c r="N1181" s="30" t="s">
        <v>121</v>
      </c>
      <c r="O1181" s="30" t="s">
        <v>72</v>
      </c>
      <c r="P1181" s="30" t="s">
        <v>146</v>
      </c>
      <c r="Q1181" s="30" t="s">
        <v>74</v>
      </c>
      <c r="R1181" s="30" t="s">
        <v>59</v>
      </c>
      <c r="S1181" s="30" t="s">
        <v>147</v>
      </c>
      <c r="T1181" s="30" t="s">
        <v>123</v>
      </c>
      <c r="U1181" s="30" t="s">
        <v>106</v>
      </c>
      <c r="V1181" s="30" t="s">
        <v>257</v>
      </c>
      <c r="W1181" s="30" t="s">
        <v>252</v>
      </c>
      <c r="X1181" s="30" t="s">
        <v>77</v>
      </c>
      <c r="Y1181" s="30" t="s">
        <v>56</v>
      </c>
      <c r="Z1181" s="30" t="s">
        <v>64</v>
      </c>
      <c r="AA1181" s="30" t="s">
        <v>134</v>
      </c>
      <c r="AB1181" s="30" t="s">
        <v>56</v>
      </c>
      <c r="AC1181" s="30" t="s">
        <v>3400</v>
      </c>
    </row>
    <row r="1182" spans="1:29">
      <c r="A1182" s="24" t="s">
        <v>1442</v>
      </c>
      <c r="B1182" s="24" t="str">
        <f>IF(ISNUMBER(SEARCH(E1182,A1182)),A1182,IF(OR(E1182="",E1182=""),A1182,A1182&amp;" - "&amp;E1182))</f>
        <v>Tilray THC 25 Spotlight Porto - Sirius</v>
      </c>
      <c r="C1182" s="24" t="s">
        <v>133</v>
      </c>
      <c r="D1182" s="24" t="s">
        <v>134</v>
      </c>
      <c r="E1182" s="24" t="s">
        <v>334</v>
      </c>
      <c r="F1182" s="24" t="s">
        <v>120</v>
      </c>
      <c r="G1182" s="27">
        <v>24</v>
      </c>
      <c r="H1182" s="28">
        <v>1</v>
      </c>
      <c r="I1182" s="24"/>
      <c r="J1182" s="24"/>
      <c r="K1182" s="24" t="s">
        <v>52</v>
      </c>
      <c r="L1182" s="24" t="s">
        <v>102</v>
      </c>
      <c r="M1182" s="24" t="s">
        <v>111</v>
      </c>
      <c r="N1182" s="24" t="s">
        <v>71</v>
      </c>
      <c r="O1182" s="24" t="s">
        <v>178</v>
      </c>
      <c r="P1182" s="24" t="s">
        <v>74</v>
      </c>
      <c r="Q1182" s="24" t="s">
        <v>58</v>
      </c>
      <c r="R1182" s="24" t="s">
        <v>56</v>
      </c>
      <c r="S1182" s="24" t="s">
        <v>106</v>
      </c>
      <c r="T1182" s="24" t="s">
        <v>62</v>
      </c>
      <c r="U1182" s="24" t="s">
        <v>164</v>
      </c>
      <c r="V1182" s="24" t="s">
        <v>77</v>
      </c>
      <c r="W1182" s="24" t="s">
        <v>79</v>
      </c>
      <c r="X1182" s="24" t="s">
        <v>107</v>
      </c>
      <c r="Y1182" s="24" t="s">
        <v>56</v>
      </c>
      <c r="Z1182" s="24" t="s">
        <v>64</v>
      </c>
      <c r="AA1182" s="24" t="s">
        <v>134</v>
      </c>
      <c r="AB1182" s="24" t="s">
        <v>56</v>
      </c>
      <c r="AC1182" s="24" t="s">
        <v>3401</v>
      </c>
    </row>
    <row r="1183" spans="1:29">
      <c r="A1183" s="30" t="s">
        <v>1442</v>
      </c>
      <c r="B1183" s="30" t="str">
        <f>IF(ISNUMBER(SEARCH(E1183,A1183)),A1183,IF(OR(E1183="",E1183=""),A1183,A1183&amp;" - "&amp;E1183))</f>
        <v>Tilray THC 25 Spotlight Porto - Gorilla Glue</v>
      </c>
      <c r="C1183" s="30" t="s">
        <v>133</v>
      </c>
      <c r="D1183" s="30" t="s">
        <v>134</v>
      </c>
      <c r="E1183" s="30" t="s">
        <v>363</v>
      </c>
      <c r="F1183" s="30" t="s">
        <v>86</v>
      </c>
      <c r="G1183" s="34">
        <v>25</v>
      </c>
      <c r="H1183" s="35">
        <v>1</v>
      </c>
      <c r="I1183" s="30"/>
      <c r="J1183" s="30"/>
      <c r="K1183" s="30" t="s">
        <v>17</v>
      </c>
      <c r="L1183" s="30" t="s">
        <v>102</v>
      </c>
      <c r="M1183" s="30" t="s">
        <v>103</v>
      </c>
      <c r="N1183" s="30" t="s">
        <v>121</v>
      </c>
      <c r="O1183" s="30" t="s">
        <v>72</v>
      </c>
      <c r="P1183" s="30" t="s">
        <v>146</v>
      </c>
      <c r="Q1183" s="30" t="s">
        <v>74</v>
      </c>
      <c r="R1183" s="30" t="s">
        <v>59</v>
      </c>
      <c r="S1183" s="30" t="s">
        <v>60</v>
      </c>
      <c r="T1183" s="30" t="s">
        <v>91</v>
      </c>
      <c r="U1183" s="30" t="s">
        <v>62</v>
      </c>
      <c r="V1183" s="30" t="s">
        <v>257</v>
      </c>
      <c r="W1183" s="30" t="s">
        <v>252</v>
      </c>
      <c r="X1183" s="30" t="s">
        <v>77</v>
      </c>
      <c r="Y1183" s="30" t="s">
        <v>56</v>
      </c>
      <c r="Z1183" s="30" t="s">
        <v>64</v>
      </c>
      <c r="AA1183" s="30" t="s">
        <v>134</v>
      </c>
      <c r="AB1183" s="30" t="s">
        <v>56</v>
      </c>
      <c r="AC1183" s="30" t="s">
        <v>3402</v>
      </c>
    </row>
    <row r="1184" spans="1:29">
      <c r="A1184" s="24" t="s">
        <v>1442</v>
      </c>
      <c r="B1184" s="24" t="str">
        <f>IF(ISNUMBER(SEARCH(E1184,A1184)),A1184,IF(OR(E1184="",E1184=""),A1184,A1184&amp;" - "&amp;E1184))</f>
        <v>Tilray THC 25 Spotlight Porto - White Widow</v>
      </c>
      <c r="C1184" s="24" t="s">
        <v>133</v>
      </c>
      <c r="D1184" s="24" t="s">
        <v>134</v>
      </c>
      <c r="E1184" s="24" t="s">
        <v>251</v>
      </c>
      <c r="F1184" s="24" t="s">
        <v>86</v>
      </c>
      <c r="G1184" s="27">
        <v>25</v>
      </c>
      <c r="H1184" s="28">
        <v>1</v>
      </c>
      <c r="I1184" s="24"/>
      <c r="J1184" s="24"/>
      <c r="K1184" s="24" t="s">
        <v>17</v>
      </c>
      <c r="L1184" s="24" t="s">
        <v>102</v>
      </c>
      <c r="M1184" s="24" t="s">
        <v>54</v>
      </c>
      <c r="N1184" s="24" t="s">
        <v>111</v>
      </c>
      <c r="O1184" s="24" t="s">
        <v>88</v>
      </c>
      <c r="P1184" s="24" t="s">
        <v>146</v>
      </c>
      <c r="Q1184" s="24" t="s">
        <v>74</v>
      </c>
      <c r="R1184" s="24" t="s">
        <v>113</v>
      </c>
      <c r="S1184" s="24" t="s">
        <v>106</v>
      </c>
      <c r="T1184" s="24" t="s">
        <v>76</v>
      </c>
      <c r="U1184" s="24" t="s">
        <v>128</v>
      </c>
      <c r="V1184" s="24" t="s">
        <v>252</v>
      </c>
      <c r="W1184" s="24" t="s">
        <v>77</v>
      </c>
      <c r="X1184" s="24" t="s">
        <v>253</v>
      </c>
      <c r="Y1184" s="24" t="s">
        <v>56</v>
      </c>
      <c r="Z1184" s="24" t="s">
        <v>64</v>
      </c>
      <c r="AA1184" s="24" t="s">
        <v>134</v>
      </c>
      <c r="AB1184" s="24" t="s">
        <v>56</v>
      </c>
      <c r="AC1184" s="24" t="s">
        <v>3403</v>
      </c>
    </row>
    <row r="1185" spans="1:29">
      <c r="A1185" s="30" t="s">
        <v>1442</v>
      </c>
      <c r="B1185" s="30" t="str">
        <f>IF(ISNUMBER(SEARCH(E1185,A1185)),A1185,IF(OR(E1185="",E1185=""),A1185,A1185&amp;" - "&amp;E1185))</f>
        <v>Tilray THC 25 Spotlight Porto - Pink Kush</v>
      </c>
      <c r="C1185" s="30" t="s">
        <v>133</v>
      </c>
      <c r="D1185" s="30" t="s">
        <v>134</v>
      </c>
      <c r="E1185" s="30" t="s">
        <v>101</v>
      </c>
      <c r="F1185" s="30" t="s">
        <v>86</v>
      </c>
      <c r="G1185" s="34">
        <v>22</v>
      </c>
      <c r="H1185" s="35">
        <v>1</v>
      </c>
      <c r="I1185" s="30"/>
      <c r="J1185" s="30"/>
      <c r="K1185" s="30" t="s">
        <v>17</v>
      </c>
      <c r="L1185" s="30" t="s">
        <v>102</v>
      </c>
      <c r="M1185" s="30" t="s">
        <v>88</v>
      </c>
      <c r="N1185" s="30" t="s">
        <v>71</v>
      </c>
      <c r="O1185" s="30" t="s">
        <v>103</v>
      </c>
      <c r="P1185" s="30" t="s">
        <v>57</v>
      </c>
      <c r="Q1185" s="30" t="s">
        <v>104</v>
      </c>
      <c r="R1185" s="30" t="s">
        <v>74</v>
      </c>
      <c r="S1185" s="30" t="s">
        <v>106</v>
      </c>
      <c r="T1185" s="30" t="s">
        <v>203</v>
      </c>
      <c r="U1185" s="30" t="s">
        <v>62</v>
      </c>
      <c r="V1185" s="30" t="s">
        <v>77</v>
      </c>
      <c r="W1185" s="30" t="s">
        <v>79</v>
      </c>
      <c r="X1185" s="30" t="s">
        <v>107</v>
      </c>
      <c r="Y1185" s="30" t="s">
        <v>3404</v>
      </c>
      <c r="Z1185" s="30" t="s">
        <v>64</v>
      </c>
      <c r="AA1185" s="30" t="s">
        <v>134</v>
      </c>
      <c r="AB1185" s="30" t="s">
        <v>56</v>
      </c>
      <c r="AC1185" s="30" t="s">
        <v>3405</v>
      </c>
    </row>
    <row r="1186" spans="1:29">
      <c r="A1186" s="24" t="s">
        <v>1442</v>
      </c>
      <c r="B1186" s="24" t="str">
        <f>IF(ISNUMBER(SEARCH(E1186,A1186)),A1186,IF(OR(E1186="",E1186=""),A1186,A1186&amp;" - "&amp;E1186))</f>
        <v>Tilray THC 25 Spotlight Porto - Mango</v>
      </c>
      <c r="C1186" s="24" t="s">
        <v>133</v>
      </c>
      <c r="D1186" s="24" t="s">
        <v>134</v>
      </c>
      <c r="E1186" s="24" t="s">
        <v>259</v>
      </c>
      <c r="F1186" s="24" t="s">
        <v>120</v>
      </c>
      <c r="G1186" s="27">
        <v>25</v>
      </c>
      <c r="H1186" s="28">
        <v>1</v>
      </c>
      <c r="I1186" s="24"/>
      <c r="J1186" s="24"/>
      <c r="K1186" s="24" t="s">
        <v>17</v>
      </c>
      <c r="L1186" s="24" t="s">
        <v>102</v>
      </c>
      <c r="M1186" s="24" t="s">
        <v>54</v>
      </c>
      <c r="N1186" s="24" t="s">
        <v>212</v>
      </c>
      <c r="O1186" s="24" t="s">
        <v>88</v>
      </c>
      <c r="P1186" s="24" t="s">
        <v>136</v>
      </c>
      <c r="Q1186" s="24" t="s">
        <v>89</v>
      </c>
      <c r="R1186" s="24" t="s">
        <v>58</v>
      </c>
      <c r="S1186" s="24" t="s">
        <v>60</v>
      </c>
      <c r="T1186" s="24" t="s">
        <v>106</v>
      </c>
      <c r="U1186" s="24" t="s">
        <v>91</v>
      </c>
      <c r="V1186" s="24" t="s">
        <v>77</v>
      </c>
      <c r="W1186" s="24" t="s">
        <v>129</v>
      </c>
      <c r="X1186" s="24" t="s">
        <v>79</v>
      </c>
      <c r="Y1186" s="24" t="s">
        <v>56</v>
      </c>
      <c r="Z1186" s="24" t="s">
        <v>64</v>
      </c>
      <c r="AA1186" s="24" t="s">
        <v>134</v>
      </c>
      <c r="AB1186" s="24" t="s">
        <v>56</v>
      </c>
      <c r="AC1186" s="24" t="s">
        <v>3406</v>
      </c>
    </row>
    <row r="1187" spans="1:29">
      <c r="A1187" s="30" t="s">
        <v>1442</v>
      </c>
      <c r="B1187" s="30" t="str">
        <f>IF(ISNUMBER(SEARCH(E1187,A1187)),A1187,IF(OR(E1187="",E1187=""),A1187,A1187&amp;" - "&amp;E1187))</f>
        <v>Tilray THC 25 Spotlight Porto - Galaxy Walker OG</v>
      </c>
      <c r="C1187" s="30" t="s">
        <v>133</v>
      </c>
      <c r="D1187" s="30" t="s">
        <v>134</v>
      </c>
      <c r="E1187" s="30" t="s">
        <v>242</v>
      </c>
      <c r="F1187" s="30" t="s">
        <v>86</v>
      </c>
      <c r="G1187" s="34">
        <v>25</v>
      </c>
      <c r="H1187" s="35">
        <v>1</v>
      </c>
      <c r="I1187" s="30"/>
      <c r="J1187" s="30"/>
      <c r="K1187" s="30" t="s">
        <v>17</v>
      </c>
      <c r="L1187" s="30" t="s">
        <v>102</v>
      </c>
      <c r="M1187" s="30" t="s">
        <v>72</v>
      </c>
      <c r="N1187" s="30"/>
      <c r="O1187" s="30" t="s">
        <v>56</v>
      </c>
      <c r="P1187" s="30" t="s">
        <v>74</v>
      </c>
      <c r="Q1187" s="30" t="s">
        <v>75</v>
      </c>
      <c r="R1187" s="30" t="s">
        <v>59</v>
      </c>
      <c r="S1187" s="30" t="s">
        <v>60</v>
      </c>
      <c r="T1187" s="30" t="s">
        <v>106</v>
      </c>
      <c r="U1187" s="30" t="s">
        <v>91</v>
      </c>
      <c r="V1187" s="30" t="s">
        <v>77</v>
      </c>
      <c r="W1187" s="30" t="s">
        <v>56</v>
      </c>
      <c r="X1187" s="30" t="s">
        <v>56</v>
      </c>
      <c r="Y1187" s="30" t="s">
        <v>56</v>
      </c>
      <c r="Z1187" s="30" t="s">
        <v>64</v>
      </c>
      <c r="AA1187" s="30" t="s">
        <v>134</v>
      </c>
      <c r="AB1187" s="30" t="s">
        <v>56</v>
      </c>
      <c r="AC1187" s="30" t="s">
        <v>3407</v>
      </c>
    </row>
    <row r="1188" spans="1:29">
      <c r="A1188" s="24" t="s">
        <v>3408</v>
      </c>
      <c r="B1188" s="24" t="str">
        <f>IF(ISNUMBER(SEARCH(E1188,A1188)),A1188,IF(OR(E1188="",E1188=""),A1188,A1188&amp;" - "&amp;E1188))</f>
        <v>Tilray THC 25 Spotlight Vancouver - Rockstar</v>
      </c>
      <c r="C1188" s="24" t="s">
        <v>133</v>
      </c>
      <c r="D1188" s="24" t="s">
        <v>134</v>
      </c>
      <c r="E1188" s="24" t="s">
        <v>385</v>
      </c>
      <c r="F1188" s="24" t="s">
        <v>120</v>
      </c>
      <c r="G1188" s="27">
        <v>25</v>
      </c>
      <c r="H1188" s="28">
        <v>1</v>
      </c>
      <c r="I1188" s="24"/>
      <c r="J1188" s="24"/>
      <c r="K1188" s="24" t="s">
        <v>17</v>
      </c>
      <c r="L1188" s="24" t="s">
        <v>53</v>
      </c>
      <c r="M1188" s="24" t="s">
        <v>111</v>
      </c>
      <c r="N1188" s="24" t="s">
        <v>103</v>
      </c>
      <c r="O1188" s="24" t="s">
        <v>121</v>
      </c>
      <c r="P1188" s="24" t="s">
        <v>157</v>
      </c>
      <c r="Q1188" s="24" t="s">
        <v>89</v>
      </c>
      <c r="R1188" s="24" t="s">
        <v>59</v>
      </c>
      <c r="S1188" s="24" t="s">
        <v>56</v>
      </c>
      <c r="T1188" s="24" t="s">
        <v>56</v>
      </c>
      <c r="U1188" s="24" t="s">
        <v>56</v>
      </c>
      <c r="V1188" s="24" t="s">
        <v>77</v>
      </c>
      <c r="W1188" s="24" t="s">
        <v>116</v>
      </c>
      <c r="X1188" s="24" t="s">
        <v>107</v>
      </c>
      <c r="Y1188" s="24" t="s">
        <v>56</v>
      </c>
      <c r="Z1188" s="24" t="s">
        <v>64</v>
      </c>
      <c r="AA1188" s="24" t="s">
        <v>134</v>
      </c>
      <c r="AB1188" s="24" t="s">
        <v>56</v>
      </c>
      <c r="AC1188" s="24" t="s">
        <v>3409</v>
      </c>
    </row>
    <row r="1189" spans="1:29">
      <c r="A1189" s="30" t="s">
        <v>3410</v>
      </c>
      <c r="B1189" s="30" t="str">
        <f>IF(ISNUMBER(SEARCH(E1189,A1189)),A1189,IF(OR(E1189="",E1189=""),A1189,A1189&amp;" - "&amp;E1189))</f>
        <v>Tilray THC10:CBD10 Warlock No.1 - Warlock CBD</v>
      </c>
      <c r="C1189" s="30" t="s">
        <v>133</v>
      </c>
      <c r="D1189" s="30" t="s">
        <v>134</v>
      </c>
      <c r="E1189" s="30" t="s">
        <v>531</v>
      </c>
      <c r="F1189" s="30" t="s">
        <v>86</v>
      </c>
      <c r="G1189" s="34">
        <v>10</v>
      </c>
      <c r="H1189" s="35">
        <v>10</v>
      </c>
      <c r="I1189" s="30"/>
      <c r="J1189" s="30"/>
      <c r="K1189" s="30" t="s">
        <v>17</v>
      </c>
      <c r="L1189" s="30" t="s">
        <v>53</v>
      </c>
      <c r="M1189" s="30" t="s">
        <v>111</v>
      </c>
      <c r="N1189" s="30" t="s">
        <v>72</v>
      </c>
      <c r="O1189" s="30" t="s">
        <v>56</v>
      </c>
      <c r="P1189" s="30" t="s">
        <v>89</v>
      </c>
      <c r="Q1189" s="30" t="s">
        <v>58</v>
      </c>
      <c r="R1189" s="30" t="s">
        <v>56</v>
      </c>
      <c r="S1189" s="30" t="s">
        <v>147</v>
      </c>
      <c r="T1189" s="30" t="s">
        <v>106</v>
      </c>
      <c r="U1189" s="30" t="s">
        <v>91</v>
      </c>
      <c r="V1189" s="30" t="s">
        <v>257</v>
      </c>
      <c r="W1189" s="30" t="s">
        <v>77</v>
      </c>
      <c r="X1189" s="30" t="s">
        <v>137</v>
      </c>
      <c r="Y1189" s="30" t="s">
        <v>1036</v>
      </c>
      <c r="Z1189" s="30" t="s">
        <v>64</v>
      </c>
      <c r="AA1189" s="30" t="s">
        <v>134</v>
      </c>
      <c r="AB1189" s="30" t="s">
        <v>56</v>
      </c>
      <c r="AC1189" s="30" t="s">
        <v>3411</v>
      </c>
    </row>
    <row r="1190" spans="1:29">
      <c r="A1190" s="24" t="s">
        <v>3412</v>
      </c>
      <c r="B1190" s="24" t="str">
        <f>IF(ISNUMBER(SEARCH(E1190,A1190)),A1190,IF(OR(E1190="",E1190=""),A1190,A1190&amp;" - "&amp;E1190))</f>
        <v>Tilray THC10:CBD10 Warlock No.2 - Warlock CBD</v>
      </c>
      <c r="C1190" s="24" t="s">
        <v>133</v>
      </c>
      <c r="D1190" s="24" t="s">
        <v>134</v>
      </c>
      <c r="E1190" s="24" t="s">
        <v>531</v>
      </c>
      <c r="F1190" s="24" t="s">
        <v>86</v>
      </c>
      <c r="G1190" s="27">
        <v>10</v>
      </c>
      <c r="H1190" s="28">
        <v>10</v>
      </c>
      <c r="I1190" s="24"/>
      <c r="J1190" s="24"/>
      <c r="K1190" s="24" t="s">
        <v>17</v>
      </c>
      <c r="L1190" s="24" t="s">
        <v>53</v>
      </c>
      <c r="M1190" s="24" t="s">
        <v>111</v>
      </c>
      <c r="N1190" s="24" t="s">
        <v>72</v>
      </c>
      <c r="O1190" s="24" t="s">
        <v>56</v>
      </c>
      <c r="P1190" s="24" t="s">
        <v>89</v>
      </c>
      <c r="Q1190" s="24" t="s">
        <v>58</v>
      </c>
      <c r="R1190" s="24" t="s">
        <v>56</v>
      </c>
      <c r="S1190" s="24" t="s">
        <v>106</v>
      </c>
      <c r="T1190" s="24" t="s">
        <v>128</v>
      </c>
      <c r="U1190" s="24" t="s">
        <v>164</v>
      </c>
      <c r="V1190" s="24" t="s">
        <v>257</v>
      </c>
      <c r="W1190" s="24" t="s">
        <v>77</v>
      </c>
      <c r="X1190" s="24" t="s">
        <v>137</v>
      </c>
      <c r="Y1190" s="24" t="s">
        <v>56</v>
      </c>
      <c r="Z1190" s="24" t="s">
        <v>64</v>
      </c>
      <c r="AA1190" s="24" t="s">
        <v>134</v>
      </c>
      <c r="AB1190" s="24" t="s">
        <v>56</v>
      </c>
      <c r="AC1190" s="24" t="s">
        <v>3413</v>
      </c>
    </row>
    <row r="1191" spans="1:29">
      <c r="A1191" s="30" t="s">
        <v>3414</v>
      </c>
      <c r="B1191" s="30" t="str">
        <f>IF(ISNUMBER(SEARCH(E1191,A1191)),A1191,IF(OR(E1191="",E1191=""),A1191,A1191&amp;" - "&amp;E1191))</f>
        <v>Tilray THC9:CBD9 Warlock No.1 - Warlock CBD</v>
      </c>
      <c r="C1191" s="30" t="s">
        <v>133</v>
      </c>
      <c r="D1191" s="30" t="s">
        <v>134</v>
      </c>
      <c r="E1191" s="30" t="s">
        <v>531</v>
      </c>
      <c r="F1191" s="30" t="s">
        <v>86</v>
      </c>
      <c r="G1191" s="34">
        <v>9</v>
      </c>
      <c r="H1191" s="35">
        <v>9</v>
      </c>
      <c r="I1191" s="30"/>
      <c r="J1191" s="30"/>
      <c r="K1191" s="30" t="s">
        <v>17</v>
      </c>
      <c r="L1191" s="30" t="s">
        <v>53</v>
      </c>
      <c r="M1191" s="30" t="s">
        <v>111</v>
      </c>
      <c r="N1191" s="30" t="s">
        <v>72</v>
      </c>
      <c r="O1191" s="30" t="s">
        <v>56</v>
      </c>
      <c r="P1191" s="30" t="s">
        <v>89</v>
      </c>
      <c r="Q1191" s="30" t="s">
        <v>58</v>
      </c>
      <c r="R1191" s="30" t="s">
        <v>56</v>
      </c>
      <c r="S1191" s="30" t="s">
        <v>147</v>
      </c>
      <c r="T1191" s="30" t="s">
        <v>106</v>
      </c>
      <c r="U1191" s="30" t="s">
        <v>164</v>
      </c>
      <c r="V1191" s="30" t="s">
        <v>257</v>
      </c>
      <c r="W1191" s="30" t="s">
        <v>77</v>
      </c>
      <c r="X1191" s="30" t="s">
        <v>137</v>
      </c>
      <c r="Y1191" s="30" t="s">
        <v>56</v>
      </c>
      <c r="Z1191" s="30" t="s">
        <v>64</v>
      </c>
      <c r="AA1191" s="30" t="s">
        <v>134</v>
      </c>
      <c r="AB1191" s="30" t="s">
        <v>56</v>
      </c>
      <c r="AC1191" s="30" t="s">
        <v>3415</v>
      </c>
    </row>
    <row r="1192" spans="1:29">
      <c r="A1192" s="24" t="s">
        <v>3416</v>
      </c>
      <c r="B1192" s="24" t="str">
        <f>IF(ISNUMBER(SEARCH(E1192,A1192)),A1192,IF(OR(E1192="",E1192=""),A1192,A1192&amp;" - "&amp;E1192))</f>
        <v>Together Pharma - Glueberry OG</v>
      </c>
      <c r="C1192" s="24" t="s">
        <v>564</v>
      </c>
      <c r="D1192" s="24" t="s">
        <v>565</v>
      </c>
      <c r="E1192" s="24" t="s">
        <v>2559</v>
      </c>
      <c r="F1192" s="24" t="s">
        <v>86</v>
      </c>
      <c r="G1192" s="27">
        <v>17</v>
      </c>
      <c r="H1192" s="28">
        <v>1</v>
      </c>
      <c r="I1192" s="24"/>
      <c r="J1192" s="24"/>
      <c r="K1192" s="24" t="s">
        <v>52</v>
      </c>
      <c r="L1192" s="24" t="s">
        <v>3417</v>
      </c>
      <c r="M1192" s="24" t="s">
        <v>156</v>
      </c>
      <c r="N1192" s="24" t="s">
        <v>111</v>
      </c>
      <c r="O1192" s="24" t="s">
        <v>178</v>
      </c>
      <c r="P1192" s="24" t="s">
        <v>122</v>
      </c>
      <c r="Q1192" s="24" t="s">
        <v>104</v>
      </c>
      <c r="R1192" s="24" t="s">
        <v>58</v>
      </c>
      <c r="S1192" s="24" t="s">
        <v>123</v>
      </c>
      <c r="T1192" s="24" t="s">
        <v>128</v>
      </c>
      <c r="U1192" s="24" t="s">
        <v>62</v>
      </c>
      <c r="V1192" s="24" t="s">
        <v>165</v>
      </c>
      <c r="W1192" s="24" t="s">
        <v>79</v>
      </c>
      <c r="X1192" s="24" t="s">
        <v>56</v>
      </c>
      <c r="Y1192" s="24" t="s">
        <v>56</v>
      </c>
      <c r="Z1192" s="24" t="s">
        <v>64</v>
      </c>
      <c r="AA1192" s="24" t="s">
        <v>565</v>
      </c>
      <c r="AB1192" s="24" t="s">
        <v>56</v>
      </c>
      <c r="AC1192" s="37" t="s">
        <v>3418</v>
      </c>
    </row>
    <row r="1193" spans="1:29">
      <c r="A1193" s="30" t="s">
        <v>3419</v>
      </c>
      <c r="B1193" s="30" t="str">
        <f>IF(ISNUMBER(SEARCH(E1193,A1193)),A1193,IF(OR(E1193="",E1193=""),A1193,A1193&amp;" - "&amp;E1193))</f>
        <v>Together Pharma Andromeda - Kush Kush</v>
      </c>
      <c r="C1193" s="30" t="s">
        <v>564</v>
      </c>
      <c r="D1193" s="30" t="s">
        <v>565</v>
      </c>
      <c r="E1193" s="30" t="s">
        <v>3420</v>
      </c>
      <c r="F1193" s="30" t="s">
        <v>86</v>
      </c>
      <c r="G1193" s="34">
        <v>19</v>
      </c>
      <c r="H1193" s="35">
        <v>1</v>
      </c>
      <c r="I1193" s="30"/>
      <c r="J1193" s="30"/>
      <c r="K1193" s="30" t="s">
        <v>52</v>
      </c>
      <c r="L1193" s="30" t="s">
        <v>3417</v>
      </c>
      <c r="M1193" s="30" t="s">
        <v>72</v>
      </c>
      <c r="N1193" s="30"/>
      <c r="O1193" s="30" t="s">
        <v>56</v>
      </c>
      <c r="P1193" s="30" t="s">
        <v>74</v>
      </c>
      <c r="Q1193" s="30" t="s">
        <v>89</v>
      </c>
      <c r="R1193" s="30" t="s">
        <v>59</v>
      </c>
      <c r="S1193" s="30" t="s">
        <v>147</v>
      </c>
      <c r="T1193" s="30" t="s">
        <v>106</v>
      </c>
      <c r="U1193" s="30" t="s">
        <v>164</v>
      </c>
      <c r="V1193" s="30" t="s">
        <v>77</v>
      </c>
      <c r="W1193" s="30" t="s">
        <v>116</v>
      </c>
      <c r="X1193" s="30" t="s">
        <v>56</v>
      </c>
      <c r="Y1193" s="30" t="s">
        <v>56</v>
      </c>
      <c r="Z1193" s="30" t="s">
        <v>64</v>
      </c>
      <c r="AA1193" s="30" t="s">
        <v>565</v>
      </c>
      <c r="AB1193" s="30" t="s">
        <v>56</v>
      </c>
      <c r="AC1193" s="30" t="s">
        <v>3421</v>
      </c>
    </row>
    <row r="1194" spans="1:29">
      <c r="A1194" s="24" t="s">
        <v>3422</v>
      </c>
      <c r="B1194" s="24" t="str">
        <f>IF(ISNUMBER(SEARCH(E1194,A1194)),A1194,IF(OR(E1194="",E1194=""),A1194,A1194&amp;" - "&amp;E1194))</f>
        <v>Together Pharma Cassiopeia - Ninja</v>
      </c>
      <c r="C1194" s="24" t="s">
        <v>564</v>
      </c>
      <c r="D1194" s="24" t="s">
        <v>565</v>
      </c>
      <c r="E1194" s="24" t="s">
        <v>3423</v>
      </c>
      <c r="F1194" s="24" t="s">
        <v>86</v>
      </c>
      <c r="G1194" s="27">
        <v>20</v>
      </c>
      <c r="H1194" s="28">
        <v>1</v>
      </c>
      <c r="I1194" s="24"/>
      <c r="J1194" s="24"/>
      <c r="K1194" s="24" t="s">
        <v>52</v>
      </c>
      <c r="L1194" s="24" t="s">
        <v>3417</v>
      </c>
      <c r="M1194" s="24" t="s">
        <v>54</v>
      </c>
      <c r="N1194" s="24" t="s">
        <v>88</v>
      </c>
      <c r="O1194" s="24" t="s">
        <v>71</v>
      </c>
      <c r="P1194" s="24" t="s">
        <v>74</v>
      </c>
      <c r="Q1194" s="24" t="s">
        <v>75</v>
      </c>
      <c r="R1194" s="24" t="s">
        <v>89</v>
      </c>
      <c r="S1194" s="24" t="s">
        <v>123</v>
      </c>
      <c r="T1194" s="24" t="s">
        <v>106</v>
      </c>
      <c r="U1194" s="24" t="s">
        <v>76</v>
      </c>
      <c r="V1194" s="24" t="s">
        <v>77</v>
      </c>
      <c r="W1194" s="24" t="s">
        <v>165</v>
      </c>
      <c r="X1194" s="24" t="s">
        <v>79</v>
      </c>
      <c r="Y1194" s="24" t="s">
        <v>56</v>
      </c>
      <c r="Z1194" s="24" t="s">
        <v>64</v>
      </c>
      <c r="AA1194" s="24" t="s">
        <v>565</v>
      </c>
      <c r="AB1194" s="24" t="s">
        <v>56</v>
      </c>
      <c r="AC1194" s="24" t="s">
        <v>3424</v>
      </c>
    </row>
    <row r="1195" spans="1:29">
      <c r="A1195" s="30" t="s">
        <v>3425</v>
      </c>
      <c r="B1195" s="30" t="str">
        <f>IF(ISNUMBER(SEARCH(E1195,A1195)),A1195,IF(OR(E1195="",E1195=""),A1195,A1195&amp;" - "&amp;E1195))</f>
        <v>Together Pharma Iapetus - Power Plant</v>
      </c>
      <c r="C1195" s="30" t="s">
        <v>564</v>
      </c>
      <c r="D1195" s="30" t="s">
        <v>565</v>
      </c>
      <c r="E1195" s="30" t="s">
        <v>3426</v>
      </c>
      <c r="F1195" s="30" t="s">
        <v>69</v>
      </c>
      <c r="G1195" s="34">
        <v>16</v>
      </c>
      <c r="H1195" s="35">
        <v>1</v>
      </c>
      <c r="I1195" s="30"/>
      <c r="J1195" s="30"/>
      <c r="K1195" s="30" t="s">
        <v>52</v>
      </c>
      <c r="L1195" s="30" t="s">
        <v>3417</v>
      </c>
      <c r="M1195" s="30" t="s">
        <v>54</v>
      </c>
      <c r="N1195" s="30" t="s">
        <v>111</v>
      </c>
      <c r="O1195" s="30" t="s">
        <v>88</v>
      </c>
      <c r="P1195" s="30" t="s">
        <v>74</v>
      </c>
      <c r="Q1195" s="30" t="s">
        <v>75</v>
      </c>
      <c r="R1195" s="30" t="s">
        <v>58</v>
      </c>
      <c r="S1195" s="30" t="s">
        <v>123</v>
      </c>
      <c r="T1195" s="30" t="s">
        <v>106</v>
      </c>
      <c r="U1195" s="30" t="s">
        <v>76</v>
      </c>
      <c r="V1195" s="30" t="s">
        <v>77</v>
      </c>
      <c r="W1195" s="30" t="s">
        <v>79</v>
      </c>
      <c r="X1195" s="30" t="s">
        <v>107</v>
      </c>
      <c r="Y1195" s="30" t="s">
        <v>56</v>
      </c>
      <c r="Z1195" s="30" t="s">
        <v>64</v>
      </c>
      <c r="AA1195" s="30" t="s">
        <v>565</v>
      </c>
      <c r="AB1195" s="30" t="s">
        <v>56</v>
      </c>
      <c r="AC1195" s="30" t="s">
        <v>3427</v>
      </c>
    </row>
    <row r="1196" spans="1:29">
      <c r="A1196" s="24" t="s">
        <v>3428</v>
      </c>
      <c r="B1196" s="24" t="str">
        <f>IF(ISNUMBER(SEARCH(E1196,A1196)),A1196,IF(OR(E1196="",E1196=""),A1196,A1196&amp;" - "&amp;E1196))</f>
        <v>Top Shelf Medical S1E1-27 - Flawless Victory</v>
      </c>
      <c r="C1196" s="23" t="s">
        <v>1185</v>
      </c>
      <c r="D1196" s="24" t="s">
        <v>1186</v>
      </c>
      <c r="E1196" s="24" t="s">
        <v>1221</v>
      </c>
      <c r="F1196" s="24" t="s">
        <v>86</v>
      </c>
      <c r="G1196" s="27">
        <v>27</v>
      </c>
      <c r="H1196" s="28">
        <v>1</v>
      </c>
      <c r="I1196" s="24"/>
      <c r="J1196" s="24"/>
      <c r="K1196" s="24" t="s">
        <v>52</v>
      </c>
      <c r="L1196" s="24" t="s">
        <v>53</v>
      </c>
      <c r="M1196" s="24" t="s">
        <v>88</v>
      </c>
      <c r="N1196" s="24" t="s">
        <v>121</v>
      </c>
      <c r="O1196" s="24" t="s">
        <v>72</v>
      </c>
      <c r="P1196" s="24" t="s">
        <v>73</v>
      </c>
      <c r="Q1196" s="24" t="s">
        <v>59</v>
      </c>
      <c r="R1196" s="24" t="s">
        <v>56</v>
      </c>
      <c r="S1196" s="24" t="s">
        <v>106</v>
      </c>
      <c r="T1196" s="24" t="s">
        <v>493</v>
      </c>
      <c r="U1196" s="24" t="s">
        <v>128</v>
      </c>
      <c r="V1196" s="24" t="s">
        <v>116</v>
      </c>
      <c r="W1196" s="24" t="s">
        <v>138</v>
      </c>
      <c r="X1196" s="24" t="s">
        <v>107</v>
      </c>
      <c r="Y1196" s="24" t="s">
        <v>56</v>
      </c>
      <c r="Z1196" s="24" t="s">
        <v>64</v>
      </c>
      <c r="AA1196" s="24" t="s">
        <v>1186</v>
      </c>
      <c r="AB1196" s="24" t="s">
        <v>56</v>
      </c>
      <c r="AC1196" s="24" t="s">
        <v>3429</v>
      </c>
    </row>
    <row r="1197" spans="1:29">
      <c r="A1197" s="30" t="s">
        <v>3430</v>
      </c>
      <c r="B1197" s="30" t="str">
        <f>IF(ISNUMBER(SEARCH(E1197,A1197)),A1197,IF(OR(E1197="",E1197=""),A1197,A1197&amp;" - "&amp;E1197))</f>
        <v>Top Shelf Medical S1E3 - Wes’ Coast Kush</v>
      </c>
      <c r="C1197" s="23" t="s">
        <v>1185</v>
      </c>
      <c r="D1197" s="24" t="s">
        <v>1186</v>
      </c>
      <c r="E1197" s="40" t="s">
        <v>3431</v>
      </c>
      <c r="F1197" s="30" t="s">
        <v>177</v>
      </c>
      <c r="G1197" s="34">
        <v>30</v>
      </c>
      <c r="H1197" s="35">
        <v>1</v>
      </c>
      <c r="I1197" s="30"/>
      <c r="J1197" s="30"/>
      <c r="K1197" s="30" t="s">
        <v>52</v>
      </c>
      <c r="L1197" s="30" t="s">
        <v>53</v>
      </c>
      <c r="M1197" s="30" t="s">
        <v>72</v>
      </c>
      <c r="N1197" s="30"/>
      <c r="O1197" s="30"/>
      <c r="P1197" s="30" t="s">
        <v>74</v>
      </c>
      <c r="Q1197" s="30" t="s">
        <v>89</v>
      </c>
      <c r="R1197" s="30" t="s">
        <v>59</v>
      </c>
      <c r="S1197" s="30" t="s">
        <v>147</v>
      </c>
      <c r="T1197" s="30" t="s">
        <v>123</v>
      </c>
      <c r="U1197" s="30" t="s">
        <v>106</v>
      </c>
      <c r="V1197" s="30" t="s">
        <v>77</v>
      </c>
      <c r="W1197" s="30" t="s">
        <v>116</v>
      </c>
      <c r="X1197" s="30" t="s">
        <v>107</v>
      </c>
      <c r="Y1197" s="30" t="s">
        <v>80</v>
      </c>
      <c r="Z1197" s="30" t="s">
        <v>64</v>
      </c>
      <c r="AA1197" s="30" t="s">
        <v>1186</v>
      </c>
      <c r="AB1197" s="30"/>
      <c r="AC1197" s="30" t="s">
        <v>3432</v>
      </c>
    </row>
    <row r="1198" spans="1:29">
      <c r="A1198" s="24" t="s">
        <v>3433</v>
      </c>
      <c r="B1198" s="24" t="str">
        <f>IF(ISNUMBER(SEARCH(E1198,A1198)),A1198,IF(OR(E1198="",E1198=""),A1198,A1198&amp;" - "&amp;E1198))</f>
        <v>Vasco GG - Grape Gasoline</v>
      </c>
      <c r="C1198" s="24" t="s">
        <v>564</v>
      </c>
      <c r="D1198" s="24" t="s">
        <v>565</v>
      </c>
      <c r="E1198" s="24" t="s">
        <v>172</v>
      </c>
      <c r="F1198" s="24" t="s">
        <v>86</v>
      </c>
      <c r="G1198" s="27">
        <v>24</v>
      </c>
      <c r="H1198" s="28">
        <v>1</v>
      </c>
      <c r="I1198" s="24"/>
      <c r="J1198" s="24"/>
      <c r="K1198" s="24" t="s">
        <v>52</v>
      </c>
      <c r="L1198" s="24" t="s">
        <v>53</v>
      </c>
      <c r="M1198" s="24" t="s">
        <v>88</v>
      </c>
      <c r="N1198" s="24" t="s">
        <v>71</v>
      </c>
      <c r="O1198" s="24" t="s">
        <v>55</v>
      </c>
      <c r="P1198" s="24" t="s">
        <v>73</v>
      </c>
      <c r="Q1198" s="24" t="s">
        <v>89</v>
      </c>
      <c r="R1198" s="24" t="s">
        <v>58</v>
      </c>
      <c r="S1198" s="24" t="s">
        <v>105</v>
      </c>
      <c r="T1198" s="24" t="s">
        <v>147</v>
      </c>
      <c r="U1198" s="24" t="s">
        <v>106</v>
      </c>
      <c r="V1198" s="24" t="s">
        <v>77</v>
      </c>
      <c r="W1198" s="24" t="s">
        <v>79</v>
      </c>
      <c r="X1198" s="24" t="s">
        <v>173</v>
      </c>
      <c r="Y1198" s="24" t="s">
        <v>56</v>
      </c>
      <c r="Z1198" s="24" t="s">
        <v>64</v>
      </c>
      <c r="AA1198" s="24" t="s">
        <v>565</v>
      </c>
      <c r="AB1198" s="24" t="s">
        <v>56</v>
      </c>
      <c r="AC1198" s="24" t="s">
        <v>3434</v>
      </c>
    </row>
    <row r="1199" spans="1:29">
      <c r="A1199" s="30" t="s">
        <v>3435</v>
      </c>
      <c r="B1199" s="30" t="str">
        <f>IF(ISNUMBER(SEARCH(E1199,A1199)),A1199,IF(OR(E1199="",E1199=""),A1199,A1199&amp;" - "&amp;E1199))</f>
        <v>Vasco PR 21/1 - Pave Runtz</v>
      </c>
      <c r="C1199" s="30" t="s">
        <v>564</v>
      </c>
      <c r="D1199" s="30" t="s">
        <v>565</v>
      </c>
      <c r="E1199" s="30" t="s">
        <v>1449</v>
      </c>
      <c r="F1199" s="30" t="s">
        <v>177</v>
      </c>
      <c r="G1199" s="34">
        <v>22</v>
      </c>
      <c r="H1199" s="35">
        <v>1</v>
      </c>
      <c r="I1199" s="30"/>
      <c r="J1199" s="30"/>
      <c r="K1199" s="30" t="s">
        <v>52</v>
      </c>
      <c r="L1199" s="30" t="s">
        <v>53</v>
      </c>
      <c r="M1199" s="30" t="s">
        <v>54</v>
      </c>
      <c r="N1199" s="30" t="s">
        <v>121</v>
      </c>
      <c r="O1199" s="30" t="s">
        <v>72</v>
      </c>
      <c r="P1199" s="30" t="s">
        <v>73</v>
      </c>
      <c r="Q1199" s="30" t="s">
        <v>74</v>
      </c>
      <c r="R1199" s="30" t="s">
        <v>89</v>
      </c>
      <c r="S1199" s="30" t="s">
        <v>782</v>
      </c>
      <c r="T1199" s="30" t="s">
        <v>123</v>
      </c>
      <c r="U1199" s="30" t="s">
        <v>106</v>
      </c>
      <c r="V1199" s="30" t="s">
        <v>180</v>
      </c>
      <c r="W1199" s="30" t="s">
        <v>138</v>
      </c>
      <c r="X1199" s="30" t="s">
        <v>79</v>
      </c>
      <c r="Y1199" s="30" t="s">
        <v>3436</v>
      </c>
      <c r="Z1199" s="30" t="s">
        <v>64</v>
      </c>
      <c r="AA1199" s="30" t="s">
        <v>565</v>
      </c>
      <c r="AB1199" s="30" t="s">
        <v>56</v>
      </c>
      <c r="AC1199" s="30" t="s">
        <v>3437</v>
      </c>
    </row>
    <row r="1200" spans="1:29">
      <c r="A1200" s="24" t="s">
        <v>3438</v>
      </c>
      <c r="B1200" s="24" t="str">
        <f>IF(ISNUMBER(SEARCH(E1200,A1200)),A1200,IF(OR(E1200="",E1200=""),A1200,A1200&amp;" - "&amp;E1200))</f>
        <v>Vasco WR 21/1 - White Runtz</v>
      </c>
      <c r="C1200" s="24" t="s">
        <v>564</v>
      </c>
      <c r="D1200" s="24" t="s">
        <v>565</v>
      </c>
      <c r="E1200" s="41" t="s">
        <v>445</v>
      </c>
      <c r="F1200" s="24" t="s">
        <v>86</v>
      </c>
      <c r="G1200" s="27">
        <v>21</v>
      </c>
      <c r="H1200" s="28">
        <v>1</v>
      </c>
      <c r="I1200" s="24"/>
      <c r="J1200" s="24"/>
      <c r="K1200" s="24" t="s">
        <v>52</v>
      </c>
      <c r="L1200" s="24" t="s">
        <v>53</v>
      </c>
      <c r="M1200" s="24" t="s">
        <v>156</v>
      </c>
      <c r="N1200" s="24" t="s">
        <v>88</v>
      </c>
      <c r="O1200" s="24" t="s">
        <v>55</v>
      </c>
      <c r="P1200" s="24" t="s">
        <v>104</v>
      </c>
      <c r="Q1200" s="24" t="s">
        <v>75</v>
      </c>
      <c r="R1200" s="24" t="s">
        <v>89</v>
      </c>
      <c r="S1200" s="24" t="s">
        <v>123</v>
      </c>
      <c r="T1200" s="24" t="s">
        <v>106</v>
      </c>
      <c r="U1200" s="24" t="s">
        <v>224</v>
      </c>
      <c r="V1200" s="24" t="s">
        <v>77</v>
      </c>
      <c r="W1200" s="24" t="s">
        <v>79</v>
      </c>
      <c r="X1200" s="24" t="s">
        <v>107</v>
      </c>
      <c r="Y1200" s="24" t="s">
        <v>555</v>
      </c>
      <c r="Z1200" s="24" t="s">
        <v>64</v>
      </c>
      <c r="AA1200" s="24" t="s">
        <v>565</v>
      </c>
      <c r="AB1200" s="24"/>
      <c r="AC1200" s="24" t="s">
        <v>3439</v>
      </c>
    </row>
    <row r="1201" spans="1:29">
      <c r="A1201" s="30" t="s">
        <v>3440</v>
      </c>
      <c r="B1201" s="30" t="str">
        <f>IF(ISNUMBER(SEARCH(E1201,A1201)),A1201,IF(OR(E1201="",E1201=""),A1201,A1201&amp;" - "&amp;E1201))</f>
        <v>Vayamed 8/8 - Equiposa</v>
      </c>
      <c r="C1201" s="30" t="s">
        <v>569</v>
      </c>
      <c r="D1201" s="30" t="s">
        <v>570</v>
      </c>
      <c r="E1201" s="30" t="s">
        <v>554</v>
      </c>
      <c r="F1201" s="30" t="s">
        <v>86</v>
      </c>
      <c r="G1201" s="34">
        <v>8</v>
      </c>
      <c r="H1201" s="35">
        <v>8</v>
      </c>
      <c r="I1201" s="30"/>
      <c r="J1201" s="30"/>
      <c r="K1201" s="30" t="s">
        <v>17</v>
      </c>
      <c r="L1201" s="30" t="s">
        <v>87</v>
      </c>
      <c r="M1201" s="30" t="s">
        <v>54</v>
      </c>
      <c r="N1201" s="30" t="s">
        <v>111</v>
      </c>
      <c r="O1201" s="30" t="s">
        <v>88</v>
      </c>
      <c r="P1201" s="30" t="s">
        <v>112</v>
      </c>
      <c r="Q1201" s="30" t="s">
        <v>104</v>
      </c>
      <c r="R1201" s="30" t="s">
        <v>89</v>
      </c>
      <c r="S1201" s="30" t="s">
        <v>123</v>
      </c>
      <c r="T1201" s="30" t="s">
        <v>76</v>
      </c>
      <c r="U1201" s="30" t="s">
        <v>128</v>
      </c>
      <c r="V1201" s="30" t="s">
        <v>116</v>
      </c>
      <c r="W1201" s="30" t="s">
        <v>79</v>
      </c>
      <c r="X1201" s="30" t="s">
        <v>56</v>
      </c>
      <c r="Y1201" s="30" t="s">
        <v>56</v>
      </c>
      <c r="Z1201" s="30" t="s">
        <v>64</v>
      </c>
      <c r="AA1201" s="30" t="s">
        <v>570</v>
      </c>
      <c r="AB1201" s="30" t="s">
        <v>56</v>
      </c>
      <c r="AC1201" s="30" t="s">
        <v>3441</v>
      </c>
    </row>
    <row r="1202" spans="1:29">
      <c r="A1202" s="24" t="s">
        <v>1614</v>
      </c>
      <c r="B1202" s="24" t="str">
        <f>IF(ISNUMBER(SEARCH(E1202,A1202)),A1202,IF(OR(E1202="",E1202=""),A1202,A1202&amp;" - "&amp;E1202))</f>
        <v>Weeco 20/1 - Frosted Lemon Angel</v>
      </c>
      <c r="C1202" s="24" t="s">
        <v>905</v>
      </c>
      <c r="D1202" s="24" t="s">
        <v>906</v>
      </c>
      <c r="E1202" s="41" t="s">
        <v>706</v>
      </c>
      <c r="F1202" s="24" t="s">
        <v>86</v>
      </c>
      <c r="G1202" s="27">
        <v>20</v>
      </c>
      <c r="H1202" s="28">
        <v>1</v>
      </c>
      <c r="I1202" s="24"/>
      <c r="J1202" s="24"/>
      <c r="K1202" s="24" t="s">
        <v>17</v>
      </c>
      <c r="L1202" s="24" t="s">
        <v>87</v>
      </c>
      <c r="M1202" s="24" t="s">
        <v>54</v>
      </c>
      <c r="N1202" s="24" t="s">
        <v>55</v>
      </c>
      <c r="O1202" s="24" t="s">
        <v>72</v>
      </c>
      <c r="P1202" s="24" t="s">
        <v>75</v>
      </c>
      <c r="Q1202" s="24" t="s">
        <v>89</v>
      </c>
      <c r="R1202" s="24"/>
      <c r="S1202" s="24" t="s">
        <v>147</v>
      </c>
      <c r="T1202" s="24" t="s">
        <v>123</v>
      </c>
      <c r="U1202" s="24" t="s">
        <v>106</v>
      </c>
      <c r="V1202" s="24" t="s">
        <v>116</v>
      </c>
      <c r="W1202" s="24" t="s">
        <v>93</v>
      </c>
      <c r="X1202" s="24" t="s">
        <v>173</v>
      </c>
      <c r="Y1202" s="24" t="s">
        <v>3442</v>
      </c>
      <c r="Z1202" s="24" t="s">
        <v>64</v>
      </c>
      <c r="AA1202" s="24" t="s">
        <v>906</v>
      </c>
      <c r="AB1202" s="24" t="s">
        <v>96</v>
      </c>
      <c r="AC1202" s="24" t="s">
        <v>3443</v>
      </c>
    </row>
    <row r="1203" spans="1:29">
      <c r="A1203" s="30" t="s">
        <v>3444</v>
      </c>
      <c r="B1203" s="30" t="str">
        <f>IF(ISNUMBER(SEARCH(E1203,A1203)),A1203,IF(OR(E1203="",E1203=""),A1203,A1203&amp;" - "&amp;E1203))</f>
        <v>Weeco 27/1 KL King Louis - Cali Sunset</v>
      </c>
      <c r="C1203" s="30" t="s">
        <v>905</v>
      </c>
      <c r="D1203" s="30" t="s">
        <v>906</v>
      </c>
      <c r="E1203" s="30" t="s">
        <v>3445</v>
      </c>
      <c r="F1203" s="30" t="s">
        <v>177</v>
      </c>
      <c r="G1203" s="34">
        <v>27</v>
      </c>
      <c r="H1203" s="35">
        <v>1</v>
      </c>
      <c r="I1203" s="30"/>
      <c r="J1203" s="30"/>
      <c r="K1203" s="30" t="s">
        <v>17</v>
      </c>
      <c r="L1203" s="30" t="s">
        <v>87</v>
      </c>
      <c r="M1203" s="30" t="s">
        <v>88</v>
      </c>
      <c r="N1203" s="30" t="s">
        <v>72</v>
      </c>
      <c r="O1203" s="30" t="s">
        <v>56</v>
      </c>
      <c r="P1203" s="30" t="s">
        <v>136</v>
      </c>
      <c r="Q1203" s="30" t="s">
        <v>74</v>
      </c>
      <c r="R1203" s="30" t="s">
        <v>75</v>
      </c>
      <c r="S1203" s="30" t="s">
        <v>106</v>
      </c>
      <c r="T1203" s="30" t="s">
        <v>62</v>
      </c>
      <c r="U1203" s="30" t="s">
        <v>128</v>
      </c>
      <c r="V1203" s="30" t="s">
        <v>77</v>
      </c>
      <c r="W1203" s="30" t="s">
        <v>116</v>
      </c>
      <c r="X1203" s="30" t="s">
        <v>107</v>
      </c>
      <c r="Y1203" s="30" t="s">
        <v>3446</v>
      </c>
      <c r="Z1203" s="30" t="s">
        <v>64</v>
      </c>
      <c r="AA1203" s="30" t="s">
        <v>906</v>
      </c>
      <c r="AB1203" s="30" t="s">
        <v>56</v>
      </c>
      <c r="AC1203" s="30" t="s">
        <v>3447</v>
      </c>
    </row>
    <row r="1204" spans="1:29">
      <c r="A1204" s="24" t="s">
        <v>3448</v>
      </c>
      <c r="B1204" s="24" t="str">
        <f>IF(ISNUMBER(SEARCH(E1204,A1204)),A1204,IF(OR(E1204="",E1204=""),A1204,A1204&amp;" - "&amp;E1204))</f>
        <v>27/1 Amici CP - Cherry Pie</v>
      </c>
      <c r="C1204" s="24" t="s">
        <v>996</v>
      </c>
      <c r="D1204" s="24" t="s">
        <v>997</v>
      </c>
      <c r="E1204" s="24" t="s">
        <v>998</v>
      </c>
      <c r="F1204" s="24" t="s">
        <v>120</v>
      </c>
      <c r="G1204" s="27">
        <v>27</v>
      </c>
      <c r="H1204" s="28">
        <v>1</v>
      </c>
      <c r="I1204" s="24"/>
      <c r="J1204" s="24"/>
      <c r="K1204" s="24" t="s">
        <v>52</v>
      </c>
      <c r="L1204" s="24" t="s">
        <v>102</v>
      </c>
      <c r="M1204" s="24" t="s">
        <v>212</v>
      </c>
      <c r="N1204" s="24" t="s">
        <v>88</v>
      </c>
      <c r="O1204" s="24" t="s">
        <v>71</v>
      </c>
      <c r="P1204" s="24" t="s">
        <v>89</v>
      </c>
      <c r="Q1204" s="24" t="s">
        <v>58</v>
      </c>
      <c r="R1204" s="24" t="s">
        <v>56</v>
      </c>
      <c r="S1204" s="24" t="s">
        <v>106</v>
      </c>
      <c r="T1204" s="24" t="s">
        <v>493</v>
      </c>
      <c r="U1204" s="24" t="s">
        <v>234</v>
      </c>
      <c r="V1204" s="24" t="s">
        <v>77</v>
      </c>
      <c r="W1204" s="24" t="s">
        <v>79</v>
      </c>
      <c r="X1204" s="24" t="s">
        <v>56</v>
      </c>
      <c r="Y1204" s="24" t="s">
        <v>56</v>
      </c>
      <c r="Z1204" s="24" t="s">
        <v>64</v>
      </c>
      <c r="AA1204" s="24" t="s">
        <v>997</v>
      </c>
      <c r="AB1204" s="24" t="s">
        <v>56</v>
      </c>
      <c r="AC1204" s="24" t="s">
        <v>3449</v>
      </c>
    </row>
    <row r="1205" spans="1:29">
      <c r="A1205" s="30" t="s">
        <v>3450</v>
      </c>
      <c r="B1205" s="30" t="str">
        <f>IF(ISNUMBER(SEARCH(E1205,A1205)),A1205,IF(OR(E1205="",E1205=""),A1205,A1205&amp;" - "&amp;E1205))</f>
        <v>27/1 Amici WC - Wedding Cake</v>
      </c>
      <c r="C1205" s="30" t="s">
        <v>996</v>
      </c>
      <c r="D1205" s="30" t="s">
        <v>997</v>
      </c>
      <c r="E1205" s="30" t="s">
        <v>1195</v>
      </c>
      <c r="F1205" s="30" t="s">
        <v>86</v>
      </c>
      <c r="G1205" s="34">
        <v>27</v>
      </c>
      <c r="H1205" s="35">
        <v>1</v>
      </c>
      <c r="I1205" s="30"/>
      <c r="J1205" s="30"/>
      <c r="K1205" s="30" t="s">
        <v>52</v>
      </c>
      <c r="L1205" s="30" t="s">
        <v>53</v>
      </c>
      <c r="M1205" s="30" t="s">
        <v>156</v>
      </c>
      <c r="N1205" s="30" t="s">
        <v>72</v>
      </c>
      <c r="O1205" s="30"/>
      <c r="P1205" s="30" t="s">
        <v>57</v>
      </c>
      <c r="Q1205" s="30" t="s">
        <v>104</v>
      </c>
      <c r="R1205" s="30" t="s">
        <v>74</v>
      </c>
      <c r="S1205" s="30" t="s">
        <v>123</v>
      </c>
      <c r="T1205" s="30" t="s">
        <v>128</v>
      </c>
      <c r="U1205" s="30" t="s">
        <v>164</v>
      </c>
      <c r="V1205" s="30" t="s">
        <v>116</v>
      </c>
      <c r="W1205" s="30" t="s">
        <v>107</v>
      </c>
      <c r="X1205" s="30" t="s">
        <v>93</v>
      </c>
      <c r="Y1205" s="30" t="s">
        <v>148</v>
      </c>
      <c r="Z1205" s="30" t="s">
        <v>64</v>
      </c>
      <c r="AA1205" s="30" t="s">
        <v>997</v>
      </c>
      <c r="AB1205" s="30" t="s">
        <v>56</v>
      </c>
      <c r="AC1205" s="30" t="s">
        <v>3451</v>
      </c>
    </row>
    <row r="1206" spans="1:29">
      <c r="A1206" s="24" t="s">
        <v>3452</v>
      </c>
      <c r="B1206" s="24" t="str">
        <f>IF(ISNUMBER(SEARCH(E1206,A1206)),A1206,IF(OR(E1206="",E1206=""),A1206,A1206&amp;" - "&amp;E1206))</f>
        <v>25/1 Amici CP - Cherry Pie</v>
      </c>
      <c r="C1206" s="24" t="s">
        <v>996</v>
      </c>
      <c r="D1206" s="24" t="s">
        <v>997</v>
      </c>
      <c r="E1206" s="24" t="s">
        <v>998</v>
      </c>
      <c r="F1206" s="24" t="s">
        <v>120</v>
      </c>
      <c r="G1206" s="27">
        <v>25</v>
      </c>
      <c r="H1206" s="28">
        <v>1</v>
      </c>
      <c r="I1206" s="24"/>
      <c r="J1206" s="24"/>
      <c r="K1206" s="24" t="s">
        <v>52</v>
      </c>
      <c r="L1206" s="24" t="s">
        <v>102</v>
      </c>
      <c r="M1206" s="24" t="s">
        <v>212</v>
      </c>
      <c r="N1206" s="24" t="s">
        <v>88</v>
      </c>
      <c r="O1206" s="24" t="s">
        <v>71</v>
      </c>
      <c r="P1206" s="24" t="s">
        <v>89</v>
      </c>
      <c r="Q1206" s="24" t="s">
        <v>58</v>
      </c>
      <c r="R1206" s="24" t="s">
        <v>56</v>
      </c>
      <c r="S1206" s="24" t="s">
        <v>106</v>
      </c>
      <c r="T1206" s="24" t="s">
        <v>493</v>
      </c>
      <c r="U1206" s="24" t="s">
        <v>234</v>
      </c>
      <c r="V1206" s="24" t="s">
        <v>77</v>
      </c>
      <c r="W1206" s="24" t="s">
        <v>79</v>
      </c>
      <c r="X1206" s="24" t="s">
        <v>56</v>
      </c>
      <c r="Y1206" s="24" t="s">
        <v>56</v>
      </c>
      <c r="Z1206" s="24" t="s">
        <v>64</v>
      </c>
      <c r="AA1206" s="24" t="s">
        <v>997</v>
      </c>
      <c r="AB1206" s="24" t="s">
        <v>56</v>
      </c>
      <c r="AC1206" s="37" t="s">
        <v>3453</v>
      </c>
    </row>
    <row r="1207" spans="1:29">
      <c r="A1207" s="30" t="s">
        <v>3454</v>
      </c>
      <c r="B1207" s="30" t="str">
        <f>IF(ISNUMBER(SEARCH(E1207,A1207)),A1207,IF(OR(E1207="",E1207=""),A1207,A1207&amp;" - "&amp;E1207))</f>
        <v>27/1 Amici AS - Atomic Sour Grapefruit</v>
      </c>
      <c r="C1207" s="30" t="s">
        <v>996</v>
      </c>
      <c r="D1207" s="30" t="s">
        <v>997</v>
      </c>
      <c r="E1207" s="30" t="s">
        <v>1029</v>
      </c>
      <c r="F1207" s="30" t="s">
        <v>120</v>
      </c>
      <c r="G1207" s="34">
        <v>27</v>
      </c>
      <c r="H1207" s="35">
        <v>1</v>
      </c>
      <c r="I1207" s="30"/>
      <c r="J1207" s="30"/>
      <c r="K1207" s="30" t="s">
        <v>52</v>
      </c>
      <c r="L1207" s="30" t="s">
        <v>53</v>
      </c>
      <c r="M1207" s="30" t="s">
        <v>88</v>
      </c>
      <c r="N1207" s="30" t="s">
        <v>71</v>
      </c>
      <c r="O1207" s="30" t="s">
        <v>72</v>
      </c>
      <c r="P1207" s="30" t="s">
        <v>73</v>
      </c>
      <c r="Q1207" s="30" t="s">
        <v>74</v>
      </c>
      <c r="R1207" s="30" t="s">
        <v>75</v>
      </c>
      <c r="S1207" s="30" t="s">
        <v>123</v>
      </c>
      <c r="T1207" s="30" t="s">
        <v>106</v>
      </c>
      <c r="U1207" s="30" t="s">
        <v>128</v>
      </c>
      <c r="V1207" s="30" t="s">
        <v>77</v>
      </c>
      <c r="W1207" s="30" t="s">
        <v>197</v>
      </c>
      <c r="X1207" s="30" t="s">
        <v>79</v>
      </c>
      <c r="Y1207" s="30" t="s">
        <v>3455</v>
      </c>
      <c r="Z1207" s="30" t="s">
        <v>64</v>
      </c>
      <c r="AA1207" s="30" t="s">
        <v>997</v>
      </c>
      <c r="AB1207" s="30" t="s">
        <v>812</v>
      </c>
      <c r="AC1207" s="30" t="s">
        <v>3456</v>
      </c>
    </row>
    <row r="1208" spans="1:29">
      <c r="A1208" s="24" t="s">
        <v>3457</v>
      </c>
      <c r="B1208" s="24" t="str">
        <f>IF(ISNUMBER(SEARCH(E1208,A1208)),A1208,IF(OR(E1208="",E1208=""),A1208,A1208&amp;" - "&amp;E1208))</f>
        <v>27/1 Amici SB - Strawberry Banana</v>
      </c>
      <c r="C1208" s="24" t="s">
        <v>996</v>
      </c>
      <c r="D1208" s="24" t="s">
        <v>997</v>
      </c>
      <c r="E1208" s="24" t="s">
        <v>196</v>
      </c>
      <c r="F1208" s="24" t="s">
        <v>86</v>
      </c>
      <c r="G1208" s="27">
        <v>27</v>
      </c>
      <c r="H1208" s="28">
        <v>1</v>
      </c>
      <c r="I1208" s="24"/>
      <c r="J1208" s="24"/>
      <c r="K1208" s="24" t="s">
        <v>52</v>
      </c>
      <c r="L1208" s="24" t="s">
        <v>102</v>
      </c>
      <c r="M1208" s="24" t="s">
        <v>71</v>
      </c>
      <c r="N1208" s="24" t="s">
        <v>103</v>
      </c>
      <c r="O1208" s="24" t="s">
        <v>72</v>
      </c>
      <c r="P1208" s="24" t="s">
        <v>89</v>
      </c>
      <c r="Q1208" s="24" t="s">
        <v>58</v>
      </c>
      <c r="R1208" s="24" t="s">
        <v>56</v>
      </c>
      <c r="S1208" s="24" t="s">
        <v>61</v>
      </c>
      <c r="T1208" s="24" t="s">
        <v>128</v>
      </c>
      <c r="U1208" s="24" t="s">
        <v>62</v>
      </c>
      <c r="V1208" s="24" t="s">
        <v>77</v>
      </c>
      <c r="W1208" s="24" t="s">
        <v>116</v>
      </c>
      <c r="X1208" s="24" t="s">
        <v>197</v>
      </c>
      <c r="Y1208" s="24" t="s">
        <v>56</v>
      </c>
      <c r="Z1208" s="24" t="s">
        <v>64</v>
      </c>
      <c r="AA1208" s="24" t="s">
        <v>997</v>
      </c>
      <c r="AB1208" s="24" t="s">
        <v>56</v>
      </c>
      <c r="AC1208" s="24" t="s">
        <v>3458</v>
      </c>
    </row>
    <row r="1209" spans="1:29">
      <c r="A1209" s="30" t="s">
        <v>3459</v>
      </c>
      <c r="B1209" s="30" t="str">
        <f>IF(ISNUMBER(SEARCH(E1209,A1209)),A1209,IF(OR(E1209="",E1209=""),A1209,A1209&amp;" - "&amp;E1209))</f>
        <v>420 Evolution 22/1 CA MAC - MAC 1</v>
      </c>
      <c r="C1209" s="30" t="s">
        <v>463</v>
      </c>
      <c r="D1209" s="30" t="s">
        <v>464</v>
      </c>
      <c r="E1209" s="30" t="s">
        <v>661</v>
      </c>
      <c r="F1209" s="30" t="s">
        <v>120</v>
      </c>
      <c r="G1209" s="34">
        <v>22</v>
      </c>
      <c r="H1209" s="35">
        <v>1</v>
      </c>
      <c r="I1209" s="30"/>
      <c r="J1209" s="30"/>
      <c r="K1209" s="30" t="s">
        <v>52</v>
      </c>
      <c r="L1209" s="30" t="s">
        <v>53</v>
      </c>
      <c r="M1209" s="30" t="s">
        <v>54</v>
      </c>
      <c r="N1209" s="30" t="s">
        <v>88</v>
      </c>
      <c r="O1209" s="30" t="s">
        <v>71</v>
      </c>
      <c r="P1209" s="30" t="s">
        <v>57</v>
      </c>
      <c r="Q1209" s="30" t="s">
        <v>74</v>
      </c>
      <c r="R1209" s="30" t="s">
        <v>75</v>
      </c>
      <c r="S1209" s="30" t="s">
        <v>466</v>
      </c>
      <c r="T1209" s="30" t="s">
        <v>123</v>
      </c>
      <c r="U1209" s="30" t="s">
        <v>106</v>
      </c>
      <c r="V1209" s="30" t="s">
        <v>77</v>
      </c>
      <c r="W1209" s="30" t="s">
        <v>79</v>
      </c>
      <c r="X1209" s="30" t="s">
        <v>173</v>
      </c>
      <c r="Y1209" s="30" t="s">
        <v>391</v>
      </c>
      <c r="Z1209" s="30" t="s">
        <v>64</v>
      </c>
      <c r="AA1209" s="30" t="s">
        <v>468</v>
      </c>
      <c r="AB1209" s="30" t="s">
        <v>56</v>
      </c>
      <c r="AC1209" s="30" t="s">
        <v>3460</v>
      </c>
    </row>
    <row r="1210" spans="1:29">
      <c r="A1210" s="24" t="s">
        <v>3461</v>
      </c>
      <c r="B1210" s="24" t="str">
        <f>IF(ISNUMBER(SEARCH(E1210,A1210)),A1210,IF(OR(E1210="",E1210=""),A1210,A1210&amp;" - "&amp;E1210))</f>
        <v>29/1 Amici SB - Strawberry Banana</v>
      </c>
      <c r="C1210" s="24" t="s">
        <v>996</v>
      </c>
      <c r="D1210" s="24" t="s">
        <v>997</v>
      </c>
      <c r="E1210" s="24" t="s">
        <v>196</v>
      </c>
      <c r="F1210" s="24" t="s">
        <v>86</v>
      </c>
      <c r="G1210" s="27">
        <v>29</v>
      </c>
      <c r="H1210" s="28">
        <v>1</v>
      </c>
      <c r="I1210" s="24"/>
      <c r="J1210" s="24"/>
      <c r="K1210" s="24" t="s">
        <v>52</v>
      </c>
      <c r="L1210" s="24" t="s">
        <v>102</v>
      </c>
      <c r="M1210" s="24" t="s">
        <v>71</v>
      </c>
      <c r="N1210" s="24" t="s">
        <v>103</v>
      </c>
      <c r="O1210" s="24" t="s">
        <v>72</v>
      </c>
      <c r="P1210" s="24" t="s">
        <v>89</v>
      </c>
      <c r="Q1210" s="24" t="s">
        <v>58</v>
      </c>
      <c r="R1210" s="24" t="s">
        <v>56</v>
      </c>
      <c r="S1210" s="24" t="s">
        <v>61</v>
      </c>
      <c r="T1210" s="24" t="s">
        <v>128</v>
      </c>
      <c r="U1210" s="24" t="s">
        <v>62</v>
      </c>
      <c r="V1210" s="24" t="s">
        <v>77</v>
      </c>
      <c r="W1210" s="24" t="s">
        <v>116</v>
      </c>
      <c r="X1210" s="24" t="s">
        <v>197</v>
      </c>
      <c r="Y1210" s="24" t="s">
        <v>56</v>
      </c>
      <c r="Z1210" s="24" t="s">
        <v>64</v>
      </c>
      <c r="AA1210" s="24" t="s">
        <v>997</v>
      </c>
      <c r="AB1210" s="24" t="s">
        <v>56</v>
      </c>
      <c r="AC1210" s="24" t="s">
        <v>3462</v>
      </c>
    </row>
    <row r="1211" spans="1:29">
      <c r="A1211" s="30" t="s">
        <v>3463</v>
      </c>
      <c r="B1211" s="30" t="str">
        <f>IF(ISNUMBER(SEARCH(E1211,A1211)),A1211,IF(OR(E1211="",E1211=""),A1211,A1211&amp;" - "&amp;E1211))</f>
        <v>29/1 Amici WC - Wedding Cake</v>
      </c>
      <c r="C1211" s="30" t="s">
        <v>996</v>
      </c>
      <c r="D1211" s="30" t="s">
        <v>997</v>
      </c>
      <c r="E1211" s="30" t="s">
        <v>1195</v>
      </c>
      <c r="F1211" s="30" t="s">
        <v>86</v>
      </c>
      <c r="G1211" s="34">
        <v>29</v>
      </c>
      <c r="H1211" s="35">
        <v>1</v>
      </c>
      <c r="I1211" s="30"/>
      <c r="J1211" s="30"/>
      <c r="K1211" s="30" t="s">
        <v>52</v>
      </c>
      <c r="L1211" s="30" t="s">
        <v>53</v>
      </c>
      <c r="M1211" s="30" t="s">
        <v>156</v>
      </c>
      <c r="N1211" s="30" t="s">
        <v>72</v>
      </c>
      <c r="O1211" s="30"/>
      <c r="P1211" s="30" t="s">
        <v>57</v>
      </c>
      <c r="Q1211" s="30" t="s">
        <v>104</v>
      </c>
      <c r="R1211" s="30" t="s">
        <v>74</v>
      </c>
      <c r="S1211" s="30" t="s">
        <v>123</v>
      </c>
      <c r="T1211" s="30" t="s">
        <v>128</v>
      </c>
      <c r="U1211" s="30" t="s">
        <v>164</v>
      </c>
      <c r="V1211" s="30" t="s">
        <v>116</v>
      </c>
      <c r="W1211" s="30" t="s">
        <v>107</v>
      </c>
      <c r="X1211" s="30" t="s">
        <v>93</v>
      </c>
      <c r="Y1211" s="30" t="s">
        <v>289</v>
      </c>
      <c r="Z1211" s="30" t="s">
        <v>64</v>
      </c>
      <c r="AA1211" s="30" t="s">
        <v>997</v>
      </c>
      <c r="AB1211" s="30" t="s">
        <v>56</v>
      </c>
      <c r="AC1211" s="30" t="s">
        <v>3464</v>
      </c>
    </row>
    <row r="1212" spans="1:29">
      <c r="A1212" s="24" t="s">
        <v>3465</v>
      </c>
      <c r="B1212" s="24" t="str">
        <f>IF(ISNUMBER(SEARCH(E1212,A1212)),A1212,IF(OR(E1212="",E1212=""),A1212,A1212&amp;" - "&amp;E1212))</f>
        <v>420 Compound 25/1 CA MWZ - Mellowz</v>
      </c>
      <c r="C1212" s="24" t="s">
        <v>463</v>
      </c>
      <c r="D1212" s="24" t="s">
        <v>464</v>
      </c>
      <c r="E1212" s="24" t="s">
        <v>1224</v>
      </c>
      <c r="F1212" s="24" t="s">
        <v>177</v>
      </c>
      <c r="G1212" s="27">
        <v>25</v>
      </c>
      <c r="H1212" s="28">
        <v>1</v>
      </c>
      <c r="I1212" s="24"/>
      <c r="J1212" s="24"/>
      <c r="K1212" s="24" t="s">
        <v>52</v>
      </c>
      <c r="L1212" s="24"/>
      <c r="M1212" s="24" t="s">
        <v>54</v>
      </c>
      <c r="N1212" s="24" t="s">
        <v>111</v>
      </c>
      <c r="O1212" s="24" t="s">
        <v>88</v>
      </c>
      <c r="P1212" s="24" t="s">
        <v>75</v>
      </c>
      <c r="Q1212" s="24" t="s">
        <v>89</v>
      </c>
      <c r="R1212" s="24" t="s">
        <v>58</v>
      </c>
      <c r="S1212" s="24" t="s">
        <v>801</v>
      </c>
      <c r="T1212" s="24" t="s">
        <v>123</v>
      </c>
      <c r="U1212" s="24" t="s">
        <v>128</v>
      </c>
      <c r="V1212" s="24" t="s">
        <v>116</v>
      </c>
      <c r="W1212" s="24" t="s">
        <v>129</v>
      </c>
      <c r="X1212" s="24" t="s">
        <v>79</v>
      </c>
      <c r="Y1212" s="24" t="s">
        <v>56</v>
      </c>
      <c r="Z1212" s="24" t="s">
        <v>64</v>
      </c>
      <c r="AA1212" s="24" t="s">
        <v>468</v>
      </c>
      <c r="AB1212" s="24" t="s">
        <v>56</v>
      </c>
      <c r="AC1212" s="24" t="s">
        <v>3466</v>
      </c>
    </row>
    <row r="1213" spans="1:29">
      <c r="A1213" s="30" t="s">
        <v>3467</v>
      </c>
      <c r="B1213" s="30" t="str">
        <f>IF(ISNUMBER(SEARCH(E1213,A1213)),A1213,IF(OR(E1213="",E1213=""),A1213,A1213&amp;" - "&amp;E1213))</f>
        <v>420 Compound 27/1 GAP - Gastro Pop</v>
      </c>
      <c r="C1213" s="30" t="s">
        <v>463</v>
      </c>
      <c r="D1213" s="30" t="s">
        <v>464</v>
      </c>
      <c r="E1213" s="30" t="s">
        <v>1564</v>
      </c>
      <c r="F1213" s="30" t="s">
        <v>51</v>
      </c>
      <c r="G1213" s="34">
        <v>27</v>
      </c>
      <c r="H1213" s="35">
        <v>1</v>
      </c>
      <c r="I1213" s="30"/>
      <c r="J1213" s="30"/>
      <c r="K1213" s="30" t="s">
        <v>52</v>
      </c>
      <c r="L1213" s="30" t="s">
        <v>53</v>
      </c>
      <c r="M1213" s="30" t="s">
        <v>156</v>
      </c>
      <c r="N1213" s="30" t="s">
        <v>103</v>
      </c>
      <c r="O1213" s="30"/>
      <c r="P1213" s="30" t="s">
        <v>89</v>
      </c>
      <c r="Q1213" s="30" t="s">
        <v>58</v>
      </c>
      <c r="R1213" s="30" t="s">
        <v>59</v>
      </c>
      <c r="S1213" s="30" t="s">
        <v>105</v>
      </c>
      <c r="T1213" s="30" t="s">
        <v>147</v>
      </c>
      <c r="U1213" s="30" t="s">
        <v>123</v>
      </c>
      <c r="V1213" s="30" t="s">
        <v>77</v>
      </c>
      <c r="W1213" s="30" t="s">
        <v>107</v>
      </c>
      <c r="X1213" s="30" t="s">
        <v>93</v>
      </c>
      <c r="Y1213" s="30" t="s">
        <v>3468</v>
      </c>
      <c r="Z1213" s="30" t="s">
        <v>64</v>
      </c>
      <c r="AA1213" s="30" t="s">
        <v>468</v>
      </c>
      <c r="AB1213" s="30" t="s">
        <v>56</v>
      </c>
      <c r="AC1213" s="30" t="s">
        <v>3469</v>
      </c>
    </row>
    <row r="1214" spans="1:29">
      <c r="A1214" s="24" t="s">
        <v>3470</v>
      </c>
      <c r="B1214" s="24" t="str">
        <f>IF(ISNUMBER(SEARCH(E1214,A1214)),A1214,IF(OR(E1214="",E1214=""),A1214,A1214&amp;" - "&amp;E1214))</f>
        <v>420 Evolution 22/1 CA PLD - Plum Driver</v>
      </c>
      <c r="C1214" s="24" t="s">
        <v>463</v>
      </c>
      <c r="D1214" s="24" t="s">
        <v>464</v>
      </c>
      <c r="E1214" s="24" t="s">
        <v>731</v>
      </c>
      <c r="F1214" s="24" t="s">
        <v>177</v>
      </c>
      <c r="G1214" s="27">
        <v>22</v>
      </c>
      <c r="H1214" s="28">
        <v>1</v>
      </c>
      <c r="I1214" s="24"/>
      <c r="J1214" s="24"/>
      <c r="K1214" s="24" t="s">
        <v>52</v>
      </c>
      <c r="L1214" s="24" t="s">
        <v>53</v>
      </c>
      <c r="M1214" s="24" t="s">
        <v>71</v>
      </c>
      <c r="N1214" s="24" t="s">
        <v>178</v>
      </c>
      <c r="O1214" s="24"/>
      <c r="P1214" s="24" t="s">
        <v>57</v>
      </c>
      <c r="Q1214" s="24" t="s">
        <v>89</v>
      </c>
      <c r="R1214" s="24" t="s">
        <v>58</v>
      </c>
      <c r="S1214" s="24" t="s">
        <v>147</v>
      </c>
      <c r="T1214" s="24" t="s">
        <v>123</v>
      </c>
      <c r="U1214" s="24" t="s">
        <v>106</v>
      </c>
      <c r="V1214" s="24" t="s">
        <v>79</v>
      </c>
      <c r="W1214" s="24" t="s">
        <v>107</v>
      </c>
      <c r="X1214" s="24" t="s">
        <v>56</v>
      </c>
      <c r="Y1214" s="24" t="s">
        <v>1112</v>
      </c>
      <c r="Z1214" s="24" t="s">
        <v>64</v>
      </c>
      <c r="AA1214" s="24" t="s">
        <v>468</v>
      </c>
      <c r="AB1214" s="24" t="s">
        <v>56</v>
      </c>
      <c r="AC1214" s="24" t="s">
        <v>3471</v>
      </c>
    </row>
    <row r="1215" spans="1:29">
      <c r="A1215" s="30" t="s">
        <v>3472</v>
      </c>
      <c r="B1215" s="30" t="str">
        <f>IF(ISNUMBER(SEARCH(E1215,A1215)),A1215,IF(OR(E1215="",E1215=""),A1215,A1215&amp;" - "&amp;E1215))</f>
        <v>Cookies 22/1 - Medellin</v>
      </c>
      <c r="C1215" s="30" t="s">
        <v>996</v>
      </c>
      <c r="D1215" s="30" t="s">
        <v>997</v>
      </c>
      <c r="E1215" s="30" t="s">
        <v>1793</v>
      </c>
      <c r="F1215" s="30" t="s">
        <v>120</v>
      </c>
      <c r="G1215" s="34">
        <v>22</v>
      </c>
      <c r="H1215" s="35">
        <v>1</v>
      </c>
      <c r="I1215" s="30"/>
      <c r="J1215" s="30"/>
      <c r="K1215" s="30" t="s">
        <v>52</v>
      </c>
      <c r="L1215" s="30"/>
      <c r="M1215" s="30" t="s">
        <v>54</v>
      </c>
      <c r="N1215" s="30" t="s">
        <v>111</v>
      </c>
      <c r="O1215" s="30" t="s">
        <v>88</v>
      </c>
      <c r="P1215" s="30" t="s">
        <v>73</v>
      </c>
      <c r="Q1215" s="30" t="s">
        <v>157</v>
      </c>
      <c r="R1215" s="30" t="s">
        <v>57</v>
      </c>
      <c r="S1215" s="30" t="s">
        <v>147</v>
      </c>
      <c r="T1215" s="30" t="s">
        <v>91</v>
      </c>
      <c r="U1215" s="30" t="s">
        <v>62</v>
      </c>
      <c r="V1215" s="30" t="s">
        <v>77</v>
      </c>
      <c r="W1215" s="30" t="s">
        <v>79</v>
      </c>
      <c r="X1215" s="30" t="s">
        <v>107</v>
      </c>
      <c r="Y1215" s="30" t="s">
        <v>268</v>
      </c>
      <c r="Z1215" s="30" t="s">
        <v>64</v>
      </c>
      <c r="AA1215" s="30" t="s">
        <v>997</v>
      </c>
      <c r="AB1215" s="30" t="s">
        <v>56</v>
      </c>
      <c r="AC1215" s="30" t="s">
        <v>3473</v>
      </c>
    </row>
    <row r="1216" spans="1:29">
      <c r="A1216" s="43" t="s">
        <v>791</v>
      </c>
      <c r="B1216" s="43" t="str">
        <f>IF(ISNUMBER(SEARCH(E1216,A1216)),A1216,IF(OR(E1216="",E1216=""),A1216,A1216&amp;" - "&amp;E1216))</f>
        <v>madrecan 21/1 MDR - MAC Driver</v>
      </c>
      <c r="C1216" s="24" t="s">
        <v>83</v>
      </c>
      <c r="D1216" s="24" t="s">
        <v>84</v>
      </c>
      <c r="E1216" s="43" t="s">
        <v>1811</v>
      </c>
      <c r="F1216" s="43" t="s">
        <v>86</v>
      </c>
      <c r="G1216" s="46">
        <v>21</v>
      </c>
      <c r="H1216" s="28">
        <v>1</v>
      </c>
      <c r="I1216" s="43"/>
      <c r="J1216" s="43"/>
      <c r="K1216" s="43" t="s">
        <v>17</v>
      </c>
      <c r="L1216" s="43" t="s">
        <v>102</v>
      </c>
      <c r="M1216" s="43" t="s">
        <v>71</v>
      </c>
      <c r="N1216" s="43" t="s">
        <v>121</v>
      </c>
      <c r="O1216" s="43" t="s">
        <v>72</v>
      </c>
      <c r="P1216" s="43" t="s">
        <v>73</v>
      </c>
      <c r="Q1216" s="43" t="s">
        <v>75</v>
      </c>
      <c r="R1216" s="43" t="s">
        <v>89</v>
      </c>
      <c r="S1216" s="43" t="s">
        <v>90</v>
      </c>
      <c r="T1216" s="43" t="s">
        <v>192</v>
      </c>
      <c r="U1216" s="43" t="s">
        <v>60</v>
      </c>
      <c r="V1216" s="43" t="s">
        <v>77</v>
      </c>
      <c r="W1216" s="43" t="s">
        <v>116</v>
      </c>
      <c r="X1216" s="43" t="s">
        <v>165</v>
      </c>
      <c r="Y1216" s="43" t="s">
        <v>1090</v>
      </c>
      <c r="Z1216" s="43" t="s">
        <v>64</v>
      </c>
      <c r="AA1216" s="43" t="s">
        <v>95</v>
      </c>
      <c r="AB1216" s="43" t="s">
        <v>56</v>
      </c>
      <c r="AC1216" s="37" t="s">
        <v>3474</v>
      </c>
    </row>
    <row r="1217" spans="1:29">
      <c r="A1217" s="30" t="s">
        <v>3475</v>
      </c>
      <c r="B1217" s="30" t="str">
        <f>IF(ISNUMBER(SEARCH(E1217,A1217)),A1217,IF(OR(E1217="",E1217=""),A1217,A1217&amp;" - "&amp;E1217))</f>
        <v>HAPA pharm 20/1 - Amnesia Kush</v>
      </c>
      <c r="C1217" s="23" t="s">
        <v>2211</v>
      </c>
      <c r="D1217" s="24" t="s">
        <v>2212</v>
      </c>
      <c r="E1217" s="61" t="s">
        <v>3476</v>
      </c>
      <c r="F1217" s="30" t="s">
        <v>69</v>
      </c>
      <c r="G1217" s="34">
        <v>20</v>
      </c>
      <c r="H1217" s="35">
        <v>1</v>
      </c>
      <c r="I1217" s="30"/>
      <c r="J1217" s="30"/>
      <c r="K1217" s="30" t="s">
        <v>52</v>
      </c>
      <c r="L1217" s="30" t="s">
        <v>145</v>
      </c>
      <c r="M1217" s="30" t="s">
        <v>88</v>
      </c>
      <c r="N1217" s="30" t="s">
        <v>71</v>
      </c>
      <c r="O1217" s="30" t="s">
        <v>178</v>
      </c>
      <c r="P1217" s="30" t="s">
        <v>74</v>
      </c>
      <c r="Q1217" s="30" t="s">
        <v>75</v>
      </c>
      <c r="R1217" s="30" t="s">
        <v>58</v>
      </c>
      <c r="S1217" s="30" t="s">
        <v>90</v>
      </c>
      <c r="T1217" s="30" t="s">
        <v>60</v>
      </c>
      <c r="U1217" s="30" t="s">
        <v>123</v>
      </c>
      <c r="V1217" s="30" t="s">
        <v>77</v>
      </c>
      <c r="W1217" s="30" t="s">
        <v>79</v>
      </c>
      <c r="X1217" s="30" t="s">
        <v>107</v>
      </c>
      <c r="Y1217" s="30"/>
      <c r="Z1217" s="30" t="s">
        <v>64</v>
      </c>
      <c r="AA1217" s="30" t="s">
        <v>2212</v>
      </c>
      <c r="AB1217" s="30"/>
      <c r="AC1217" s="62" t="s">
        <v>3477</v>
      </c>
    </row>
    <row r="1218" spans="1:29">
      <c r="A1218" s="24" t="s">
        <v>881</v>
      </c>
      <c r="B1218" s="24" t="str">
        <f>IF(ISNUMBER(SEARCH(E1218,A1218)),A1218,IF(OR(E1218="",E1218=""),A1218,A1218&amp;" - "&amp;E1218))</f>
        <v>Bedrocan - Afina</v>
      </c>
      <c r="C1218" s="24" t="s">
        <v>880</v>
      </c>
      <c r="D1218" s="24" t="s">
        <v>881</v>
      </c>
      <c r="E1218" s="41" t="s">
        <v>3478</v>
      </c>
      <c r="F1218" s="24" t="s">
        <v>51</v>
      </c>
      <c r="G1218" s="27">
        <v>22</v>
      </c>
      <c r="H1218" s="28">
        <v>1</v>
      </c>
      <c r="I1218" s="24"/>
      <c r="J1218" s="24"/>
      <c r="K1218" s="24" t="s">
        <v>17</v>
      </c>
      <c r="L1218" s="24" t="s">
        <v>883</v>
      </c>
      <c r="M1218" s="24" t="s">
        <v>54</v>
      </c>
      <c r="N1218" s="24" t="s">
        <v>212</v>
      </c>
      <c r="O1218" s="24" t="s">
        <v>88</v>
      </c>
      <c r="P1218" s="24" t="s">
        <v>104</v>
      </c>
      <c r="Q1218" s="24" t="s">
        <v>75</v>
      </c>
      <c r="R1218" s="24" t="s">
        <v>89</v>
      </c>
      <c r="S1218" s="24" t="s">
        <v>2554</v>
      </c>
      <c r="T1218" s="24" t="s">
        <v>3479</v>
      </c>
      <c r="U1218" s="24" t="s">
        <v>90</v>
      </c>
      <c r="V1218" s="24" t="s">
        <v>92</v>
      </c>
      <c r="W1218" s="24" t="s">
        <v>77</v>
      </c>
      <c r="X1218" s="24" t="s">
        <v>165</v>
      </c>
      <c r="Y1218" s="24" t="s">
        <v>328</v>
      </c>
      <c r="Z1218" s="24" t="s">
        <v>64</v>
      </c>
      <c r="AA1218" s="24" t="s">
        <v>881</v>
      </c>
      <c r="AB1218" s="24"/>
      <c r="AC1218" s="63" t="s">
        <v>3480</v>
      </c>
    </row>
    <row r="1219" spans="1:29">
      <c r="A1219" s="30" t="s">
        <v>3481</v>
      </c>
      <c r="B1219" s="30" t="str">
        <f>IF(ISNUMBER(SEARCH(E1219,A1219)),A1219,IF(OR(E1219="",E1219=""),A1219,A1219&amp;" - "&amp;E1219))</f>
        <v>ADREX 26/1 AK COL - Arequipe Kush</v>
      </c>
      <c r="C1219" s="30" t="s">
        <v>911</v>
      </c>
      <c r="D1219" s="30" t="s">
        <v>912</v>
      </c>
      <c r="E1219" s="40" t="s">
        <v>2427</v>
      </c>
      <c r="F1219" s="30" t="s">
        <v>86</v>
      </c>
      <c r="G1219" s="34">
        <v>26</v>
      </c>
      <c r="H1219" s="35">
        <v>1</v>
      </c>
      <c r="I1219" s="30"/>
      <c r="J1219" s="30"/>
      <c r="K1219" s="30" t="s">
        <v>52</v>
      </c>
      <c r="L1219" s="30" t="s">
        <v>202</v>
      </c>
      <c r="M1219" s="30" t="s">
        <v>71</v>
      </c>
      <c r="N1219" s="30" t="s">
        <v>72</v>
      </c>
      <c r="O1219" s="30"/>
      <c r="P1219" s="30" t="s">
        <v>74</v>
      </c>
      <c r="Q1219" s="30" t="s">
        <v>89</v>
      </c>
      <c r="R1219" s="30" t="s">
        <v>59</v>
      </c>
      <c r="S1219" s="30" t="s">
        <v>106</v>
      </c>
      <c r="T1219" s="30" t="s">
        <v>179</v>
      </c>
      <c r="U1219" s="30"/>
      <c r="V1219" s="30" t="s">
        <v>77</v>
      </c>
      <c r="W1219" s="30" t="s">
        <v>116</v>
      </c>
      <c r="X1219" s="30" t="s">
        <v>2428</v>
      </c>
      <c r="Y1219" s="30"/>
      <c r="Z1219" s="30" t="s">
        <v>64</v>
      </c>
      <c r="AA1219" s="30" t="s">
        <v>912</v>
      </c>
      <c r="AB1219" s="30"/>
      <c r="AC1219" s="62" t="s">
        <v>3482</v>
      </c>
    </row>
    <row r="1220" spans="1:29">
      <c r="A1220" s="24" t="s">
        <v>3483</v>
      </c>
      <c r="B1220" s="24" t="str">
        <f>IF(ISNUMBER(SEARCH(E1220,A1220)),A1220,IF(OR(E1220="",E1220=""),A1220,A1220&amp;" - "&amp;E1220))</f>
        <v>Demecan 20:01 Florestura - Amnesia Haze</v>
      </c>
      <c r="C1220" s="24" t="s">
        <v>484</v>
      </c>
      <c r="D1220" s="24" t="s">
        <v>485</v>
      </c>
      <c r="E1220" s="41" t="s">
        <v>2774</v>
      </c>
      <c r="F1220" s="24" t="s">
        <v>51</v>
      </c>
      <c r="G1220" s="27">
        <v>20</v>
      </c>
      <c r="H1220" s="28">
        <v>1</v>
      </c>
      <c r="I1220" s="24"/>
      <c r="J1220" s="24"/>
      <c r="K1220" s="24" t="s">
        <v>17</v>
      </c>
      <c r="L1220" s="24" t="s">
        <v>70</v>
      </c>
      <c r="M1220" s="24" t="s">
        <v>111</v>
      </c>
      <c r="N1220" s="24" t="s">
        <v>212</v>
      </c>
      <c r="O1220" s="24" t="s">
        <v>88</v>
      </c>
      <c r="P1220" s="24" t="s">
        <v>75</v>
      </c>
      <c r="Q1220" s="24" t="s">
        <v>59</v>
      </c>
      <c r="R1220" s="24"/>
      <c r="S1220" s="24" t="s">
        <v>106</v>
      </c>
      <c r="T1220" s="24" t="s">
        <v>91</v>
      </c>
      <c r="U1220" s="24" t="s">
        <v>128</v>
      </c>
      <c r="V1220" s="24" t="s">
        <v>77</v>
      </c>
      <c r="W1220" s="24" t="s">
        <v>197</v>
      </c>
      <c r="X1220" s="24" t="s">
        <v>137</v>
      </c>
      <c r="Y1220" s="24" t="s">
        <v>487</v>
      </c>
      <c r="Z1220" s="24" t="s">
        <v>64</v>
      </c>
      <c r="AA1220" s="24" t="s">
        <v>485</v>
      </c>
      <c r="AB1220" s="24"/>
      <c r="AC1220" s="63" t="s">
        <v>3484</v>
      </c>
    </row>
    <row r="1221" spans="1:29">
      <c r="A1221" s="30" t="s">
        <v>3485</v>
      </c>
      <c r="B1221" s="30" t="str">
        <f>IF(ISNUMBER(SEARCH(E1221,A1221)),A1221,IF(OR(E1221="",E1221=""),A1221,A1221&amp;" - "&amp;E1221))</f>
        <v>Demecan CRAFT FCF 28:01 - First Class Funk</v>
      </c>
      <c r="C1221" s="30" t="s">
        <v>484</v>
      </c>
      <c r="D1221" s="30" t="s">
        <v>485</v>
      </c>
      <c r="E1221" s="40" t="s">
        <v>693</v>
      </c>
      <c r="F1221" s="30" t="s">
        <v>177</v>
      </c>
      <c r="G1221" s="34">
        <v>28</v>
      </c>
      <c r="H1221" s="35">
        <v>1</v>
      </c>
      <c r="I1221" s="30"/>
      <c r="J1221" s="30"/>
      <c r="K1221" s="30" t="s">
        <v>52</v>
      </c>
      <c r="L1221" s="30" t="s">
        <v>53</v>
      </c>
      <c r="M1221" s="30" t="s">
        <v>156</v>
      </c>
      <c r="N1221" s="30" t="s">
        <v>88</v>
      </c>
      <c r="O1221" s="30" t="s">
        <v>178</v>
      </c>
      <c r="P1221" s="30" t="s">
        <v>73</v>
      </c>
      <c r="Q1221" s="30" t="s">
        <v>74</v>
      </c>
      <c r="R1221" s="30" t="s">
        <v>89</v>
      </c>
      <c r="S1221" s="30" t="s">
        <v>192</v>
      </c>
      <c r="T1221" s="30" t="s">
        <v>147</v>
      </c>
      <c r="U1221" s="30" t="s">
        <v>106</v>
      </c>
      <c r="V1221" s="30" t="s">
        <v>116</v>
      </c>
      <c r="W1221" s="30" t="s">
        <v>165</v>
      </c>
      <c r="X1221" s="30" t="s">
        <v>129</v>
      </c>
      <c r="Y1221" s="30" t="s">
        <v>738</v>
      </c>
      <c r="Z1221" s="30" t="s">
        <v>64</v>
      </c>
      <c r="AA1221" s="30" t="s">
        <v>485</v>
      </c>
      <c r="AB1221" s="30" t="s">
        <v>695</v>
      </c>
      <c r="AC1221" s="30" t="s">
        <v>3486</v>
      </c>
    </row>
    <row r="1222" spans="1:29">
      <c r="A1222" s="24" t="s">
        <v>3487</v>
      </c>
      <c r="B1222" s="24" t="str">
        <f>IF(ISNUMBER(SEARCH(E1222,A1222)),A1222,IF(OR(E1222="",E1222=""),A1222,A1222&amp;" - "&amp;E1222))</f>
        <v>madrecan 21/1  GDY Minis - Granddaddy OG</v>
      </c>
      <c r="C1222" s="24" t="s">
        <v>83</v>
      </c>
      <c r="D1222" s="24" t="s">
        <v>84</v>
      </c>
      <c r="E1222" s="41" t="s">
        <v>163</v>
      </c>
      <c r="F1222" s="24" t="s">
        <v>120</v>
      </c>
      <c r="G1222" s="27">
        <v>21</v>
      </c>
      <c r="H1222" s="28">
        <v>1</v>
      </c>
      <c r="I1222" s="24"/>
      <c r="J1222" s="24"/>
      <c r="K1222" s="24" t="s">
        <v>17</v>
      </c>
      <c r="L1222" s="24" t="s">
        <v>102</v>
      </c>
      <c r="M1222" s="24" t="s">
        <v>88</v>
      </c>
      <c r="N1222" s="24" t="s">
        <v>103</v>
      </c>
      <c r="O1222" s="24" t="s">
        <v>72</v>
      </c>
      <c r="P1222" s="24" t="s">
        <v>157</v>
      </c>
      <c r="Q1222" s="24" t="s">
        <v>146</v>
      </c>
      <c r="R1222" s="24" t="s">
        <v>74</v>
      </c>
      <c r="S1222" s="24" t="s">
        <v>61</v>
      </c>
      <c r="T1222" s="24" t="s">
        <v>62</v>
      </c>
      <c r="U1222" s="24" t="s">
        <v>164</v>
      </c>
      <c r="V1222" s="24" t="s">
        <v>92</v>
      </c>
      <c r="W1222" s="24" t="s">
        <v>77</v>
      </c>
      <c r="X1222" s="24" t="s">
        <v>165</v>
      </c>
      <c r="Y1222" s="24" t="s">
        <v>1812</v>
      </c>
      <c r="Z1222" s="24" t="s">
        <v>64</v>
      </c>
      <c r="AA1222" s="24" t="s">
        <v>95</v>
      </c>
      <c r="AB1222" s="24"/>
      <c r="AC1222" s="63" t="s">
        <v>3488</v>
      </c>
    </row>
    <row r="1223" spans="1:29">
      <c r="A1223" s="30" t="s">
        <v>3489</v>
      </c>
      <c r="B1223" s="30" t="str">
        <f>IF(ISNUMBER(SEARCH(E1223,A1223)),A1223,IF(OR(E1223="",E1223=""),A1223,A1223&amp;" - "&amp;E1223))</f>
        <v>madrecan 18/1  GDY Minis - Granddaddy OG</v>
      </c>
      <c r="C1223" s="30" t="s">
        <v>83</v>
      </c>
      <c r="D1223" s="30" t="s">
        <v>84</v>
      </c>
      <c r="E1223" s="40" t="s">
        <v>163</v>
      </c>
      <c r="F1223" s="30" t="s">
        <v>120</v>
      </c>
      <c r="G1223" s="34">
        <v>18</v>
      </c>
      <c r="H1223" s="35">
        <v>1</v>
      </c>
      <c r="I1223" s="30"/>
      <c r="J1223" s="30"/>
      <c r="K1223" s="30" t="s">
        <v>17</v>
      </c>
      <c r="L1223" s="30" t="s">
        <v>102</v>
      </c>
      <c r="M1223" s="30" t="s">
        <v>88</v>
      </c>
      <c r="N1223" s="30" t="s">
        <v>103</v>
      </c>
      <c r="O1223" s="30" t="s">
        <v>72</v>
      </c>
      <c r="P1223" s="30" t="s">
        <v>157</v>
      </c>
      <c r="Q1223" s="30" t="s">
        <v>146</v>
      </c>
      <c r="R1223" s="30" t="s">
        <v>74</v>
      </c>
      <c r="S1223" s="30" t="s">
        <v>61</v>
      </c>
      <c r="T1223" s="30" t="s">
        <v>62</v>
      </c>
      <c r="U1223" s="30" t="s">
        <v>164</v>
      </c>
      <c r="V1223" s="30" t="s">
        <v>92</v>
      </c>
      <c r="W1223" s="30" t="s">
        <v>77</v>
      </c>
      <c r="X1223" s="30" t="s">
        <v>165</v>
      </c>
      <c r="Y1223" s="30" t="s">
        <v>358</v>
      </c>
      <c r="Z1223" s="30" t="s">
        <v>64</v>
      </c>
      <c r="AA1223" s="30" t="s">
        <v>95</v>
      </c>
      <c r="AB1223" s="30"/>
      <c r="AC1223" s="62" t="s">
        <v>3490</v>
      </c>
    </row>
    <row r="1224" spans="1:29">
      <c r="A1224" s="24" t="s">
        <v>3491</v>
      </c>
      <c r="B1224" s="24" t="str">
        <f>IF(ISNUMBER(SEARCH(E1224,A1224)),A1224,IF(OR(E1224="",E1224=""),A1224,A1224&amp;" - "&amp;E1224))</f>
        <v>madrecan 18/1 PUC Minis - Punch Cake</v>
      </c>
      <c r="C1224" s="24" t="s">
        <v>83</v>
      </c>
      <c r="D1224" s="24" t="s">
        <v>84</v>
      </c>
      <c r="E1224" s="41" t="s">
        <v>451</v>
      </c>
      <c r="F1224" s="24" t="s">
        <v>177</v>
      </c>
      <c r="G1224" s="27">
        <v>18</v>
      </c>
      <c r="H1224" s="28">
        <v>1</v>
      </c>
      <c r="I1224" s="24"/>
      <c r="J1224" s="24"/>
      <c r="K1224" s="24" t="s">
        <v>17</v>
      </c>
      <c r="L1224" s="24" t="s">
        <v>102</v>
      </c>
      <c r="M1224" s="24" t="s">
        <v>71</v>
      </c>
      <c r="N1224" s="24" t="s">
        <v>121</v>
      </c>
      <c r="O1224" s="24" t="s">
        <v>72</v>
      </c>
      <c r="P1224" s="24" t="s">
        <v>73</v>
      </c>
      <c r="Q1224" s="24" t="s">
        <v>89</v>
      </c>
      <c r="R1224" s="24" t="s">
        <v>58</v>
      </c>
      <c r="S1224" s="24" t="s">
        <v>90</v>
      </c>
      <c r="T1224" s="24" t="s">
        <v>147</v>
      </c>
      <c r="U1224" s="24" t="s">
        <v>62</v>
      </c>
      <c r="V1224" s="24" t="s">
        <v>77</v>
      </c>
      <c r="W1224" s="24" t="s">
        <v>116</v>
      </c>
      <c r="X1224" s="24" t="s">
        <v>107</v>
      </c>
      <c r="Y1224" s="24" t="s">
        <v>358</v>
      </c>
      <c r="Z1224" s="24" t="s">
        <v>64</v>
      </c>
      <c r="AA1224" s="24" t="s">
        <v>95</v>
      </c>
      <c r="AB1224" s="24"/>
      <c r="AC1224" s="63" t="s">
        <v>3492</v>
      </c>
    </row>
    <row r="1225" spans="1:29">
      <c r="A1225" s="30" t="s">
        <v>3493</v>
      </c>
      <c r="B1225" s="30" t="str">
        <f>IF(ISNUMBER(SEARCH(E1225,A1225)),A1225,IF(OR(E1225="",E1225=""),A1225,A1225&amp;" - "&amp;E1225))</f>
        <v>madrecan 18/1 WOP Minis - Wonder Punch</v>
      </c>
      <c r="C1225" s="30" t="s">
        <v>83</v>
      </c>
      <c r="D1225" s="30" t="s">
        <v>84</v>
      </c>
      <c r="E1225" s="40" t="s">
        <v>1001</v>
      </c>
      <c r="F1225" s="30" t="s">
        <v>120</v>
      </c>
      <c r="G1225" s="34">
        <v>18</v>
      </c>
      <c r="H1225" s="35">
        <v>1</v>
      </c>
      <c r="I1225" s="30"/>
      <c r="J1225" s="30"/>
      <c r="K1225" s="30" t="s">
        <v>17</v>
      </c>
      <c r="L1225" s="30" t="s">
        <v>102</v>
      </c>
      <c r="M1225" s="30" t="s">
        <v>88</v>
      </c>
      <c r="N1225" s="30" t="s">
        <v>103</v>
      </c>
      <c r="O1225" s="30" t="s">
        <v>72</v>
      </c>
      <c r="P1225" s="30" t="s">
        <v>157</v>
      </c>
      <c r="Q1225" s="30" t="s">
        <v>146</v>
      </c>
      <c r="R1225" s="30" t="s">
        <v>74</v>
      </c>
      <c r="S1225" s="30" t="s">
        <v>62</v>
      </c>
      <c r="T1225" s="30" t="s">
        <v>164</v>
      </c>
      <c r="U1225" s="30"/>
      <c r="V1225" s="30" t="s">
        <v>92</v>
      </c>
      <c r="W1225" s="30" t="s">
        <v>77</v>
      </c>
      <c r="X1225" s="30" t="s">
        <v>165</v>
      </c>
      <c r="Y1225" s="30" t="s">
        <v>358</v>
      </c>
      <c r="Z1225" s="30" t="s">
        <v>64</v>
      </c>
      <c r="AA1225" s="30" t="s">
        <v>95</v>
      </c>
      <c r="AB1225" s="30"/>
      <c r="AC1225" s="62" t="s">
        <v>3494</v>
      </c>
    </row>
    <row r="1226" spans="1:29">
      <c r="A1226" s="24" t="s">
        <v>3495</v>
      </c>
      <c r="B1226" s="24" t="str">
        <f>IF(ISNUMBER(SEARCH(E1226,A1226)),A1226,IF(OR(E1226="",E1226=""),A1226,A1226&amp;" - "&amp;E1226))</f>
        <v>avaay 30/1 MIM - Midnight Mimosa</v>
      </c>
      <c r="C1226" s="24" t="s">
        <v>569</v>
      </c>
      <c r="D1226" s="24" t="s">
        <v>570</v>
      </c>
      <c r="E1226" s="24" t="s">
        <v>3496</v>
      </c>
      <c r="F1226" s="24" t="s">
        <v>51</v>
      </c>
      <c r="G1226" s="27">
        <v>30</v>
      </c>
      <c r="H1226" s="28">
        <v>1</v>
      </c>
      <c r="I1226" s="24"/>
      <c r="J1226" s="24"/>
      <c r="K1226" s="24" t="s">
        <v>52</v>
      </c>
      <c r="L1226" s="24" t="s">
        <v>53</v>
      </c>
      <c r="M1226" s="24" t="s">
        <v>54</v>
      </c>
      <c r="N1226" s="24" t="s">
        <v>88</v>
      </c>
      <c r="O1226" s="24" t="s">
        <v>178</v>
      </c>
      <c r="P1226" s="24" t="s">
        <v>74</v>
      </c>
      <c r="Q1226" s="24" t="s">
        <v>75</v>
      </c>
      <c r="R1226" s="24" t="s">
        <v>89</v>
      </c>
      <c r="S1226" s="24" t="s">
        <v>192</v>
      </c>
      <c r="T1226" s="24" t="s">
        <v>147</v>
      </c>
      <c r="U1226" s="24" t="s">
        <v>106</v>
      </c>
      <c r="V1226" s="24" t="s">
        <v>116</v>
      </c>
      <c r="W1226" s="24" t="s">
        <v>79</v>
      </c>
      <c r="X1226" s="24" t="s">
        <v>107</v>
      </c>
      <c r="Y1226" s="24"/>
      <c r="Z1226" s="24" t="s">
        <v>64</v>
      </c>
      <c r="AA1226" s="24" t="s">
        <v>572</v>
      </c>
      <c r="AB1226" s="24" t="s">
        <v>1252</v>
      </c>
      <c r="AC1226" s="37" t="s">
        <v>3497</v>
      </c>
    </row>
    <row r="1227" spans="1:29">
      <c r="A1227" s="30" t="s">
        <v>3498</v>
      </c>
      <c r="B1227" s="30" t="str">
        <f>IF(ISNUMBER(SEARCH(E1227,A1227)),A1227,IF(OR(E1227="",E1227=""),A1227,A1227&amp;" - "&amp;E1227))</f>
        <v>avaay 24/1 AHC - Amnesia Haze Cake</v>
      </c>
      <c r="C1227" s="30" t="s">
        <v>569</v>
      </c>
      <c r="D1227" s="30" t="s">
        <v>570</v>
      </c>
      <c r="E1227" s="40" t="s">
        <v>1255</v>
      </c>
      <c r="F1227" s="30" t="s">
        <v>51</v>
      </c>
      <c r="G1227" s="34">
        <v>24</v>
      </c>
      <c r="H1227" s="35">
        <v>1</v>
      </c>
      <c r="I1227" s="30"/>
      <c r="J1227" s="30"/>
      <c r="K1227" s="30" t="s">
        <v>52</v>
      </c>
      <c r="L1227" s="30" t="s">
        <v>53</v>
      </c>
      <c r="M1227" s="30" t="s">
        <v>88</v>
      </c>
      <c r="N1227" s="30" t="s">
        <v>121</v>
      </c>
      <c r="O1227" s="30" t="s">
        <v>72</v>
      </c>
      <c r="P1227" s="30" t="s">
        <v>73</v>
      </c>
      <c r="Q1227" s="30" t="s">
        <v>59</v>
      </c>
      <c r="R1227" s="30"/>
      <c r="S1227" s="30" t="s">
        <v>782</v>
      </c>
      <c r="T1227" s="30" t="s">
        <v>801</v>
      </c>
      <c r="U1227" s="30" t="s">
        <v>192</v>
      </c>
      <c r="V1227" s="30" t="s">
        <v>116</v>
      </c>
      <c r="W1227" s="30" t="s">
        <v>138</v>
      </c>
      <c r="X1227" s="30" t="s">
        <v>107</v>
      </c>
      <c r="Y1227" s="30"/>
      <c r="Z1227" s="30" t="s">
        <v>64</v>
      </c>
      <c r="AA1227" s="30" t="s">
        <v>572</v>
      </c>
      <c r="AB1227" s="30" t="s">
        <v>3499</v>
      </c>
      <c r="AC1227" s="30" t="s">
        <v>3500</v>
      </c>
    </row>
    <row r="1228" spans="1:29">
      <c r="A1228" s="24" t="s">
        <v>3501</v>
      </c>
      <c r="B1228" s="24" t="str">
        <f>IF(ISNUMBER(SEARCH(E1228,A1228)),A1228,IF(OR(E1228="",E1228=""),A1228,A1228&amp;" - "&amp;E1228))</f>
        <v>avaay 22/1 PNK - Pineapple Nuken</v>
      </c>
      <c r="C1228" s="24" t="s">
        <v>569</v>
      </c>
      <c r="D1228" s="24" t="s">
        <v>570</v>
      </c>
      <c r="E1228" s="41" t="s">
        <v>3502</v>
      </c>
      <c r="F1228" s="24" t="s">
        <v>86</v>
      </c>
      <c r="G1228" s="27">
        <v>22</v>
      </c>
      <c r="H1228" s="28">
        <v>1</v>
      </c>
      <c r="I1228" s="24"/>
      <c r="J1228" s="24"/>
      <c r="K1228" s="24" t="s">
        <v>52</v>
      </c>
      <c r="L1228" s="24" t="s">
        <v>53</v>
      </c>
      <c r="M1228" s="24" t="s">
        <v>54</v>
      </c>
      <c r="N1228" s="24" t="s">
        <v>88</v>
      </c>
      <c r="O1228" s="24" t="s">
        <v>55</v>
      </c>
      <c r="P1228" s="24" t="s">
        <v>136</v>
      </c>
      <c r="Q1228" s="24" t="s">
        <v>157</v>
      </c>
      <c r="R1228" s="24" t="s">
        <v>74</v>
      </c>
      <c r="S1228" s="24" t="s">
        <v>192</v>
      </c>
      <c r="T1228" s="24" t="s">
        <v>105</v>
      </c>
      <c r="U1228" s="24" t="s">
        <v>147</v>
      </c>
      <c r="V1228" s="24" t="s">
        <v>77</v>
      </c>
      <c r="W1228" s="24" t="s">
        <v>116</v>
      </c>
      <c r="X1228" s="24" t="s">
        <v>79</v>
      </c>
      <c r="Y1228" s="24" t="s">
        <v>262</v>
      </c>
      <c r="Z1228" s="24" t="s">
        <v>64</v>
      </c>
      <c r="AA1228" s="24" t="s">
        <v>572</v>
      </c>
      <c r="AB1228" s="24"/>
      <c r="AC1228" s="24" t="s">
        <v>3503</v>
      </c>
    </row>
    <row r="1229" spans="1:29">
      <c r="A1229" s="30" t="s">
        <v>3504</v>
      </c>
      <c r="B1229" s="30" t="str">
        <f>IF(ISNUMBER(SEARCH(E1229,A1229)),A1229,IF(OR(E1229="",E1229=""),A1229,A1229&amp;" - "&amp;E1229))</f>
        <v>CNBS FRF 21/1 - Fire Fruit</v>
      </c>
      <c r="C1229" s="30" t="s">
        <v>822</v>
      </c>
      <c r="D1229" s="30" t="s">
        <v>823</v>
      </c>
      <c r="E1229" s="40" t="s">
        <v>3505</v>
      </c>
      <c r="F1229" s="30" t="s">
        <v>86</v>
      </c>
      <c r="G1229" s="34">
        <v>21</v>
      </c>
      <c r="H1229" s="35">
        <v>1</v>
      </c>
      <c r="I1229" s="30"/>
      <c r="J1229" s="30"/>
      <c r="K1229" s="30" t="s">
        <v>52</v>
      </c>
      <c r="L1229" s="30" t="s">
        <v>53</v>
      </c>
      <c r="M1229" s="30" t="s">
        <v>54</v>
      </c>
      <c r="N1229" s="30" t="s">
        <v>111</v>
      </c>
      <c r="O1229" s="30" t="s">
        <v>88</v>
      </c>
      <c r="P1229" s="30" t="s">
        <v>73</v>
      </c>
      <c r="Q1229" s="30" t="s">
        <v>136</v>
      </c>
      <c r="R1229" s="30" t="s">
        <v>146</v>
      </c>
      <c r="S1229" s="30" t="s">
        <v>62</v>
      </c>
      <c r="T1229" s="30" t="s">
        <v>128</v>
      </c>
      <c r="U1229" s="30" t="s">
        <v>164</v>
      </c>
      <c r="V1229" s="30" t="s">
        <v>77</v>
      </c>
      <c r="W1229" s="30" t="s">
        <v>116</v>
      </c>
      <c r="X1229" s="30" t="s">
        <v>138</v>
      </c>
      <c r="Y1229" s="30" t="s">
        <v>335</v>
      </c>
      <c r="Z1229" s="30" t="s">
        <v>64</v>
      </c>
      <c r="AA1229" s="30" t="s">
        <v>826</v>
      </c>
      <c r="AB1229" s="30"/>
      <c r="AC1229" s="30" t="s">
        <v>3506</v>
      </c>
    </row>
    <row r="1230" spans="1:29">
      <c r="A1230" s="24" t="s">
        <v>3507</v>
      </c>
      <c r="B1230" s="24" t="str">
        <f>IF(ISNUMBER(SEARCH(E1230,A1230)),A1230,IF(OR(E1230="",E1230=""),A1230,A1230&amp;" - "&amp;E1230))</f>
        <v>enua 25/1 GPP CA - Gelly Popper</v>
      </c>
      <c r="C1230" s="24" t="s">
        <v>650</v>
      </c>
      <c r="D1230" s="24" t="s">
        <v>651</v>
      </c>
      <c r="E1230" s="41" t="s">
        <v>1518</v>
      </c>
      <c r="F1230" s="24" t="s">
        <v>144</v>
      </c>
      <c r="G1230" s="27">
        <v>25</v>
      </c>
      <c r="H1230" s="28">
        <v>1</v>
      </c>
      <c r="I1230" s="24"/>
      <c r="J1230" s="24"/>
      <c r="K1230" s="24" t="s">
        <v>52</v>
      </c>
      <c r="L1230" s="24" t="s">
        <v>53</v>
      </c>
      <c r="M1230" s="24" t="s">
        <v>54</v>
      </c>
      <c r="N1230" s="24" t="s">
        <v>111</v>
      </c>
      <c r="O1230" s="24" t="s">
        <v>88</v>
      </c>
      <c r="P1230" s="24" t="s">
        <v>57</v>
      </c>
      <c r="Q1230" s="24" t="s">
        <v>74</v>
      </c>
      <c r="R1230" s="24" t="s">
        <v>89</v>
      </c>
      <c r="S1230" s="24" t="s">
        <v>493</v>
      </c>
      <c r="T1230" s="24" t="s">
        <v>128</v>
      </c>
      <c r="U1230" s="24" t="s">
        <v>62</v>
      </c>
      <c r="V1230" s="24" t="s">
        <v>77</v>
      </c>
      <c r="W1230" s="24" t="s">
        <v>107</v>
      </c>
      <c r="X1230" s="24"/>
      <c r="Y1230" s="24" t="s">
        <v>955</v>
      </c>
      <c r="Z1230" s="24" t="s">
        <v>64</v>
      </c>
      <c r="AA1230" s="24" t="s">
        <v>653</v>
      </c>
      <c r="AB1230" s="24"/>
      <c r="AC1230" s="24" t="s">
        <v>3508</v>
      </c>
    </row>
    <row r="1231" spans="1:29">
      <c r="A1231" s="30" t="s">
        <v>3509</v>
      </c>
      <c r="B1231" s="30" t="str">
        <f>IF(ISNUMBER(SEARCH(E1231,A1231)),A1231,IF(OR(E1231="",E1231=""),A1231,A1231&amp;" - "&amp;E1231))</f>
        <v>avaay 20/1 PNK - Pineapple Nuken</v>
      </c>
      <c r="C1231" s="30" t="s">
        <v>569</v>
      </c>
      <c r="D1231" s="30" t="s">
        <v>570</v>
      </c>
      <c r="E1231" s="40" t="s">
        <v>3502</v>
      </c>
      <c r="F1231" s="30" t="s">
        <v>86</v>
      </c>
      <c r="G1231" s="34">
        <v>20</v>
      </c>
      <c r="H1231" s="35">
        <v>1</v>
      </c>
      <c r="I1231" s="30"/>
      <c r="J1231" s="30"/>
      <c r="K1231" s="30" t="s">
        <v>52</v>
      </c>
      <c r="L1231" s="30" t="s">
        <v>53</v>
      </c>
      <c r="M1231" s="30" t="s">
        <v>54</v>
      </c>
      <c r="N1231" s="30" t="s">
        <v>88</v>
      </c>
      <c r="O1231" s="30" t="s">
        <v>55</v>
      </c>
      <c r="P1231" s="30" t="s">
        <v>136</v>
      </c>
      <c r="Q1231" s="30" t="s">
        <v>157</v>
      </c>
      <c r="R1231" s="30" t="s">
        <v>74</v>
      </c>
      <c r="S1231" s="30" t="s">
        <v>192</v>
      </c>
      <c r="T1231" s="30" t="s">
        <v>105</v>
      </c>
      <c r="U1231" s="30" t="s">
        <v>147</v>
      </c>
      <c r="V1231" s="30" t="s">
        <v>77</v>
      </c>
      <c r="W1231" s="30" t="s">
        <v>116</v>
      </c>
      <c r="X1231" s="30" t="s">
        <v>79</v>
      </c>
      <c r="Y1231" s="30" t="s">
        <v>3510</v>
      </c>
      <c r="Z1231" s="30" t="s">
        <v>64</v>
      </c>
      <c r="AA1231" s="30" t="s">
        <v>572</v>
      </c>
      <c r="AB1231" s="30"/>
      <c r="AC1231" s="30" t="s">
        <v>3511</v>
      </c>
    </row>
    <row r="1232" spans="1:29">
      <c r="A1232" s="24" t="s">
        <v>3512</v>
      </c>
      <c r="B1232" s="24" t="str">
        <f>IF(ISNUMBER(SEARCH(E1232,A1232)),A1232,IF(OR(E1232="",E1232=""),A1232,A1232&amp;" - "&amp;E1232))</f>
        <v>Bathera 28/1 BZ - Blue Z</v>
      </c>
      <c r="C1232" s="24" t="s">
        <v>153</v>
      </c>
      <c r="D1232" s="24" t="s">
        <v>154</v>
      </c>
      <c r="E1232" s="41" t="s">
        <v>1755</v>
      </c>
      <c r="F1232" s="24" t="s">
        <v>177</v>
      </c>
      <c r="G1232" s="27">
        <v>28</v>
      </c>
      <c r="H1232" s="28">
        <v>1</v>
      </c>
      <c r="I1232" s="24"/>
      <c r="J1232" s="24"/>
      <c r="K1232" s="24" t="s">
        <v>52</v>
      </c>
      <c r="L1232" s="24" t="s">
        <v>102</v>
      </c>
      <c r="M1232" s="24" t="s">
        <v>54</v>
      </c>
      <c r="N1232" s="24" t="s">
        <v>111</v>
      </c>
      <c r="O1232" s="24" t="s">
        <v>88</v>
      </c>
      <c r="P1232" s="24" t="s">
        <v>136</v>
      </c>
      <c r="Q1232" s="24" t="s">
        <v>112</v>
      </c>
      <c r="R1232" s="24" t="s">
        <v>75</v>
      </c>
      <c r="S1232" s="24" t="s">
        <v>61</v>
      </c>
      <c r="T1232" s="24" t="s">
        <v>62</v>
      </c>
      <c r="U1232" s="24" t="s">
        <v>128</v>
      </c>
      <c r="V1232" s="24" t="s">
        <v>77</v>
      </c>
      <c r="W1232" s="24" t="s">
        <v>79</v>
      </c>
      <c r="X1232" s="24" t="s">
        <v>107</v>
      </c>
      <c r="Y1232" s="24" t="s">
        <v>297</v>
      </c>
      <c r="Z1232" s="24" t="s">
        <v>64</v>
      </c>
      <c r="AA1232" s="24" t="s">
        <v>154</v>
      </c>
      <c r="AB1232" s="24" t="s">
        <v>160</v>
      </c>
      <c r="AC1232" s="24" t="s">
        <v>3513</v>
      </c>
    </row>
    <row r="1233" spans="1:29">
      <c r="A1233" s="30" t="s">
        <v>3514</v>
      </c>
      <c r="B1233" s="30" t="str">
        <f>IF(ISNUMBER(SEARCH(E1233,A1233)),A1233,IF(OR(E1233="",E1233=""),A1233,A1233&amp;" - "&amp;E1233))</f>
        <v>Remexian 27/1 HMA PYW - Peyote Wifi</v>
      </c>
      <c r="C1233" s="30" t="s">
        <v>83</v>
      </c>
      <c r="D1233" s="30" t="s">
        <v>84</v>
      </c>
      <c r="E1233" s="40" t="s">
        <v>3515</v>
      </c>
      <c r="F1233" s="30" t="s">
        <v>177</v>
      </c>
      <c r="G1233" s="34">
        <v>28</v>
      </c>
      <c r="H1233" s="35">
        <v>1</v>
      </c>
      <c r="I1233" s="30"/>
      <c r="J1233" s="30"/>
      <c r="K1233" s="30" t="s">
        <v>52</v>
      </c>
      <c r="L1233" s="30" t="s">
        <v>53</v>
      </c>
      <c r="M1233" s="30" t="s">
        <v>54</v>
      </c>
      <c r="N1233" s="30" t="s">
        <v>111</v>
      </c>
      <c r="O1233" s="30" t="s">
        <v>88</v>
      </c>
      <c r="P1233" s="30" t="s">
        <v>591</v>
      </c>
      <c r="Q1233" s="30" t="s">
        <v>73</v>
      </c>
      <c r="R1233" s="30" t="s">
        <v>157</v>
      </c>
      <c r="S1233" s="30" t="s">
        <v>192</v>
      </c>
      <c r="T1233" s="30" t="s">
        <v>147</v>
      </c>
      <c r="U1233" s="30" t="s">
        <v>106</v>
      </c>
      <c r="V1233" s="30" t="s">
        <v>77</v>
      </c>
      <c r="W1233" s="30" t="s">
        <v>116</v>
      </c>
      <c r="X1233" s="30" t="s">
        <v>79</v>
      </c>
      <c r="Y1233" s="30" t="s">
        <v>870</v>
      </c>
      <c r="Z1233" s="30" t="s">
        <v>64</v>
      </c>
      <c r="AA1233" s="30" t="s">
        <v>95</v>
      </c>
      <c r="AB1233" s="30"/>
      <c r="AC1233" s="30" t="s">
        <v>3516</v>
      </c>
    </row>
    <row r="1234" spans="1:29">
      <c r="A1234" s="24" t="s">
        <v>3517</v>
      </c>
      <c r="B1234" s="24" t="str">
        <f>IF(ISNUMBER(SEARCH(E1234,A1234)),A1234,IF(OR(E1234="",E1234=""),A1234,A1234&amp;" - "&amp;E1234))</f>
        <v>Cannamedical CM 29/1 SPC - Space Cake</v>
      </c>
      <c r="C1234" s="24" t="s">
        <v>48</v>
      </c>
      <c r="D1234" s="24" t="s">
        <v>49</v>
      </c>
      <c r="E1234" s="41" t="s">
        <v>722</v>
      </c>
      <c r="F1234" s="24" t="s">
        <v>120</v>
      </c>
      <c r="G1234" s="27">
        <v>29</v>
      </c>
      <c r="H1234" s="28">
        <v>1</v>
      </c>
      <c r="I1234" s="24"/>
      <c r="J1234" s="24"/>
      <c r="K1234" s="24" t="s">
        <v>52</v>
      </c>
      <c r="L1234" s="24" t="s">
        <v>53</v>
      </c>
      <c r="M1234" s="24" t="s">
        <v>54</v>
      </c>
      <c r="N1234" s="24" t="s">
        <v>212</v>
      </c>
      <c r="O1234" s="24" t="s">
        <v>55</v>
      </c>
      <c r="P1234" s="24" t="s">
        <v>57</v>
      </c>
      <c r="Q1234" s="24" t="s">
        <v>74</v>
      </c>
      <c r="R1234" s="24" t="s">
        <v>59</v>
      </c>
      <c r="S1234" s="24" t="s">
        <v>61</v>
      </c>
      <c r="T1234" s="24" t="s">
        <v>128</v>
      </c>
      <c r="U1234" s="24" t="s">
        <v>62</v>
      </c>
      <c r="V1234" s="24" t="s">
        <v>77</v>
      </c>
      <c r="W1234" s="24" t="s">
        <v>79</v>
      </c>
      <c r="X1234" s="24" t="s">
        <v>107</v>
      </c>
      <c r="Y1234" s="24" t="s">
        <v>3518</v>
      </c>
      <c r="Z1234" s="24" t="s">
        <v>64</v>
      </c>
      <c r="AA1234" s="24" t="s">
        <v>49</v>
      </c>
      <c r="AB1234" s="24"/>
      <c r="AC1234" s="24" t="s">
        <v>3519</v>
      </c>
    </row>
    <row r="1235" spans="1:29">
      <c r="A1235" s="30" t="s">
        <v>764</v>
      </c>
      <c r="B1235" s="30" t="str">
        <f>IF(ISNUMBER(SEARCH(E1235,A1235)),A1235,IF(OR(E1235="",E1235=""),A1235,A1235&amp;" - "&amp;E1235))</f>
        <v>Cannamedical Sativa light - Amnesia Haze</v>
      </c>
      <c r="C1235" s="30" t="s">
        <v>48</v>
      </c>
      <c r="D1235" s="30" t="s">
        <v>49</v>
      </c>
      <c r="E1235" s="40" t="s">
        <v>2774</v>
      </c>
      <c r="F1235" s="30" t="s">
        <v>51</v>
      </c>
      <c r="G1235" s="34">
        <v>17</v>
      </c>
      <c r="H1235" s="35">
        <v>1</v>
      </c>
      <c r="I1235" s="30"/>
      <c r="J1235" s="30"/>
      <c r="K1235" s="30" t="s">
        <v>17</v>
      </c>
      <c r="L1235" s="30" t="s">
        <v>53</v>
      </c>
      <c r="M1235" s="30" t="s">
        <v>111</v>
      </c>
      <c r="N1235" s="30" t="s">
        <v>212</v>
      </c>
      <c r="O1235" s="30" t="s">
        <v>88</v>
      </c>
      <c r="P1235" s="30" t="s">
        <v>75</v>
      </c>
      <c r="Q1235" s="30" t="s">
        <v>59</v>
      </c>
      <c r="R1235" s="30"/>
      <c r="S1235" s="30" t="s">
        <v>115</v>
      </c>
      <c r="T1235" s="30" t="s">
        <v>128</v>
      </c>
      <c r="U1235" s="30" t="s">
        <v>62</v>
      </c>
      <c r="V1235" s="30" t="s">
        <v>77</v>
      </c>
      <c r="W1235" s="30" t="s">
        <v>197</v>
      </c>
      <c r="X1235" s="30" t="s">
        <v>137</v>
      </c>
      <c r="Y1235" s="30"/>
      <c r="Z1235" s="30" t="s">
        <v>64</v>
      </c>
      <c r="AA1235" s="30" t="s">
        <v>49</v>
      </c>
      <c r="AB1235" s="30"/>
      <c r="AC1235" s="62" t="s">
        <v>3520</v>
      </c>
    </row>
    <row r="1236" spans="1:29">
      <c r="A1236" s="24" t="s">
        <v>1727</v>
      </c>
      <c r="B1236" s="24" t="str">
        <f>IF(ISNUMBER(SEARCH(E1236,A1236)),A1236,IF(OR(E1236="",E1236=""),A1236,A1236&amp;" - "&amp;E1236))</f>
        <v>Cannamedical Sativa Vita - Amnesia Haze</v>
      </c>
      <c r="C1236" s="24" t="s">
        <v>48</v>
      </c>
      <c r="D1236" s="24" t="s">
        <v>49</v>
      </c>
      <c r="E1236" s="41" t="s">
        <v>2774</v>
      </c>
      <c r="F1236" s="24" t="s">
        <v>51</v>
      </c>
      <c r="G1236" s="27">
        <v>13</v>
      </c>
      <c r="H1236" s="28">
        <v>1</v>
      </c>
      <c r="I1236" s="24"/>
      <c r="J1236" s="24"/>
      <c r="K1236" s="24" t="s">
        <v>52</v>
      </c>
      <c r="L1236" s="24" t="s">
        <v>53</v>
      </c>
      <c r="M1236" s="24" t="s">
        <v>111</v>
      </c>
      <c r="N1236" s="24" t="s">
        <v>212</v>
      </c>
      <c r="O1236" s="24" t="s">
        <v>88</v>
      </c>
      <c r="P1236" s="24" t="s">
        <v>75</v>
      </c>
      <c r="Q1236" s="24" t="s">
        <v>59</v>
      </c>
      <c r="R1236" s="24"/>
      <c r="S1236" s="24" t="s">
        <v>115</v>
      </c>
      <c r="T1236" s="24" t="s">
        <v>128</v>
      </c>
      <c r="U1236" s="24" t="s">
        <v>62</v>
      </c>
      <c r="V1236" s="24" t="s">
        <v>77</v>
      </c>
      <c r="W1236" s="24" t="s">
        <v>197</v>
      </c>
      <c r="X1236" s="24" t="s">
        <v>137</v>
      </c>
      <c r="Y1236" s="24"/>
      <c r="Z1236" s="24" t="s">
        <v>64</v>
      </c>
      <c r="AA1236" s="24" t="s">
        <v>49</v>
      </c>
      <c r="AB1236" s="24"/>
      <c r="AC1236" s="63" t="s">
        <v>3521</v>
      </c>
    </row>
    <row r="1237" spans="1:29">
      <c r="A1237" s="30" t="s">
        <v>3522</v>
      </c>
      <c r="B1237" s="30" t="str">
        <f>IF(ISNUMBER(SEARCH(E1237,A1237)),A1237,IF(OR(E1237="",E1237=""),A1237,A1237&amp;" - "&amp;E1237))</f>
        <v>Drapalin 20/1 - Bafokeng Choice</v>
      </c>
      <c r="C1237" s="30" t="s">
        <v>668</v>
      </c>
      <c r="D1237" s="30" t="s">
        <v>669</v>
      </c>
      <c r="E1237" s="40" t="s">
        <v>1634</v>
      </c>
      <c r="F1237" s="30" t="s">
        <v>86</v>
      </c>
      <c r="G1237" s="34">
        <v>20</v>
      </c>
      <c r="H1237" s="35">
        <v>1</v>
      </c>
      <c r="I1237" s="30"/>
      <c r="J1237" s="30"/>
      <c r="K1237" s="30" t="s">
        <v>52</v>
      </c>
      <c r="L1237" s="30" t="s">
        <v>630</v>
      </c>
      <c r="M1237" s="30" t="s">
        <v>111</v>
      </c>
      <c r="N1237" s="30" t="s">
        <v>72</v>
      </c>
      <c r="O1237" s="30"/>
      <c r="P1237" s="30" t="s">
        <v>104</v>
      </c>
      <c r="Q1237" s="30" t="s">
        <v>75</v>
      </c>
      <c r="R1237" s="30" t="s">
        <v>58</v>
      </c>
      <c r="S1237" s="30" t="s">
        <v>123</v>
      </c>
      <c r="T1237" s="30" t="s">
        <v>91</v>
      </c>
      <c r="U1237" s="30" t="s">
        <v>61</v>
      </c>
      <c r="V1237" s="30" t="s">
        <v>77</v>
      </c>
      <c r="W1237" s="30" t="s">
        <v>107</v>
      </c>
      <c r="X1237" s="30"/>
      <c r="Y1237" s="30"/>
      <c r="Z1237" s="30" t="s">
        <v>64</v>
      </c>
      <c r="AA1237" s="30" t="s">
        <v>671</v>
      </c>
      <c r="AB1237" s="30" t="s">
        <v>672</v>
      </c>
      <c r="AC1237" s="62" t="s">
        <v>3523</v>
      </c>
    </row>
    <row r="1238" spans="1:29">
      <c r="A1238" s="24" t="s">
        <v>3524</v>
      </c>
      <c r="B1238" s="24" t="str">
        <f>IF(ISNUMBER(SEARCH(E1238,A1238)),A1238,IF(OR(E1238="",E1238=""),A1238,A1238&amp;" - "&amp;E1238))</f>
        <v>Drapalin 24/1 - Bafokeng Choice</v>
      </c>
      <c r="C1238" s="24" t="s">
        <v>668</v>
      </c>
      <c r="D1238" s="24" t="s">
        <v>669</v>
      </c>
      <c r="E1238" s="41" t="s">
        <v>1634</v>
      </c>
      <c r="F1238" s="24" t="s">
        <v>86</v>
      </c>
      <c r="G1238" s="27">
        <v>24</v>
      </c>
      <c r="H1238" s="28">
        <v>1</v>
      </c>
      <c r="I1238" s="24"/>
      <c r="J1238" s="24"/>
      <c r="K1238" s="24" t="s">
        <v>52</v>
      </c>
      <c r="L1238" s="24" t="s">
        <v>630</v>
      </c>
      <c r="M1238" s="24" t="s">
        <v>111</v>
      </c>
      <c r="N1238" s="24" t="s">
        <v>72</v>
      </c>
      <c r="O1238" s="24"/>
      <c r="P1238" s="24" t="s">
        <v>104</v>
      </c>
      <c r="Q1238" s="24" t="s">
        <v>75</v>
      </c>
      <c r="R1238" s="24" t="s">
        <v>58</v>
      </c>
      <c r="S1238" s="24" t="s">
        <v>123</v>
      </c>
      <c r="T1238" s="24" t="s">
        <v>91</v>
      </c>
      <c r="U1238" s="24" t="s">
        <v>61</v>
      </c>
      <c r="V1238" s="24" t="s">
        <v>77</v>
      </c>
      <c r="W1238" s="24" t="s">
        <v>107</v>
      </c>
      <c r="X1238" s="24"/>
      <c r="Y1238" s="24"/>
      <c r="Z1238" s="24" t="s">
        <v>64</v>
      </c>
      <c r="AA1238" s="24" t="s">
        <v>671</v>
      </c>
      <c r="AB1238" s="24" t="s">
        <v>672</v>
      </c>
      <c r="AC1238" s="63" t="s">
        <v>3525</v>
      </c>
    </row>
    <row r="1239" spans="1:29">
      <c r="A1239" s="30" t="s">
        <v>3526</v>
      </c>
      <c r="B1239" s="30" t="str">
        <f>IF(ISNUMBER(SEARCH(E1239,A1239)),A1239,IF(OR(E1239="",E1239=""),A1239,A1239&amp;" - "&amp;E1239))</f>
        <v>enua 26/1 DB CA - Pink Kush</v>
      </c>
      <c r="C1239" s="30" t="s">
        <v>650</v>
      </c>
      <c r="D1239" s="30" t="s">
        <v>651</v>
      </c>
      <c r="E1239" s="40" t="s">
        <v>101</v>
      </c>
      <c r="F1239" s="30" t="s">
        <v>177</v>
      </c>
      <c r="G1239" s="34">
        <v>26</v>
      </c>
      <c r="H1239" s="35">
        <v>1</v>
      </c>
      <c r="I1239" s="30"/>
      <c r="J1239" s="30"/>
      <c r="K1239" s="30" t="s">
        <v>52</v>
      </c>
      <c r="L1239" s="30" t="s">
        <v>53</v>
      </c>
      <c r="M1239" s="30" t="s">
        <v>88</v>
      </c>
      <c r="N1239" s="30" t="s">
        <v>71</v>
      </c>
      <c r="O1239" s="30" t="s">
        <v>103</v>
      </c>
      <c r="P1239" s="30" t="s">
        <v>57</v>
      </c>
      <c r="Q1239" s="30" t="s">
        <v>104</v>
      </c>
      <c r="R1239" s="30" t="s">
        <v>74</v>
      </c>
      <c r="S1239" s="30" t="s">
        <v>61</v>
      </c>
      <c r="T1239" s="30" t="s">
        <v>62</v>
      </c>
      <c r="U1239" s="30" t="s">
        <v>128</v>
      </c>
      <c r="V1239" s="30" t="s">
        <v>77</v>
      </c>
      <c r="W1239" s="30" t="s">
        <v>79</v>
      </c>
      <c r="X1239" s="30" t="s">
        <v>107</v>
      </c>
      <c r="Y1239" s="30"/>
      <c r="Z1239" s="30" t="s">
        <v>64</v>
      </c>
      <c r="AA1239" s="30" t="s">
        <v>653</v>
      </c>
      <c r="AB1239" s="30"/>
      <c r="AC1239" s="62" t="s">
        <v>3527</v>
      </c>
    </row>
    <row r="1240" spans="1:29">
      <c r="A1240" s="24" t="s">
        <v>3528</v>
      </c>
      <c r="B1240" s="24" t="str">
        <f>IF(ISNUMBER(SEARCH(E1240,A1240)),A1240,IF(OR(E1240="",E1240=""),A1240,A1240&amp;" - "&amp;E1240))</f>
        <v>HAPA pharm 17/1 - Amnesia Kush</v>
      </c>
      <c r="C1240" s="23" t="s">
        <v>2211</v>
      </c>
      <c r="D1240" s="24" t="s">
        <v>2212</v>
      </c>
      <c r="E1240" s="64" t="s">
        <v>3476</v>
      </c>
      <c r="F1240" s="24" t="s">
        <v>51</v>
      </c>
      <c r="G1240" s="27">
        <v>17</v>
      </c>
      <c r="H1240" s="28">
        <v>1</v>
      </c>
      <c r="I1240" s="24"/>
      <c r="J1240" s="24"/>
      <c r="K1240" s="24" t="s">
        <v>52</v>
      </c>
      <c r="L1240" s="24" t="s">
        <v>145</v>
      </c>
      <c r="M1240" s="24" t="s">
        <v>88</v>
      </c>
      <c r="N1240" s="24" t="s">
        <v>71</v>
      </c>
      <c r="O1240" s="24" t="s">
        <v>178</v>
      </c>
      <c r="P1240" s="24" t="s">
        <v>74</v>
      </c>
      <c r="Q1240" s="24" t="s">
        <v>75</v>
      </c>
      <c r="R1240" s="24" t="s">
        <v>58</v>
      </c>
      <c r="S1240" s="24" t="s">
        <v>90</v>
      </c>
      <c r="T1240" s="24" t="s">
        <v>60</v>
      </c>
      <c r="U1240" s="24" t="s">
        <v>123</v>
      </c>
      <c r="V1240" s="24" t="s">
        <v>77</v>
      </c>
      <c r="W1240" s="24" t="s">
        <v>79</v>
      </c>
      <c r="X1240" s="24" t="s">
        <v>107</v>
      </c>
      <c r="Y1240" s="24"/>
      <c r="Z1240" s="24" t="s">
        <v>64</v>
      </c>
      <c r="AA1240" s="24" t="s">
        <v>2212</v>
      </c>
      <c r="AB1240" s="24"/>
      <c r="AC1240" s="63" t="s">
        <v>3529</v>
      </c>
    </row>
    <row r="1241" spans="1:29">
      <c r="A1241" s="30" t="s">
        <v>3530</v>
      </c>
      <c r="B1241" s="30" t="str">
        <f>IF(ISNUMBER(SEARCH(E1241,A1241)),A1241,IF(OR(E1241="",E1241=""),A1241,A1241&amp;" - "&amp;E1241))</f>
        <v>IndiMed 20/1 ISS - DE - Island Sweet Skunk</v>
      </c>
      <c r="C1241" s="30" t="s">
        <v>511</v>
      </c>
      <c r="D1241" s="30" t="s">
        <v>512</v>
      </c>
      <c r="E1241" s="40" t="s">
        <v>135</v>
      </c>
      <c r="F1241" s="30" t="s">
        <v>69</v>
      </c>
      <c r="G1241" s="34">
        <v>20</v>
      </c>
      <c r="H1241" s="35">
        <v>1</v>
      </c>
      <c r="I1241" s="30"/>
      <c r="J1241" s="30"/>
      <c r="K1241" s="30" t="s">
        <v>17</v>
      </c>
      <c r="L1241" s="30" t="s">
        <v>102</v>
      </c>
      <c r="M1241" s="30" t="s">
        <v>54</v>
      </c>
      <c r="N1241" s="30" t="s">
        <v>111</v>
      </c>
      <c r="O1241" s="30" t="s">
        <v>88</v>
      </c>
      <c r="P1241" s="30" t="s">
        <v>136</v>
      </c>
      <c r="Q1241" s="30" t="s">
        <v>89</v>
      </c>
      <c r="R1241" s="30" t="s">
        <v>58</v>
      </c>
      <c r="S1241" s="30" t="s">
        <v>90</v>
      </c>
      <c r="T1241" s="30" t="s">
        <v>60</v>
      </c>
      <c r="U1241" s="30" t="s">
        <v>62</v>
      </c>
      <c r="V1241" s="30" t="s">
        <v>77</v>
      </c>
      <c r="W1241" s="30" t="s">
        <v>137</v>
      </c>
      <c r="X1241" s="30" t="s">
        <v>138</v>
      </c>
      <c r="Y1241" s="30" t="s">
        <v>335</v>
      </c>
      <c r="Z1241" s="30" t="s">
        <v>64</v>
      </c>
      <c r="AA1241" s="30" t="s">
        <v>512</v>
      </c>
      <c r="AB1241" s="30"/>
      <c r="AC1241" s="30" t="s">
        <v>3531</v>
      </c>
    </row>
    <row r="1242" spans="1:29">
      <c r="A1242" s="24" t="s">
        <v>3532</v>
      </c>
      <c r="B1242" s="24" t="str">
        <f>IF(ISNUMBER(SEARCH(E1242,A1242)),A1242,IF(OR(E1242="",E1242=""),A1242,A1242&amp;" - "&amp;E1242))</f>
        <v>Materia Carbasi Verde 20/1 - Alien Dawg</v>
      </c>
      <c r="C1242" s="24" t="s">
        <v>3071</v>
      </c>
      <c r="D1242" s="24" t="s">
        <v>3072</v>
      </c>
      <c r="E1242" s="41" t="s">
        <v>2465</v>
      </c>
      <c r="F1242" s="24" t="s">
        <v>51</v>
      </c>
      <c r="G1242" s="27">
        <v>20</v>
      </c>
      <c r="H1242" s="28">
        <v>1</v>
      </c>
      <c r="I1242" s="24"/>
      <c r="J1242" s="24"/>
      <c r="K1242" s="24" t="s">
        <v>17</v>
      </c>
      <c r="L1242" s="24" t="s">
        <v>102</v>
      </c>
      <c r="M1242" s="24" t="s">
        <v>54</v>
      </c>
      <c r="N1242" s="24" t="s">
        <v>88</v>
      </c>
      <c r="O1242" s="24" t="s">
        <v>121</v>
      </c>
      <c r="P1242" s="24" t="s">
        <v>74</v>
      </c>
      <c r="Q1242" s="24" t="s">
        <v>113</v>
      </c>
      <c r="R1242" s="24" t="s">
        <v>59</v>
      </c>
      <c r="S1242" s="24" t="s">
        <v>147</v>
      </c>
      <c r="T1242" s="24" t="s">
        <v>106</v>
      </c>
      <c r="U1242" s="24" t="s">
        <v>91</v>
      </c>
      <c r="V1242" s="24" t="s">
        <v>77</v>
      </c>
      <c r="W1242" s="24" t="s">
        <v>107</v>
      </c>
      <c r="X1242" s="24"/>
      <c r="Y1242" s="24"/>
      <c r="Z1242" s="24" t="s">
        <v>64</v>
      </c>
      <c r="AA1242" s="24" t="s">
        <v>3072</v>
      </c>
      <c r="AB1242" s="24"/>
      <c r="AC1242" s="63" t="s">
        <v>3533</v>
      </c>
    </row>
    <row r="1243" spans="1:29">
      <c r="A1243" s="30" t="s">
        <v>3534</v>
      </c>
      <c r="B1243" s="30" t="str">
        <f>IF(ISNUMBER(SEARCH(E1243,A1243)),A1243,IF(OR(E1243="",E1243=""),A1243,A1243&amp;" - "&amp;E1243))</f>
        <v>MGF Rose Gold Runtz 22/1 - Peppermint</v>
      </c>
      <c r="C1243" s="30" t="s">
        <v>3108</v>
      </c>
      <c r="D1243" s="30" t="s">
        <v>3109</v>
      </c>
      <c r="E1243" s="40" t="s">
        <v>1575</v>
      </c>
      <c r="F1243" s="30" t="s">
        <v>86</v>
      </c>
      <c r="G1243" s="34">
        <v>20</v>
      </c>
      <c r="H1243" s="35">
        <v>1</v>
      </c>
      <c r="I1243" s="30"/>
      <c r="J1243" s="30"/>
      <c r="K1243" s="30" t="s">
        <v>52</v>
      </c>
      <c r="L1243" s="30" t="s">
        <v>102</v>
      </c>
      <c r="M1243" s="30" t="s">
        <v>54</v>
      </c>
      <c r="N1243" s="30" t="s">
        <v>111</v>
      </c>
      <c r="O1243" s="30" t="s">
        <v>55</v>
      </c>
      <c r="P1243" s="30" t="s">
        <v>186</v>
      </c>
      <c r="Q1243" s="30" t="s">
        <v>157</v>
      </c>
      <c r="R1243" s="30" t="s">
        <v>112</v>
      </c>
      <c r="S1243" s="30" t="s">
        <v>147</v>
      </c>
      <c r="T1243" s="30" t="s">
        <v>106</v>
      </c>
      <c r="U1243" s="30" t="s">
        <v>62</v>
      </c>
      <c r="V1243" s="30" t="s">
        <v>77</v>
      </c>
      <c r="W1243" s="30" t="s">
        <v>107</v>
      </c>
      <c r="X1243" s="30"/>
      <c r="Y1243" s="30" t="s">
        <v>307</v>
      </c>
      <c r="Z1243" s="30" t="s">
        <v>64</v>
      </c>
      <c r="AA1243" s="30" t="s">
        <v>3109</v>
      </c>
      <c r="AB1243" s="30"/>
      <c r="AC1243" s="30" t="s">
        <v>3535</v>
      </c>
    </row>
    <row r="1244" spans="1:29">
      <c r="A1244" s="24" t="s">
        <v>3536</v>
      </c>
      <c r="B1244" s="24" t="str">
        <f>IF(ISNUMBER(SEARCH(E1244,A1244)),A1244,IF(OR(E1244="",E1244=""),A1244,A1244&amp;" - "&amp;E1244))</f>
        <v>NEDCANN ML 25/01 - Moonlight</v>
      </c>
      <c r="C1244" s="24" t="s">
        <v>3537</v>
      </c>
      <c r="D1244" s="24" t="s">
        <v>3538</v>
      </c>
      <c r="E1244" s="41" t="s">
        <v>3539</v>
      </c>
      <c r="F1244" s="24" t="s">
        <v>177</v>
      </c>
      <c r="G1244" s="27">
        <v>25</v>
      </c>
      <c r="H1244" s="28">
        <v>1</v>
      </c>
      <c r="I1244" s="24"/>
      <c r="J1244" s="24"/>
      <c r="K1244" s="24" t="s">
        <v>52</v>
      </c>
      <c r="L1244" s="24" t="s">
        <v>145</v>
      </c>
      <c r="M1244" s="24" t="s">
        <v>71</v>
      </c>
      <c r="N1244" s="24" t="s">
        <v>178</v>
      </c>
      <c r="O1244" s="24" t="s">
        <v>72</v>
      </c>
      <c r="P1244" s="24" t="s">
        <v>74</v>
      </c>
      <c r="Q1244" s="24" t="s">
        <v>75</v>
      </c>
      <c r="R1244" s="24" t="s">
        <v>89</v>
      </c>
      <c r="S1244" s="24" t="s">
        <v>147</v>
      </c>
      <c r="T1244" s="24" t="s">
        <v>106</v>
      </c>
      <c r="U1244" s="24" t="s">
        <v>179</v>
      </c>
      <c r="V1244" s="24" t="s">
        <v>77</v>
      </c>
      <c r="W1244" s="24" t="s">
        <v>79</v>
      </c>
      <c r="X1244" s="24" t="s">
        <v>173</v>
      </c>
      <c r="Y1244" s="24" t="s">
        <v>1762</v>
      </c>
      <c r="Z1244" s="24" t="s">
        <v>64</v>
      </c>
      <c r="AA1244" s="24" t="s">
        <v>3538</v>
      </c>
      <c r="AB1244" s="24"/>
      <c r="AC1244" s="24" t="s">
        <v>3540</v>
      </c>
    </row>
    <row r="1245" spans="1:29">
      <c r="A1245" s="30" t="s">
        <v>3541</v>
      </c>
      <c r="B1245" s="30" t="str">
        <f>IF(ISNUMBER(SEARCH(E1245,A1245)),A1245,IF(OR(E1245="",E1245=""),A1245,A1245&amp;" - "&amp;E1245))</f>
        <v>Phyto-Hemp PHCC 20/1 - Cherry Cookies</v>
      </c>
      <c r="C1245" s="23" t="s">
        <v>3542</v>
      </c>
      <c r="D1245" s="24" t="s">
        <v>3543</v>
      </c>
      <c r="E1245" s="40" t="s">
        <v>3544</v>
      </c>
      <c r="F1245" s="30" t="s">
        <v>86</v>
      </c>
      <c r="G1245" s="34">
        <v>20</v>
      </c>
      <c r="H1245" s="35">
        <v>1</v>
      </c>
      <c r="I1245" s="30"/>
      <c r="J1245" s="30"/>
      <c r="K1245" s="30" t="s">
        <v>52</v>
      </c>
      <c r="L1245" s="30" t="s">
        <v>965</v>
      </c>
      <c r="M1245" s="30" t="s">
        <v>54</v>
      </c>
      <c r="N1245" s="30" t="s">
        <v>111</v>
      </c>
      <c r="O1245" s="30" t="s">
        <v>88</v>
      </c>
      <c r="P1245" s="30" t="s">
        <v>74</v>
      </c>
      <c r="Q1245" s="30" t="s">
        <v>89</v>
      </c>
      <c r="R1245" s="30" t="s">
        <v>58</v>
      </c>
      <c r="S1245" s="30" t="s">
        <v>106</v>
      </c>
      <c r="T1245" s="30" t="s">
        <v>128</v>
      </c>
      <c r="U1245" s="30" t="s">
        <v>62</v>
      </c>
      <c r="V1245" s="30" t="s">
        <v>77</v>
      </c>
      <c r="W1245" s="30" t="s">
        <v>79</v>
      </c>
      <c r="X1245" s="30" t="s">
        <v>107</v>
      </c>
      <c r="Y1245" s="30"/>
      <c r="Z1245" s="30" t="s">
        <v>64</v>
      </c>
      <c r="AA1245" s="30" t="s">
        <v>3543</v>
      </c>
      <c r="AB1245" s="30"/>
      <c r="AC1245" s="30" t="s">
        <v>3545</v>
      </c>
    </row>
    <row r="1246" spans="1:29">
      <c r="A1246" s="24" t="s">
        <v>3546</v>
      </c>
      <c r="B1246" s="24" t="str">
        <f>IF(ISNUMBER(SEARCH(E1246,A1246)),A1246,IF(OR(E1246="",E1246=""),A1246,A1246&amp;" - "&amp;E1246))</f>
        <v>Remexian 27/1 LEO - Lemorange</v>
      </c>
      <c r="C1246" s="24" t="s">
        <v>83</v>
      </c>
      <c r="D1246" s="24" t="s">
        <v>84</v>
      </c>
      <c r="E1246" s="41" t="s">
        <v>3547</v>
      </c>
      <c r="F1246" s="24" t="s">
        <v>144</v>
      </c>
      <c r="G1246" s="27">
        <v>25</v>
      </c>
      <c r="H1246" s="28">
        <v>1</v>
      </c>
      <c r="I1246" s="24"/>
      <c r="J1246" s="24"/>
      <c r="K1246" s="24" t="s">
        <v>52</v>
      </c>
      <c r="L1246" s="24" t="s">
        <v>53</v>
      </c>
      <c r="M1246" s="24" t="s">
        <v>54</v>
      </c>
      <c r="N1246" s="24" t="s">
        <v>111</v>
      </c>
      <c r="O1246" s="24" t="s">
        <v>55</v>
      </c>
      <c r="P1246" s="24" t="s">
        <v>157</v>
      </c>
      <c r="Q1246" s="24" t="s">
        <v>75</v>
      </c>
      <c r="R1246" s="24" t="s">
        <v>89</v>
      </c>
      <c r="S1246" s="24" t="s">
        <v>90</v>
      </c>
      <c r="T1246" s="24" t="s">
        <v>106</v>
      </c>
      <c r="U1246" s="24" t="s">
        <v>62</v>
      </c>
      <c r="V1246" s="24" t="s">
        <v>77</v>
      </c>
      <c r="W1246" s="24" t="s">
        <v>138</v>
      </c>
      <c r="X1246" s="24" t="s">
        <v>79</v>
      </c>
      <c r="Y1246" s="24" t="s">
        <v>870</v>
      </c>
      <c r="Z1246" s="24" t="s">
        <v>64</v>
      </c>
      <c r="AA1246" s="24" t="s">
        <v>95</v>
      </c>
      <c r="AB1246" s="24"/>
      <c r="AC1246" s="24" t="s">
        <v>3548</v>
      </c>
    </row>
    <row r="1247" spans="1:29">
      <c r="A1247" s="30" t="s">
        <v>3549</v>
      </c>
      <c r="B1247" s="30" t="str">
        <f>IF(ISNUMBER(SEARCH(E1247,A1247)),A1247,IF(OR(E1247="",E1247=""),A1247,A1247&amp;" - "&amp;E1247))</f>
        <v>Social Choice 12/1 GRO - Do-Si-Dos</v>
      </c>
      <c r="C1247" s="30" t="s">
        <v>83</v>
      </c>
      <c r="D1247" s="30" t="s">
        <v>84</v>
      </c>
      <c r="E1247" s="40" t="s">
        <v>638</v>
      </c>
      <c r="F1247" s="30" t="s">
        <v>177</v>
      </c>
      <c r="G1247" s="34">
        <v>13</v>
      </c>
      <c r="H1247" s="35">
        <v>1</v>
      </c>
      <c r="I1247" s="30"/>
      <c r="J1247" s="30"/>
      <c r="K1247" s="30" t="s">
        <v>52</v>
      </c>
      <c r="L1247" s="30" t="s">
        <v>53</v>
      </c>
      <c r="M1247" s="30" t="s">
        <v>103</v>
      </c>
      <c r="N1247" s="30" t="s">
        <v>121</v>
      </c>
      <c r="O1247" s="30" t="s">
        <v>72</v>
      </c>
      <c r="P1247" s="30"/>
      <c r="Q1247" s="30"/>
      <c r="R1247" s="30"/>
      <c r="S1247" s="30" t="s">
        <v>106</v>
      </c>
      <c r="T1247" s="30" t="s">
        <v>493</v>
      </c>
      <c r="U1247" s="30" t="s">
        <v>62</v>
      </c>
      <c r="V1247" s="30" t="s">
        <v>252</v>
      </c>
      <c r="W1247" s="30" t="s">
        <v>77</v>
      </c>
      <c r="X1247" s="30" t="s">
        <v>225</v>
      </c>
      <c r="Y1247" s="30" t="s">
        <v>3550</v>
      </c>
      <c r="Z1247" s="30" t="s">
        <v>64</v>
      </c>
      <c r="AA1247" s="30" t="s">
        <v>95</v>
      </c>
      <c r="AB1247" s="30"/>
      <c r="AC1247" s="30" t="s">
        <v>3551</v>
      </c>
    </row>
    <row r="1248" spans="1:29">
      <c r="A1248" s="24" t="s">
        <v>3552</v>
      </c>
      <c r="B1248" s="24" t="str">
        <f>IF(ISNUMBER(SEARCH(E1248,A1248)),A1248,IF(OR(E1248="",E1248=""),A1248,A1248&amp;" - "&amp;E1248))</f>
        <v>Social Choice 15/1 GRO - La Kush Cake</v>
      </c>
      <c r="C1248" s="24" t="s">
        <v>83</v>
      </c>
      <c r="D1248" s="24" t="s">
        <v>84</v>
      </c>
      <c r="E1248" s="41" t="s">
        <v>578</v>
      </c>
      <c r="F1248" s="24" t="s">
        <v>177</v>
      </c>
      <c r="G1248" s="27">
        <v>16</v>
      </c>
      <c r="H1248" s="28">
        <v>1</v>
      </c>
      <c r="I1248" s="24"/>
      <c r="J1248" s="24"/>
      <c r="K1248" s="24" t="s">
        <v>52</v>
      </c>
      <c r="L1248" s="24" t="s">
        <v>53</v>
      </c>
      <c r="M1248" s="24" t="s">
        <v>156</v>
      </c>
      <c r="N1248" s="24" t="s">
        <v>121</v>
      </c>
      <c r="O1248" s="24" t="s">
        <v>72</v>
      </c>
      <c r="P1248" s="24" t="s">
        <v>112</v>
      </c>
      <c r="Q1248" s="24" t="s">
        <v>57</v>
      </c>
      <c r="R1248" s="24" t="s">
        <v>59</v>
      </c>
      <c r="S1248" s="24" t="s">
        <v>106</v>
      </c>
      <c r="T1248" s="24" t="s">
        <v>62</v>
      </c>
      <c r="U1248" s="24" t="s">
        <v>128</v>
      </c>
      <c r="V1248" s="24" t="s">
        <v>77</v>
      </c>
      <c r="W1248" s="24" t="s">
        <v>79</v>
      </c>
      <c r="X1248" s="24" t="s">
        <v>107</v>
      </c>
      <c r="Y1248" s="24" t="s">
        <v>1090</v>
      </c>
      <c r="Z1248" s="24" t="s">
        <v>64</v>
      </c>
      <c r="AA1248" s="24" t="s">
        <v>95</v>
      </c>
      <c r="AB1248" s="24"/>
      <c r="AC1248" s="24" t="s">
        <v>3553</v>
      </c>
    </row>
    <row r="1249" spans="1:29">
      <c r="A1249" s="30" t="s">
        <v>3554</v>
      </c>
      <c r="B1249" s="30" t="str">
        <f>IF(ISNUMBER(SEARCH(E1249,A1249)),A1249,IF(OR(E1249="",E1249=""),A1249,A1249&amp;" - "&amp;E1249))</f>
        <v>Spectrum 22/1 Red No. 4 - Afghan Kush</v>
      </c>
      <c r="C1249" s="30" t="s">
        <v>547</v>
      </c>
      <c r="D1249" s="30" t="s">
        <v>548</v>
      </c>
      <c r="E1249" s="40" t="s">
        <v>549</v>
      </c>
      <c r="F1249" s="30" t="s">
        <v>51</v>
      </c>
      <c r="G1249" s="34">
        <v>22</v>
      </c>
      <c r="H1249" s="35">
        <v>1</v>
      </c>
      <c r="I1249" s="30"/>
      <c r="J1249" s="30"/>
      <c r="K1249" s="30" t="s">
        <v>17</v>
      </c>
      <c r="L1249" s="30" t="s">
        <v>53</v>
      </c>
      <c r="M1249" s="30" t="s">
        <v>103</v>
      </c>
      <c r="N1249" s="30" t="s">
        <v>178</v>
      </c>
      <c r="O1249" s="30" t="s">
        <v>121</v>
      </c>
      <c r="P1249" s="30" t="s">
        <v>122</v>
      </c>
      <c r="Q1249" s="30" t="s">
        <v>74</v>
      </c>
      <c r="R1249" s="30" t="s">
        <v>113</v>
      </c>
      <c r="S1249" s="30" t="s">
        <v>147</v>
      </c>
      <c r="T1249" s="30" t="s">
        <v>61</v>
      </c>
      <c r="U1249" s="30" t="s">
        <v>62</v>
      </c>
      <c r="V1249" s="30" t="s">
        <v>77</v>
      </c>
      <c r="W1249" s="30" t="s">
        <v>116</v>
      </c>
      <c r="X1249" s="30" t="s">
        <v>107</v>
      </c>
      <c r="Y1249" s="30"/>
      <c r="Z1249" s="30" t="s">
        <v>64</v>
      </c>
      <c r="AA1249" s="30" t="s">
        <v>551</v>
      </c>
      <c r="AB1249" s="30"/>
      <c r="AC1249" s="62" t="s">
        <v>3555</v>
      </c>
    </row>
    <row r="1250" spans="1:29">
      <c r="A1250" s="24" t="s">
        <v>3556</v>
      </c>
      <c r="B1250" s="24" t="str">
        <f>IF(ISNUMBER(SEARCH(E1250,A1250)),A1250,IF(OR(E1250="",E1250=""),A1250,A1250&amp;" - "&amp;E1250))</f>
        <v>Sumo MDLX 29/1 - MAC Deluxe</v>
      </c>
      <c r="C1250" s="24" t="s">
        <v>564</v>
      </c>
      <c r="D1250" s="24" t="s">
        <v>565</v>
      </c>
      <c r="E1250" s="41" t="s">
        <v>3362</v>
      </c>
      <c r="F1250" s="24" t="s">
        <v>177</v>
      </c>
      <c r="G1250" s="27">
        <v>29</v>
      </c>
      <c r="H1250" s="28">
        <v>1</v>
      </c>
      <c r="I1250" s="24"/>
      <c r="J1250" s="24"/>
      <c r="K1250" s="24" t="s">
        <v>52</v>
      </c>
      <c r="L1250" s="24" t="s">
        <v>53</v>
      </c>
      <c r="M1250" s="24" t="s">
        <v>54</v>
      </c>
      <c r="N1250" s="24" t="s">
        <v>111</v>
      </c>
      <c r="O1250" s="24" t="s">
        <v>88</v>
      </c>
      <c r="P1250" s="24" t="s">
        <v>57</v>
      </c>
      <c r="Q1250" s="24" t="s">
        <v>74</v>
      </c>
      <c r="R1250" s="24" t="s">
        <v>75</v>
      </c>
      <c r="S1250" s="24" t="s">
        <v>90</v>
      </c>
      <c r="T1250" s="24" t="s">
        <v>147</v>
      </c>
      <c r="U1250" s="24" t="s">
        <v>106</v>
      </c>
      <c r="V1250" s="24" t="s">
        <v>116</v>
      </c>
      <c r="W1250" s="24" t="s">
        <v>107</v>
      </c>
      <c r="X1250" s="24" t="s">
        <v>173</v>
      </c>
      <c r="Y1250" s="24" t="s">
        <v>286</v>
      </c>
      <c r="Z1250" s="24" t="s">
        <v>64</v>
      </c>
      <c r="AA1250" s="24" t="s">
        <v>565</v>
      </c>
      <c r="AB1250" s="24"/>
      <c r="AC1250" s="24" t="s">
        <v>3557</v>
      </c>
    </row>
    <row r="1251" spans="1:29">
      <c r="A1251" s="30" t="s">
        <v>3558</v>
      </c>
      <c r="B1251" s="30" t="str">
        <f>IF(ISNUMBER(SEARCH(E1251,A1251)),A1251,IF(OR(E1251="",E1251=""),A1251,A1251&amp;" - "&amp;E1251))</f>
        <v>Weeco HK 20/1 - Hindu Kush</v>
      </c>
      <c r="C1251" s="30" t="s">
        <v>905</v>
      </c>
      <c r="D1251" s="30" t="s">
        <v>906</v>
      </c>
      <c r="E1251" s="40" t="s">
        <v>456</v>
      </c>
      <c r="F1251" s="30" t="s">
        <v>177</v>
      </c>
      <c r="G1251" s="34">
        <v>20</v>
      </c>
      <c r="H1251" s="35">
        <v>1</v>
      </c>
      <c r="I1251" s="30"/>
      <c r="J1251" s="30"/>
      <c r="K1251" s="30" t="s">
        <v>52</v>
      </c>
      <c r="L1251" s="30" t="s">
        <v>423</v>
      </c>
      <c r="M1251" s="30" t="s">
        <v>103</v>
      </c>
      <c r="N1251" s="30" t="s">
        <v>121</v>
      </c>
      <c r="O1251" s="30" t="s">
        <v>72</v>
      </c>
      <c r="P1251" s="30" t="s">
        <v>74</v>
      </c>
      <c r="Q1251" s="30" t="s">
        <v>113</v>
      </c>
      <c r="R1251" s="30" t="s">
        <v>59</v>
      </c>
      <c r="S1251" s="30" t="s">
        <v>90</v>
      </c>
      <c r="T1251" s="30" t="s">
        <v>192</v>
      </c>
      <c r="U1251" s="30" t="s">
        <v>105</v>
      </c>
      <c r="V1251" s="30" t="s">
        <v>77</v>
      </c>
      <c r="W1251" s="30" t="s">
        <v>395</v>
      </c>
      <c r="X1251" s="30" t="s">
        <v>107</v>
      </c>
      <c r="Y1251" s="30" t="s">
        <v>213</v>
      </c>
      <c r="Z1251" s="30" t="s">
        <v>64</v>
      </c>
      <c r="AA1251" s="30" t="s">
        <v>906</v>
      </c>
      <c r="AB1251" s="30"/>
      <c r="AC1251" s="30" t="s">
        <v>3559</v>
      </c>
    </row>
    <row r="1252" spans="1:29">
      <c r="A1252" s="24" t="s">
        <v>3560</v>
      </c>
      <c r="B1252" s="24" t="str">
        <f>IF(ISNUMBER(SEARCH(E1252,A1252)),A1252,IF(OR(E1252="",E1252=""),A1252,A1252&amp;" - "&amp;E1252))</f>
        <v>Canify Cannabis flos 25/1 POR Ku. - Moroccan Peaches</v>
      </c>
      <c r="C1252" s="24" t="s">
        <v>99</v>
      </c>
      <c r="D1252" s="24" t="s">
        <v>100</v>
      </c>
      <c r="E1252" s="41" t="s">
        <v>3561</v>
      </c>
      <c r="F1252" s="24" t="s">
        <v>86</v>
      </c>
      <c r="G1252" s="27">
        <v>25</v>
      </c>
      <c r="H1252" s="28">
        <v>1</v>
      </c>
      <c r="I1252" s="24"/>
      <c r="J1252" s="24"/>
      <c r="K1252" s="24" t="s">
        <v>52</v>
      </c>
      <c r="L1252" s="24" t="s">
        <v>102</v>
      </c>
      <c r="M1252" s="24" t="s">
        <v>54</v>
      </c>
      <c r="N1252" s="24" t="s">
        <v>88</v>
      </c>
      <c r="O1252" s="24" t="s">
        <v>55</v>
      </c>
      <c r="P1252" s="24" t="s">
        <v>75</v>
      </c>
      <c r="Q1252" s="24" t="s">
        <v>58</v>
      </c>
      <c r="R1252" s="24"/>
      <c r="S1252" s="24" t="s">
        <v>60</v>
      </c>
      <c r="T1252" s="24" t="s">
        <v>106</v>
      </c>
      <c r="U1252" s="24" t="s">
        <v>62</v>
      </c>
      <c r="V1252" s="24" t="s">
        <v>180</v>
      </c>
      <c r="W1252" s="24" t="s">
        <v>129</v>
      </c>
      <c r="X1252" s="24" t="s">
        <v>79</v>
      </c>
      <c r="Y1252" s="24" t="s">
        <v>130</v>
      </c>
      <c r="Z1252" s="24" t="s">
        <v>64</v>
      </c>
      <c r="AA1252" s="24" t="s">
        <v>100</v>
      </c>
      <c r="AB1252" s="24"/>
      <c r="AC1252" s="24" t="s">
        <v>3562</v>
      </c>
    </row>
    <row r="1253" spans="1:29">
      <c r="A1253" s="30" t="s">
        <v>3563</v>
      </c>
      <c r="B1253" s="30" t="str">
        <f>IF(ISNUMBER(SEARCH(E1253,A1253)),A1253,IF(OR(E1253="",E1253=""),A1253,A1253&amp;" - "&amp;E1253))</f>
        <v>CM Craft No.1 30/1 - Scratch n Sniff</v>
      </c>
      <c r="C1253" s="30" t="s">
        <v>3537</v>
      </c>
      <c r="D1253" s="30" t="s">
        <v>3538</v>
      </c>
      <c r="E1253" s="40" t="s">
        <v>3564</v>
      </c>
      <c r="F1253" s="30" t="s">
        <v>86</v>
      </c>
      <c r="G1253" s="34">
        <v>30</v>
      </c>
      <c r="H1253" s="35">
        <v>1</v>
      </c>
      <c r="I1253" s="30"/>
      <c r="J1253" s="30"/>
      <c r="K1253" s="30" t="s">
        <v>52</v>
      </c>
      <c r="L1253" s="30" t="s">
        <v>53</v>
      </c>
      <c r="M1253" s="30" t="s">
        <v>54</v>
      </c>
      <c r="N1253" s="30" t="s">
        <v>88</v>
      </c>
      <c r="O1253" s="30" t="s">
        <v>178</v>
      </c>
      <c r="P1253" s="30" t="s">
        <v>73</v>
      </c>
      <c r="Q1253" s="30" t="s">
        <v>112</v>
      </c>
      <c r="R1253" s="30" t="s">
        <v>57</v>
      </c>
      <c r="S1253" s="30" t="s">
        <v>147</v>
      </c>
      <c r="T1253" s="30" t="s">
        <v>106</v>
      </c>
      <c r="U1253" s="30" t="s">
        <v>62</v>
      </c>
      <c r="V1253" s="30" t="s">
        <v>77</v>
      </c>
      <c r="W1253" s="30" t="s">
        <v>116</v>
      </c>
      <c r="X1253" s="30" t="s">
        <v>79</v>
      </c>
      <c r="Y1253" s="30" t="s">
        <v>80</v>
      </c>
      <c r="Z1253" s="30" t="s">
        <v>64</v>
      </c>
      <c r="AA1253" s="30" t="s">
        <v>3538</v>
      </c>
      <c r="AB1253" s="30"/>
      <c r="AC1253" s="30" t="s">
        <v>3565</v>
      </c>
    </row>
    <row r="1254" spans="1:29">
      <c r="A1254" s="24" t="s">
        <v>3566</v>
      </c>
      <c r="B1254" s="24" t="str">
        <f>IF(ISNUMBER(SEARCH(E1254,A1254)),A1254,IF(OR(E1254="",E1254=""),A1254,A1254&amp;" - "&amp;E1254))</f>
        <v>Curaleaf Natural 18/1 PT LVC - Lavender Cake</v>
      </c>
      <c r="C1254" s="24" t="s">
        <v>463</v>
      </c>
      <c r="D1254" s="24" t="s">
        <v>464</v>
      </c>
      <c r="E1254" s="41" t="s">
        <v>2832</v>
      </c>
      <c r="F1254" s="24" t="s">
        <v>177</v>
      </c>
      <c r="G1254" s="27">
        <v>18</v>
      </c>
      <c r="H1254" s="28">
        <v>1</v>
      </c>
      <c r="I1254" s="24"/>
      <c r="J1254" s="24"/>
      <c r="K1254" s="24" t="s">
        <v>52</v>
      </c>
      <c r="L1254" s="24" t="s">
        <v>102</v>
      </c>
      <c r="M1254" s="24" t="s">
        <v>111</v>
      </c>
      <c r="N1254" s="24" t="s">
        <v>72</v>
      </c>
      <c r="O1254" s="24"/>
      <c r="P1254" s="24" t="s">
        <v>57</v>
      </c>
      <c r="Q1254" s="24" t="s">
        <v>104</v>
      </c>
      <c r="R1254" s="24" t="s">
        <v>89</v>
      </c>
      <c r="S1254" s="24" t="s">
        <v>123</v>
      </c>
      <c r="T1254" s="24" t="s">
        <v>91</v>
      </c>
      <c r="U1254" s="24" t="s">
        <v>114</v>
      </c>
      <c r="V1254" s="24" t="s">
        <v>129</v>
      </c>
      <c r="W1254" s="24" t="s">
        <v>138</v>
      </c>
      <c r="X1254" s="24" t="s">
        <v>107</v>
      </c>
      <c r="Y1254" s="24" t="s">
        <v>367</v>
      </c>
      <c r="Z1254" s="24" t="s">
        <v>64</v>
      </c>
      <c r="AA1254" s="24" t="s">
        <v>468</v>
      </c>
      <c r="AB1254" s="24"/>
      <c r="AC1254" s="24" t="s">
        <v>3567</v>
      </c>
    </row>
    <row r="1255" spans="1:29">
      <c r="A1255" s="30" t="s">
        <v>3568</v>
      </c>
      <c r="B1255" s="30" t="str">
        <f>IF(ISNUMBER(SEARCH(E1255,A1255)),A1255,IF(OR(E1255="",E1255=""),A1255,A1255&amp;" - "&amp;E1255))</f>
        <v>Huala 20/1 CA GRF - Grape Face</v>
      </c>
      <c r="C1255" s="30" t="s">
        <v>463</v>
      </c>
      <c r="D1255" s="30" t="s">
        <v>464</v>
      </c>
      <c r="E1255" s="40" t="s">
        <v>3569</v>
      </c>
      <c r="F1255" s="30" t="s">
        <v>86</v>
      </c>
      <c r="G1255" s="34">
        <v>20</v>
      </c>
      <c r="H1255" s="35">
        <v>1</v>
      </c>
      <c r="I1255" s="30"/>
      <c r="J1255" s="30"/>
      <c r="K1255" s="30" t="s">
        <v>52</v>
      </c>
      <c r="L1255" s="30" t="s">
        <v>53</v>
      </c>
      <c r="M1255" s="30" t="s">
        <v>88</v>
      </c>
      <c r="N1255" s="30" t="s">
        <v>71</v>
      </c>
      <c r="O1255" s="30" t="s">
        <v>103</v>
      </c>
      <c r="P1255" s="30" t="s">
        <v>157</v>
      </c>
      <c r="Q1255" s="30" t="s">
        <v>146</v>
      </c>
      <c r="R1255" s="30" t="s">
        <v>89</v>
      </c>
      <c r="S1255" s="30" t="s">
        <v>128</v>
      </c>
      <c r="T1255" s="30"/>
      <c r="U1255" s="30"/>
      <c r="V1255" s="30" t="s">
        <v>77</v>
      </c>
      <c r="W1255" s="30" t="s">
        <v>107</v>
      </c>
      <c r="X1255" s="30" t="s">
        <v>93</v>
      </c>
      <c r="Y1255" s="30" t="s">
        <v>1175</v>
      </c>
      <c r="Z1255" s="30" t="s">
        <v>64</v>
      </c>
      <c r="AA1255" s="30" t="s">
        <v>468</v>
      </c>
      <c r="AB1255" s="30"/>
      <c r="AC1255" s="30" t="s">
        <v>3570</v>
      </c>
    </row>
    <row r="1256" spans="1:29">
      <c r="A1256" s="24" t="s">
        <v>3571</v>
      </c>
      <c r="B1256" s="24" t="str">
        <f>IF(ISNUMBER(SEARCH(E1256,A1256)),A1256,IF(OR(E1256="",E1256=""),A1256,A1256&amp;" - "&amp;E1256))</f>
        <v>Horbery AH 23:01 - Do-Si-Dos</v>
      </c>
      <c r="C1256" s="24" t="s">
        <v>484</v>
      </c>
      <c r="D1256" s="24" t="s">
        <v>485</v>
      </c>
      <c r="E1256" s="41" t="s">
        <v>638</v>
      </c>
      <c r="F1256" s="24" t="s">
        <v>177</v>
      </c>
      <c r="G1256" s="27">
        <v>23</v>
      </c>
      <c r="H1256" s="28">
        <v>1</v>
      </c>
      <c r="I1256" s="24"/>
      <c r="J1256" s="24"/>
      <c r="K1256" s="24" t="s">
        <v>52</v>
      </c>
      <c r="L1256" s="24" t="s">
        <v>53</v>
      </c>
      <c r="M1256" s="24" t="s">
        <v>103</v>
      </c>
      <c r="N1256" s="24" t="s">
        <v>121</v>
      </c>
      <c r="O1256" s="24" t="s">
        <v>72</v>
      </c>
      <c r="P1256" s="24"/>
      <c r="Q1256" s="24"/>
      <c r="R1256" s="24"/>
      <c r="S1256" s="24" t="s">
        <v>466</v>
      </c>
      <c r="T1256" s="24" t="s">
        <v>106</v>
      </c>
      <c r="U1256" s="24" t="s">
        <v>493</v>
      </c>
      <c r="V1256" s="24" t="s">
        <v>252</v>
      </c>
      <c r="W1256" s="24" t="s">
        <v>77</v>
      </c>
      <c r="X1256" s="24" t="s">
        <v>225</v>
      </c>
      <c r="Y1256" s="24" t="s">
        <v>314</v>
      </c>
      <c r="Z1256" s="24" t="s">
        <v>64</v>
      </c>
      <c r="AA1256" s="24" t="s">
        <v>485</v>
      </c>
      <c r="AB1256" s="24"/>
      <c r="AC1256" s="24" t="s">
        <v>3572</v>
      </c>
    </row>
    <row r="1257" spans="1:29">
      <c r="A1257" s="30" t="s">
        <v>3573</v>
      </c>
      <c r="B1257" s="30" t="str">
        <f>IF(ISNUMBER(SEARCH(E1257,A1257)),A1257,IF(OR(E1257="",E1257=""),A1257,A1257&amp;" - "&amp;E1257))</f>
        <v>Demecan Core SKYGLOW 25:01 - Grapes and Cream</v>
      </c>
      <c r="C1257" s="30" t="s">
        <v>484</v>
      </c>
      <c r="D1257" s="30" t="s">
        <v>485</v>
      </c>
      <c r="E1257" s="40" t="s">
        <v>794</v>
      </c>
      <c r="F1257" s="30" t="s">
        <v>51</v>
      </c>
      <c r="G1257" s="34">
        <v>25</v>
      </c>
      <c r="H1257" s="35">
        <v>1</v>
      </c>
      <c r="I1257" s="30"/>
      <c r="J1257" s="30"/>
      <c r="K1257" s="30" t="s">
        <v>52</v>
      </c>
      <c r="L1257" s="30" t="s">
        <v>53</v>
      </c>
      <c r="M1257" s="30" t="s">
        <v>54</v>
      </c>
      <c r="N1257" s="30" t="s">
        <v>121</v>
      </c>
      <c r="O1257" s="30" t="s">
        <v>72</v>
      </c>
      <c r="P1257" s="30" t="s">
        <v>89</v>
      </c>
      <c r="Q1257" s="30" t="s">
        <v>58</v>
      </c>
      <c r="R1257" s="30"/>
      <c r="S1257" s="30" t="s">
        <v>106</v>
      </c>
      <c r="T1257" s="30" t="s">
        <v>91</v>
      </c>
      <c r="U1257" s="30" t="s">
        <v>62</v>
      </c>
      <c r="V1257" s="30" t="s">
        <v>77</v>
      </c>
      <c r="W1257" s="30" t="s">
        <v>107</v>
      </c>
      <c r="X1257" s="30" t="s">
        <v>93</v>
      </c>
      <c r="Y1257" s="30" t="s">
        <v>539</v>
      </c>
      <c r="Z1257" s="30" t="s">
        <v>64</v>
      </c>
      <c r="AA1257" s="30" t="s">
        <v>485</v>
      </c>
      <c r="AB1257" s="30"/>
      <c r="AC1257" s="30" t="s">
        <v>3574</v>
      </c>
    </row>
    <row r="1258" spans="1:29">
      <c r="A1258" s="24" t="s">
        <v>3575</v>
      </c>
      <c r="B1258" s="24" t="str">
        <f>IF(ISNUMBER(SEARCH(E1258,A1258)),A1258,IF(OR(E1258="",E1258=""),A1258,A1258&amp;" - "&amp;E1258))</f>
        <v>enua 33/1 GGZ CA - Gogurtz</v>
      </c>
      <c r="C1258" s="24" t="s">
        <v>650</v>
      </c>
      <c r="D1258" s="24" t="s">
        <v>651</v>
      </c>
      <c r="E1258" s="41" t="s">
        <v>1166</v>
      </c>
      <c r="F1258" s="24" t="s">
        <v>177</v>
      </c>
      <c r="G1258" s="27">
        <v>33</v>
      </c>
      <c r="H1258" s="28">
        <v>1</v>
      </c>
      <c r="I1258" s="24"/>
      <c r="J1258" s="24"/>
      <c r="K1258" s="24" t="s">
        <v>52</v>
      </c>
      <c r="L1258" s="24" t="s">
        <v>53</v>
      </c>
      <c r="M1258" s="24" t="s">
        <v>54</v>
      </c>
      <c r="N1258" s="24" t="s">
        <v>88</v>
      </c>
      <c r="O1258" s="24" t="s">
        <v>178</v>
      </c>
      <c r="P1258" s="24" t="s">
        <v>136</v>
      </c>
      <c r="Q1258" s="24" t="s">
        <v>74</v>
      </c>
      <c r="R1258" s="24" t="s">
        <v>89</v>
      </c>
      <c r="S1258" s="24" t="s">
        <v>147</v>
      </c>
      <c r="T1258" s="24" t="s">
        <v>106</v>
      </c>
      <c r="U1258" s="24" t="s">
        <v>62</v>
      </c>
      <c r="V1258" s="24" t="s">
        <v>77</v>
      </c>
      <c r="W1258" s="24" t="s">
        <v>116</v>
      </c>
      <c r="X1258" s="24" t="s">
        <v>107</v>
      </c>
      <c r="Y1258" s="24" t="s">
        <v>1638</v>
      </c>
      <c r="Z1258" s="24" t="s">
        <v>64</v>
      </c>
      <c r="AA1258" s="24" t="s">
        <v>653</v>
      </c>
      <c r="AB1258" s="24"/>
      <c r="AC1258" s="24" t="s">
        <v>3576</v>
      </c>
    </row>
    <row r="1259" spans="1:29">
      <c r="A1259" s="30" t="s">
        <v>3577</v>
      </c>
      <c r="B1259" s="30" t="str">
        <f>IF(ISNUMBER(SEARCH(E1259,A1259)),A1259,IF(OR(E1259="",E1259=""),A1259,A1259&amp;" - "&amp;E1259))</f>
        <v>Demecan SC Low Drop - Vanilla Ice</v>
      </c>
      <c r="C1259" s="30" t="s">
        <v>484</v>
      </c>
      <c r="D1259" s="30" t="s">
        <v>485</v>
      </c>
      <c r="E1259" s="40" t="s">
        <v>3578</v>
      </c>
      <c r="F1259" s="30" t="s">
        <v>120</v>
      </c>
      <c r="G1259" s="34">
        <v>17</v>
      </c>
      <c r="H1259" s="35">
        <v>1</v>
      </c>
      <c r="I1259" s="30"/>
      <c r="J1259" s="30"/>
      <c r="K1259" s="30" t="s">
        <v>52</v>
      </c>
      <c r="L1259" s="30" t="s">
        <v>53</v>
      </c>
      <c r="M1259" s="30" t="s">
        <v>88</v>
      </c>
      <c r="N1259" s="30" t="s">
        <v>72</v>
      </c>
      <c r="O1259" s="30"/>
      <c r="P1259" s="30" t="s">
        <v>57</v>
      </c>
      <c r="Q1259" s="30" t="s">
        <v>104</v>
      </c>
      <c r="R1259" s="30" t="s">
        <v>89</v>
      </c>
      <c r="S1259" s="30" t="s">
        <v>192</v>
      </c>
      <c r="T1259" s="30" t="s">
        <v>106</v>
      </c>
      <c r="U1259" s="30" t="s">
        <v>62</v>
      </c>
      <c r="V1259" s="30" t="s">
        <v>77</v>
      </c>
      <c r="W1259" s="30" t="s">
        <v>116</v>
      </c>
      <c r="X1259" s="30" t="s">
        <v>79</v>
      </c>
      <c r="Y1259" s="30" t="s">
        <v>130</v>
      </c>
      <c r="Z1259" s="30" t="s">
        <v>64</v>
      </c>
      <c r="AA1259" s="30" t="s">
        <v>485</v>
      </c>
      <c r="AB1259" s="30"/>
      <c r="AC1259" s="30" t="s">
        <v>3579</v>
      </c>
    </row>
    <row r="1260" spans="1:29">
      <c r="A1260" s="24" t="s">
        <v>3580</v>
      </c>
      <c r="B1260" s="24" t="str">
        <f>IF(ISNUMBER(SEARCH(E1260,A1260)),A1260,IF(OR(E1260="",E1260=""),A1260,A1260&amp;" - "&amp;E1260))</f>
        <v>enua 25/1 ICC CA - Ice Cream Cake</v>
      </c>
      <c r="C1260" s="24" t="s">
        <v>650</v>
      </c>
      <c r="D1260" s="24" t="s">
        <v>651</v>
      </c>
      <c r="E1260" s="41" t="s">
        <v>1214</v>
      </c>
      <c r="F1260" s="24" t="s">
        <v>177</v>
      </c>
      <c r="G1260" s="27">
        <v>25</v>
      </c>
      <c r="H1260" s="28">
        <v>1</v>
      </c>
      <c r="I1260" s="24"/>
      <c r="J1260" s="24"/>
      <c r="K1260" s="24" t="s">
        <v>52</v>
      </c>
      <c r="L1260" s="24" t="s">
        <v>53</v>
      </c>
      <c r="M1260" s="24" t="s">
        <v>54</v>
      </c>
      <c r="N1260" s="24" t="s">
        <v>88</v>
      </c>
      <c r="O1260" s="24" t="s">
        <v>103</v>
      </c>
      <c r="P1260" s="24" t="s">
        <v>57</v>
      </c>
      <c r="Q1260" s="24" t="s">
        <v>89</v>
      </c>
      <c r="R1260" s="24"/>
      <c r="S1260" s="24" t="s">
        <v>123</v>
      </c>
      <c r="T1260" s="24" t="s">
        <v>106</v>
      </c>
      <c r="U1260" s="24" t="s">
        <v>62</v>
      </c>
      <c r="V1260" s="24" t="s">
        <v>77</v>
      </c>
      <c r="W1260" s="24" t="s">
        <v>116</v>
      </c>
      <c r="X1260" s="24" t="s">
        <v>165</v>
      </c>
      <c r="Y1260" s="24"/>
      <c r="Z1260" s="24" t="s">
        <v>64</v>
      </c>
      <c r="AA1260" s="24" t="s">
        <v>653</v>
      </c>
      <c r="AB1260" s="24"/>
      <c r="AC1260" s="24" t="s">
        <v>3581</v>
      </c>
    </row>
    <row r="1261" spans="1:29">
      <c r="A1261" s="30" t="s">
        <v>3582</v>
      </c>
      <c r="B1261" s="30" t="str">
        <f>IF(ISNUMBER(SEARCH(E1261,A1261)),A1261,IF(OR(E1261="",E1261=""),A1261,A1261&amp;" - "&amp;E1261))</f>
        <v>Farmako Extrakt 10:10 Spray</v>
      </c>
      <c r="C1261" s="30" t="s">
        <v>2187</v>
      </c>
      <c r="D1261" s="30" t="s">
        <v>2188</v>
      </c>
      <c r="E1261" s="40"/>
      <c r="F1261" s="30" t="s">
        <v>56</v>
      </c>
      <c r="G1261" s="34"/>
      <c r="H1261" s="35"/>
      <c r="I1261" s="30" t="s">
        <v>56</v>
      </c>
      <c r="J1261" s="30">
        <v>10</v>
      </c>
      <c r="K1261" s="30" t="s">
        <v>1913</v>
      </c>
      <c r="L1261" s="30" t="s">
        <v>304</v>
      </c>
      <c r="M1261" s="30" t="s">
        <v>121</v>
      </c>
      <c r="N1261" s="30" t="s">
        <v>72</v>
      </c>
      <c r="O1261" s="30"/>
      <c r="P1261" s="30"/>
      <c r="Q1261" s="30"/>
      <c r="R1261" s="30"/>
      <c r="S1261" s="30" t="s">
        <v>105</v>
      </c>
      <c r="T1261" s="30" t="s">
        <v>60</v>
      </c>
      <c r="U1261" s="30" t="s">
        <v>123</v>
      </c>
      <c r="V1261" s="30" t="s">
        <v>77</v>
      </c>
      <c r="W1261" s="30" t="s">
        <v>116</v>
      </c>
      <c r="X1261" s="30" t="s">
        <v>107</v>
      </c>
      <c r="Y1261" s="30"/>
      <c r="Z1261" s="30" t="s">
        <v>1915</v>
      </c>
      <c r="AA1261" s="30" t="s">
        <v>2188</v>
      </c>
      <c r="AB1261" s="30"/>
      <c r="AC1261" s="30" t="s">
        <v>3583</v>
      </c>
    </row>
    <row r="1262" spans="1:29">
      <c r="A1262" s="24" t="s">
        <v>3584</v>
      </c>
      <c r="B1262" s="24" t="str">
        <f>IF(ISNUMBER(SEARCH(E1262,A1262)),A1262,IF(OR(E1262="",E1262=""),A1262,A1262&amp;" - "&amp;E1262))</f>
        <v>Farmako Extrakt 10:15 Spray</v>
      </c>
      <c r="C1262" s="24" t="s">
        <v>2187</v>
      </c>
      <c r="D1262" s="24" t="s">
        <v>2188</v>
      </c>
      <c r="E1262" s="41"/>
      <c r="F1262" s="24" t="s">
        <v>56</v>
      </c>
      <c r="G1262" s="27"/>
      <c r="H1262" s="28"/>
      <c r="I1262" s="24" t="s">
        <v>56</v>
      </c>
      <c r="J1262" s="24">
        <v>15</v>
      </c>
      <c r="K1262" s="24" t="s">
        <v>1913</v>
      </c>
      <c r="L1262" s="24" t="s">
        <v>304</v>
      </c>
      <c r="M1262" s="24" t="s">
        <v>121</v>
      </c>
      <c r="N1262" s="24" t="s">
        <v>72</v>
      </c>
      <c r="O1262" s="24"/>
      <c r="P1262" s="24"/>
      <c r="Q1262" s="24"/>
      <c r="R1262" s="24"/>
      <c r="S1262" s="24" t="s">
        <v>105</v>
      </c>
      <c r="T1262" s="24" t="s">
        <v>60</v>
      </c>
      <c r="U1262" s="24" t="s">
        <v>123</v>
      </c>
      <c r="V1262" s="24" t="s">
        <v>77</v>
      </c>
      <c r="W1262" s="24" t="s">
        <v>116</v>
      </c>
      <c r="X1262" s="24" t="s">
        <v>107</v>
      </c>
      <c r="Y1262" s="24"/>
      <c r="Z1262" s="24" t="s">
        <v>1915</v>
      </c>
      <c r="AA1262" s="24" t="s">
        <v>2188</v>
      </c>
      <c r="AB1262" s="24"/>
      <c r="AC1262" s="24" t="s">
        <v>3585</v>
      </c>
    </row>
    <row r="1263" spans="1:29">
      <c r="A1263" s="30" t="s">
        <v>3586</v>
      </c>
      <c r="B1263" s="30" t="str">
        <f>IF(ISNUMBER(SEARCH(E1263,A1263)),A1263,IF(OR(E1263="",E1263=""),A1263,A1263&amp;" - "&amp;E1263))</f>
        <v>Farmako Extrakt 25:1 Spray</v>
      </c>
      <c r="C1263" s="30" t="s">
        <v>2187</v>
      </c>
      <c r="D1263" s="30" t="s">
        <v>2188</v>
      </c>
      <c r="E1263" s="40"/>
      <c r="F1263" s="30" t="s">
        <v>56</v>
      </c>
      <c r="G1263" s="34"/>
      <c r="H1263" s="35"/>
      <c r="I1263" s="30" t="s">
        <v>56</v>
      </c>
      <c r="J1263" s="30">
        <v>1</v>
      </c>
      <c r="K1263" s="30" t="s">
        <v>1913</v>
      </c>
      <c r="L1263" s="30" t="s">
        <v>304</v>
      </c>
      <c r="M1263" s="30" t="s">
        <v>121</v>
      </c>
      <c r="N1263" s="30" t="s">
        <v>72</v>
      </c>
      <c r="O1263" s="30"/>
      <c r="P1263" s="30"/>
      <c r="Q1263" s="30"/>
      <c r="R1263" s="30"/>
      <c r="S1263" s="30" t="s">
        <v>105</v>
      </c>
      <c r="T1263" s="30" t="s">
        <v>60</v>
      </c>
      <c r="U1263" s="30" t="s">
        <v>123</v>
      </c>
      <c r="V1263" s="30" t="s">
        <v>77</v>
      </c>
      <c r="W1263" s="30" t="s">
        <v>116</v>
      </c>
      <c r="X1263" s="30" t="s">
        <v>107</v>
      </c>
      <c r="Y1263" s="30"/>
      <c r="Z1263" s="30" t="s">
        <v>1915</v>
      </c>
      <c r="AA1263" s="30" t="s">
        <v>2188</v>
      </c>
      <c r="AB1263" s="30"/>
      <c r="AC1263" s="30" t="s">
        <v>3587</v>
      </c>
    </row>
    <row r="1264" spans="1:29">
      <c r="A1264" s="24" t="s">
        <v>3588</v>
      </c>
      <c r="B1264" s="24" t="str">
        <f>IF(ISNUMBER(SEARCH(E1264,A1264)),A1264,IF(OR(E1264="",E1264=""),A1264,A1264&amp;" - "&amp;E1264))</f>
        <v>Farmako Extrakt 50:1 Spray</v>
      </c>
      <c r="C1264" s="24" t="s">
        <v>2187</v>
      </c>
      <c r="D1264" s="24" t="s">
        <v>2188</v>
      </c>
      <c r="E1264" s="41"/>
      <c r="F1264" s="24" t="s">
        <v>56</v>
      </c>
      <c r="G1264" s="27"/>
      <c r="H1264" s="28"/>
      <c r="I1264" s="24" t="s">
        <v>56</v>
      </c>
      <c r="J1264" s="24">
        <v>1</v>
      </c>
      <c r="K1264" s="24" t="s">
        <v>1913</v>
      </c>
      <c r="L1264" s="24" t="s">
        <v>304</v>
      </c>
      <c r="M1264" s="24" t="s">
        <v>121</v>
      </c>
      <c r="N1264" s="24" t="s">
        <v>72</v>
      </c>
      <c r="O1264" s="24"/>
      <c r="P1264" s="24"/>
      <c r="Q1264" s="24"/>
      <c r="R1264" s="24"/>
      <c r="S1264" s="24" t="s">
        <v>105</v>
      </c>
      <c r="T1264" s="24" t="s">
        <v>60</v>
      </c>
      <c r="U1264" s="24" t="s">
        <v>123</v>
      </c>
      <c r="V1264" s="24" t="s">
        <v>77</v>
      </c>
      <c r="W1264" s="24" t="s">
        <v>116</v>
      </c>
      <c r="X1264" s="24" t="s">
        <v>107</v>
      </c>
      <c r="Y1264" s="24"/>
      <c r="Z1264" s="24" t="s">
        <v>1915</v>
      </c>
      <c r="AA1264" s="24" t="s">
        <v>2188</v>
      </c>
      <c r="AB1264" s="24"/>
      <c r="AC1264" s="24" t="s">
        <v>3589</v>
      </c>
    </row>
    <row r="1265" spans="1:29">
      <c r="A1265" s="30" t="s">
        <v>3590</v>
      </c>
      <c r="B1265" s="30" t="str">
        <f>IF(ISNUMBER(SEARCH(E1265,A1265)),A1265,IF(OR(E1265="",E1265=""),A1265,A1265&amp;" - "&amp;E1265))</f>
        <v>Sibanax Extrakt 25/0</v>
      </c>
      <c r="C1265" s="30" t="s">
        <v>2296</v>
      </c>
      <c r="D1265" s="30" t="s">
        <v>2297</v>
      </c>
      <c r="E1265" s="40"/>
      <c r="F1265" s="30" t="s">
        <v>120</v>
      </c>
      <c r="G1265" s="34"/>
      <c r="H1265" s="35"/>
      <c r="I1265" s="30">
        <v>25</v>
      </c>
      <c r="J1265" s="30" t="s">
        <v>1927</v>
      </c>
      <c r="K1265" s="30" t="s">
        <v>1918</v>
      </c>
      <c r="L1265" s="30"/>
      <c r="M1265" s="30" t="s">
        <v>103</v>
      </c>
      <c r="N1265" s="30" t="s">
        <v>55</v>
      </c>
      <c r="O1265" s="30" t="s">
        <v>178</v>
      </c>
      <c r="P1265" s="30"/>
      <c r="Q1265" s="30"/>
      <c r="R1265" s="30"/>
      <c r="S1265" s="30"/>
      <c r="T1265" s="30"/>
      <c r="U1265" s="30"/>
      <c r="V1265" s="30" t="s">
        <v>77</v>
      </c>
      <c r="W1265" s="30" t="s">
        <v>914</v>
      </c>
      <c r="X1265" s="30" t="s">
        <v>79</v>
      </c>
      <c r="Y1265" s="30"/>
      <c r="Z1265" s="30" t="s">
        <v>1915</v>
      </c>
      <c r="AA1265" s="30" t="s">
        <v>2298</v>
      </c>
      <c r="AB1265" s="30"/>
      <c r="AC1265" s="30" t="s">
        <v>3591</v>
      </c>
    </row>
    <row r="1266" spans="1:29">
      <c r="A1266" s="24" t="s">
        <v>3592</v>
      </c>
      <c r="B1266" s="24" t="str">
        <f>IF(ISNUMBER(SEARCH(E1266,A1266)),A1266,IF(OR(E1266="",E1266=""),A1266,A1266&amp;" - "&amp;E1266))</f>
        <v>420 Compound 20/1 PT TGY - Tigerz Eye</v>
      </c>
      <c r="C1266" s="24" t="s">
        <v>463</v>
      </c>
      <c r="D1266" s="24" t="s">
        <v>464</v>
      </c>
      <c r="E1266" s="41" t="s">
        <v>1105</v>
      </c>
      <c r="F1266" s="24" t="s">
        <v>177</v>
      </c>
      <c r="G1266" s="27">
        <v>20</v>
      </c>
      <c r="H1266" s="28">
        <v>1</v>
      </c>
      <c r="I1266" s="24"/>
      <c r="J1266" s="24"/>
      <c r="K1266" s="24" t="s">
        <v>52</v>
      </c>
      <c r="L1266" s="24" t="s">
        <v>102</v>
      </c>
      <c r="M1266" s="24" t="s">
        <v>54</v>
      </c>
      <c r="N1266" s="24" t="s">
        <v>88</v>
      </c>
      <c r="O1266" s="24" t="s">
        <v>72</v>
      </c>
      <c r="P1266" s="24" t="s">
        <v>73</v>
      </c>
      <c r="Q1266" s="24" t="s">
        <v>104</v>
      </c>
      <c r="R1266" s="24" t="s">
        <v>74</v>
      </c>
      <c r="S1266" s="24" t="s">
        <v>147</v>
      </c>
      <c r="T1266" s="24" t="s">
        <v>123</v>
      </c>
      <c r="U1266" s="24" t="s">
        <v>62</v>
      </c>
      <c r="V1266" s="24" t="s">
        <v>77</v>
      </c>
      <c r="W1266" s="24" t="s">
        <v>116</v>
      </c>
      <c r="X1266" s="24" t="s">
        <v>107</v>
      </c>
      <c r="Y1266" s="24" t="s">
        <v>978</v>
      </c>
      <c r="Z1266" s="24" t="s">
        <v>64</v>
      </c>
      <c r="AA1266" s="24" t="s">
        <v>468</v>
      </c>
      <c r="AB1266" s="24"/>
      <c r="AC1266" s="24" t="s">
        <v>3593</v>
      </c>
    </row>
    <row r="1267" spans="1:29">
      <c r="A1267" s="30" t="s">
        <v>3594</v>
      </c>
      <c r="B1267" s="30" t="str">
        <f>IF(ISNUMBER(SEARCH(E1267,A1267)),A1267,IF(OR(E1267="",E1267=""),A1267,A1267&amp;" - "&amp;E1267))</f>
        <v>420 Compound 22/1 GAP - Gastro Pop</v>
      </c>
      <c r="C1267" s="30" t="s">
        <v>463</v>
      </c>
      <c r="D1267" s="30" t="s">
        <v>464</v>
      </c>
      <c r="E1267" s="40" t="s">
        <v>1564</v>
      </c>
      <c r="F1267" s="30" t="s">
        <v>177</v>
      </c>
      <c r="G1267" s="34">
        <v>22</v>
      </c>
      <c r="H1267" s="35">
        <v>1</v>
      </c>
      <c r="I1267" s="30"/>
      <c r="J1267" s="30"/>
      <c r="K1267" s="30" t="s">
        <v>52</v>
      </c>
      <c r="L1267" s="30" t="s">
        <v>53</v>
      </c>
      <c r="M1267" s="30" t="s">
        <v>156</v>
      </c>
      <c r="N1267" s="30" t="s">
        <v>103</v>
      </c>
      <c r="O1267" s="30"/>
      <c r="P1267" s="30" t="s">
        <v>89</v>
      </c>
      <c r="Q1267" s="30" t="s">
        <v>58</v>
      </c>
      <c r="R1267" s="30" t="s">
        <v>59</v>
      </c>
      <c r="S1267" s="30" t="s">
        <v>105</v>
      </c>
      <c r="T1267" s="30" t="s">
        <v>147</v>
      </c>
      <c r="U1267" s="30" t="s">
        <v>123</v>
      </c>
      <c r="V1267" s="30" t="s">
        <v>77</v>
      </c>
      <c r="W1267" s="30" t="s">
        <v>107</v>
      </c>
      <c r="X1267" s="30" t="s">
        <v>93</v>
      </c>
      <c r="Y1267" s="30"/>
      <c r="Z1267" s="30" t="s">
        <v>64</v>
      </c>
      <c r="AA1267" s="30" t="s">
        <v>468</v>
      </c>
      <c r="AB1267" s="30"/>
      <c r="AC1267" s="36" t="s">
        <v>3595</v>
      </c>
    </row>
    <row r="1268" spans="1:29">
      <c r="A1268" s="24" t="s">
        <v>3596</v>
      </c>
      <c r="B1268" s="24" t="str">
        <f>IF(ISNUMBER(SEARCH(E1268,A1268)),A1268,IF(OR(E1268="",E1268=""),A1268,A1268&amp;" - "&amp;E1268))</f>
        <v>420 Compound 25/1 GAP - Gastro Pop</v>
      </c>
      <c r="C1268" s="24" t="s">
        <v>463</v>
      </c>
      <c r="D1268" s="24" t="s">
        <v>464</v>
      </c>
      <c r="E1268" s="41" t="s">
        <v>1564</v>
      </c>
      <c r="F1268" s="24" t="s">
        <v>177</v>
      </c>
      <c r="G1268" s="27">
        <v>25</v>
      </c>
      <c r="H1268" s="28">
        <v>1</v>
      </c>
      <c r="I1268" s="24"/>
      <c r="J1268" s="24"/>
      <c r="K1268" s="24" t="s">
        <v>52</v>
      </c>
      <c r="L1268" s="24" t="s">
        <v>53</v>
      </c>
      <c r="M1268" s="24" t="s">
        <v>156</v>
      </c>
      <c r="N1268" s="24" t="s">
        <v>103</v>
      </c>
      <c r="O1268" s="24"/>
      <c r="P1268" s="24" t="s">
        <v>89</v>
      </c>
      <c r="Q1268" s="24" t="s">
        <v>58</v>
      </c>
      <c r="R1268" s="24" t="s">
        <v>59</v>
      </c>
      <c r="S1268" s="24" t="s">
        <v>105</v>
      </c>
      <c r="T1268" s="24" t="s">
        <v>147</v>
      </c>
      <c r="U1268" s="24" t="s">
        <v>123</v>
      </c>
      <c r="V1268" s="24" t="s">
        <v>77</v>
      </c>
      <c r="W1268" s="24" t="s">
        <v>107</v>
      </c>
      <c r="X1268" s="24" t="s">
        <v>93</v>
      </c>
      <c r="Y1268" s="24"/>
      <c r="Z1268" s="24" t="s">
        <v>64</v>
      </c>
      <c r="AA1268" s="24" t="s">
        <v>468</v>
      </c>
      <c r="AB1268" s="24"/>
      <c r="AC1268" s="24" t="s">
        <v>3597</v>
      </c>
    </row>
    <row r="1269" spans="1:29">
      <c r="A1269" s="30" t="s">
        <v>3598</v>
      </c>
      <c r="B1269" s="30" t="str">
        <f>IF(ISNUMBER(SEARCH(E1269,A1269)),A1269,IF(OR(E1269="",E1269=""),A1269,A1269&amp;" - "&amp;E1269))</f>
        <v>420 Evolution 25/1 FLM CA - Frozen Lemon Mints</v>
      </c>
      <c r="C1269" s="30" t="s">
        <v>463</v>
      </c>
      <c r="D1269" s="30" t="s">
        <v>464</v>
      </c>
      <c r="E1269" s="40" t="s">
        <v>1227</v>
      </c>
      <c r="F1269" s="30" t="s">
        <v>69</v>
      </c>
      <c r="G1269" s="34">
        <v>25</v>
      </c>
      <c r="H1269" s="35">
        <v>1</v>
      </c>
      <c r="I1269" s="30"/>
      <c r="J1269" s="30"/>
      <c r="K1269" s="30" t="s">
        <v>52</v>
      </c>
      <c r="L1269" s="30" t="s">
        <v>53</v>
      </c>
      <c r="M1269" s="30" t="s">
        <v>111</v>
      </c>
      <c r="N1269" s="30" t="s">
        <v>72</v>
      </c>
      <c r="O1269" s="30"/>
      <c r="P1269" s="30" t="s">
        <v>112</v>
      </c>
      <c r="Q1269" s="30" t="s">
        <v>75</v>
      </c>
      <c r="R1269" s="30" t="s">
        <v>89</v>
      </c>
      <c r="S1269" s="30" t="s">
        <v>90</v>
      </c>
      <c r="T1269" s="30" t="s">
        <v>105</v>
      </c>
      <c r="U1269" s="30" t="s">
        <v>61</v>
      </c>
      <c r="V1269" s="30" t="s">
        <v>77</v>
      </c>
      <c r="W1269" s="30" t="s">
        <v>79</v>
      </c>
      <c r="X1269" s="30" t="s">
        <v>93</v>
      </c>
      <c r="Y1269" s="30"/>
      <c r="Z1269" s="30" t="s">
        <v>64</v>
      </c>
      <c r="AA1269" s="30" t="s">
        <v>468</v>
      </c>
      <c r="AB1269" s="30"/>
      <c r="AC1269" s="30" t="s">
        <v>3599</v>
      </c>
    </row>
    <row r="1270" spans="1:29">
      <c r="A1270" s="24" t="s">
        <v>3600</v>
      </c>
      <c r="B1270" s="24" t="str">
        <f>IF(ISNUMBER(SEARCH(E1270,A1270)),A1270,IF(OR(E1270="",E1270=""),A1270,A1270&amp;" - "&amp;E1270))</f>
        <v>420 Sungrown 25/1 CA LLY - Legendary Larry</v>
      </c>
      <c r="C1270" s="24" t="s">
        <v>463</v>
      </c>
      <c r="D1270" s="24" t="s">
        <v>464</v>
      </c>
      <c r="E1270" s="41" t="s">
        <v>746</v>
      </c>
      <c r="F1270" s="24" t="s">
        <v>177</v>
      </c>
      <c r="G1270" s="27">
        <v>25</v>
      </c>
      <c r="H1270" s="28">
        <v>1</v>
      </c>
      <c r="I1270" s="24"/>
      <c r="J1270" s="24"/>
      <c r="K1270" s="24" t="s">
        <v>52</v>
      </c>
      <c r="L1270" s="24" t="s">
        <v>53</v>
      </c>
      <c r="M1270" s="24" t="s">
        <v>72</v>
      </c>
      <c r="N1270" s="24"/>
      <c r="O1270" s="24"/>
      <c r="P1270" s="24" t="s">
        <v>74</v>
      </c>
      <c r="Q1270" s="24" t="s">
        <v>75</v>
      </c>
      <c r="R1270" s="24" t="s">
        <v>59</v>
      </c>
      <c r="S1270" s="24" t="s">
        <v>466</v>
      </c>
      <c r="T1270" s="24" t="s">
        <v>493</v>
      </c>
      <c r="U1270" s="24" t="s">
        <v>61</v>
      </c>
      <c r="V1270" s="24" t="s">
        <v>77</v>
      </c>
      <c r="W1270" s="24" t="s">
        <v>116</v>
      </c>
      <c r="X1270" s="24" t="s">
        <v>165</v>
      </c>
      <c r="Y1270" s="24" t="s">
        <v>555</v>
      </c>
      <c r="Z1270" s="24" t="s">
        <v>64</v>
      </c>
      <c r="AA1270" s="24" t="s">
        <v>468</v>
      </c>
      <c r="AB1270" s="24"/>
      <c r="AC1270" s="24" t="s">
        <v>3601</v>
      </c>
    </row>
    <row r="1271" spans="1:29">
      <c r="A1271" s="30" t="s">
        <v>3602</v>
      </c>
      <c r="B1271" s="30" t="str">
        <f>IF(ISNUMBER(SEARCH(E1271,A1271)),A1271,IF(OR(E1271="",E1271=""),A1271,A1271&amp;" - "&amp;E1271))</f>
        <v>BOTANICS Golden Ace 24/1 - Orange Panties</v>
      </c>
      <c r="C1271" s="30" t="s">
        <v>141</v>
      </c>
      <c r="D1271" s="30" t="s">
        <v>142</v>
      </c>
      <c r="E1271" s="40" t="s">
        <v>1026</v>
      </c>
      <c r="F1271" s="30" t="s">
        <v>51</v>
      </c>
      <c r="G1271" s="34">
        <v>24</v>
      </c>
      <c r="H1271" s="35">
        <v>1</v>
      </c>
      <c r="I1271" s="30"/>
      <c r="J1271" s="30"/>
      <c r="K1271" s="30" t="s">
        <v>52</v>
      </c>
      <c r="L1271" s="30" t="s">
        <v>965</v>
      </c>
      <c r="M1271" s="30" t="s">
        <v>54</v>
      </c>
      <c r="N1271" s="30" t="s">
        <v>88</v>
      </c>
      <c r="O1271" s="30" t="s">
        <v>72</v>
      </c>
      <c r="P1271" s="30" t="s">
        <v>75</v>
      </c>
      <c r="Q1271" s="30" t="s">
        <v>58</v>
      </c>
      <c r="R1271" s="30"/>
      <c r="S1271" s="30" t="s">
        <v>123</v>
      </c>
      <c r="T1271" s="30" t="s">
        <v>106</v>
      </c>
      <c r="U1271" s="30" t="s">
        <v>91</v>
      </c>
      <c r="V1271" s="30" t="s">
        <v>79</v>
      </c>
      <c r="W1271" s="30" t="s">
        <v>107</v>
      </c>
      <c r="X1271" s="30" t="s">
        <v>93</v>
      </c>
      <c r="Y1271" s="30"/>
      <c r="Z1271" s="30" t="s">
        <v>64</v>
      </c>
      <c r="AA1271" s="30" t="s">
        <v>149</v>
      </c>
      <c r="AB1271" s="30"/>
      <c r="AC1271" s="30" t="s">
        <v>3603</v>
      </c>
    </row>
    <row r="1272" spans="1:29">
      <c r="A1272" s="24" t="s">
        <v>3604</v>
      </c>
      <c r="B1272" s="24" t="str">
        <f>IF(ISNUMBER(SEARCH(E1272,A1272)),A1272,IF(OR(E1272="",E1272=""),A1272,A1272&amp;" - "&amp;E1272))</f>
        <v>BOTANICS Purple Cream 24/1 - Purple Ice Water</v>
      </c>
      <c r="C1272" s="24" t="s">
        <v>141</v>
      </c>
      <c r="D1272" s="24" t="s">
        <v>142</v>
      </c>
      <c r="E1272" s="41" t="s">
        <v>964</v>
      </c>
      <c r="F1272" s="24" t="s">
        <v>86</v>
      </c>
      <c r="G1272" s="27">
        <v>24</v>
      </c>
      <c r="H1272" s="28">
        <v>1</v>
      </c>
      <c r="I1272" s="24"/>
      <c r="J1272" s="24"/>
      <c r="K1272" s="24" t="s">
        <v>52</v>
      </c>
      <c r="L1272" s="24" t="s">
        <v>965</v>
      </c>
      <c r="M1272" s="24" t="s">
        <v>54</v>
      </c>
      <c r="N1272" s="24" t="s">
        <v>88</v>
      </c>
      <c r="O1272" s="24" t="s">
        <v>71</v>
      </c>
      <c r="P1272" s="24" t="s">
        <v>104</v>
      </c>
      <c r="Q1272" s="24" t="s">
        <v>89</v>
      </c>
      <c r="R1272" s="24" t="s">
        <v>58</v>
      </c>
      <c r="S1272" s="24" t="s">
        <v>123</v>
      </c>
      <c r="T1272" s="24" t="s">
        <v>106</v>
      </c>
      <c r="U1272" s="24" t="s">
        <v>91</v>
      </c>
      <c r="V1272" s="24" t="s">
        <v>77</v>
      </c>
      <c r="W1272" s="24" t="s">
        <v>165</v>
      </c>
      <c r="X1272" s="24" t="s">
        <v>129</v>
      </c>
      <c r="Y1272" s="24"/>
      <c r="Z1272" s="24" t="s">
        <v>64</v>
      </c>
      <c r="AA1272" s="24" t="s">
        <v>149</v>
      </c>
      <c r="AB1272" s="24" t="s">
        <v>967</v>
      </c>
      <c r="AC1272" s="24" t="s">
        <v>3605</v>
      </c>
    </row>
    <row r="1273" spans="1:29">
      <c r="A1273" s="30" t="s">
        <v>3606</v>
      </c>
      <c r="B1273" s="30" t="str">
        <f>IF(ISNUMBER(SEARCH(E1273,A1273)),A1273,IF(OR(E1273="",E1273=""),A1273,A1273&amp;" - "&amp;E1273))</f>
        <v>Can Hydro PPC 21/1 - Purple Punch Cookies</v>
      </c>
      <c r="C1273" s="30" t="s">
        <v>564</v>
      </c>
      <c r="D1273" s="30" t="s">
        <v>565</v>
      </c>
      <c r="E1273" s="40" t="s">
        <v>1269</v>
      </c>
      <c r="F1273" s="30" t="s">
        <v>177</v>
      </c>
      <c r="G1273" s="34">
        <v>21</v>
      </c>
      <c r="H1273" s="35">
        <v>1</v>
      </c>
      <c r="I1273" s="30"/>
      <c r="J1273" s="30"/>
      <c r="K1273" s="30" t="s">
        <v>52</v>
      </c>
      <c r="L1273" s="30" t="s">
        <v>53</v>
      </c>
      <c r="M1273" s="30" t="s">
        <v>54</v>
      </c>
      <c r="N1273" s="30" t="s">
        <v>121</v>
      </c>
      <c r="O1273" s="30" t="s">
        <v>72</v>
      </c>
      <c r="P1273" s="30" t="s">
        <v>73</v>
      </c>
      <c r="Q1273" s="30" t="s">
        <v>74</v>
      </c>
      <c r="R1273" s="30" t="s">
        <v>89</v>
      </c>
      <c r="S1273" s="30" t="s">
        <v>466</v>
      </c>
      <c r="T1273" s="30" t="s">
        <v>123</v>
      </c>
      <c r="U1273" s="30" t="s">
        <v>106</v>
      </c>
      <c r="V1273" s="30" t="s">
        <v>77</v>
      </c>
      <c r="W1273" s="30" t="s">
        <v>116</v>
      </c>
      <c r="X1273" s="30" t="s">
        <v>129</v>
      </c>
      <c r="Y1273" s="30" t="s">
        <v>331</v>
      </c>
      <c r="Z1273" s="30" t="s">
        <v>64</v>
      </c>
      <c r="AA1273" s="30" t="s">
        <v>565</v>
      </c>
      <c r="AB1273" s="30" t="s">
        <v>1270</v>
      </c>
      <c r="AC1273" s="30" t="s">
        <v>3607</v>
      </c>
    </row>
    <row r="1274" spans="1:29">
      <c r="A1274" s="24" t="s">
        <v>3608</v>
      </c>
      <c r="B1274" s="24" t="str">
        <f>IF(ISNUMBER(SEARCH(E1274,A1274)),A1274,IF(OR(E1274="",E1274=""),A1274,A1274&amp;" - "&amp;E1274))</f>
        <v>Canify Pure 21/1 LS KU. - Exodus Cheese</v>
      </c>
      <c r="C1274" s="24" t="s">
        <v>99</v>
      </c>
      <c r="D1274" s="24" t="s">
        <v>100</v>
      </c>
      <c r="E1274" s="41" t="s">
        <v>1631</v>
      </c>
      <c r="F1274" s="24" t="s">
        <v>69</v>
      </c>
      <c r="G1274" s="27">
        <v>21</v>
      </c>
      <c r="H1274" s="28">
        <v>1</v>
      </c>
      <c r="I1274" s="24"/>
      <c r="J1274" s="24"/>
      <c r="K1274" s="24" t="s">
        <v>52</v>
      </c>
      <c r="L1274" s="24" t="s">
        <v>630</v>
      </c>
      <c r="M1274" s="24" t="s">
        <v>54</v>
      </c>
      <c r="N1274" s="24" t="s">
        <v>111</v>
      </c>
      <c r="O1274" s="24" t="s">
        <v>88</v>
      </c>
      <c r="P1274" s="24" t="s">
        <v>74</v>
      </c>
      <c r="Q1274" s="24" t="s">
        <v>89</v>
      </c>
      <c r="R1274" s="24" t="s">
        <v>58</v>
      </c>
      <c r="S1274" s="24" t="s">
        <v>123</v>
      </c>
      <c r="T1274" s="24" t="s">
        <v>106</v>
      </c>
      <c r="U1274" s="24" t="s">
        <v>76</v>
      </c>
      <c r="V1274" s="24" t="s">
        <v>77</v>
      </c>
      <c r="W1274" s="24" t="s">
        <v>79</v>
      </c>
      <c r="X1274" s="24" t="s">
        <v>107</v>
      </c>
      <c r="Y1274" s="24"/>
      <c r="Z1274" s="24" t="s">
        <v>64</v>
      </c>
      <c r="AA1274" s="24" t="s">
        <v>100</v>
      </c>
      <c r="AB1274" s="24"/>
      <c r="AC1274" s="24" t="s">
        <v>3609</v>
      </c>
    </row>
    <row r="1275" spans="1:29">
      <c r="A1275" s="30" t="s">
        <v>3610</v>
      </c>
      <c r="B1275" s="30" t="str">
        <f>IF(ISNUMBER(SEARCH(E1275,A1275)),A1275,IF(OR(E1275="",E1275=""),A1275,A1275&amp;" - "&amp;E1275))</f>
        <v>Cannamedical CM 33/1 DM - Diamond Mints</v>
      </c>
      <c r="C1275" s="30" t="s">
        <v>48</v>
      </c>
      <c r="D1275" s="30" t="s">
        <v>49</v>
      </c>
      <c r="E1275" s="40" t="s">
        <v>1740</v>
      </c>
      <c r="F1275" s="30" t="s">
        <v>144</v>
      </c>
      <c r="G1275" s="34">
        <v>33</v>
      </c>
      <c r="H1275" s="35">
        <v>1</v>
      </c>
      <c r="I1275" s="30"/>
      <c r="J1275" s="30"/>
      <c r="K1275" s="30" t="s">
        <v>52</v>
      </c>
      <c r="L1275" s="30" t="s">
        <v>53</v>
      </c>
      <c r="M1275" s="30" t="s">
        <v>111</v>
      </c>
      <c r="N1275" s="30" t="s">
        <v>88</v>
      </c>
      <c r="O1275" s="30" t="s">
        <v>55</v>
      </c>
      <c r="P1275" s="30" t="s">
        <v>73</v>
      </c>
      <c r="Q1275" s="30" t="s">
        <v>112</v>
      </c>
      <c r="R1275" s="30" t="s">
        <v>59</v>
      </c>
      <c r="S1275" s="30" t="s">
        <v>147</v>
      </c>
      <c r="T1275" s="30" t="s">
        <v>123</v>
      </c>
      <c r="U1275" s="30" t="s">
        <v>106</v>
      </c>
      <c r="V1275" s="30" t="s">
        <v>173</v>
      </c>
      <c r="W1275" s="30"/>
      <c r="X1275" s="30"/>
      <c r="Y1275" s="30" t="s">
        <v>3611</v>
      </c>
      <c r="Z1275" s="30" t="s">
        <v>64</v>
      </c>
      <c r="AA1275" s="30" t="s">
        <v>49</v>
      </c>
      <c r="AB1275" s="30"/>
      <c r="AC1275" s="30" t="s">
        <v>3612</v>
      </c>
    </row>
    <row r="1276" spans="1:29">
      <c r="A1276" s="24" t="s">
        <v>3613</v>
      </c>
      <c r="B1276" s="24" t="str">
        <f>IF(ISNUMBER(SEARCH(E1276,A1276)),A1276,IF(OR(E1276="",E1276=""),A1276,A1276&amp;" - "&amp;E1276))</f>
        <v>enua 22/1 SBD CA - Strawberry Diesel</v>
      </c>
      <c r="C1276" s="24" t="s">
        <v>650</v>
      </c>
      <c r="D1276" s="24" t="s">
        <v>651</v>
      </c>
      <c r="E1276" s="41" t="s">
        <v>1529</v>
      </c>
      <c r="F1276" s="24" t="s">
        <v>144</v>
      </c>
      <c r="G1276" s="27">
        <v>22</v>
      </c>
      <c r="H1276" s="28">
        <v>1</v>
      </c>
      <c r="I1276" s="24"/>
      <c r="J1276" s="24"/>
      <c r="K1276" s="24" t="s">
        <v>52</v>
      </c>
      <c r="L1276" s="24" t="s">
        <v>53</v>
      </c>
      <c r="M1276" s="24" t="s">
        <v>156</v>
      </c>
      <c r="N1276" s="24" t="s">
        <v>88</v>
      </c>
      <c r="O1276" s="24" t="s">
        <v>71</v>
      </c>
      <c r="P1276" s="24" t="s">
        <v>73</v>
      </c>
      <c r="Q1276" s="24" t="s">
        <v>75</v>
      </c>
      <c r="R1276" s="24" t="s">
        <v>89</v>
      </c>
      <c r="S1276" s="24" t="s">
        <v>466</v>
      </c>
      <c r="T1276" s="24" t="s">
        <v>123</v>
      </c>
      <c r="U1276" s="24" t="s">
        <v>61</v>
      </c>
      <c r="V1276" s="24" t="s">
        <v>77</v>
      </c>
      <c r="W1276" s="24" t="s">
        <v>79</v>
      </c>
      <c r="X1276" s="24" t="s">
        <v>107</v>
      </c>
      <c r="Y1276" s="24"/>
      <c r="Z1276" s="24" t="s">
        <v>64</v>
      </c>
      <c r="AA1276" s="24" t="s">
        <v>653</v>
      </c>
      <c r="AB1276" s="24"/>
      <c r="AC1276" s="24" t="s">
        <v>3614</v>
      </c>
    </row>
    <row r="1277" spans="1:29">
      <c r="A1277" s="30" t="s">
        <v>3615</v>
      </c>
      <c r="B1277" s="30" t="str">
        <f>IF(ISNUMBER(SEARCH(E1277,A1277)),A1277,IF(OR(E1277="",E1277=""),A1277,A1277&amp;" - "&amp;E1277))</f>
        <v>enua 25/1 ABG CA - Sweets</v>
      </c>
      <c r="C1277" s="30" t="s">
        <v>650</v>
      </c>
      <c r="D1277" s="30" t="s">
        <v>651</v>
      </c>
      <c r="E1277" s="40" t="s">
        <v>1463</v>
      </c>
      <c r="F1277" s="30" t="s">
        <v>144</v>
      </c>
      <c r="G1277" s="34">
        <v>25</v>
      </c>
      <c r="H1277" s="35">
        <v>1</v>
      </c>
      <c r="I1277" s="30"/>
      <c r="J1277" s="30"/>
      <c r="K1277" s="30" t="s">
        <v>52</v>
      </c>
      <c r="L1277" s="30" t="s">
        <v>53</v>
      </c>
      <c r="M1277" s="30" t="s">
        <v>54</v>
      </c>
      <c r="N1277" s="30" t="s">
        <v>111</v>
      </c>
      <c r="O1277" s="30" t="s">
        <v>88</v>
      </c>
      <c r="P1277" s="30" t="s">
        <v>73</v>
      </c>
      <c r="Q1277" s="30" t="s">
        <v>89</v>
      </c>
      <c r="R1277" s="30" t="s">
        <v>59</v>
      </c>
      <c r="S1277" s="30" t="s">
        <v>61</v>
      </c>
      <c r="T1277" s="30" t="s">
        <v>115</v>
      </c>
      <c r="U1277" s="30" t="s">
        <v>128</v>
      </c>
      <c r="V1277" s="30" t="s">
        <v>129</v>
      </c>
      <c r="W1277" s="30" t="s">
        <v>79</v>
      </c>
      <c r="X1277" s="30" t="s">
        <v>107</v>
      </c>
      <c r="Y1277" s="30"/>
      <c r="Z1277" s="30" t="s">
        <v>64</v>
      </c>
      <c r="AA1277" s="30" t="s">
        <v>653</v>
      </c>
      <c r="AB1277" s="30"/>
      <c r="AC1277" s="30" t="s">
        <v>3616</v>
      </c>
    </row>
    <row r="1278" spans="1:29">
      <c r="A1278" s="24" t="s">
        <v>3617</v>
      </c>
      <c r="B1278" s="24" t="str">
        <f>IF(ISNUMBER(SEARCH(E1278,A1278)),A1278,IF(OR(E1278="",E1278=""),A1278,A1278&amp;" - "&amp;E1278))</f>
        <v>enua 25/1 BDO CA - Black Dolato</v>
      </c>
      <c r="C1278" s="24" t="s">
        <v>650</v>
      </c>
      <c r="D1278" s="24" t="s">
        <v>651</v>
      </c>
      <c r="E1278" s="41" t="s">
        <v>1656</v>
      </c>
      <c r="F1278" s="24" t="s">
        <v>177</v>
      </c>
      <c r="G1278" s="27">
        <v>25</v>
      </c>
      <c r="H1278" s="28">
        <v>1</v>
      </c>
      <c r="I1278" s="24"/>
      <c r="J1278" s="24"/>
      <c r="K1278" s="24" t="s">
        <v>52</v>
      </c>
      <c r="L1278" s="24" t="s">
        <v>53</v>
      </c>
      <c r="M1278" s="24" t="s">
        <v>88</v>
      </c>
      <c r="N1278" s="24" t="s">
        <v>55</v>
      </c>
      <c r="O1278" s="24" t="s">
        <v>72</v>
      </c>
      <c r="P1278" s="24" t="s">
        <v>146</v>
      </c>
      <c r="Q1278" s="24" t="s">
        <v>113</v>
      </c>
      <c r="R1278" s="24" t="s">
        <v>89</v>
      </c>
      <c r="S1278" s="24" t="s">
        <v>60</v>
      </c>
      <c r="T1278" s="24" t="s">
        <v>106</v>
      </c>
      <c r="U1278" s="24" t="s">
        <v>62</v>
      </c>
      <c r="V1278" s="24" t="s">
        <v>77</v>
      </c>
      <c r="W1278" s="24" t="s">
        <v>79</v>
      </c>
      <c r="X1278" s="24" t="s">
        <v>107</v>
      </c>
      <c r="Y1278" s="24"/>
      <c r="Z1278" s="24" t="s">
        <v>64</v>
      </c>
      <c r="AA1278" s="24" t="s">
        <v>653</v>
      </c>
      <c r="AB1278" s="24"/>
      <c r="AC1278" s="24" t="s">
        <v>3618</v>
      </c>
    </row>
    <row r="1279" spans="1:29">
      <c r="A1279" s="30" t="s">
        <v>3619</v>
      </c>
      <c r="B1279" s="30" t="str">
        <f>IF(ISNUMBER(SEARCH(E1279,A1279)),A1279,IF(OR(E1279="",E1279=""),A1279,A1279&amp;" - "&amp;E1279))</f>
        <v>enua 25/1 SG CA - Sherbert Glue</v>
      </c>
      <c r="C1279" s="30" t="s">
        <v>650</v>
      </c>
      <c r="D1279" s="30" t="s">
        <v>651</v>
      </c>
      <c r="E1279" s="40" t="s">
        <v>1005</v>
      </c>
      <c r="F1279" s="30" t="s">
        <v>86</v>
      </c>
      <c r="G1279" s="34">
        <v>21</v>
      </c>
      <c r="H1279" s="35">
        <v>1</v>
      </c>
      <c r="I1279" s="30"/>
      <c r="J1279" s="30"/>
      <c r="K1279" s="30" t="s">
        <v>17</v>
      </c>
      <c r="L1279" s="30" t="s">
        <v>53</v>
      </c>
      <c r="M1279" s="30" t="s">
        <v>111</v>
      </c>
      <c r="N1279" s="30" t="s">
        <v>88</v>
      </c>
      <c r="O1279" s="30" t="s">
        <v>72</v>
      </c>
      <c r="P1279" s="30" t="s">
        <v>74</v>
      </c>
      <c r="Q1279" s="30" t="s">
        <v>75</v>
      </c>
      <c r="R1279" s="30" t="s">
        <v>89</v>
      </c>
      <c r="S1279" s="30" t="s">
        <v>61</v>
      </c>
      <c r="T1279" s="30" t="s">
        <v>76</v>
      </c>
      <c r="U1279" s="30" t="s">
        <v>128</v>
      </c>
      <c r="V1279" s="30" t="s">
        <v>77</v>
      </c>
      <c r="W1279" s="30" t="s">
        <v>79</v>
      </c>
      <c r="X1279" s="30" t="s">
        <v>173</v>
      </c>
      <c r="Y1279" s="30"/>
      <c r="Z1279" s="30" t="s">
        <v>64</v>
      </c>
      <c r="AA1279" s="30" t="s">
        <v>653</v>
      </c>
      <c r="AB1279" s="30"/>
      <c r="AC1279" s="30" t="s">
        <v>3620</v>
      </c>
    </row>
    <row r="1280" spans="1:29">
      <c r="A1280" s="24" t="s">
        <v>3621</v>
      </c>
      <c r="B1280" s="24" t="str">
        <f>IF(ISNUMBER(SEARCH(E1280,A1280)),A1280,IF(OR(E1280="",E1280=""),A1280,A1280&amp;" - "&amp;E1280))</f>
        <v>enua 27/1 ABG CA - Sweets</v>
      </c>
      <c r="C1280" s="24" t="s">
        <v>650</v>
      </c>
      <c r="D1280" s="24" t="s">
        <v>651</v>
      </c>
      <c r="E1280" s="41" t="s">
        <v>1463</v>
      </c>
      <c r="F1280" s="24" t="s">
        <v>144</v>
      </c>
      <c r="G1280" s="27">
        <v>27</v>
      </c>
      <c r="H1280" s="28">
        <v>1</v>
      </c>
      <c r="I1280" s="24"/>
      <c r="J1280" s="24"/>
      <c r="K1280" s="24" t="s">
        <v>52</v>
      </c>
      <c r="L1280" s="24" t="s">
        <v>53</v>
      </c>
      <c r="M1280" s="24" t="s">
        <v>54</v>
      </c>
      <c r="N1280" s="24" t="s">
        <v>111</v>
      </c>
      <c r="O1280" s="24" t="s">
        <v>88</v>
      </c>
      <c r="P1280" s="24" t="s">
        <v>73</v>
      </c>
      <c r="Q1280" s="24" t="s">
        <v>89</v>
      </c>
      <c r="R1280" s="24" t="s">
        <v>59</v>
      </c>
      <c r="S1280" s="24" t="s">
        <v>61</v>
      </c>
      <c r="T1280" s="24" t="s">
        <v>115</v>
      </c>
      <c r="U1280" s="24" t="s">
        <v>128</v>
      </c>
      <c r="V1280" s="24" t="s">
        <v>129</v>
      </c>
      <c r="W1280" s="24" t="s">
        <v>79</v>
      </c>
      <c r="X1280" s="24" t="s">
        <v>107</v>
      </c>
      <c r="Y1280" s="24"/>
      <c r="Z1280" s="24" t="s">
        <v>64</v>
      </c>
      <c r="AA1280" s="24" t="s">
        <v>653</v>
      </c>
      <c r="AB1280" s="24"/>
      <c r="AC1280" s="24" t="s">
        <v>3622</v>
      </c>
    </row>
    <row r="1281" spans="1:29">
      <c r="A1281" s="30" t="s">
        <v>3623</v>
      </c>
      <c r="B1281" s="30" t="str">
        <f>IF(ISNUMBER(SEARCH(E1281,A1281)),A1281,IF(OR(E1281="",E1281=""),A1281,A1281&amp;" - "&amp;E1281))</f>
        <v>enua 27/1 ICC CA - Ice Cream Cake</v>
      </c>
      <c r="C1281" s="30" t="s">
        <v>650</v>
      </c>
      <c r="D1281" s="30" t="s">
        <v>651</v>
      </c>
      <c r="E1281" s="40" t="s">
        <v>1214</v>
      </c>
      <c r="F1281" s="30" t="s">
        <v>177</v>
      </c>
      <c r="G1281" s="34">
        <v>27</v>
      </c>
      <c r="H1281" s="35">
        <v>1</v>
      </c>
      <c r="I1281" s="30"/>
      <c r="J1281" s="30"/>
      <c r="K1281" s="30" t="s">
        <v>52</v>
      </c>
      <c r="L1281" s="30" t="s">
        <v>53</v>
      </c>
      <c r="M1281" s="30" t="s">
        <v>54</v>
      </c>
      <c r="N1281" s="30" t="s">
        <v>88</v>
      </c>
      <c r="O1281" s="30" t="s">
        <v>103</v>
      </c>
      <c r="P1281" s="30" t="s">
        <v>57</v>
      </c>
      <c r="Q1281" s="30" t="s">
        <v>89</v>
      </c>
      <c r="R1281" s="30"/>
      <c r="S1281" s="30" t="s">
        <v>123</v>
      </c>
      <c r="T1281" s="30" t="s">
        <v>106</v>
      </c>
      <c r="U1281" s="30" t="s">
        <v>62</v>
      </c>
      <c r="V1281" s="30" t="s">
        <v>77</v>
      </c>
      <c r="W1281" s="30" t="s">
        <v>116</v>
      </c>
      <c r="X1281" s="30" t="s">
        <v>165</v>
      </c>
      <c r="Y1281" s="30"/>
      <c r="Z1281" s="30" t="s">
        <v>64</v>
      </c>
      <c r="AA1281" s="30" t="s">
        <v>653</v>
      </c>
      <c r="AB1281" s="30"/>
      <c r="AC1281" s="30" t="s">
        <v>3624</v>
      </c>
    </row>
    <row r="1282" spans="1:29" s="10" customFormat="1">
      <c r="A1282" s="24" t="s">
        <v>3625</v>
      </c>
      <c r="B1282" s="24" t="str">
        <f>IF(ISNUMBER(SEARCH(E1282,A1282)),A1282,IF(OR(E1282="",E1282=""),A1282,A1282&amp;" - "&amp;E1282))</f>
        <v>LOT 420 AB 25/1 - Apples &amp; Bananas</v>
      </c>
      <c r="C1282" s="24" t="s">
        <v>564</v>
      </c>
      <c r="D1282" s="24" t="s">
        <v>565</v>
      </c>
      <c r="E1282" s="41" t="s">
        <v>1120</v>
      </c>
      <c r="F1282" s="24" t="s">
        <v>120</v>
      </c>
      <c r="G1282" s="27">
        <v>24</v>
      </c>
      <c r="H1282" s="28">
        <v>1</v>
      </c>
      <c r="I1282" s="24"/>
      <c r="J1282" s="24"/>
      <c r="K1282" s="24" t="s">
        <v>52</v>
      </c>
      <c r="L1282" s="24" t="s">
        <v>53</v>
      </c>
      <c r="M1282" s="24" t="s">
        <v>54</v>
      </c>
      <c r="N1282" s="24" t="s">
        <v>71</v>
      </c>
      <c r="O1282" s="24" t="s">
        <v>55</v>
      </c>
      <c r="P1282" s="24" t="s">
        <v>58</v>
      </c>
      <c r="Q1282" s="24"/>
      <c r="R1282" s="24"/>
      <c r="S1282" s="24" t="s">
        <v>192</v>
      </c>
      <c r="T1282" s="24" t="s">
        <v>105</v>
      </c>
      <c r="U1282" s="24" t="s">
        <v>147</v>
      </c>
      <c r="V1282" s="24" t="s">
        <v>92</v>
      </c>
      <c r="W1282" s="24" t="s">
        <v>77</v>
      </c>
      <c r="X1282" s="24" t="s">
        <v>129</v>
      </c>
      <c r="Y1282" s="24" t="s">
        <v>3626</v>
      </c>
      <c r="Z1282" s="24" t="s">
        <v>64</v>
      </c>
      <c r="AA1282" s="24" t="s">
        <v>565</v>
      </c>
      <c r="AB1282" s="24" t="s">
        <v>658</v>
      </c>
      <c r="AC1282" s="24" t="s">
        <v>3627</v>
      </c>
    </row>
    <row r="1283" spans="1:29">
      <c r="A1283" s="30" t="s">
        <v>3628</v>
      </c>
      <c r="B1283" s="30" t="str">
        <f>IF(ISNUMBER(SEARCH(E1283,A1283)),A1283,IF(OR(E1283="",E1283=""),A1283,A1283&amp;" - "&amp;E1283))</f>
        <v>LOT 420 AB PT - Apples &amp; Bananas</v>
      </c>
      <c r="C1283" s="30" t="s">
        <v>564</v>
      </c>
      <c r="D1283" s="30" t="s">
        <v>565</v>
      </c>
      <c r="E1283" s="40" t="s">
        <v>1120</v>
      </c>
      <c r="F1283" s="30" t="s">
        <v>120</v>
      </c>
      <c r="G1283" s="34">
        <v>27</v>
      </c>
      <c r="H1283" s="35">
        <v>1</v>
      </c>
      <c r="I1283" s="30"/>
      <c r="J1283" s="30"/>
      <c r="K1283" s="30" t="s">
        <v>52</v>
      </c>
      <c r="L1283" s="30" t="s">
        <v>102</v>
      </c>
      <c r="M1283" s="30" t="s">
        <v>54</v>
      </c>
      <c r="N1283" s="30" t="s">
        <v>71</v>
      </c>
      <c r="O1283" s="30" t="s">
        <v>55</v>
      </c>
      <c r="P1283" s="30" t="s">
        <v>58</v>
      </c>
      <c r="Q1283" s="30"/>
      <c r="R1283" s="30"/>
      <c r="S1283" s="30" t="s">
        <v>192</v>
      </c>
      <c r="T1283" s="30" t="s">
        <v>105</v>
      </c>
      <c r="U1283" s="30" t="s">
        <v>147</v>
      </c>
      <c r="V1283" s="30" t="s">
        <v>92</v>
      </c>
      <c r="W1283" s="30" t="s">
        <v>77</v>
      </c>
      <c r="X1283" s="30" t="s">
        <v>129</v>
      </c>
      <c r="Y1283" s="30" t="s">
        <v>1112</v>
      </c>
      <c r="Z1283" s="30" t="s">
        <v>64</v>
      </c>
      <c r="AA1283" s="30" t="s">
        <v>565</v>
      </c>
      <c r="AB1283" s="30" t="s">
        <v>658</v>
      </c>
      <c r="AC1283" s="30" t="s">
        <v>3629</v>
      </c>
    </row>
    <row r="1284" spans="1:29">
      <c r="A1284" s="24" t="s">
        <v>3630</v>
      </c>
      <c r="B1284" s="24" t="str">
        <f>IF(ISNUMBER(SEARCH(E1284,A1284)),A1284,IF(OR(E1284="",E1284=""),A1284,A1284&amp;" - "&amp;E1284))</f>
        <v>Soma OG 30/1 FG - Gelato Sherbert</v>
      </c>
      <c r="C1284" s="24" t="s">
        <v>1957</v>
      </c>
      <c r="D1284" s="24" t="s">
        <v>1958</v>
      </c>
      <c r="E1284" s="41" t="s">
        <v>1332</v>
      </c>
      <c r="F1284" s="24" t="s">
        <v>177</v>
      </c>
      <c r="G1284" s="27">
        <v>30</v>
      </c>
      <c r="H1284" s="28">
        <v>1</v>
      </c>
      <c r="I1284" s="24"/>
      <c r="J1284" s="24"/>
      <c r="K1284" s="24" t="s">
        <v>52</v>
      </c>
      <c r="L1284" s="24" t="s">
        <v>53</v>
      </c>
      <c r="M1284" s="24" t="s">
        <v>54</v>
      </c>
      <c r="N1284" s="24" t="s">
        <v>111</v>
      </c>
      <c r="O1284" s="24" t="s">
        <v>103</v>
      </c>
      <c r="P1284" s="24" t="s">
        <v>112</v>
      </c>
      <c r="Q1284" s="24" t="s">
        <v>146</v>
      </c>
      <c r="R1284" s="24" t="s">
        <v>89</v>
      </c>
      <c r="S1284" s="24" t="s">
        <v>106</v>
      </c>
      <c r="T1284" s="24" t="s">
        <v>493</v>
      </c>
      <c r="U1284" s="24" t="s">
        <v>62</v>
      </c>
      <c r="V1284" s="24" t="s">
        <v>77</v>
      </c>
      <c r="W1284" s="24" t="s">
        <v>395</v>
      </c>
      <c r="X1284" s="24" t="s">
        <v>79</v>
      </c>
      <c r="Y1284" s="24" t="s">
        <v>516</v>
      </c>
      <c r="Z1284" s="24" t="s">
        <v>64</v>
      </c>
      <c r="AA1284" s="24" t="s">
        <v>1961</v>
      </c>
      <c r="AB1284" s="24"/>
      <c r="AC1284" s="24" t="s">
        <v>3631</v>
      </c>
    </row>
    <row r="1285" spans="1:29">
      <c r="A1285" s="30" t="s">
        <v>3632</v>
      </c>
      <c r="B1285" s="30" t="str">
        <f>IF(ISNUMBER(SEARCH(E1285,A1285)),A1285,IF(OR(E1285="",E1285=""),A1285,A1285&amp;" - "&amp;E1285))</f>
        <v>Soma OG 30/1 FG GOG Indica - Ghost OG</v>
      </c>
      <c r="C1285" s="30" t="s">
        <v>1957</v>
      </c>
      <c r="D1285" s="30" t="s">
        <v>1958</v>
      </c>
      <c r="E1285" s="40" t="s">
        <v>3633</v>
      </c>
      <c r="F1285" s="30" t="s">
        <v>177</v>
      </c>
      <c r="G1285" s="34">
        <v>30</v>
      </c>
      <c r="H1285" s="35">
        <v>1</v>
      </c>
      <c r="I1285" s="30"/>
      <c r="J1285" s="30"/>
      <c r="K1285" s="30" t="s">
        <v>52</v>
      </c>
      <c r="L1285" s="30" t="s">
        <v>53</v>
      </c>
      <c r="M1285" s="30" t="s">
        <v>111</v>
      </c>
      <c r="N1285" s="30" t="s">
        <v>72</v>
      </c>
      <c r="O1285" s="30"/>
      <c r="P1285" s="30" t="s">
        <v>74</v>
      </c>
      <c r="Q1285" s="30" t="s">
        <v>75</v>
      </c>
      <c r="R1285" s="30" t="s">
        <v>59</v>
      </c>
      <c r="S1285" s="30" t="s">
        <v>147</v>
      </c>
      <c r="T1285" s="30" t="s">
        <v>106</v>
      </c>
      <c r="U1285" s="30" t="s">
        <v>62</v>
      </c>
      <c r="V1285" s="30" t="s">
        <v>79</v>
      </c>
      <c r="W1285" s="30" t="s">
        <v>107</v>
      </c>
      <c r="X1285" s="30" t="s">
        <v>173</v>
      </c>
      <c r="Y1285" s="30" t="s">
        <v>278</v>
      </c>
      <c r="Z1285" s="30" t="s">
        <v>64</v>
      </c>
      <c r="AA1285" s="30" t="s">
        <v>1961</v>
      </c>
      <c r="AB1285" s="30"/>
      <c r="AC1285" s="30" t="s">
        <v>3634</v>
      </c>
    </row>
    <row r="1286" spans="1:29">
      <c r="A1286" s="24" t="s">
        <v>3635</v>
      </c>
      <c r="B1286" s="24" t="str">
        <f>IF(ISNUMBER(SEARCH(E1286,A1286)),A1286,IF(OR(E1286="",E1286=""),A1286,A1286&amp;" - "&amp;E1286))</f>
        <v>Wellford Aquaponic 23/1 QSG - Queen SanG</v>
      </c>
      <c r="C1286" s="24" t="s">
        <v>741</v>
      </c>
      <c r="D1286" s="24" t="s">
        <v>742</v>
      </c>
      <c r="E1286" s="41" t="s">
        <v>896</v>
      </c>
      <c r="F1286" s="24" t="s">
        <v>69</v>
      </c>
      <c r="G1286" s="27">
        <v>23</v>
      </c>
      <c r="H1286" s="28">
        <v>1</v>
      </c>
      <c r="I1286" s="24"/>
      <c r="J1286" s="24"/>
      <c r="K1286" s="24" t="s">
        <v>52</v>
      </c>
      <c r="L1286" s="24" t="s">
        <v>53</v>
      </c>
      <c r="M1286" s="24" t="s">
        <v>88</v>
      </c>
      <c r="N1286" s="24" t="s">
        <v>71</v>
      </c>
      <c r="O1286" s="24" t="s">
        <v>55</v>
      </c>
      <c r="P1286" s="24" t="s">
        <v>73</v>
      </c>
      <c r="Q1286" s="24" t="s">
        <v>75</v>
      </c>
      <c r="R1286" s="24" t="s">
        <v>58</v>
      </c>
      <c r="S1286" s="24" t="s">
        <v>123</v>
      </c>
      <c r="T1286" s="24" t="s">
        <v>106</v>
      </c>
      <c r="U1286" s="24" t="s">
        <v>76</v>
      </c>
      <c r="V1286" s="24" t="s">
        <v>197</v>
      </c>
      <c r="W1286" s="24" t="s">
        <v>79</v>
      </c>
      <c r="X1286" s="24" t="s">
        <v>107</v>
      </c>
      <c r="Y1286" s="24"/>
      <c r="Z1286" s="24" t="s">
        <v>64</v>
      </c>
      <c r="AA1286" s="24" t="s">
        <v>742</v>
      </c>
      <c r="AB1286" s="24" t="s">
        <v>979</v>
      </c>
      <c r="AC1286" s="24" t="s">
        <v>3636</v>
      </c>
    </row>
    <row r="1287" spans="1:29">
      <c r="A1287" s="30" t="s">
        <v>3637</v>
      </c>
      <c r="B1287" s="30" t="str">
        <f>IF(ISNUMBER(SEARCH(E1287,A1287)),A1287,IF(OR(E1287="",E1287=""),A1287,A1287&amp;" - "&amp;E1287))</f>
        <v>Wellford Aquaponic 29/1 QSG - Queen SanG</v>
      </c>
      <c r="C1287" s="30" t="s">
        <v>741</v>
      </c>
      <c r="D1287" s="30" t="s">
        <v>742</v>
      </c>
      <c r="E1287" s="40" t="s">
        <v>896</v>
      </c>
      <c r="F1287" s="30" t="s">
        <v>69</v>
      </c>
      <c r="G1287" s="34">
        <v>29</v>
      </c>
      <c r="H1287" s="35">
        <v>1</v>
      </c>
      <c r="I1287" s="30"/>
      <c r="J1287" s="30"/>
      <c r="K1287" s="30" t="s">
        <v>52</v>
      </c>
      <c r="L1287" s="30" t="s">
        <v>53</v>
      </c>
      <c r="M1287" s="30" t="s">
        <v>88</v>
      </c>
      <c r="N1287" s="30" t="s">
        <v>71</v>
      </c>
      <c r="O1287" s="30" t="s">
        <v>55</v>
      </c>
      <c r="P1287" s="30" t="s">
        <v>73</v>
      </c>
      <c r="Q1287" s="30" t="s">
        <v>75</v>
      </c>
      <c r="R1287" s="30" t="s">
        <v>58</v>
      </c>
      <c r="S1287" s="30" t="s">
        <v>123</v>
      </c>
      <c r="T1287" s="30" t="s">
        <v>106</v>
      </c>
      <c r="U1287" s="30" t="s">
        <v>76</v>
      </c>
      <c r="V1287" s="30" t="s">
        <v>197</v>
      </c>
      <c r="W1287" s="30" t="s">
        <v>79</v>
      </c>
      <c r="X1287" s="30" t="s">
        <v>107</v>
      </c>
      <c r="Y1287" s="30"/>
      <c r="Z1287" s="30" t="s">
        <v>64</v>
      </c>
      <c r="AA1287" s="30" t="s">
        <v>742</v>
      </c>
      <c r="AB1287" s="30" t="s">
        <v>979</v>
      </c>
      <c r="AC1287" s="30" t="s">
        <v>3638</v>
      </c>
    </row>
    <row r="1288" spans="1:29">
      <c r="A1288" s="24" t="s">
        <v>3639</v>
      </c>
      <c r="B1288" s="24" t="str">
        <f>IF(ISNUMBER(SEARCH(E1288,A1288)),A1288,IF(OR(E1288="",E1288=""),A1288,A1288&amp;" - "&amp;E1288))</f>
        <v>IMC HDK THC26 - Chevy OG</v>
      </c>
      <c r="C1288" s="24" t="s">
        <v>646</v>
      </c>
      <c r="D1288" s="24" t="s">
        <v>646</v>
      </c>
      <c r="E1288" s="41" t="s">
        <v>3640</v>
      </c>
      <c r="F1288" s="24" t="s">
        <v>120</v>
      </c>
      <c r="G1288" s="27">
        <v>26</v>
      </c>
      <c r="H1288" s="28">
        <v>1</v>
      </c>
      <c r="I1288" s="24"/>
      <c r="J1288" s="24"/>
      <c r="K1288" s="24" t="s">
        <v>52</v>
      </c>
      <c r="L1288" s="24" t="s">
        <v>1506</v>
      </c>
      <c r="M1288" s="24" t="s">
        <v>71</v>
      </c>
      <c r="N1288" s="24" t="s">
        <v>72</v>
      </c>
      <c r="O1288" s="24"/>
      <c r="P1288" s="24" t="s">
        <v>74</v>
      </c>
      <c r="Q1288" s="24" t="s">
        <v>113</v>
      </c>
      <c r="R1288" s="24" t="s">
        <v>59</v>
      </c>
      <c r="S1288" s="24" t="s">
        <v>147</v>
      </c>
      <c r="T1288" s="24" t="s">
        <v>106</v>
      </c>
      <c r="U1288" s="24" t="s">
        <v>62</v>
      </c>
      <c r="V1288" s="24" t="s">
        <v>77</v>
      </c>
      <c r="W1288" s="24" t="s">
        <v>116</v>
      </c>
      <c r="X1288" s="24" t="s">
        <v>180</v>
      </c>
      <c r="Y1288" s="24" t="s">
        <v>1357</v>
      </c>
      <c r="Z1288" s="24" t="s">
        <v>64</v>
      </c>
      <c r="AA1288" s="24" t="s">
        <v>646</v>
      </c>
      <c r="AB1288" s="24"/>
      <c r="AC1288" s="24" t="s">
        <v>3641</v>
      </c>
    </row>
    <row r="1289" spans="1:29">
      <c r="A1289" s="30" t="s">
        <v>3642</v>
      </c>
      <c r="B1289" s="30" t="str">
        <f>IF(ISNUMBER(SEARCH(E1289,A1289)),A1289,IF(OR(E1289="",E1289=""),A1289,A1289&amp;" - "&amp;E1289))</f>
        <v>IMC GO THC27 - Jokerz #53</v>
      </c>
      <c r="C1289" s="30" t="s">
        <v>646</v>
      </c>
      <c r="D1289" s="30" t="s">
        <v>646</v>
      </c>
      <c r="E1289" s="40" t="s">
        <v>1502</v>
      </c>
      <c r="F1289" s="30" t="s">
        <v>177</v>
      </c>
      <c r="G1289" s="34">
        <v>27</v>
      </c>
      <c r="H1289" s="35">
        <v>1</v>
      </c>
      <c r="I1289" s="30"/>
      <c r="J1289" s="30"/>
      <c r="K1289" s="30" t="s">
        <v>52</v>
      </c>
      <c r="L1289" s="30" t="s">
        <v>1506</v>
      </c>
      <c r="M1289" s="30" t="s">
        <v>54</v>
      </c>
      <c r="N1289" s="30" t="s">
        <v>88</v>
      </c>
      <c r="O1289" s="30" t="s">
        <v>72</v>
      </c>
      <c r="P1289" s="30" t="s">
        <v>73</v>
      </c>
      <c r="Q1289" s="30" t="s">
        <v>74</v>
      </c>
      <c r="R1289" s="30" t="s">
        <v>89</v>
      </c>
      <c r="S1289" s="30" t="s">
        <v>123</v>
      </c>
      <c r="T1289" s="30" t="s">
        <v>106</v>
      </c>
      <c r="U1289" s="30" t="s">
        <v>62</v>
      </c>
      <c r="V1289" s="30" t="s">
        <v>77</v>
      </c>
      <c r="W1289" s="30" t="s">
        <v>116</v>
      </c>
      <c r="X1289" s="30" t="s">
        <v>107</v>
      </c>
      <c r="Y1289" s="30" t="s">
        <v>1357</v>
      </c>
      <c r="Z1289" s="30" t="s">
        <v>64</v>
      </c>
      <c r="AA1289" s="30" t="s">
        <v>646</v>
      </c>
      <c r="AB1289" s="30"/>
      <c r="AC1289" s="30" t="s">
        <v>3643</v>
      </c>
    </row>
    <row r="1290" spans="1:29">
      <c r="A1290" s="24" t="s">
        <v>3644</v>
      </c>
      <c r="B1290" s="24" t="str">
        <f>IF(ISNUMBER(SEARCH(E1290,A1290)),A1290,IF(OR(E1290="",E1290=""),A1290,A1290&amp;" - "&amp;E1290))</f>
        <v>IMC RGP THC26 26/1 - Rose Gold Pave</v>
      </c>
      <c r="C1290" s="24" t="s">
        <v>646</v>
      </c>
      <c r="D1290" s="24" t="s">
        <v>646</v>
      </c>
      <c r="E1290" s="41" t="s">
        <v>3645</v>
      </c>
      <c r="F1290" s="24" t="s">
        <v>86</v>
      </c>
      <c r="G1290" s="27">
        <v>28</v>
      </c>
      <c r="H1290" s="28">
        <v>1</v>
      </c>
      <c r="I1290" s="24"/>
      <c r="J1290" s="24"/>
      <c r="K1290" s="24" t="s">
        <v>52</v>
      </c>
      <c r="L1290" s="24"/>
      <c r="M1290" s="24" t="s">
        <v>54</v>
      </c>
      <c r="N1290" s="24" t="s">
        <v>88</v>
      </c>
      <c r="O1290" s="24" t="s">
        <v>71</v>
      </c>
      <c r="P1290" s="24" t="s">
        <v>73</v>
      </c>
      <c r="Q1290" s="24" t="s">
        <v>136</v>
      </c>
      <c r="R1290" s="24" t="s">
        <v>112</v>
      </c>
      <c r="S1290" s="24" t="s">
        <v>147</v>
      </c>
      <c r="T1290" s="24" t="s">
        <v>106</v>
      </c>
      <c r="U1290" s="24" t="s">
        <v>62</v>
      </c>
      <c r="V1290" s="24" t="s">
        <v>77</v>
      </c>
      <c r="W1290" s="24" t="s">
        <v>116</v>
      </c>
      <c r="X1290" s="24" t="s">
        <v>79</v>
      </c>
      <c r="Y1290" s="24" t="s">
        <v>1357</v>
      </c>
      <c r="Z1290" s="24" t="s">
        <v>64</v>
      </c>
      <c r="AA1290" s="24" t="s">
        <v>646</v>
      </c>
      <c r="AB1290" s="24"/>
      <c r="AC1290" s="24" t="s">
        <v>3646</v>
      </c>
    </row>
    <row r="1291" spans="1:29">
      <c r="A1291" s="30" t="s">
        <v>3647</v>
      </c>
      <c r="B1291" s="30" t="str">
        <f>IF(ISNUMBER(SEARCH(E1291,A1291)),A1291,IF(OR(E1291="",E1291=""),A1291,A1291&amp;" - "&amp;E1291))</f>
        <v>Africann GG - Gorilla Glue</v>
      </c>
      <c r="C1291" s="30" t="s">
        <v>564</v>
      </c>
      <c r="D1291" s="30" t="s">
        <v>565</v>
      </c>
      <c r="E1291" s="40" t="s">
        <v>363</v>
      </c>
      <c r="F1291" s="30" t="s">
        <v>120</v>
      </c>
      <c r="G1291" s="34">
        <v>27</v>
      </c>
      <c r="H1291" s="35">
        <v>1</v>
      </c>
      <c r="I1291" s="30"/>
      <c r="J1291" s="30"/>
      <c r="K1291" s="30" t="s">
        <v>52</v>
      </c>
      <c r="L1291" s="30" t="s">
        <v>497</v>
      </c>
      <c r="M1291" s="30" t="s">
        <v>103</v>
      </c>
      <c r="N1291" s="30" t="s">
        <v>121</v>
      </c>
      <c r="O1291" s="30" t="s">
        <v>72</v>
      </c>
      <c r="P1291" s="30" t="s">
        <v>146</v>
      </c>
      <c r="Q1291" s="30" t="s">
        <v>74</v>
      </c>
      <c r="R1291" s="30" t="s">
        <v>59</v>
      </c>
      <c r="S1291" s="30" t="s">
        <v>60</v>
      </c>
      <c r="T1291" s="30" t="s">
        <v>123</v>
      </c>
      <c r="U1291" s="30" t="s">
        <v>106</v>
      </c>
      <c r="V1291" s="30" t="s">
        <v>257</v>
      </c>
      <c r="W1291" s="30" t="s">
        <v>252</v>
      </c>
      <c r="X1291" s="30" t="s">
        <v>77</v>
      </c>
      <c r="Y1291" s="30" t="s">
        <v>331</v>
      </c>
      <c r="Z1291" s="30" t="s">
        <v>64</v>
      </c>
      <c r="AA1291" s="30" t="s">
        <v>565</v>
      </c>
      <c r="AB1291" s="30"/>
      <c r="AC1291" s="30" t="s">
        <v>3648</v>
      </c>
    </row>
    <row r="1292" spans="1:29">
      <c r="A1292" s="24" t="s">
        <v>3649</v>
      </c>
      <c r="B1292" s="24" t="str">
        <f>IF(ISNUMBER(SEARCH(E1292,A1292)),A1292,IF(OR(E1292="",E1292=""),A1292,A1292&amp;" - "&amp;E1292))</f>
        <v>Citizen Labs CR 32/1 - Cali Rain</v>
      </c>
      <c r="C1292" s="24" t="s">
        <v>564</v>
      </c>
      <c r="D1292" s="24" t="s">
        <v>565</v>
      </c>
      <c r="E1292" s="41" t="s">
        <v>3650</v>
      </c>
      <c r="F1292" s="24" t="s">
        <v>86</v>
      </c>
      <c r="G1292" s="27">
        <v>32</v>
      </c>
      <c r="H1292" s="28">
        <v>1</v>
      </c>
      <c r="I1292" s="24"/>
      <c r="J1292" s="24"/>
      <c r="K1292" s="24" t="s">
        <v>52</v>
      </c>
      <c r="L1292" s="24" t="s">
        <v>53</v>
      </c>
      <c r="M1292" s="24" t="s">
        <v>88</v>
      </c>
      <c r="N1292" s="24" t="s">
        <v>178</v>
      </c>
      <c r="O1292" s="24" t="s">
        <v>72</v>
      </c>
      <c r="P1292" s="24" t="s">
        <v>73</v>
      </c>
      <c r="Q1292" s="24" t="s">
        <v>136</v>
      </c>
      <c r="R1292" s="24" t="s">
        <v>74</v>
      </c>
      <c r="S1292" s="24" t="s">
        <v>147</v>
      </c>
      <c r="T1292" s="24" t="s">
        <v>106</v>
      </c>
      <c r="U1292" s="24" t="s">
        <v>91</v>
      </c>
      <c r="V1292" s="24" t="s">
        <v>77</v>
      </c>
      <c r="W1292" s="24" t="s">
        <v>116</v>
      </c>
      <c r="X1292" s="24" t="s">
        <v>79</v>
      </c>
      <c r="Y1292" s="24" t="s">
        <v>1741</v>
      </c>
      <c r="Z1292" s="24" t="s">
        <v>64</v>
      </c>
      <c r="AA1292" s="24" t="s">
        <v>565</v>
      </c>
      <c r="AB1292" s="24"/>
      <c r="AC1292" s="24" t="s">
        <v>3651</v>
      </c>
    </row>
    <row r="1293" spans="1:29">
      <c r="A1293" s="30" t="s">
        <v>3652</v>
      </c>
      <c r="B1293" s="30" t="str">
        <f>IF(ISNUMBER(SEARCH(E1293,A1293)),A1293,IF(OR(E1293="",E1293=""),A1293,A1293&amp;" - "&amp;E1293))</f>
        <v>Demecan Core Moonbow 23/1 - Moonbow 112 IX</v>
      </c>
      <c r="C1293" s="30" t="s">
        <v>484</v>
      </c>
      <c r="D1293" s="30" t="s">
        <v>485</v>
      </c>
      <c r="E1293" s="40" t="s">
        <v>3653</v>
      </c>
      <c r="F1293" s="30" t="s">
        <v>86</v>
      </c>
      <c r="G1293" s="34">
        <v>23</v>
      </c>
      <c r="H1293" s="35">
        <v>1</v>
      </c>
      <c r="I1293" s="30"/>
      <c r="J1293" s="30"/>
      <c r="K1293" s="30" t="s">
        <v>52</v>
      </c>
      <c r="L1293" s="30" t="s">
        <v>527</v>
      </c>
      <c r="M1293" s="30" t="s">
        <v>54</v>
      </c>
      <c r="N1293" s="30" t="s">
        <v>88</v>
      </c>
      <c r="O1293" s="30" t="s">
        <v>178</v>
      </c>
      <c r="P1293" s="30" t="s">
        <v>136</v>
      </c>
      <c r="Q1293" s="30" t="s">
        <v>112</v>
      </c>
      <c r="R1293" s="30" t="s">
        <v>74</v>
      </c>
      <c r="S1293" s="30" t="s">
        <v>123</v>
      </c>
      <c r="T1293" s="30" t="s">
        <v>106</v>
      </c>
      <c r="U1293" s="30" t="s">
        <v>62</v>
      </c>
      <c r="V1293" s="30" t="s">
        <v>77</v>
      </c>
      <c r="W1293" s="30" t="s">
        <v>116</v>
      </c>
      <c r="X1293" s="30" t="s">
        <v>107</v>
      </c>
      <c r="Y1293" s="30" t="s">
        <v>297</v>
      </c>
      <c r="Z1293" s="30" t="s">
        <v>64</v>
      </c>
      <c r="AA1293" s="30" t="s">
        <v>485</v>
      </c>
      <c r="AB1293" s="30"/>
      <c r="AC1293" s="36" t="s">
        <v>3654</v>
      </c>
    </row>
    <row r="1294" spans="1:29">
      <c r="A1294" s="24" t="s">
        <v>3655</v>
      </c>
      <c r="B1294" s="24" t="str">
        <f>IF(ISNUMBER(SEARCH(E1294,A1294)),A1294,IF(OR(E1294="",E1294=""),A1294,A1294&amp;" - "&amp;E1294))</f>
        <v>NICE 26/1 LC - Lemon Cookies</v>
      </c>
      <c r="C1294" s="24" t="s">
        <v>996</v>
      </c>
      <c r="D1294" s="24" t="s">
        <v>997</v>
      </c>
      <c r="E1294" s="41" t="s">
        <v>3656</v>
      </c>
      <c r="F1294" s="24" t="s">
        <v>86</v>
      </c>
      <c r="G1294" s="27">
        <v>28</v>
      </c>
      <c r="H1294" s="28">
        <v>1</v>
      </c>
      <c r="I1294" s="24"/>
      <c r="J1294" s="24"/>
      <c r="K1294" s="24" t="s">
        <v>52</v>
      </c>
      <c r="L1294" s="24" t="s">
        <v>102</v>
      </c>
      <c r="M1294" s="24" t="s">
        <v>54</v>
      </c>
      <c r="N1294" s="24" t="s">
        <v>111</v>
      </c>
      <c r="O1294" s="24" t="s">
        <v>88</v>
      </c>
      <c r="P1294" s="24" t="s">
        <v>157</v>
      </c>
      <c r="Q1294" s="24" t="s">
        <v>112</v>
      </c>
      <c r="R1294" s="24" t="s">
        <v>57</v>
      </c>
      <c r="S1294" s="24" t="s">
        <v>147</v>
      </c>
      <c r="T1294" s="24" t="s">
        <v>91</v>
      </c>
      <c r="U1294" s="24" t="s">
        <v>62</v>
      </c>
      <c r="V1294" s="24" t="s">
        <v>77</v>
      </c>
      <c r="W1294" s="24" t="s">
        <v>79</v>
      </c>
      <c r="X1294" s="24" t="s">
        <v>107</v>
      </c>
      <c r="Y1294" s="24" t="s">
        <v>870</v>
      </c>
      <c r="Z1294" s="24" t="s">
        <v>64</v>
      </c>
      <c r="AA1294" s="24" t="s">
        <v>997</v>
      </c>
      <c r="AB1294" s="24"/>
      <c r="AC1294" s="24" t="s">
        <v>3657</v>
      </c>
    </row>
    <row r="1295" spans="1:29">
      <c r="A1295" s="30" t="s">
        <v>3658</v>
      </c>
      <c r="B1295" s="30" t="str">
        <f>IF(ISNUMBER(SEARCH(E1295,A1295)),A1295,IF(OR(E1295="",E1295=""),A1295,A1295&amp;" - "&amp;E1295))</f>
        <v>Bathera 28/1 FC - Fine Cookies</v>
      </c>
      <c r="C1295" s="30" t="s">
        <v>153</v>
      </c>
      <c r="D1295" s="30" t="s">
        <v>154</v>
      </c>
      <c r="E1295" s="40" t="s">
        <v>931</v>
      </c>
      <c r="F1295" s="30" t="s">
        <v>86</v>
      </c>
      <c r="G1295" s="34">
        <v>28</v>
      </c>
      <c r="H1295" s="35">
        <v>1</v>
      </c>
      <c r="I1295" s="30"/>
      <c r="J1295" s="30"/>
      <c r="K1295" s="30" t="s">
        <v>52</v>
      </c>
      <c r="L1295" s="30" t="s">
        <v>102</v>
      </c>
      <c r="M1295" s="30" t="s">
        <v>71</v>
      </c>
      <c r="N1295" s="30" t="s">
        <v>121</v>
      </c>
      <c r="O1295" s="30" t="s">
        <v>72</v>
      </c>
      <c r="P1295" s="30" t="s">
        <v>113</v>
      </c>
      <c r="Q1295" s="30" t="s">
        <v>75</v>
      </c>
      <c r="R1295" s="30"/>
      <c r="S1295" s="30" t="s">
        <v>147</v>
      </c>
      <c r="T1295" s="30" t="s">
        <v>61</v>
      </c>
      <c r="U1295" s="30" t="s">
        <v>62</v>
      </c>
      <c r="V1295" s="30" t="s">
        <v>92</v>
      </c>
      <c r="W1295" s="30" t="s">
        <v>77</v>
      </c>
      <c r="X1295" s="30" t="s">
        <v>116</v>
      </c>
      <c r="Y1295" s="30" t="s">
        <v>130</v>
      </c>
      <c r="Z1295" s="30" t="s">
        <v>64</v>
      </c>
      <c r="AA1295" s="30" t="s">
        <v>154</v>
      </c>
      <c r="AB1295" s="30" t="s">
        <v>160</v>
      </c>
      <c r="AC1295" s="30" t="s">
        <v>3659</v>
      </c>
    </row>
    <row r="1296" spans="1:29">
      <c r="A1296" s="24" t="s">
        <v>3660</v>
      </c>
      <c r="B1296" s="24" t="str">
        <f>IF(ISNUMBER(SEARCH(E1296,A1296)),A1296,IF(OR(E1296="",E1296=""),A1296,A1296&amp;" - "&amp;E1296))</f>
        <v>Remexian Balanced CNF MCC 8/14 - Mango Cheese</v>
      </c>
      <c r="C1296" s="24" t="s">
        <v>83</v>
      </c>
      <c r="D1296" s="24" t="s">
        <v>84</v>
      </c>
      <c r="E1296" s="41" t="s">
        <v>3661</v>
      </c>
      <c r="F1296" s="24" t="s">
        <v>86</v>
      </c>
      <c r="G1296" s="27">
        <v>9</v>
      </c>
      <c r="H1296" s="28">
        <v>14</v>
      </c>
      <c r="I1296" s="24"/>
      <c r="J1296" s="24"/>
      <c r="K1296" s="24" t="s">
        <v>52</v>
      </c>
      <c r="L1296" s="24" t="s">
        <v>53</v>
      </c>
      <c r="M1296" s="24" t="s">
        <v>88</v>
      </c>
      <c r="N1296" s="24"/>
      <c r="O1296" s="24"/>
      <c r="P1296" s="24" t="s">
        <v>186</v>
      </c>
      <c r="Q1296" s="24" t="s">
        <v>136</v>
      </c>
      <c r="R1296" s="24" t="s">
        <v>74</v>
      </c>
      <c r="S1296" s="24" t="s">
        <v>192</v>
      </c>
      <c r="T1296" s="24" t="s">
        <v>62</v>
      </c>
      <c r="U1296" s="24" t="s">
        <v>128</v>
      </c>
      <c r="V1296" s="24" t="s">
        <v>77</v>
      </c>
      <c r="W1296" s="24" t="s">
        <v>79</v>
      </c>
      <c r="X1296" s="24" t="s">
        <v>107</v>
      </c>
      <c r="Y1296" s="24" t="s">
        <v>870</v>
      </c>
      <c r="Z1296" s="24" t="s">
        <v>64</v>
      </c>
      <c r="AA1296" s="24" t="s">
        <v>95</v>
      </c>
      <c r="AB1296" s="24"/>
      <c r="AC1296" s="24" t="s">
        <v>3662</v>
      </c>
    </row>
    <row r="1297" spans="1:29">
      <c r="A1297" s="30" t="s">
        <v>3663</v>
      </c>
      <c r="B1297" s="30" t="str">
        <f>IF(ISNUMBER(SEARCH(E1297,A1297)),A1297,IF(OR(E1297="",E1297=""),A1297,A1297&amp;" - "&amp;E1297))</f>
        <v>Remexian 24/1 PRT SCK - Strawberry Cookies</v>
      </c>
      <c r="C1297" s="30" t="s">
        <v>83</v>
      </c>
      <c r="D1297" s="30" t="s">
        <v>84</v>
      </c>
      <c r="E1297" s="40" t="s">
        <v>1650</v>
      </c>
      <c r="F1297" s="30" t="s">
        <v>69</v>
      </c>
      <c r="G1297" s="34">
        <v>25</v>
      </c>
      <c r="H1297" s="35">
        <v>1</v>
      </c>
      <c r="I1297" s="30"/>
      <c r="J1297" s="30"/>
      <c r="K1297" s="30" t="s">
        <v>52</v>
      </c>
      <c r="L1297" s="30" t="s">
        <v>102</v>
      </c>
      <c r="M1297" s="30" t="s">
        <v>54</v>
      </c>
      <c r="N1297" s="30" t="s">
        <v>111</v>
      </c>
      <c r="O1297" s="30" t="s">
        <v>88</v>
      </c>
      <c r="P1297" s="30" t="s">
        <v>112</v>
      </c>
      <c r="Q1297" s="30" t="s">
        <v>74</v>
      </c>
      <c r="R1297" s="30" t="s">
        <v>89</v>
      </c>
      <c r="S1297" s="30" t="s">
        <v>123</v>
      </c>
      <c r="T1297" s="30" t="s">
        <v>106</v>
      </c>
      <c r="U1297" s="30" t="s">
        <v>91</v>
      </c>
      <c r="V1297" s="30" t="s">
        <v>77</v>
      </c>
      <c r="W1297" s="30" t="s">
        <v>79</v>
      </c>
      <c r="X1297" s="30" t="s">
        <v>107</v>
      </c>
      <c r="Y1297" s="30" t="s">
        <v>2894</v>
      </c>
      <c r="Z1297" s="30" t="s">
        <v>64</v>
      </c>
      <c r="AA1297" s="30" t="s">
        <v>95</v>
      </c>
      <c r="AB1297" s="30"/>
      <c r="AC1297" s="30" t="s">
        <v>3664</v>
      </c>
    </row>
    <row r="1298" spans="1:29">
      <c r="A1298" s="24" t="s">
        <v>3665</v>
      </c>
      <c r="B1298" s="24" t="str">
        <f>IF(ISNUMBER(SEARCH(E1298,A1298)),A1298,IF(OR(E1298="",E1298=""),A1298,A1298&amp;" - "&amp;E1298))</f>
        <v>Remexian 30/1 PRT ROG - Petrol OG</v>
      </c>
      <c r="C1298" s="24" t="s">
        <v>83</v>
      </c>
      <c r="D1298" s="24" t="s">
        <v>84</v>
      </c>
      <c r="E1298" s="41" t="s">
        <v>3666</v>
      </c>
      <c r="F1298" s="24" t="s">
        <v>177</v>
      </c>
      <c r="G1298" s="27">
        <v>30</v>
      </c>
      <c r="H1298" s="28">
        <v>1</v>
      </c>
      <c r="I1298" s="24"/>
      <c r="J1298" s="24"/>
      <c r="K1298" s="24" t="s">
        <v>52</v>
      </c>
      <c r="L1298" s="24"/>
      <c r="M1298" s="24" t="s">
        <v>111</v>
      </c>
      <c r="N1298" s="24" t="s">
        <v>88</v>
      </c>
      <c r="O1298" s="24" t="s">
        <v>72</v>
      </c>
      <c r="P1298" s="24" t="s">
        <v>73</v>
      </c>
      <c r="Q1298" s="24" t="s">
        <v>74</v>
      </c>
      <c r="R1298" s="24" t="s">
        <v>113</v>
      </c>
      <c r="S1298" s="24" t="s">
        <v>147</v>
      </c>
      <c r="T1298" s="24" t="s">
        <v>106</v>
      </c>
      <c r="U1298" s="24" t="s">
        <v>62</v>
      </c>
      <c r="V1298" s="24" t="s">
        <v>116</v>
      </c>
      <c r="W1298" s="24" t="s">
        <v>107</v>
      </c>
      <c r="X1298" s="24" t="s">
        <v>93</v>
      </c>
      <c r="Y1298" s="24" t="s">
        <v>335</v>
      </c>
      <c r="Z1298" s="24" t="s">
        <v>64</v>
      </c>
      <c r="AA1298" s="24" t="s">
        <v>95</v>
      </c>
      <c r="AB1298" s="24"/>
      <c r="AC1298" s="24" t="s">
        <v>3667</v>
      </c>
    </row>
    <row r="1299" spans="1:29">
      <c r="A1299" s="30" t="s">
        <v>3668</v>
      </c>
      <c r="B1299" s="30" t="str">
        <f>IF(ISNUMBER(SEARCH(E1299,A1299)),A1299,IF(OR(E1299="",E1299=""),A1299,A1299&amp;" - "&amp;E1299))</f>
        <v>Green Karat MG 31/1 - Modified Gas</v>
      </c>
      <c r="C1299" s="30" t="s">
        <v>564</v>
      </c>
      <c r="D1299" s="30" t="s">
        <v>565</v>
      </c>
      <c r="E1299" s="40" t="s">
        <v>805</v>
      </c>
      <c r="F1299" s="30" t="s">
        <v>86</v>
      </c>
      <c r="G1299" s="34">
        <v>31</v>
      </c>
      <c r="H1299" s="35">
        <v>1</v>
      </c>
      <c r="I1299" s="30"/>
      <c r="J1299" s="30"/>
      <c r="K1299" s="30" t="s">
        <v>52</v>
      </c>
      <c r="L1299" s="30" t="s">
        <v>53</v>
      </c>
      <c r="M1299" s="30" t="s">
        <v>88</v>
      </c>
      <c r="N1299" s="30" t="s">
        <v>55</v>
      </c>
      <c r="O1299" s="30" t="s">
        <v>72</v>
      </c>
      <c r="P1299" s="30" t="s">
        <v>157</v>
      </c>
      <c r="Q1299" s="30" t="s">
        <v>58</v>
      </c>
      <c r="R1299" s="30" t="s">
        <v>59</v>
      </c>
      <c r="S1299" s="30" t="s">
        <v>147</v>
      </c>
      <c r="T1299" s="30" t="s">
        <v>123</v>
      </c>
      <c r="U1299" s="30" t="s">
        <v>106</v>
      </c>
      <c r="V1299" s="30" t="s">
        <v>92</v>
      </c>
      <c r="W1299" s="30" t="s">
        <v>116</v>
      </c>
      <c r="X1299" s="30" t="s">
        <v>180</v>
      </c>
      <c r="Y1299" s="30" t="s">
        <v>286</v>
      </c>
      <c r="Z1299" s="30" t="s">
        <v>64</v>
      </c>
      <c r="AA1299" s="30" t="s">
        <v>565</v>
      </c>
      <c r="AB1299" s="30" t="s">
        <v>699</v>
      </c>
      <c r="AC1299" s="30" t="s">
        <v>3669</v>
      </c>
    </row>
    <row r="1300" spans="1:29">
      <c r="A1300" s="24" t="s">
        <v>3670</v>
      </c>
      <c r="B1300" s="24" t="str">
        <f>IF(ISNUMBER(SEARCH(E1300,A1300)),A1300,IF(OR(E1300="",E1300=""),A1300,A1300&amp;" - "&amp;E1300))</f>
        <v>All Nations GM 30/1 - Mac Doughnut</v>
      </c>
      <c r="C1300" s="24" t="s">
        <v>564</v>
      </c>
      <c r="D1300" s="24" t="s">
        <v>565</v>
      </c>
      <c r="E1300" s="41" t="s">
        <v>1230</v>
      </c>
      <c r="F1300" s="24" t="s">
        <v>86</v>
      </c>
      <c r="G1300" s="27">
        <v>30</v>
      </c>
      <c r="H1300" s="28">
        <v>1</v>
      </c>
      <c r="I1300" s="24"/>
      <c r="J1300" s="24"/>
      <c r="K1300" s="24" t="s">
        <v>52</v>
      </c>
      <c r="L1300" s="24" t="s">
        <v>53</v>
      </c>
      <c r="M1300" s="24" t="s">
        <v>121</v>
      </c>
      <c r="N1300" s="24" t="s">
        <v>72</v>
      </c>
      <c r="O1300" s="24"/>
      <c r="P1300" s="24" t="s">
        <v>89</v>
      </c>
      <c r="Q1300" s="24" t="s">
        <v>58</v>
      </c>
      <c r="R1300" s="24"/>
      <c r="S1300" s="24" t="s">
        <v>147</v>
      </c>
      <c r="T1300" s="24" t="s">
        <v>123</v>
      </c>
      <c r="U1300" s="24" t="s">
        <v>106</v>
      </c>
      <c r="V1300" s="24" t="s">
        <v>77</v>
      </c>
      <c r="W1300" s="24" t="s">
        <v>116</v>
      </c>
      <c r="X1300" s="24" t="s">
        <v>79</v>
      </c>
      <c r="Y1300" s="24" t="s">
        <v>3277</v>
      </c>
      <c r="Z1300" s="24" t="s">
        <v>64</v>
      </c>
      <c r="AA1300" s="24" t="s">
        <v>565</v>
      </c>
      <c r="AB1300" s="24" t="s">
        <v>1232</v>
      </c>
      <c r="AC1300" s="24" t="s">
        <v>3671</v>
      </c>
    </row>
    <row r="1301" spans="1:29">
      <c r="A1301" s="30" t="s">
        <v>3672</v>
      </c>
      <c r="B1301" s="30" t="str">
        <f>IF(ISNUMBER(SEARCH(E1301,A1301)),A1301,IF(OR(E1301="",E1301=""),A1301,A1301&amp;" - "&amp;E1301))</f>
        <v>Organic Sweetgrass CB 25/1 - Crunch Berries</v>
      </c>
      <c r="C1301" s="30" t="s">
        <v>564</v>
      </c>
      <c r="D1301" s="30" t="s">
        <v>565</v>
      </c>
      <c r="E1301" s="40" t="s">
        <v>3673</v>
      </c>
      <c r="F1301" s="30" t="s">
        <v>86</v>
      </c>
      <c r="G1301" s="34">
        <v>25</v>
      </c>
      <c r="H1301" s="35">
        <v>1</v>
      </c>
      <c r="I1301" s="30"/>
      <c r="J1301" s="30"/>
      <c r="K1301" s="30" t="s">
        <v>52</v>
      </c>
      <c r="L1301" s="30" t="s">
        <v>53</v>
      </c>
      <c r="M1301" s="30" t="s">
        <v>88</v>
      </c>
      <c r="N1301" s="30" t="s">
        <v>72</v>
      </c>
      <c r="O1301" s="30"/>
      <c r="P1301" s="30" t="s">
        <v>73</v>
      </c>
      <c r="Q1301" s="30" t="s">
        <v>146</v>
      </c>
      <c r="R1301" s="30" t="s">
        <v>57</v>
      </c>
      <c r="S1301" s="30" t="s">
        <v>192</v>
      </c>
      <c r="T1301" s="30" t="s">
        <v>147</v>
      </c>
      <c r="U1301" s="30" t="s">
        <v>493</v>
      </c>
      <c r="V1301" s="30" t="s">
        <v>77</v>
      </c>
      <c r="W1301" s="30" t="s">
        <v>116</v>
      </c>
      <c r="X1301" s="30" t="s">
        <v>107</v>
      </c>
      <c r="Y1301" s="30" t="s">
        <v>331</v>
      </c>
      <c r="Z1301" s="30" t="s">
        <v>64</v>
      </c>
      <c r="AA1301" s="30" t="s">
        <v>565</v>
      </c>
      <c r="AB1301" s="30" t="s">
        <v>3674</v>
      </c>
      <c r="AC1301" s="30" t="s">
        <v>3675</v>
      </c>
    </row>
    <row r="1302" spans="1:29">
      <c r="A1302" s="24" t="s">
        <v>3676</v>
      </c>
      <c r="B1302" s="24" t="str">
        <f>IF(ISNUMBER(SEARCH(E1302,A1302)),A1302,IF(OR(E1302="",E1302=""),A1302,A1302&amp;" - "&amp;E1302))</f>
        <v>enua 25/1 UDC CA - Upside Down Cake</v>
      </c>
      <c r="C1302" s="24" t="s">
        <v>650</v>
      </c>
      <c r="D1302" s="24" t="s">
        <v>651</v>
      </c>
      <c r="E1302" s="41" t="s">
        <v>3677</v>
      </c>
      <c r="F1302" s="24" t="s">
        <v>86</v>
      </c>
      <c r="G1302" s="27">
        <v>26</v>
      </c>
      <c r="H1302" s="28">
        <v>1</v>
      </c>
      <c r="I1302" s="24"/>
      <c r="J1302" s="24"/>
      <c r="K1302" s="24" t="s">
        <v>52</v>
      </c>
      <c r="L1302" s="24" t="s">
        <v>53</v>
      </c>
      <c r="M1302" s="24" t="s">
        <v>54</v>
      </c>
      <c r="N1302" s="24" t="s">
        <v>88</v>
      </c>
      <c r="O1302" s="24" t="s">
        <v>178</v>
      </c>
      <c r="P1302" s="24" t="s">
        <v>73</v>
      </c>
      <c r="Q1302" s="24" t="s">
        <v>136</v>
      </c>
      <c r="R1302" s="24" t="s">
        <v>57</v>
      </c>
      <c r="S1302" s="24" t="s">
        <v>90</v>
      </c>
      <c r="T1302" s="24" t="s">
        <v>493</v>
      </c>
      <c r="U1302" s="24" t="s">
        <v>115</v>
      </c>
      <c r="V1302" s="24" t="s">
        <v>77</v>
      </c>
      <c r="W1302" s="24" t="s">
        <v>116</v>
      </c>
      <c r="X1302" s="24" t="s">
        <v>107</v>
      </c>
      <c r="Y1302" s="24" t="s">
        <v>1266</v>
      </c>
      <c r="Z1302" s="24" t="s">
        <v>64</v>
      </c>
      <c r="AA1302" s="24" t="s">
        <v>653</v>
      </c>
      <c r="AB1302" s="24"/>
      <c r="AC1302" s="24" t="s">
        <v>3678</v>
      </c>
    </row>
    <row r="1303" spans="1:29">
      <c r="A1303" s="30" t="s">
        <v>3679</v>
      </c>
      <c r="B1303" s="30" t="str">
        <f>IF(ISNUMBER(SEARCH(E1303,A1303)),A1303,IF(OR(E1303="",E1303=""),A1303,A1303&amp;" - "&amp;E1303))</f>
        <v>Avant 24/1 CCR - Lemon Jane</v>
      </c>
      <c r="C1303" s="30" t="s">
        <v>564</v>
      </c>
      <c r="D1303" s="30" t="s">
        <v>565</v>
      </c>
      <c r="E1303" s="40" t="s">
        <v>3680</v>
      </c>
      <c r="F1303" s="30" t="s">
        <v>86</v>
      </c>
      <c r="G1303" s="34">
        <v>24</v>
      </c>
      <c r="H1303" s="35">
        <v>1</v>
      </c>
      <c r="I1303" s="30"/>
      <c r="J1303" s="30"/>
      <c r="K1303" s="30" t="s">
        <v>52</v>
      </c>
      <c r="L1303" s="30" t="s">
        <v>102</v>
      </c>
      <c r="M1303" s="30" t="s">
        <v>54</v>
      </c>
      <c r="N1303" s="30" t="s">
        <v>111</v>
      </c>
      <c r="O1303" s="30" t="s">
        <v>88</v>
      </c>
      <c r="P1303" s="30" t="s">
        <v>74</v>
      </c>
      <c r="Q1303" s="30" t="s">
        <v>75</v>
      </c>
      <c r="R1303" s="30" t="s">
        <v>89</v>
      </c>
      <c r="S1303" s="30" t="s">
        <v>147</v>
      </c>
      <c r="T1303" s="30" t="s">
        <v>123</v>
      </c>
      <c r="U1303" s="30" t="s">
        <v>106</v>
      </c>
      <c r="V1303" s="30" t="s">
        <v>77</v>
      </c>
      <c r="W1303" s="30" t="s">
        <v>107</v>
      </c>
      <c r="X1303" s="30" t="s">
        <v>93</v>
      </c>
      <c r="Y1303" s="30" t="s">
        <v>280</v>
      </c>
      <c r="Z1303" s="30" t="s">
        <v>64</v>
      </c>
      <c r="AA1303" s="30" t="s">
        <v>565</v>
      </c>
      <c r="AB1303" s="30"/>
      <c r="AC1303" s="30" t="s">
        <v>3681</v>
      </c>
    </row>
    <row r="1304" spans="1:29">
      <c r="A1304" s="24" t="s">
        <v>3682</v>
      </c>
      <c r="B1304" s="24" t="str">
        <f>IF(ISNUMBER(SEARCH(E1304,A1304)),A1304,IF(OR(E1304="",E1304=""),A1304,A1304&amp;" - "&amp;E1304))</f>
        <v>ADREX Mother 28 AIS CAN 28/1 - Apes in Space</v>
      </c>
      <c r="C1304" s="24" t="s">
        <v>911</v>
      </c>
      <c r="D1304" s="24" t="s">
        <v>912</v>
      </c>
      <c r="E1304" s="41" t="s">
        <v>3683</v>
      </c>
      <c r="F1304" s="24" t="s">
        <v>86</v>
      </c>
      <c r="G1304" s="27">
        <v>28</v>
      </c>
      <c r="H1304" s="28">
        <v>1</v>
      </c>
      <c r="I1304" s="24"/>
      <c r="J1304" s="24"/>
      <c r="K1304" s="24" t="s">
        <v>52</v>
      </c>
      <c r="L1304" s="24"/>
      <c r="M1304" s="24" t="s">
        <v>54</v>
      </c>
      <c r="N1304" s="24" t="s">
        <v>111</v>
      </c>
      <c r="O1304" s="24" t="s">
        <v>88</v>
      </c>
      <c r="P1304" s="24" t="s">
        <v>73</v>
      </c>
      <c r="Q1304" s="24" t="s">
        <v>57</v>
      </c>
      <c r="R1304" s="24" t="s">
        <v>74</v>
      </c>
      <c r="S1304" s="24" t="s">
        <v>147</v>
      </c>
      <c r="T1304" s="24" t="s">
        <v>106</v>
      </c>
      <c r="U1304" s="24" t="s">
        <v>62</v>
      </c>
      <c r="V1304" s="24" t="s">
        <v>77</v>
      </c>
      <c r="W1304" s="24" t="s">
        <v>180</v>
      </c>
      <c r="X1304" s="24" t="s">
        <v>107</v>
      </c>
      <c r="Y1304" s="24"/>
      <c r="Z1304" s="24" t="s">
        <v>64</v>
      </c>
      <c r="AA1304" s="24" t="s">
        <v>912</v>
      </c>
      <c r="AB1304" s="24"/>
      <c r="AC1304" s="24" t="s">
        <v>3684</v>
      </c>
    </row>
    <row r="1305" spans="1:29">
      <c r="A1305" s="59" t="s">
        <v>3685</v>
      </c>
      <c r="B1305" s="59" t="str">
        <f>IF(ISNUMBER(SEARCH(E1305,A1305)),A1305,IF(OR(E1305="",E1305=""),A1305,A1305&amp;" - "&amp;E1305))</f>
        <v>aleph Matterhorn 25/1 - Banjo</v>
      </c>
      <c r="C1305" s="30" t="s">
        <v>725</v>
      </c>
      <c r="D1305" s="30" t="s">
        <v>726</v>
      </c>
      <c r="E1305" s="40" t="s">
        <v>3686</v>
      </c>
      <c r="F1305" s="30" t="s">
        <v>144</v>
      </c>
      <c r="G1305" s="34">
        <v>26</v>
      </c>
      <c r="H1305" s="35">
        <v>1</v>
      </c>
      <c r="I1305" s="30"/>
      <c r="J1305" s="30"/>
      <c r="K1305" s="30" t="s">
        <v>52</v>
      </c>
      <c r="L1305" s="30" t="s">
        <v>53</v>
      </c>
      <c r="M1305" s="30" t="s">
        <v>88</v>
      </c>
      <c r="N1305" s="30" t="s">
        <v>72</v>
      </c>
      <c r="O1305" s="30"/>
      <c r="P1305" s="30" t="s">
        <v>186</v>
      </c>
      <c r="Q1305" s="30" t="s">
        <v>146</v>
      </c>
      <c r="R1305" s="30" t="s">
        <v>89</v>
      </c>
      <c r="S1305" s="30" t="s">
        <v>466</v>
      </c>
      <c r="T1305" s="30" t="s">
        <v>105</v>
      </c>
      <c r="U1305" s="30" t="s">
        <v>106</v>
      </c>
      <c r="V1305" s="30" t="s">
        <v>116</v>
      </c>
      <c r="W1305" s="30" t="s">
        <v>79</v>
      </c>
      <c r="X1305" s="30" t="s">
        <v>107</v>
      </c>
      <c r="Y1305" s="30"/>
      <c r="Z1305" s="30" t="s">
        <v>64</v>
      </c>
      <c r="AA1305" s="30" t="s">
        <v>726</v>
      </c>
      <c r="AB1305" s="30"/>
      <c r="AC1305" s="36" t="s">
        <v>3687</v>
      </c>
    </row>
    <row r="1306" spans="1:29">
      <c r="A1306" s="24" t="s">
        <v>3688</v>
      </c>
      <c r="B1306" s="24" t="str">
        <f>IF(ISNUMBER(SEARCH(E1306,A1306)),A1306,IF(OR(E1306="",E1306=""),A1306,A1306&amp;" - "&amp;E1306))</f>
        <v>All Nations GM 104 - Mac Doughnut</v>
      </c>
      <c r="C1306" s="24" t="s">
        <v>564</v>
      </c>
      <c r="D1306" s="24" t="s">
        <v>565</v>
      </c>
      <c r="E1306" s="41" t="s">
        <v>1230</v>
      </c>
      <c r="F1306" s="24" t="s">
        <v>86</v>
      </c>
      <c r="G1306" s="27">
        <v>28</v>
      </c>
      <c r="H1306" s="28">
        <v>1</v>
      </c>
      <c r="I1306" s="24"/>
      <c r="J1306" s="24"/>
      <c r="K1306" s="24" t="s">
        <v>52</v>
      </c>
      <c r="L1306" s="24" t="s">
        <v>53</v>
      </c>
      <c r="M1306" s="24" t="s">
        <v>121</v>
      </c>
      <c r="N1306" s="24" t="s">
        <v>72</v>
      </c>
      <c r="O1306" s="24"/>
      <c r="P1306" s="24" t="s">
        <v>89</v>
      </c>
      <c r="Q1306" s="24" t="s">
        <v>58</v>
      </c>
      <c r="R1306" s="24"/>
      <c r="S1306" s="24" t="s">
        <v>147</v>
      </c>
      <c r="T1306" s="24" t="s">
        <v>123</v>
      </c>
      <c r="U1306" s="24" t="s">
        <v>106</v>
      </c>
      <c r="V1306" s="24" t="s">
        <v>77</v>
      </c>
      <c r="W1306" s="24" t="s">
        <v>116</v>
      </c>
      <c r="X1306" s="24" t="s">
        <v>79</v>
      </c>
      <c r="Y1306" s="24" t="s">
        <v>755</v>
      </c>
      <c r="Z1306" s="24" t="s">
        <v>64</v>
      </c>
      <c r="AA1306" s="24" t="s">
        <v>565</v>
      </c>
      <c r="AB1306" s="24" t="s">
        <v>1232</v>
      </c>
      <c r="AC1306" s="24" t="s">
        <v>3689</v>
      </c>
    </row>
    <row r="1307" spans="1:29">
      <c r="A1307" s="30" t="s">
        <v>3690</v>
      </c>
      <c r="B1307" s="30" t="str">
        <f>IF(ISNUMBER(SEARCH(E1307,A1307)),A1307,IF(OR(E1307="",E1307=""),A1307,A1307&amp;" - "&amp;E1307))</f>
        <v>BLKMKT LAW THC27 - LA WoMAC</v>
      </c>
      <c r="C1307" s="30" t="s">
        <v>646</v>
      </c>
      <c r="D1307" s="30" t="s">
        <v>646</v>
      </c>
      <c r="E1307" s="40" t="s">
        <v>3691</v>
      </c>
      <c r="F1307" s="30" t="s">
        <v>86</v>
      </c>
      <c r="G1307" s="34">
        <v>27</v>
      </c>
      <c r="H1307" s="35">
        <v>1</v>
      </c>
      <c r="I1307" s="30"/>
      <c r="J1307" s="30"/>
      <c r="K1307" s="30" t="s">
        <v>52</v>
      </c>
      <c r="L1307" s="30" t="s">
        <v>1506</v>
      </c>
      <c r="M1307" s="30" t="s">
        <v>54</v>
      </c>
      <c r="N1307" s="30" t="s">
        <v>88</v>
      </c>
      <c r="O1307" s="30" t="s">
        <v>178</v>
      </c>
      <c r="P1307" s="30" t="s">
        <v>73</v>
      </c>
      <c r="Q1307" s="30" t="s">
        <v>136</v>
      </c>
      <c r="R1307" s="30" t="s">
        <v>157</v>
      </c>
      <c r="S1307" s="30" t="s">
        <v>90</v>
      </c>
      <c r="T1307" s="30" t="s">
        <v>493</v>
      </c>
      <c r="U1307" s="30" t="s">
        <v>62</v>
      </c>
      <c r="V1307" s="30" t="s">
        <v>77</v>
      </c>
      <c r="W1307" s="30" t="s">
        <v>116</v>
      </c>
      <c r="X1307" s="30" t="s">
        <v>79</v>
      </c>
      <c r="Y1307" s="30"/>
      <c r="Z1307" s="30" t="s">
        <v>64</v>
      </c>
      <c r="AA1307" s="30" t="s">
        <v>646</v>
      </c>
      <c r="AB1307" s="30" t="s">
        <v>3692</v>
      </c>
      <c r="AC1307" s="30" t="s">
        <v>3693</v>
      </c>
    </row>
    <row r="1308" spans="1:29">
      <c r="A1308" s="24" t="s">
        <v>3694</v>
      </c>
      <c r="B1308" s="24" t="str">
        <f>IF(ISNUMBER(SEARCH(E1308,A1308)),A1308,IF(OR(E1308="",E1308=""),A1308,A1308&amp;" - "&amp;E1308))</f>
        <v>Breezy Organics CGL 25/1 - Lime Haze</v>
      </c>
      <c r="C1308" s="24" t="s">
        <v>2114</v>
      </c>
      <c r="D1308" s="24" t="s">
        <v>2115</v>
      </c>
      <c r="E1308" s="41" t="s">
        <v>3695</v>
      </c>
      <c r="F1308" s="24" t="s">
        <v>86</v>
      </c>
      <c r="G1308" s="27">
        <v>25</v>
      </c>
      <c r="H1308" s="28">
        <v>1</v>
      </c>
      <c r="I1308" s="24"/>
      <c r="J1308" s="24"/>
      <c r="K1308" s="24" t="s">
        <v>52</v>
      </c>
      <c r="L1308" s="24"/>
      <c r="M1308" s="24" t="s">
        <v>54</v>
      </c>
      <c r="N1308" s="24" t="s">
        <v>111</v>
      </c>
      <c r="O1308" s="24" t="s">
        <v>88</v>
      </c>
      <c r="P1308" s="24" t="s">
        <v>157</v>
      </c>
      <c r="Q1308" s="24" t="s">
        <v>74</v>
      </c>
      <c r="R1308" s="24" t="s">
        <v>113</v>
      </c>
      <c r="S1308" s="24" t="s">
        <v>90</v>
      </c>
      <c r="T1308" s="24" t="s">
        <v>106</v>
      </c>
      <c r="U1308" s="24" t="s">
        <v>62</v>
      </c>
      <c r="V1308" s="24" t="s">
        <v>77</v>
      </c>
      <c r="W1308" s="24" t="s">
        <v>79</v>
      </c>
      <c r="X1308" s="24" t="s">
        <v>93</v>
      </c>
      <c r="Y1308" s="24" t="s">
        <v>289</v>
      </c>
      <c r="Z1308" s="24" t="s">
        <v>64</v>
      </c>
      <c r="AA1308" s="24" t="s">
        <v>2115</v>
      </c>
      <c r="AB1308" s="24"/>
      <c r="AC1308" s="24" t="s">
        <v>3696</v>
      </c>
    </row>
    <row r="1309" spans="1:29">
      <c r="A1309" s="30" t="s">
        <v>3697</v>
      </c>
      <c r="B1309" s="30" t="str">
        <f>IF(ISNUMBER(SEARCH(E1309,A1309)),A1309,IF(OR(E1309="",E1309=""),A1309,A1309&amp;" - "&amp;E1309))</f>
        <v>Canify 24/1 LS - White Lemon</v>
      </c>
      <c r="C1309" s="30" t="s">
        <v>99</v>
      </c>
      <c r="D1309" s="30" t="s">
        <v>100</v>
      </c>
      <c r="E1309" s="40" t="s">
        <v>3698</v>
      </c>
      <c r="F1309" s="30" t="s">
        <v>86</v>
      </c>
      <c r="G1309" s="34">
        <v>24</v>
      </c>
      <c r="H1309" s="35">
        <v>1</v>
      </c>
      <c r="I1309" s="30"/>
      <c r="J1309" s="30"/>
      <c r="K1309" s="30" t="s">
        <v>52</v>
      </c>
      <c r="L1309" s="30" t="s">
        <v>630</v>
      </c>
      <c r="M1309" s="30" t="s">
        <v>54</v>
      </c>
      <c r="N1309" s="30" t="s">
        <v>111</v>
      </c>
      <c r="O1309" s="30" t="s">
        <v>71</v>
      </c>
      <c r="P1309" s="30" t="s">
        <v>104</v>
      </c>
      <c r="Q1309" s="30" t="s">
        <v>113</v>
      </c>
      <c r="R1309" s="30" t="s">
        <v>75</v>
      </c>
      <c r="S1309" s="30" t="s">
        <v>90</v>
      </c>
      <c r="T1309" s="30" t="s">
        <v>123</v>
      </c>
      <c r="U1309" s="30" t="s">
        <v>106</v>
      </c>
      <c r="V1309" s="30" t="s">
        <v>77</v>
      </c>
      <c r="W1309" s="30" t="s">
        <v>79</v>
      </c>
      <c r="X1309" s="30" t="s">
        <v>107</v>
      </c>
      <c r="Y1309" s="30" t="s">
        <v>437</v>
      </c>
      <c r="Z1309" s="30" t="s">
        <v>64</v>
      </c>
      <c r="AA1309" s="30" t="s">
        <v>100</v>
      </c>
      <c r="AB1309" s="30"/>
      <c r="AC1309" s="30" t="s">
        <v>3699</v>
      </c>
    </row>
    <row r="1310" spans="1:29">
      <c r="A1310" s="24" t="s">
        <v>3700</v>
      </c>
      <c r="B1310" s="24" t="str">
        <f>IF(ISNUMBER(SEARCH(E1310,A1310)),A1310,IF(OR(E1310="",E1310=""),A1310,A1310&amp;" - "&amp;E1310))</f>
        <v>Canify Cannabis flos 27/1 PRT Ku. - Strawberry Banana</v>
      </c>
      <c r="C1310" s="24" t="s">
        <v>99</v>
      </c>
      <c r="D1310" s="24" t="s">
        <v>100</v>
      </c>
      <c r="E1310" s="41" t="s">
        <v>196</v>
      </c>
      <c r="F1310" s="24" t="s">
        <v>86</v>
      </c>
      <c r="G1310" s="27">
        <v>27</v>
      </c>
      <c r="H1310" s="28">
        <v>1</v>
      </c>
      <c r="I1310" s="24"/>
      <c r="J1310" s="24"/>
      <c r="K1310" s="24" t="s">
        <v>52</v>
      </c>
      <c r="L1310" s="24" t="s">
        <v>102</v>
      </c>
      <c r="M1310" s="24" t="s">
        <v>71</v>
      </c>
      <c r="N1310" s="24" t="s">
        <v>103</v>
      </c>
      <c r="O1310" s="24" t="s">
        <v>72</v>
      </c>
      <c r="P1310" s="24" t="s">
        <v>89</v>
      </c>
      <c r="Q1310" s="24" t="s">
        <v>58</v>
      </c>
      <c r="R1310" s="24"/>
      <c r="S1310" s="24" t="s">
        <v>61</v>
      </c>
      <c r="T1310" s="24" t="s">
        <v>62</v>
      </c>
      <c r="U1310" s="24" t="s">
        <v>128</v>
      </c>
      <c r="V1310" s="24" t="s">
        <v>77</v>
      </c>
      <c r="W1310" s="24" t="s">
        <v>116</v>
      </c>
      <c r="X1310" s="24" t="s">
        <v>197</v>
      </c>
      <c r="Y1310" s="24" t="s">
        <v>338</v>
      </c>
      <c r="Z1310" s="24" t="s">
        <v>64</v>
      </c>
      <c r="AA1310" s="24" t="s">
        <v>100</v>
      </c>
      <c r="AB1310" s="24" t="s">
        <v>194</v>
      </c>
      <c r="AC1310" s="37" t="s">
        <v>3701</v>
      </c>
    </row>
    <row r="1311" spans="1:29">
      <c r="A1311" s="30" t="s">
        <v>3702</v>
      </c>
      <c r="B1311" s="30" t="str">
        <f>IF(ISNUMBER(SEARCH(E1311,A1311)),A1311,IF(OR(E1311="",E1311=""),A1311,A1311&amp;" - "&amp;E1311))</f>
        <v>Cannamedical Hybrid forte URY - White Gorilla Smalls</v>
      </c>
      <c r="C1311" s="30" t="s">
        <v>48</v>
      </c>
      <c r="D1311" s="30" t="s">
        <v>49</v>
      </c>
      <c r="E1311" s="30" t="s">
        <v>993</v>
      </c>
      <c r="F1311" s="30" t="s">
        <v>86</v>
      </c>
      <c r="G1311" s="34">
        <v>22</v>
      </c>
      <c r="H1311" s="35">
        <v>1</v>
      </c>
      <c r="I1311" s="30"/>
      <c r="J1311" s="30"/>
      <c r="K1311" s="30" t="s">
        <v>52</v>
      </c>
      <c r="L1311" s="30" t="s">
        <v>185</v>
      </c>
      <c r="M1311" s="30" t="s">
        <v>88</v>
      </c>
      <c r="N1311" s="30" t="s">
        <v>121</v>
      </c>
      <c r="O1311" s="30" t="s">
        <v>72</v>
      </c>
      <c r="P1311" s="30" t="s">
        <v>73</v>
      </c>
      <c r="Q1311" s="30" t="s">
        <v>146</v>
      </c>
      <c r="R1311" s="30" t="s">
        <v>75</v>
      </c>
      <c r="S1311" s="30" t="s">
        <v>106</v>
      </c>
      <c r="T1311" s="30" t="s">
        <v>62</v>
      </c>
      <c r="U1311" s="30" t="s">
        <v>164</v>
      </c>
      <c r="V1311" s="30" t="s">
        <v>77</v>
      </c>
      <c r="W1311" s="30" t="s">
        <v>116</v>
      </c>
      <c r="X1311" s="30" t="s">
        <v>79</v>
      </c>
      <c r="Y1311" s="30"/>
      <c r="Z1311" s="30" t="s">
        <v>64</v>
      </c>
      <c r="AA1311" s="30" t="s">
        <v>49</v>
      </c>
      <c r="AB1311" s="30" t="s">
        <v>332</v>
      </c>
      <c r="AC1311" s="30" t="s">
        <v>3703</v>
      </c>
    </row>
    <row r="1312" spans="1:29">
      <c r="A1312" s="24" t="s">
        <v>3704</v>
      </c>
      <c r="B1312" s="24" t="str">
        <f>IF(ISNUMBER(SEARCH(E1312,A1312)),A1312,IF(OR(E1312="",E1312=""),A1312,A1312&amp;" - "&amp;E1312))</f>
        <v>Cannamedical Sativa forte - Duke Smalls</v>
      </c>
      <c r="C1312" s="24" t="s">
        <v>48</v>
      </c>
      <c r="D1312" s="24" t="s">
        <v>49</v>
      </c>
      <c r="E1312" s="41" t="s">
        <v>282</v>
      </c>
      <c r="F1312" s="24" t="s">
        <v>69</v>
      </c>
      <c r="G1312" s="27">
        <v>24</v>
      </c>
      <c r="H1312" s="28">
        <v>1</v>
      </c>
      <c r="I1312" s="24"/>
      <c r="J1312" s="24"/>
      <c r="K1312" s="24" t="s">
        <v>52</v>
      </c>
      <c r="L1312" s="24" t="s">
        <v>70</v>
      </c>
      <c r="M1312" s="24" t="s">
        <v>54</v>
      </c>
      <c r="N1312" s="24" t="s">
        <v>72</v>
      </c>
      <c r="O1312" s="24"/>
      <c r="P1312" s="24" t="s">
        <v>74</v>
      </c>
      <c r="Q1312" s="24" t="s">
        <v>89</v>
      </c>
      <c r="R1312" s="24" t="s">
        <v>59</v>
      </c>
      <c r="S1312" s="24" t="s">
        <v>106</v>
      </c>
      <c r="T1312" s="24" t="s">
        <v>76</v>
      </c>
      <c r="U1312" s="24" t="s">
        <v>62</v>
      </c>
      <c r="V1312" s="24" t="s">
        <v>77</v>
      </c>
      <c r="W1312" s="24" t="s">
        <v>173</v>
      </c>
      <c r="X1312" s="24"/>
      <c r="Y1312" s="24"/>
      <c r="Z1312" s="24" t="s">
        <v>64</v>
      </c>
      <c r="AA1312" s="24" t="s">
        <v>49</v>
      </c>
      <c r="AB1312" s="24"/>
      <c r="AC1312" s="24" t="s">
        <v>3705</v>
      </c>
    </row>
    <row r="1313" spans="1:29">
      <c r="A1313" s="30" t="s">
        <v>3706</v>
      </c>
      <c r="B1313" s="30" t="str">
        <f>IF(ISNUMBER(SEARCH(E1313,A1313)),A1313,IF(OR(E1313="",E1313=""),A1313,A1313&amp;" - "&amp;E1313))</f>
        <v>IMC 24K THC26 - Egoist</v>
      </c>
      <c r="C1313" s="30" t="s">
        <v>646</v>
      </c>
      <c r="D1313" s="30" t="s">
        <v>646</v>
      </c>
      <c r="E1313" s="40" t="s">
        <v>3707</v>
      </c>
      <c r="F1313" s="30" t="s">
        <v>177</v>
      </c>
      <c r="G1313" s="34">
        <v>26</v>
      </c>
      <c r="H1313" s="35">
        <v>1</v>
      </c>
      <c r="I1313" s="30"/>
      <c r="J1313" s="30"/>
      <c r="K1313" s="30" t="s">
        <v>52</v>
      </c>
      <c r="L1313" s="30" t="s">
        <v>1506</v>
      </c>
      <c r="M1313" s="30" t="s">
        <v>54</v>
      </c>
      <c r="N1313" s="30" t="s">
        <v>88</v>
      </c>
      <c r="O1313" s="30" t="s">
        <v>72</v>
      </c>
      <c r="P1313" s="30" t="s">
        <v>157</v>
      </c>
      <c r="Q1313" s="30" t="s">
        <v>74</v>
      </c>
      <c r="R1313" s="30" t="s">
        <v>59</v>
      </c>
      <c r="S1313" s="30" t="s">
        <v>147</v>
      </c>
      <c r="T1313" s="30" t="s">
        <v>106</v>
      </c>
      <c r="U1313" s="30" t="s">
        <v>62</v>
      </c>
      <c r="V1313" s="30" t="s">
        <v>77</v>
      </c>
      <c r="W1313" s="30" t="s">
        <v>116</v>
      </c>
      <c r="X1313" s="30" t="s">
        <v>107</v>
      </c>
      <c r="Y1313" s="30" t="s">
        <v>3220</v>
      </c>
      <c r="Z1313" s="30" t="s">
        <v>64</v>
      </c>
      <c r="AA1313" s="30" t="s">
        <v>646</v>
      </c>
      <c r="AB1313" s="30"/>
      <c r="AC1313" s="30" t="s">
        <v>3708</v>
      </c>
    </row>
    <row r="1314" spans="1:29">
      <c r="A1314" s="24" t="s">
        <v>3709</v>
      </c>
      <c r="B1314" s="24" t="str">
        <f>IF(ISNUMBER(SEARCH(E1314,A1314)),A1314,IF(OR(E1314="",E1314=""),A1314,A1314&amp;" - "&amp;E1314))</f>
        <v>IMC ADE THC 26 26/1 - Face Off OG</v>
      </c>
      <c r="C1314" s="24" t="s">
        <v>646</v>
      </c>
      <c r="D1314" s="24" t="s">
        <v>646</v>
      </c>
      <c r="E1314" s="41" t="s">
        <v>3710</v>
      </c>
      <c r="F1314" s="24" t="s">
        <v>120</v>
      </c>
      <c r="G1314" s="27">
        <v>27</v>
      </c>
      <c r="H1314" s="28">
        <v>1</v>
      </c>
      <c r="I1314" s="24"/>
      <c r="J1314" s="24"/>
      <c r="K1314" s="24" t="s">
        <v>52</v>
      </c>
      <c r="L1314" s="24"/>
      <c r="M1314" s="24" t="s">
        <v>72</v>
      </c>
      <c r="N1314" s="24"/>
      <c r="O1314" s="24"/>
      <c r="P1314" s="24" t="s">
        <v>73</v>
      </c>
      <c r="Q1314" s="24" t="s">
        <v>146</v>
      </c>
      <c r="R1314" s="24" t="s">
        <v>74</v>
      </c>
      <c r="S1314" s="24" t="s">
        <v>147</v>
      </c>
      <c r="T1314" s="24" t="s">
        <v>106</v>
      </c>
      <c r="U1314" s="24" t="s">
        <v>62</v>
      </c>
      <c r="V1314" s="24" t="s">
        <v>116</v>
      </c>
      <c r="W1314" s="24" t="s">
        <v>107</v>
      </c>
      <c r="X1314" s="24" t="s">
        <v>93</v>
      </c>
      <c r="Y1314" s="24" t="s">
        <v>3098</v>
      </c>
      <c r="Z1314" s="24" t="s">
        <v>64</v>
      </c>
      <c r="AA1314" s="24" t="s">
        <v>646</v>
      </c>
      <c r="AB1314" s="24"/>
      <c r="AC1314" s="24" t="s">
        <v>3711</v>
      </c>
    </row>
    <row r="1315" spans="1:29">
      <c r="A1315" s="30" t="s">
        <v>3712</v>
      </c>
      <c r="B1315" s="30" t="str">
        <f>IF(ISNUMBER(SEARCH(E1315,A1315)),A1315,IF(OR(E1315="",E1315=""),A1315,A1315&amp;" - "&amp;E1315))</f>
        <v>MGF 069er 22/1 - Apples &amp; Bananas</v>
      </c>
      <c r="C1315" s="30" t="s">
        <v>3108</v>
      </c>
      <c r="D1315" s="30" t="s">
        <v>3109</v>
      </c>
      <c r="E1315" s="40" t="s">
        <v>1120</v>
      </c>
      <c r="F1315" s="30" t="s">
        <v>86</v>
      </c>
      <c r="G1315" s="34">
        <v>21</v>
      </c>
      <c r="H1315" s="35">
        <v>1</v>
      </c>
      <c r="I1315" s="30"/>
      <c r="J1315" s="30"/>
      <c r="K1315" s="30" t="s">
        <v>52</v>
      </c>
      <c r="L1315" s="30" t="s">
        <v>102</v>
      </c>
      <c r="M1315" s="30" t="s">
        <v>54</v>
      </c>
      <c r="N1315" s="30" t="s">
        <v>71</v>
      </c>
      <c r="O1315" s="30" t="s">
        <v>55</v>
      </c>
      <c r="P1315" s="30" t="s">
        <v>58</v>
      </c>
      <c r="Q1315" s="30"/>
      <c r="R1315" s="30"/>
      <c r="S1315" s="30" t="s">
        <v>192</v>
      </c>
      <c r="T1315" s="30" t="s">
        <v>105</v>
      </c>
      <c r="U1315" s="30" t="s">
        <v>147</v>
      </c>
      <c r="V1315" s="30" t="s">
        <v>92</v>
      </c>
      <c r="W1315" s="30" t="s">
        <v>77</v>
      </c>
      <c r="X1315" s="30" t="s">
        <v>129</v>
      </c>
      <c r="Y1315" s="30"/>
      <c r="Z1315" s="30" t="s">
        <v>64</v>
      </c>
      <c r="AA1315" s="30" t="s">
        <v>3109</v>
      </c>
      <c r="AB1315" s="30"/>
      <c r="AC1315" s="30" t="s">
        <v>3713</v>
      </c>
    </row>
    <row r="1316" spans="1:29">
      <c r="A1316" s="24" t="s">
        <v>3714</v>
      </c>
      <c r="B1316" s="24" t="str">
        <f>IF(ISNUMBER(SEARCH(E1316,A1316)),A1316,IF(OR(E1316="",E1316=""),A1316,A1316&amp;" - "&amp;E1316))</f>
        <v>MGF PC 22/1 - Apples &amp; Bananas</v>
      </c>
      <c r="C1316" s="24" t="s">
        <v>3108</v>
      </c>
      <c r="D1316" s="24" t="s">
        <v>3109</v>
      </c>
      <c r="E1316" s="41" t="s">
        <v>1120</v>
      </c>
      <c r="F1316" s="24" t="s">
        <v>86</v>
      </c>
      <c r="G1316" s="27">
        <v>21</v>
      </c>
      <c r="H1316" s="28">
        <v>1</v>
      </c>
      <c r="I1316" s="24"/>
      <c r="J1316" s="24"/>
      <c r="K1316" s="24" t="s">
        <v>52</v>
      </c>
      <c r="L1316" s="24" t="s">
        <v>102</v>
      </c>
      <c r="M1316" s="24" t="s">
        <v>54</v>
      </c>
      <c r="N1316" s="24" t="s">
        <v>71</v>
      </c>
      <c r="O1316" s="24" t="s">
        <v>55</v>
      </c>
      <c r="P1316" s="24" t="s">
        <v>58</v>
      </c>
      <c r="Q1316" s="24"/>
      <c r="R1316" s="24"/>
      <c r="S1316" s="24" t="s">
        <v>192</v>
      </c>
      <c r="T1316" s="24" t="s">
        <v>105</v>
      </c>
      <c r="U1316" s="24" t="s">
        <v>147</v>
      </c>
      <c r="V1316" s="24" t="s">
        <v>92</v>
      </c>
      <c r="W1316" s="24" t="s">
        <v>77</v>
      </c>
      <c r="X1316" s="24" t="s">
        <v>129</v>
      </c>
      <c r="Y1316" s="24"/>
      <c r="Z1316" s="24" t="s">
        <v>64</v>
      </c>
      <c r="AA1316" s="24" t="s">
        <v>3109</v>
      </c>
      <c r="AB1316" s="24"/>
      <c r="AC1316" s="24" t="s">
        <v>3715</v>
      </c>
    </row>
    <row r="1317" spans="1:29">
      <c r="A1317" s="30" t="s">
        <v>3716</v>
      </c>
      <c r="B1317" s="30" t="str">
        <f>IF(ISNUMBER(SEARCH(E1317,A1317)),A1317,IF(OR(E1317="",E1317=""),A1317,A1317&amp;" - "&amp;E1317))</f>
        <v>MGF PG 18/1 - Peppermint Guava</v>
      </c>
      <c r="C1317" s="30" t="s">
        <v>3108</v>
      </c>
      <c r="D1317" s="30" t="s">
        <v>3109</v>
      </c>
      <c r="E1317" s="40" t="s">
        <v>3717</v>
      </c>
      <c r="F1317" s="30" t="s">
        <v>86</v>
      </c>
      <c r="G1317" s="34">
        <v>19</v>
      </c>
      <c r="H1317" s="35">
        <v>1</v>
      </c>
      <c r="I1317" s="30"/>
      <c r="J1317" s="30"/>
      <c r="K1317" s="30" t="s">
        <v>52</v>
      </c>
      <c r="L1317" s="30"/>
      <c r="M1317" s="30" t="s">
        <v>54</v>
      </c>
      <c r="N1317" s="30" t="s">
        <v>111</v>
      </c>
      <c r="O1317" s="30" t="s">
        <v>88</v>
      </c>
      <c r="P1317" s="30" t="s">
        <v>186</v>
      </c>
      <c r="Q1317" s="30" t="s">
        <v>136</v>
      </c>
      <c r="R1317" s="30" t="s">
        <v>157</v>
      </c>
      <c r="S1317" s="30" t="s">
        <v>147</v>
      </c>
      <c r="T1317" s="30" t="s">
        <v>106</v>
      </c>
      <c r="U1317" s="30" t="s">
        <v>62</v>
      </c>
      <c r="V1317" s="30" t="s">
        <v>77</v>
      </c>
      <c r="W1317" s="30" t="s">
        <v>116</v>
      </c>
      <c r="X1317" s="30" t="s">
        <v>107</v>
      </c>
      <c r="Y1317" s="30"/>
      <c r="Z1317" s="30" t="s">
        <v>64</v>
      </c>
      <c r="AA1317" s="30" t="s">
        <v>3109</v>
      </c>
      <c r="AB1317" s="30"/>
      <c r="AC1317" s="30" t="s">
        <v>3718</v>
      </c>
    </row>
    <row r="1318" spans="1:29">
      <c r="A1318" s="24" t="s">
        <v>3719</v>
      </c>
      <c r="B1318" s="24" t="str">
        <f>IF(ISNUMBER(SEARCH(E1318,A1318)),A1318,IF(OR(E1318="",E1318=""),A1318,A1318&amp;" - "&amp;E1318))</f>
        <v>NICE 17/1 DD - Do-Si-Dos</v>
      </c>
      <c r="C1318" s="24" t="s">
        <v>996</v>
      </c>
      <c r="D1318" s="24" t="s">
        <v>997</v>
      </c>
      <c r="E1318" s="41" t="s">
        <v>638</v>
      </c>
      <c r="F1318" s="24" t="s">
        <v>177</v>
      </c>
      <c r="G1318" s="27">
        <v>17</v>
      </c>
      <c r="H1318" s="28">
        <v>1</v>
      </c>
      <c r="I1318" s="24"/>
      <c r="J1318" s="24"/>
      <c r="K1318" s="24" t="s">
        <v>52</v>
      </c>
      <c r="L1318" s="24" t="s">
        <v>102</v>
      </c>
      <c r="M1318" s="24" t="s">
        <v>103</v>
      </c>
      <c r="N1318" s="24" t="s">
        <v>121</v>
      </c>
      <c r="O1318" s="24" t="s">
        <v>72</v>
      </c>
      <c r="P1318" s="24"/>
      <c r="Q1318" s="24"/>
      <c r="R1318" s="24"/>
      <c r="S1318" s="24" t="s">
        <v>123</v>
      </c>
      <c r="T1318" s="24" t="s">
        <v>106</v>
      </c>
      <c r="U1318" s="24" t="s">
        <v>62</v>
      </c>
      <c r="V1318" s="24" t="s">
        <v>252</v>
      </c>
      <c r="W1318" s="24" t="s">
        <v>77</v>
      </c>
      <c r="X1318" s="24" t="s">
        <v>225</v>
      </c>
      <c r="Y1318" s="24" t="s">
        <v>358</v>
      </c>
      <c r="Z1318" s="24" t="s">
        <v>64</v>
      </c>
      <c r="AA1318" s="24" t="s">
        <v>997</v>
      </c>
      <c r="AB1318" s="24"/>
      <c r="AC1318" s="24" t="s">
        <v>3720</v>
      </c>
    </row>
    <row r="1319" spans="1:29">
      <c r="A1319" s="30" t="s">
        <v>3721</v>
      </c>
      <c r="B1319" s="30" t="str">
        <f>IF(ISNUMBER(SEARCH(E1319,A1319)),A1319,IF(OR(E1319="",E1319=""),A1319,A1319&amp;" - "&amp;E1319))</f>
        <v>NICE 17/1 KC - LA Kush Cake</v>
      </c>
      <c r="C1319" s="30" t="s">
        <v>996</v>
      </c>
      <c r="D1319" s="30" t="s">
        <v>997</v>
      </c>
      <c r="E1319" s="40" t="s">
        <v>578</v>
      </c>
      <c r="F1319" s="30" t="s">
        <v>86</v>
      </c>
      <c r="G1319" s="34">
        <v>17</v>
      </c>
      <c r="H1319" s="35">
        <v>1</v>
      </c>
      <c r="I1319" s="30"/>
      <c r="J1319" s="30"/>
      <c r="K1319" s="30" t="s">
        <v>52</v>
      </c>
      <c r="L1319" s="30" t="s">
        <v>102</v>
      </c>
      <c r="M1319" s="30" t="s">
        <v>156</v>
      </c>
      <c r="N1319" s="30" t="s">
        <v>121</v>
      </c>
      <c r="O1319" s="30" t="s">
        <v>72</v>
      </c>
      <c r="P1319" s="30" t="s">
        <v>112</v>
      </c>
      <c r="Q1319" s="30" t="s">
        <v>57</v>
      </c>
      <c r="R1319" s="30" t="s">
        <v>59</v>
      </c>
      <c r="S1319" s="30" t="s">
        <v>147</v>
      </c>
      <c r="T1319" s="30" t="s">
        <v>106</v>
      </c>
      <c r="U1319" s="30" t="s">
        <v>62</v>
      </c>
      <c r="V1319" s="30" t="s">
        <v>77</v>
      </c>
      <c r="W1319" s="30" t="s">
        <v>79</v>
      </c>
      <c r="X1319" s="30" t="s">
        <v>107</v>
      </c>
      <c r="Y1319" s="30" t="s">
        <v>358</v>
      </c>
      <c r="Z1319" s="30" t="s">
        <v>64</v>
      </c>
      <c r="AA1319" s="30" t="s">
        <v>997</v>
      </c>
      <c r="AB1319" s="30"/>
      <c r="AC1319" s="30" t="s">
        <v>3722</v>
      </c>
    </row>
    <row r="1320" spans="1:29">
      <c r="A1320" s="24" t="s">
        <v>3723</v>
      </c>
      <c r="B1320" s="24" t="str">
        <f>IF(ISNUMBER(SEARCH(E1320,A1320)),A1320,IF(OR(E1320="",E1320=""),A1320,A1320&amp;" - "&amp;E1320))</f>
        <v>NICE 18/1 CC - Cookies &amp; Cream</v>
      </c>
      <c r="C1320" s="24" t="s">
        <v>996</v>
      </c>
      <c r="D1320" s="24" t="s">
        <v>997</v>
      </c>
      <c r="E1320" s="41" t="s">
        <v>1897</v>
      </c>
      <c r="F1320" s="24" t="s">
        <v>86</v>
      </c>
      <c r="G1320" s="27">
        <v>18</v>
      </c>
      <c r="H1320" s="28">
        <v>1</v>
      </c>
      <c r="I1320" s="24"/>
      <c r="J1320" s="24"/>
      <c r="K1320" s="24" t="s">
        <v>52</v>
      </c>
      <c r="L1320" s="24" t="s">
        <v>102</v>
      </c>
      <c r="M1320" s="24" t="s">
        <v>54</v>
      </c>
      <c r="N1320" s="24" t="s">
        <v>111</v>
      </c>
      <c r="O1320" s="24" t="s">
        <v>88</v>
      </c>
      <c r="P1320" s="24" t="s">
        <v>74</v>
      </c>
      <c r="Q1320" s="24" t="s">
        <v>89</v>
      </c>
      <c r="R1320" s="24"/>
      <c r="S1320" s="24" t="s">
        <v>147</v>
      </c>
      <c r="T1320" s="24" t="s">
        <v>106</v>
      </c>
      <c r="U1320" s="24" t="s">
        <v>62</v>
      </c>
      <c r="V1320" s="24" t="s">
        <v>77</v>
      </c>
      <c r="W1320" s="24" t="s">
        <v>116</v>
      </c>
      <c r="X1320" s="24" t="s">
        <v>79</v>
      </c>
      <c r="Y1320" s="24" t="s">
        <v>358</v>
      </c>
      <c r="Z1320" s="24" t="s">
        <v>64</v>
      </c>
      <c r="AA1320" s="24" t="s">
        <v>997</v>
      </c>
      <c r="AB1320" s="24"/>
      <c r="AC1320" s="24" t="s">
        <v>3724</v>
      </c>
    </row>
    <row r="1321" spans="1:29">
      <c r="A1321" s="30" t="s">
        <v>3725</v>
      </c>
      <c r="B1321" s="30" t="str">
        <f>IF(ISNUMBER(SEARCH(E1321,A1321)),A1321,IF(OR(E1321="",E1321=""),A1321,A1321&amp;" - "&amp;E1321))</f>
        <v>NICE 20/1 KC - LA Kush Cake</v>
      </c>
      <c r="C1321" s="30" t="s">
        <v>996</v>
      </c>
      <c r="D1321" s="30" t="s">
        <v>997</v>
      </c>
      <c r="E1321" s="40" t="s">
        <v>578</v>
      </c>
      <c r="F1321" s="30" t="s">
        <v>86</v>
      </c>
      <c r="G1321" s="34">
        <v>20</v>
      </c>
      <c r="H1321" s="35">
        <v>1</v>
      </c>
      <c r="I1321" s="30"/>
      <c r="J1321" s="30"/>
      <c r="K1321" s="30" t="s">
        <v>52</v>
      </c>
      <c r="L1321" s="30" t="s">
        <v>102</v>
      </c>
      <c r="M1321" s="30" t="s">
        <v>156</v>
      </c>
      <c r="N1321" s="30" t="s">
        <v>121</v>
      </c>
      <c r="O1321" s="30" t="s">
        <v>72</v>
      </c>
      <c r="P1321" s="30" t="s">
        <v>112</v>
      </c>
      <c r="Q1321" s="30" t="s">
        <v>57</v>
      </c>
      <c r="R1321" s="30" t="s">
        <v>59</v>
      </c>
      <c r="S1321" s="30" t="s">
        <v>147</v>
      </c>
      <c r="T1321" s="30" t="s">
        <v>106</v>
      </c>
      <c r="U1321" s="30" t="s">
        <v>62</v>
      </c>
      <c r="V1321" s="30" t="s">
        <v>77</v>
      </c>
      <c r="W1321" s="30" t="s">
        <v>79</v>
      </c>
      <c r="X1321" s="30" t="s">
        <v>107</v>
      </c>
      <c r="Y1321" s="30"/>
      <c r="Z1321" s="30" t="s">
        <v>64</v>
      </c>
      <c r="AA1321" s="30" t="s">
        <v>997</v>
      </c>
      <c r="AB1321" s="30"/>
      <c r="AC1321" s="30" t="s">
        <v>3726</v>
      </c>
    </row>
    <row r="1322" spans="1:29">
      <c r="A1322" s="24" t="s">
        <v>3727</v>
      </c>
      <c r="B1322" s="24" t="str">
        <f>IF(ISNUMBER(SEARCH(E1322,A1322)),A1322,IF(OR(E1322="",E1322=""),A1322,A1322&amp;" - "&amp;E1322))</f>
        <v>NICE 20/1 MB - Motor Breath</v>
      </c>
      <c r="C1322" s="24" t="s">
        <v>996</v>
      </c>
      <c r="D1322" s="24" t="s">
        <v>997</v>
      </c>
      <c r="E1322" s="41" t="s">
        <v>3103</v>
      </c>
      <c r="F1322" s="24" t="s">
        <v>120</v>
      </c>
      <c r="G1322" s="27">
        <v>20</v>
      </c>
      <c r="H1322" s="28">
        <v>1</v>
      </c>
      <c r="I1322" s="24"/>
      <c r="J1322" s="24"/>
      <c r="K1322" s="24" t="s">
        <v>52</v>
      </c>
      <c r="L1322" s="24" t="s">
        <v>102</v>
      </c>
      <c r="M1322" s="24" t="s">
        <v>54</v>
      </c>
      <c r="N1322" s="24" t="s">
        <v>88</v>
      </c>
      <c r="O1322" s="24" t="s">
        <v>178</v>
      </c>
      <c r="P1322" s="24" t="s">
        <v>73</v>
      </c>
      <c r="Q1322" s="24" t="s">
        <v>146</v>
      </c>
      <c r="R1322" s="24" t="s">
        <v>74</v>
      </c>
      <c r="S1322" s="24" t="s">
        <v>147</v>
      </c>
      <c r="T1322" s="24" t="s">
        <v>106</v>
      </c>
      <c r="U1322" s="24" t="s">
        <v>62</v>
      </c>
      <c r="V1322" s="24" t="s">
        <v>77</v>
      </c>
      <c r="W1322" s="24" t="s">
        <v>116</v>
      </c>
      <c r="X1322" s="24" t="s">
        <v>107</v>
      </c>
      <c r="Y1322" s="24" t="s">
        <v>908</v>
      </c>
      <c r="Z1322" s="24" t="s">
        <v>64</v>
      </c>
      <c r="AA1322" s="24" t="s">
        <v>997</v>
      </c>
      <c r="AB1322" s="24"/>
      <c r="AC1322" s="24" t="s">
        <v>3728</v>
      </c>
    </row>
    <row r="1323" spans="1:29">
      <c r="A1323" s="30" t="s">
        <v>3729</v>
      </c>
      <c r="B1323" s="30" t="str">
        <f>IF(ISNUMBER(SEARCH(E1323,A1323)),A1323,IF(OR(E1323="",E1323=""),A1323,A1323&amp;" - "&amp;E1323))</f>
        <v>NICE 22/1 JS - Jack Skunkset</v>
      </c>
      <c r="C1323" s="30" t="s">
        <v>996</v>
      </c>
      <c r="D1323" s="30" t="s">
        <v>997</v>
      </c>
      <c r="E1323" s="40" t="s">
        <v>3730</v>
      </c>
      <c r="F1323" s="30" t="s">
        <v>86</v>
      </c>
      <c r="G1323" s="34">
        <v>22</v>
      </c>
      <c r="H1323" s="35">
        <v>1</v>
      </c>
      <c r="I1323" s="30"/>
      <c r="J1323" s="30"/>
      <c r="K1323" s="30" t="s">
        <v>52</v>
      </c>
      <c r="L1323" s="30" t="s">
        <v>202</v>
      </c>
      <c r="M1323" s="30" t="s">
        <v>54</v>
      </c>
      <c r="N1323" s="30" t="s">
        <v>111</v>
      </c>
      <c r="O1323" s="30" t="s">
        <v>88</v>
      </c>
      <c r="P1323" s="30" t="s">
        <v>157</v>
      </c>
      <c r="Q1323" s="30" t="s">
        <v>74</v>
      </c>
      <c r="R1323" s="30" t="s">
        <v>75</v>
      </c>
      <c r="S1323" s="30" t="s">
        <v>90</v>
      </c>
      <c r="T1323" s="30" t="s">
        <v>192</v>
      </c>
      <c r="U1323" s="30" t="s">
        <v>62</v>
      </c>
      <c r="V1323" s="30" t="s">
        <v>77</v>
      </c>
      <c r="W1323" s="30" t="s">
        <v>107</v>
      </c>
      <c r="X1323" s="30" t="s">
        <v>93</v>
      </c>
      <c r="Y1323" s="30"/>
      <c r="Z1323" s="30" t="s">
        <v>64</v>
      </c>
      <c r="AA1323" s="30" t="s">
        <v>997</v>
      </c>
      <c r="AB1323" s="30"/>
      <c r="AC1323" s="30" t="s">
        <v>3731</v>
      </c>
    </row>
    <row r="1324" spans="1:29">
      <c r="A1324" s="24" t="s">
        <v>3732</v>
      </c>
      <c r="B1324" s="24" t="str">
        <f>IF(ISNUMBER(SEARCH(E1324,A1324)),A1324,IF(OR(E1324="",E1324=""),A1324,A1324&amp;" - "&amp;E1324))</f>
        <v>NICE 24/1 CG - Lemon Cherry Gelato</v>
      </c>
      <c r="C1324" s="24" t="s">
        <v>996</v>
      </c>
      <c r="D1324" s="24" t="s">
        <v>997</v>
      </c>
      <c r="E1324" s="41" t="s">
        <v>3733</v>
      </c>
      <c r="F1324" s="24" t="s">
        <v>144</v>
      </c>
      <c r="G1324" s="27">
        <v>24</v>
      </c>
      <c r="H1324" s="28">
        <v>1</v>
      </c>
      <c r="I1324" s="24"/>
      <c r="J1324" s="24"/>
      <c r="K1324" s="24" t="s">
        <v>52</v>
      </c>
      <c r="L1324" s="24" t="s">
        <v>102</v>
      </c>
      <c r="M1324" s="24" t="s">
        <v>54</v>
      </c>
      <c r="N1324" s="24" t="s">
        <v>111</v>
      </c>
      <c r="O1324" s="24" t="s">
        <v>88</v>
      </c>
      <c r="P1324" s="24" t="s">
        <v>57</v>
      </c>
      <c r="Q1324" s="24" t="s">
        <v>74</v>
      </c>
      <c r="R1324" s="24" t="s">
        <v>75</v>
      </c>
      <c r="S1324" s="24" t="s">
        <v>105</v>
      </c>
      <c r="T1324" s="24" t="s">
        <v>147</v>
      </c>
      <c r="U1324" s="24" t="s">
        <v>106</v>
      </c>
      <c r="V1324" s="24" t="s">
        <v>77</v>
      </c>
      <c r="W1324" s="24" t="s">
        <v>79</v>
      </c>
      <c r="X1324" s="24" t="s">
        <v>107</v>
      </c>
      <c r="Y1324" s="24" t="s">
        <v>1876</v>
      </c>
      <c r="Z1324" s="24" t="s">
        <v>64</v>
      </c>
      <c r="AA1324" s="24" t="s">
        <v>997</v>
      </c>
      <c r="AB1324" s="24"/>
      <c r="AC1324" s="24" t="s">
        <v>3734</v>
      </c>
    </row>
    <row r="1325" spans="1:29">
      <c r="A1325" s="30" t="s">
        <v>3735</v>
      </c>
      <c r="B1325" s="30" t="str">
        <f>IF(ISNUMBER(SEARCH(E1325,A1325)),A1325,IF(OR(E1325="",E1325=""),A1325,A1325&amp;" - "&amp;E1325))</f>
        <v>Nimbus 27/1 - Pink Gas</v>
      </c>
      <c r="C1325" s="30" t="s">
        <v>141</v>
      </c>
      <c r="D1325" s="30" t="s">
        <v>142</v>
      </c>
      <c r="E1325" s="40" t="s">
        <v>2879</v>
      </c>
      <c r="F1325" s="30" t="s">
        <v>177</v>
      </c>
      <c r="G1325" s="34">
        <v>27</v>
      </c>
      <c r="H1325" s="35">
        <v>1</v>
      </c>
      <c r="I1325" s="30"/>
      <c r="J1325" s="30"/>
      <c r="K1325" s="30" t="s">
        <v>52</v>
      </c>
      <c r="L1325" s="30" t="s">
        <v>965</v>
      </c>
      <c r="M1325" s="30" t="s">
        <v>71</v>
      </c>
      <c r="N1325" s="30" t="s">
        <v>121</v>
      </c>
      <c r="O1325" s="30" t="s">
        <v>72</v>
      </c>
      <c r="P1325" s="30" t="s">
        <v>73</v>
      </c>
      <c r="Q1325" s="30" t="s">
        <v>104</v>
      </c>
      <c r="R1325" s="30" t="s">
        <v>89</v>
      </c>
      <c r="S1325" s="30" t="s">
        <v>123</v>
      </c>
      <c r="T1325" s="30" t="s">
        <v>61</v>
      </c>
      <c r="U1325" s="30" t="s">
        <v>62</v>
      </c>
      <c r="V1325" s="30" t="s">
        <v>257</v>
      </c>
      <c r="W1325" s="30" t="s">
        <v>77</v>
      </c>
      <c r="X1325" s="30" t="s">
        <v>116</v>
      </c>
      <c r="Y1325" s="30"/>
      <c r="Z1325" s="30" t="s">
        <v>64</v>
      </c>
      <c r="AA1325" s="30" t="s">
        <v>149</v>
      </c>
      <c r="AB1325" s="30"/>
      <c r="AC1325" s="30" t="s">
        <v>3736</v>
      </c>
    </row>
    <row r="1326" spans="1:29">
      <c r="A1326" s="24" t="s">
        <v>3737</v>
      </c>
      <c r="B1326" s="24" t="str">
        <f>IF(ISNUMBER(SEARCH(E1326,A1326)),A1326,IF(OR(E1326="",E1326=""),A1326,A1326&amp;" - "&amp;E1326))</f>
        <v>NOC KS 18/1 - KO x Sherbet Shocker</v>
      </c>
      <c r="C1326" s="24" t="s">
        <v>2841</v>
      </c>
      <c r="D1326" s="24" t="s">
        <v>2842</v>
      </c>
      <c r="E1326" s="41" t="s">
        <v>3738</v>
      </c>
      <c r="F1326" s="24" t="s">
        <v>86</v>
      </c>
      <c r="G1326" s="27">
        <v>18</v>
      </c>
      <c r="H1326" s="28">
        <v>1</v>
      </c>
      <c r="I1326" s="24"/>
      <c r="J1326" s="24"/>
      <c r="K1326" s="24" t="s">
        <v>52</v>
      </c>
      <c r="L1326" s="24" t="s">
        <v>3739</v>
      </c>
      <c r="M1326" s="24" t="s">
        <v>54</v>
      </c>
      <c r="N1326" s="24" t="s">
        <v>111</v>
      </c>
      <c r="O1326" s="24" t="s">
        <v>88</v>
      </c>
      <c r="P1326" s="24" t="s">
        <v>57</v>
      </c>
      <c r="Q1326" s="24" t="s">
        <v>74</v>
      </c>
      <c r="R1326" s="24" t="s">
        <v>75</v>
      </c>
      <c r="S1326" s="24" t="s">
        <v>2554</v>
      </c>
      <c r="T1326" s="24" t="s">
        <v>90</v>
      </c>
      <c r="U1326" s="24" t="s">
        <v>105</v>
      </c>
      <c r="V1326" s="24" t="s">
        <v>77</v>
      </c>
      <c r="W1326" s="24" t="s">
        <v>116</v>
      </c>
      <c r="X1326" s="24" t="s">
        <v>79</v>
      </c>
      <c r="Y1326" s="24" t="s">
        <v>213</v>
      </c>
      <c r="Z1326" s="24" t="s">
        <v>64</v>
      </c>
      <c r="AA1326" s="24" t="s">
        <v>2842</v>
      </c>
      <c r="AB1326" s="24"/>
      <c r="AC1326" s="24" t="s">
        <v>3740</v>
      </c>
    </row>
    <row r="1327" spans="1:29">
      <c r="A1327" s="30" t="s">
        <v>3741</v>
      </c>
      <c r="B1327" s="30" t="str">
        <f>IF(ISNUMBER(SEARCH(E1327,A1327)),A1327,IF(OR(E1327="",E1327=""),A1327,A1327&amp;" - "&amp;E1327))</f>
        <v>NOC LF 20/1 - Orangina 2.0</v>
      </c>
      <c r="C1327" s="30" t="s">
        <v>2841</v>
      </c>
      <c r="D1327" s="30" t="s">
        <v>2842</v>
      </c>
      <c r="E1327" s="40" t="s">
        <v>3742</v>
      </c>
      <c r="F1327" s="30" t="s">
        <v>86</v>
      </c>
      <c r="G1327" s="34">
        <v>20</v>
      </c>
      <c r="H1327" s="35">
        <v>1</v>
      </c>
      <c r="I1327" s="30"/>
      <c r="J1327" s="30"/>
      <c r="K1327" s="30" t="s">
        <v>52</v>
      </c>
      <c r="L1327" s="30" t="s">
        <v>3739</v>
      </c>
      <c r="M1327" s="30" t="s">
        <v>54</v>
      </c>
      <c r="N1327" s="30" t="s">
        <v>111</v>
      </c>
      <c r="O1327" s="30" t="s">
        <v>72</v>
      </c>
      <c r="P1327" s="30" t="s">
        <v>73</v>
      </c>
      <c r="Q1327" s="30" t="s">
        <v>157</v>
      </c>
      <c r="R1327" s="30" t="s">
        <v>75</v>
      </c>
      <c r="S1327" s="30" t="s">
        <v>90</v>
      </c>
      <c r="T1327" s="30" t="s">
        <v>105</v>
      </c>
      <c r="U1327" s="30" t="s">
        <v>76</v>
      </c>
      <c r="V1327" s="30" t="s">
        <v>77</v>
      </c>
      <c r="W1327" s="30" t="s">
        <v>138</v>
      </c>
      <c r="X1327" s="30" t="s">
        <v>79</v>
      </c>
      <c r="Y1327" s="30"/>
      <c r="Z1327" s="30" t="s">
        <v>64</v>
      </c>
      <c r="AA1327" s="30" t="s">
        <v>2842</v>
      </c>
      <c r="AB1327" s="30"/>
      <c r="AC1327" s="30" t="s">
        <v>3743</v>
      </c>
    </row>
    <row r="1328" spans="1:29">
      <c r="A1328" s="24" t="s">
        <v>3744</v>
      </c>
      <c r="B1328" s="24" t="str">
        <f>IF(ISNUMBER(SEARCH(E1328,A1328)),A1328,IF(OR(E1328="",E1328=""),A1328,A1328&amp;" - "&amp;E1328))</f>
        <v>Remexian 27/1 PRT SCK - Strawberry Cookies</v>
      </c>
      <c r="C1328" s="24" t="s">
        <v>83</v>
      </c>
      <c r="D1328" s="24" t="s">
        <v>84</v>
      </c>
      <c r="E1328" s="41" t="s">
        <v>1650</v>
      </c>
      <c r="F1328" s="24" t="s">
        <v>69</v>
      </c>
      <c r="G1328" s="27">
        <v>25</v>
      </c>
      <c r="H1328" s="28">
        <v>1</v>
      </c>
      <c r="I1328" s="24"/>
      <c r="J1328" s="24"/>
      <c r="K1328" s="24" t="s">
        <v>52</v>
      </c>
      <c r="L1328" s="24" t="s">
        <v>102</v>
      </c>
      <c r="M1328" s="24" t="s">
        <v>54</v>
      </c>
      <c r="N1328" s="24" t="s">
        <v>111</v>
      </c>
      <c r="O1328" s="24" t="s">
        <v>88</v>
      </c>
      <c r="P1328" s="24" t="s">
        <v>112</v>
      </c>
      <c r="Q1328" s="24" t="s">
        <v>74</v>
      </c>
      <c r="R1328" s="24" t="s">
        <v>89</v>
      </c>
      <c r="S1328" s="24" t="s">
        <v>123</v>
      </c>
      <c r="T1328" s="24" t="s">
        <v>106</v>
      </c>
      <c r="U1328" s="24" t="s">
        <v>91</v>
      </c>
      <c r="V1328" s="24" t="s">
        <v>77</v>
      </c>
      <c r="W1328" s="24" t="s">
        <v>79</v>
      </c>
      <c r="X1328" s="24" t="s">
        <v>107</v>
      </c>
      <c r="Y1328" s="24" t="s">
        <v>3220</v>
      </c>
      <c r="Z1328" s="24" t="s">
        <v>64</v>
      </c>
      <c r="AA1328" s="24" t="s">
        <v>95</v>
      </c>
      <c r="AB1328" s="24"/>
      <c r="AC1328" s="24" t="s">
        <v>3745</v>
      </c>
    </row>
    <row r="1329" spans="1:29">
      <c r="A1329" s="30" t="s">
        <v>3746</v>
      </c>
      <c r="B1329" s="30" t="str">
        <f>IF(ISNUMBER(SEARCH(E1329,A1329)),A1329,IF(OR(E1329="",E1329=""),A1329,A1329&amp;" - "&amp;E1329))</f>
        <v>Remexian 30/1 GJY FLV - Flawless Victory</v>
      </c>
      <c r="C1329" s="30" t="s">
        <v>83</v>
      </c>
      <c r="D1329" s="30" t="s">
        <v>84</v>
      </c>
      <c r="E1329" s="40" t="s">
        <v>1221</v>
      </c>
      <c r="F1329" s="30" t="s">
        <v>177</v>
      </c>
      <c r="G1329" s="34">
        <v>27</v>
      </c>
      <c r="H1329" s="35">
        <v>1</v>
      </c>
      <c r="I1329" s="30"/>
      <c r="J1329" s="30"/>
      <c r="K1329" s="30" t="s">
        <v>52</v>
      </c>
      <c r="L1329" s="30" t="s">
        <v>53</v>
      </c>
      <c r="M1329" s="30" t="s">
        <v>88</v>
      </c>
      <c r="N1329" s="30" t="s">
        <v>121</v>
      </c>
      <c r="O1329" s="30" t="s">
        <v>72</v>
      </c>
      <c r="P1329" s="30" t="s">
        <v>73</v>
      </c>
      <c r="Q1329" s="30" t="s">
        <v>59</v>
      </c>
      <c r="R1329" s="30"/>
      <c r="S1329" s="30" t="s">
        <v>106</v>
      </c>
      <c r="T1329" s="30" t="s">
        <v>493</v>
      </c>
      <c r="U1329" s="30" t="s">
        <v>62</v>
      </c>
      <c r="V1329" s="30" t="s">
        <v>116</v>
      </c>
      <c r="W1329" s="30" t="s">
        <v>138</v>
      </c>
      <c r="X1329" s="30" t="s">
        <v>107</v>
      </c>
      <c r="Y1329" s="30" t="s">
        <v>3747</v>
      </c>
      <c r="Z1329" s="30" t="s">
        <v>64</v>
      </c>
      <c r="AA1329" s="30" t="s">
        <v>95</v>
      </c>
      <c r="AB1329" s="30"/>
      <c r="AC1329" s="30" t="s">
        <v>3748</v>
      </c>
    </row>
    <row r="1330" spans="1:29">
      <c r="A1330" s="24" t="s">
        <v>3749</v>
      </c>
      <c r="B1330" s="24" t="str">
        <f>IF(ISNUMBER(SEARCH(E1330,A1330)),A1330,IF(OR(E1330="",E1330=""),A1330,A1330&amp;" - "&amp;E1330))</f>
        <v>Soma OG 28/1 FG GOG Indica - Ghost OG</v>
      </c>
      <c r="C1330" s="24" t="s">
        <v>1957</v>
      </c>
      <c r="D1330" s="24" t="s">
        <v>1958</v>
      </c>
      <c r="E1330" s="41" t="s">
        <v>3633</v>
      </c>
      <c r="F1330" s="24" t="s">
        <v>177</v>
      </c>
      <c r="G1330" s="27">
        <v>28</v>
      </c>
      <c r="H1330" s="28">
        <v>1</v>
      </c>
      <c r="I1330" s="24"/>
      <c r="J1330" s="24"/>
      <c r="K1330" s="24" t="s">
        <v>52</v>
      </c>
      <c r="L1330" s="24" t="s">
        <v>53</v>
      </c>
      <c r="M1330" s="24" t="s">
        <v>111</v>
      </c>
      <c r="N1330" s="24" t="s">
        <v>72</v>
      </c>
      <c r="O1330" s="24"/>
      <c r="P1330" s="24" t="s">
        <v>74</v>
      </c>
      <c r="Q1330" s="24" t="s">
        <v>75</v>
      </c>
      <c r="R1330" s="24" t="s">
        <v>59</v>
      </c>
      <c r="S1330" s="24" t="s">
        <v>147</v>
      </c>
      <c r="T1330" s="24" t="s">
        <v>106</v>
      </c>
      <c r="U1330" s="24" t="s">
        <v>62</v>
      </c>
      <c r="V1330" s="24" t="s">
        <v>79</v>
      </c>
      <c r="W1330" s="24" t="s">
        <v>107</v>
      </c>
      <c r="X1330" s="24" t="s">
        <v>173</v>
      </c>
      <c r="Y1330" s="24"/>
      <c r="Z1330" s="24" t="s">
        <v>64</v>
      </c>
      <c r="AA1330" s="24" t="s">
        <v>1961</v>
      </c>
      <c r="AB1330" s="24"/>
      <c r="AC1330" s="24" t="s">
        <v>3750</v>
      </c>
    </row>
    <row r="1331" spans="1:29">
      <c r="A1331" s="31" t="s">
        <v>1861</v>
      </c>
      <c r="B1331" s="30" t="str">
        <f>IF(ISNUMBER(SEARCH(E1331,A1331)),A1331,IF(OR(E1331="",E1331=""),A1331,A1331&amp;" - "&amp;E1331))</f>
        <v>RE:CANNIS 19/1 Sativa - Alaska</v>
      </c>
      <c r="C1331" s="30" t="s">
        <v>628</v>
      </c>
      <c r="D1331" s="30" t="s">
        <v>629</v>
      </c>
      <c r="E1331" s="40" t="s">
        <v>3751</v>
      </c>
      <c r="F1331" s="30" t="s">
        <v>86</v>
      </c>
      <c r="G1331" s="34">
        <v>19</v>
      </c>
      <c r="H1331" s="35">
        <v>1</v>
      </c>
      <c r="I1331" s="30"/>
      <c r="J1331" s="30"/>
      <c r="K1331" s="30" t="s">
        <v>52</v>
      </c>
      <c r="L1331" s="30" t="s">
        <v>630</v>
      </c>
      <c r="M1331" s="30" t="s">
        <v>72</v>
      </c>
      <c r="N1331" s="30"/>
      <c r="O1331" s="30"/>
      <c r="P1331" s="30" t="s">
        <v>113</v>
      </c>
      <c r="Q1331" s="30" t="s">
        <v>59</v>
      </c>
      <c r="R1331" s="30" t="s">
        <v>74</v>
      </c>
      <c r="S1331" s="30" t="s">
        <v>61</v>
      </c>
      <c r="T1331" s="30" t="s">
        <v>62</v>
      </c>
      <c r="U1331" s="30" t="s">
        <v>123</v>
      </c>
      <c r="V1331" s="30" t="s">
        <v>165</v>
      </c>
      <c r="W1331" s="30" t="s">
        <v>129</v>
      </c>
      <c r="X1331" s="30" t="s">
        <v>107</v>
      </c>
      <c r="Y1331" s="30" t="s">
        <v>3752</v>
      </c>
      <c r="Z1331" s="30" t="s">
        <v>64</v>
      </c>
      <c r="AA1331" s="30" t="s">
        <v>632</v>
      </c>
      <c r="AB1331" s="30"/>
      <c r="AC1331" s="30"/>
    </row>
    <row r="1332" spans="1:29">
      <c r="A1332" s="24" t="s">
        <v>3753</v>
      </c>
      <c r="B1332" s="24" t="str">
        <f>IF(ISNUMBER(SEARCH(E1332,A1332)),A1332,IF(OR(E1332="",E1332=""),A1332,A1332&amp;" - "&amp;E1332))</f>
        <v>CNBS Gelo 22/1 - Gelonade</v>
      </c>
      <c r="C1332" s="24" t="s">
        <v>822</v>
      </c>
      <c r="D1332" s="24" t="s">
        <v>823</v>
      </c>
      <c r="E1332" s="41" t="s">
        <v>869</v>
      </c>
      <c r="F1332" s="24" t="s">
        <v>86</v>
      </c>
      <c r="G1332" s="27">
        <v>22</v>
      </c>
      <c r="H1332" s="28">
        <v>1</v>
      </c>
      <c r="I1332" s="24"/>
      <c r="J1332" s="24"/>
      <c r="K1332" s="24" t="s">
        <v>52</v>
      </c>
      <c r="L1332" s="24" t="s">
        <v>53</v>
      </c>
      <c r="M1332" s="24" t="s">
        <v>178</v>
      </c>
      <c r="N1332" s="24" t="s">
        <v>55</v>
      </c>
      <c r="O1332" s="24" t="s">
        <v>156</v>
      </c>
      <c r="P1332" s="24" t="s">
        <v>113</v>
      </c>
      <c r="Q1332" s="24" t="s">
        <v>89</v>
      </c>
      <c r="R1332" s="24" t="s">
        <v>58</v>
      </c>
      <c r="S1332" s="24" t="s">
        <v>106</v>
      </c>
      <c r="T1332" s="24" t="s">
        <v>62</v>
      </c>
      <c r="U1332" s="24"/>
      <c r="V1332" s="24" t="s">
        <v>107</v>
      </c>
      <c r="W1332" s="24" t="s">
        <v>173</v>
      </c>
      <c r="X1332" s="24" t="s">
        <v>129</v>
      </c>
      <c r="Y1332" s="24" t="s">
        <v>523</v>
      </c>
      <c r="Z1332" s="24" t="s">
        <v>64</v>
      </c>
      <c r="AA1332" s="24" t="s">
        <v>826</v>
      </c>
      <c r="AB1332" s="24"/>
      <c r="AC1332" s="24" t="s">
        <v>3754</v>
      </c>
    </row>
    <row r="1333" spans="1:29">
      <c r="A1333" s="30" t="s">
        <v>3755</v>
      </c>
      <c r="B1333" s="30" t="str">
        <f>IF(ISNUMBER(SEARCH(E1333,A1333)),A1333,IF(OR(E1333="",E1333=""),A1333,A1333&amp;" - "&amp;E1333))</f>
        <v>Demecan Core Saxonia 28:01 - Wedding Cake x Jet Fuel Gelato</v>
      </c>
      <c r="C1333" s="30" t="s">
        <v>484</v>
      </c>
      <c r="D1333" s="30" t="s">
        <v>485</v>
      </c>
      <c r="E1333" s="40" t="s">
        <v>3756</v>
      </c>
      <c r="F1333" s="30" t="s">
        <v>177</v>
      </c>
      <c r="G1333" s="34">
        <v>27</v>
      </c>
      <c r="H1333" s="35">
        <v>1</v>
      </c>
      <c r="I1333" s="30"/>
      <c r="J1333" s="30"/>
      <c r="K1333" s="30" t="s">
        <v>52</v>
      </c>
      <c r="L1333" s="30" t="s">
        <v>527</v>
      </c>
      <c r="M1333" s="30" t="s">
        <v>88</v>
      </c>
      <c r="N1333" s="30" t="s">
        <v>71</v>
      </c>
      <c r="O1333" s="30" t="s">
        <v>72</v>
      </c>
      <c r="P1333" s="30" t="s">
        <v>75</v>
      </c>
      <c r="Q1333" s="30" t="s">
        <v>74</v>
      </c>
      <c r="R1333" s="30" t="s">
        <v>89</v>
      </c>
      <c r="S1333" s="30" t="s">
        <v>128</v>
      </c>
      <c r="T1333" s="30" t="s">
        <v>106</v>
      </c>
      <c r="U1333" s="30" t="s">
        <v>62</v>
      </c>
      <c r="V1333" s="30" t="s">
        <v>79</v>
      </c>
      <c r="W1333" s="30" t="s">
        <v>93</v>
      </c>
      <c r="X1333" s="30"/>
      <c r="Y1333" s="30" t="s">
        <v>311</v>
      </c>
      <c r="Z1333" s="30" t="s">
        <v>64</v>
      </c>
      <c r="AA1333" s="30" t="s">
        <v>485</v>
      </c>
      <c r="AB1333" s="30"/>
      <c r="AC1333" s="30" t="s">
        <v>3757</v>
      </c>
    </row>
    <row r="1334" spans="1:29">
      <c r="A1334" s="24" t="s">
        <v>3758</v>
      </c>
      <c r="B1334" s="24" t="str">
        <f>IF(ISNUMBER(SEARCH(E1334,A1334)),A1334,IF(OR(E1334="",E1334=""),A1334,A1334&amp;" - "&amp;E1334))</f>
        <v>Remexian 30/1 NL CGA - Creamy Gas</v>
      </c>
      <c r="C1334" s="24" t="s">
        <v>83</v>
      </c>
      <c r="D1334" s="24" t="s">
        <v>84</v>
      </c>
      <c r="E1334" s="41" t="s">
        <v>3759</v>
      </c>
      <c r="F1334" s="24" t="s">
        <v>86</v>
      </c>
      <c r="G1334" s="27">
        <v>31</v>
      </c>
      <c r="H1334" s="28">
        <v>1</v>
      </c>
      <c r="I1334" s="24"/>
      <c r="J1334" s="24"/>
      <c r="K1334" s="24" t="s">
        <v>52</v>
      </c>
      <c r="L1334" s="24" t="s">
        <v>53</v>
      </c>
      <c r="M1334" s="24" t="s">
        <v>111</v>
      </c>
      <c r="N1334" s="24" t="s">
        <v>54</v>
      </c>
      <c r="O1334" s="24" t="s">
        <v>71</v>
      </c>
      <c r="P1334" s="24" t="s">
        <v>74</v>
      </c>
      <c r="Q1334" s="24" t="s">
        <v>75</v>
      </c>
      <c r="R1334" s="24" t="s">
        <v>57</v>
      </c>
      <c r="S1334" s="24" t="s">
        <v>106</v>
      </c>
      <c r="T1334" s="24" t="s">
        <v>62</v>
      </c>
      <c r="U1334" s="24" t="s">
        <v>147</v>
      </c>
      <c r="V1334" s="24" t="s">
        <v>79</v>
      </c>
      <c r="W1334" s="24" t="s">
        <v>116</v>
      </c>
      <c r="X1334" s="24" t="s">
        <v>93</v>
      </c>
      <c r="Y1334" s="24" t="s">
        <v>286</v>
      </c>
      <c r="Z1334" s="24" t="s">
        <v>64</v>
      </c>
      <c r="AA1334" s="24" t="s">
        <v>95</v>
      </c>
      <c r="AB1334" s="24" t="s">
        <v>3499</v>
      </c>
      <c r="AC1334" s="37" t="s">
        <v>3760</v>
      </c>
    </row>
    <row r="1335" spans="1:29">
      <c r="A1335" s="30" t="s">
        <v>3761</v>
      </c>
      <c r="B1335" s="30" t="str">
        <f>IF(ISNUMBER(SEARCH(E1335,A1335)),A1335,IF(OR(E1335="",E1335=""),A1335,A1335&amp;" - "&amp;E1335))</f>
        <v>Barongo 27/1 - Mac 3</v>
      </c>
      <c r="C1335" s="30" t="s">
        <v>641</v>
      </c>
      <c r="D1335" s="30" t="s">
        <v>642</v>
      </c>
      <c r="E1335" s="40" t="s">
        <v>3762</v>
      </c>
      <c r="F1335" s="30" t="s">
        <v>86</v>
      </c>
      <c r="G1335" s="34">
        <v>27</v>
      </c>
      <c r="H1335" s="35">
        <v>1</v>
      </c>
      <c r="I1335" s="30"/>
      <c r="J1335" s="30"/>
      <c r="K1335" s="30" t="s">
        <v>52</v>
      </c>
      <c r="L1335" s="30" t="s">
        <v>53</v>
      </c>
      <c r="M1335" s="30" t="s">
        <v>72</v>
      </c>
      <c r="N1335" s="30" t="s">
        <v>71</v>
      </c>
      <c r="O1335" s="30" t="s">
        <v>88</v>
      </c>
      <c r="P1335" s="30" t="s">
        <v>104</v>
      </c>
      <c r="Q1335" s="30" t="s">
        <v>113</v>
      </c>
      <c r="R1335" s="30" t="s">
        <v>146</v>
      </c>
      <c r="S1335" s="30" t="s">
        <v>128</v>
      </c>
      <c r="T1335" s="30" t="s">
        <v>106</v>
      </c>
      <c r="U1335" s="30" t="s">
        <v>123</v>
      </c>
      <c r="V1335" s="30" t="s">
        <v>77</v>
      </c>
      <c r="W1335" s="30" t="s">
        <v>116</v>
      </c>
      <c r="X1335" s="30" t="s">
        <v>79</v>
      </c>
      <c r="Y1335" s="30" t="s">
        <v>217</v>
      </c>
      <c r="Z1335" s="30" t="s">
        <v>64</v>
      </c>
      <c r="AA1335" s="30" t="s">
        <v>642</v>
      </c>
      <c r="AB1335" s="30"/>
      <c r="AC1335" s="30" t="s">
        <v>3763</v>
      </c>
    </row>
    <row r="1336" spans="1:29">
      <c r="A1336" s="24" t="s">
        <v>3764</v>
      </c>
      <c r="B1336" s="24" t="str">
        <f>IF(ISNUMBER(SEARCH(E1336,A1336)),A1336,IF(OR(E1336="",E1336=""),A1336,A1336&amp;" - "&amp;E1336))</f>
        <v>420 Compound 30/1 CA RPV - Rose Gold Pave</v>
      </c>
      <c r="C1336" s="24" t="s">
        <v>463</v>
      </c>
      <c r="D1336" s="24" t="s">
        <v>464</v>
      </c>
      <c r="E1336" s="41" t="s">
        <v>3645</v>
      </c>
      <c r="F1336" s="24" t="s">
        <v>177</v>
      </c>
      <c r="G1336" s="27">
        <v>31</v>
      </c>
      <c r="H1336" s="28">
        <v>1</v>
      </c>
      <c r="I1336" s="24"/>
      <c r="J1336" s="24"/>
      <c r="K1336" s="24" t="s">
        <v>52</v>
      </c>
      <c r="L1336" s="24" t="s">
        <v>53</v>
      </c>
      <c r="M1336" s="24" t="s">
        <v>178</v>
      </c>
      <c r="N1336" s="24" t="s">
        <v>71</v>
      </c>
      <c r="O1336" s="24" t="s">
        <v>54</v>
      </c>
      <c r="P1336" s="24" t="s">
        <v>112</v>
      </c>
      <c r="Q1336" s="24" t="s">
        <v>136</v>
      </c>
      <c r="R1336" s="24" t="s">
        <v>58</v>
      </c>
      <c r="S1336" s="24" t="s">
        <v>106</v>
      </c>
      <c r="T1336" s="24" t="s">
        <v>62</v>
      </c>
      <c r="U1336" s="24" t="s">
        <v>147</v>
      </c>
      <c r="V1336" s="24" t="s">
        <v>116</v>
      </c>
      <c r="W1336" s="24" t="s">
        <v>93</v>
      </c>
      <c r="X1336" s="24" t="s">
        <v>79</v>
      </c>
      <c r="Y1336" s="24"/>
      <c r="Z1336" s="24" t="s">
        <v>64</v>
      </c>
      <c r="AA1336" s="24" t="s">
        <v>468</v>
      </c>
      <c r="AB1336" s="24"/>
      <c r="AC1336" s="24" t="s">
        <v>3765</v>
      </c>
    </row>
    <row r="1337" spans="1:29">
      <c r="A1337" s="30" t="s">
        <v>3766</v>
      </c>
      <c r="B1337" s="30" t="str">
        <f>IF(ISNUMBER(SEARCH(E1337,A1337)),A1337,IF(OR(E1337="",E1337=""),A1337,A1337&amp;" - "&amp;E1337))</f>
        <v>enua SSV CA 25/1 - Sweet San Valley</v>
      </c>
      <c r="C1337" s="30" t="s">
        <v>650</v>
      </c>
      <c r="D1337" s="30" t="s">
        <v>651</v>
      </c>
      <c r="E1337" s="40" t="s">
        <v>3767</v>
      </c>
      <c r="F1337" s="30" t="s">
        <v>177</v>
      </c>
      <c r="G1337" s="34">
        <v>25</v>
      </c>
      <c r="H1337" s="35">
        <v>1</v>
      </c>
      <c r="I1337" s="30"/>
      <c r="J1337" s="30"/>
      <c r="K1337" s="30" t="s">
        <v>52</v>
      </c>
      <c r="L1337" s="30" t="s">
        <v>53</v>
      </c>
      <c r="M1337" s="30" t="s">
        <v>111</v>
      </c>
      <c r="N1337" s="30" t="s">
        <v>178</v>
      </c>
      <c r="O1337" s="30" t="s">
        <v>54</v>
      </c>
      <c r="P1337" s="30" t="s">
        <v>57</v>
      </c>
      <c r="Q1337" s="30" t="s">
        <v>136</v>
      </c>
      <c r="R1337" s="30" t="s">
        <v>146</v>
      </c>
      <c r="S1337" s="30" t="s">
        <v>128</v>
      </c>
      <c r="T1337" s="30" t="s">
        <v>61</v>
      </c>
      <c r="U1337" s="30" t="s">
        <v>62</v>
      </c>
      <c r="V1337" s="30" t="s">
        <v>79</v>
      </c>
      <c r="W1337" s="30" t="s">
        <v>116</v>
      </c>
      <c r="X1337" s="30" t="s">
        <v>93</v>
      </c>
      <c r="Y1337" s="30" t="s">
        <v>555</v>
      </c>
      <c r="Z1337" s="30" t="s">
        <v>64</v>
      </c>
      <c r="AA1337" s="30" t="s">
        <v>653</v>
      </c>
      <c r="AB1337" s="30"/>
      <c r="AC1337" s="30" t="s">
        <v>3768</v>
      </c>
    </row>
    <row r="1338" spans="1:29">
      <c r="A1338" s="24" t="s">
        <v>3769</v>
      </c>
      <c r="B1338" s="24" t="str">
        <f>IF(ISNUMBER(SEARCH(E1338,A1338)),A1338,IF(OR(E1338="",E1338=""),A1338,A1338&amp;" - "&amp;E1338))</f>
        <v>avaay 32/1 AHC - Amnesia Haze Cake</v>
      </c>
      <c r="C1338" s="24" t="s">
        <v>569</v>
      </c>
      <c r="D1338" s="24" t="s">
        <v>570</v>
      </c>
      <c r="E1338" s="41" t="s">
        <v>1255</v>
      </c>
      <c r="F1338" s="24" t="s">
        <v>144</v>
      </c>
      <c r="G1338" s="27">
        <v>32</v>
      </c>
      <c r="H1338" s="28">
        <v>1</v>
      </c>
      <c r="I1338" s="24"/>
      <c r="J1338" s="24"/>
      <c r="K1338" s="24" t="s">
        <v>52</v>
      </c>
      <c r="L1338" s="24" t="s">
        <v>53</v>
      </c>
      <c r="M1338" s="24" t="s">
        <v>121</v>
      </c>
      <c r="N1338" s="24" t="s">
        <v>88</v>
      </c>
      <c r="O1338" s="24" t="s">
        <v>72</v>
      </c>
      <c r="P1338" s="24" t="s">
        <v>59</v>
      </c>
      <c r="Q1338" s="24" t="s">
        <v>73</v>
      </c>
      <c r="R1338" s="24"/>
      <c r="S1338" s="24" t="s">
        <v>128</v>
      </c>
      <c r="T1338" s="24" t="s">
        <v>106</v>
      </c>
      <c r="U1338" s="24" t="s">
        <v>62</v>
      </c>
      <c r="V1338" s="24" t="s">
        <v>107</v>
      </c>
      <c r="W1338" s="24" t="s">
        <v>138</v>
      </c>
      <c r="X1338" s="24" t="s">
        <v>116</v>
      </c>
      <c r="Y1338" s="24" t="s">
        <v>845</v>
      </c>
      <c r="Z1338" s="24" t="s">
        <v>64</v>
      </c>
      <c r="AA1338" s="24" t="s">
        <v>572</v>
      </c>
      <c r="AB1338" s="24"/>
      <c r="AC1338" s="24" t="s">
        <v>3770</v>
      </c>
    </row>
    <row r="1339" spans="1:29">
      <c r="A1339" s="30" t="s">
        <v>3771</v>
      </c>
      <c r="B1339" s="30" t="str">
        <f>IF(ISNUMBER(SEARCH(E1339,A1339)),A1339,IF(OR(E1339="",E1339=""),A1339,A1339&amp;" - "&amp;E1339))</f>
        <v>420 Sungrown 22/1 CA Dog - Chemdog</v>
      </c>
      <c r="C1339" s="30" t="s">
        <v>463</v>
      </c>
      <c r="D1339" s="30" t="s">
        <v>464</v>
      </c>
      <c r="E1339" s="40" t="s">
        <v>2997</v>
      </c>
      <c r="F1339" s="30" t="s">
        <v>177</v>
      </c>
      <c r="G1339" s="34">
        <v>22</v>
      </c>
      <c r="H1339" s="35">
        <v>1</v>
      </c>
      <c r="I1339" s="30"/>
      <c r="J1339" s="30"/>
      <c r="K1339" s="30" t="s">
        <v>52</v>
      </c>
      <c r="L1339" s="30" t="s">
        <v>53</v>
      </c>
      <c r="M1339" s="30" t="s">
        <v>88</v>
      </c>
      <c r="N1339" s="30" t="s">
        <v>72</v>
      </c>
      <c r="O1339" s="30" t="s">
        <v>54</v>
      </c>
      <c r="P1339" s="30" t="s">
        <v>74</v>
      </c>
      <c r="Q1339" s="30" t="s">
        <v>73</v>
      </c>
      <c r="R1339" s="30" t="s">
        <v>59</v>
      </c>
      <c r="S1339" s="30" t="s">
        <v>106</v>
      </c>
      <c r="T1339" s="30" t="s">
        <v>62</v>
      </c>
      <c r="U1339" s="30" t="s">
        <v>147</v>
      </c>
      <c r="V1339" s="30" t="s">
        <v>93</v>
      </c>
      <c r="W1339" s="30" t="s">
        <v>107</v>
      </c>
      <c r="X1339" s="30" t="s">
        <v>173</v>
      </c>
      <c r="Y1339" s="30"/>
      <c r="Z1339" s="30" t="s">
        <v>64</v>
      </c>
      <c r="AA1339" s="30" t="s">
        <v>468</v>
      </c>
      <c r="AB1339" s="30"/>
      <c r="AC1339" s="30" t="s">
        <v>3772</v>
      </c>
    </row>
    <row r="1340" spans="1:29">
      <c r="A1340" s="24" t="s">
        <v>3773</v>
      </c>
      <c r="B1340" s="24" t="str">
        <f>IF(ISNUMBER(SEARCH(E1340,A1340)),A1340,IF(OR(E1340="",E1340=""),A1340,A1340&amp;" - "&amp;E1340))</f>
        <v>Mediprocan Simba 25/1 - Purple Panther</v>
      </c>
      <c r="C1340" s="24" t="s">
        <v>317</v>
      </c>
      <c r="D1340" s="24" t="s">
        <v>318</v>
      </c>
      <c r="E1340" s="41" t="s">
        <v>3774</v>
      </c>
      <c r="F1340" s="24" t="s">
        <v>120</v>
      </c>
      <c r="G1340" s="27">
        <v>25</v>
      </c>
      <c r="H1340" s="28">
        <v>1</v>
      </c>
      <c r="I1340" s="24"/>
      <c r="J1340" s="24"/>
      <c r="K1340" s="24" t="s">
        <v>52</v>
      </c>
      <c r="L1340" s="24" t="s">
        <v>3775</v>
      </c>
      <c r="M1340" s="24" t="s">
        <v>54</v>
      </c>
      <c r="N1340" s="24" t="s">
        <v>72</v>
      </c>
      <c r="O1340" s="24" t="s">
        <v>71</v>
      </c>
      <c r="P1340" s="24" t="s">
        <v>58</v>
      </c>
      <c r="Q1340" s="24" t="s">
        <v>59</v>
      </c>
      <c r="R1340" s="24" t="s">
        <v>74</v>
      </c>
      <c r="S1340" s="24" t="s">
        <v>62</v>
      </c>
      <c r="T1340" s="24"/>
      <c r="U1340" s="24"/>
      <c r="V1340" s="24" t="s">
        <v>79</v>
      </c>
      <c r="W1340" s="24" t="s">
        <v>173</v>
      </c>
      <c r="X1340" s="24" t="s">
        <v>107</v>
      </c>
      <c r="Y1340" s="24" t="s">
        <v>240</v>
      </c>
      <c r="Z1340" s="24" t="s">
        <v>64</v>
      </c>
      <c r="AA1340" s="24" t="s">
        <v>320</v>
      </c>
      <c r="AB1340" s="24"/>
      <c r="AC1340" s="37" t="s">
        <v>3776</v>
      </c>
    </row>
    <row r="1341" spans="1:29">
      <c r="A1341" s="65" t="s">
        <v>3777</v>
      </c>
      <c r="B1341" s="65" t="str">
        <f>IF(ISNUMBER(SEARCH(E1341,A1341)),A1341,IF(OR(E1341="",E1341=""),A1341,A1341&amp;" - "&amp;E1341))</f>
        <v>Demecan Core JM7 28/1 - Jelly Mints</v>
      </c>
      <c r="C1341" s="30" t="s">
        <v>484</v>
      </c>
      <c r="D1341" s="30" t="s">
        <v>485</v>
      </c>
      <c r="E1341" s="66" t="s">
        <v>3778</v>
      </c>
      <c r="F1341" s="65" t="s">
        <v>177</v>
      </c>
      <c r="G1341" s="67">
        <v>27</v>
      </c>
      <c r="H1341" s="35">
        <v>1</v>
      </c>
      <c r="I1341" s="65"/>
      <c r="J1341" s="65"/>
      <c r="K1341" s="65" t="s">
        <v>52</v>
      </c>
      <c r="L1341" s="65" t="s">
        <v>527</v>
      </c>
      <c r="M1341" s="65" t="s">
        <v>72</v>
      </c>
      <c r="N1341" s="65" t="s">
        <v>121</v>
      </c>
      <c r="O1341" s="65" t="s">
        <v>88</v>
      </c>
      <c r="P1341" s="65" t="s">
        <v>146</v>
      </c>
      <c r="Q1341" s="65" t="s">
        <v>113</v>
      </c>
      <c r="R1341" s="65" t="s">
        <v>58</v>
      </c>
      <c r="S1341" s="65" t="s">
        <v>106</v>
      </c>
      <c r="T1341" s="65" t="s">
        <v>62</v>
      </c>
      <c r="U1341" s="65" t="s">
        <v>123</v>
      </c>
      <c r="V1341" s="65" t="s">
        <v>79</v>
      </c>
      <c r="W1341" s="65" t="s">
        <v>93</v>
      </c>
      <c r="X1341" s="65" t="s">
        <v>107</v>
      </c>
      <c r="Y1341" s="65"/>
      <c r="Z1341" s="65" t="s">
        <v>64</v>
      </c>
      <c r="AA1341" s="65" t="s">
        <v>485</v>
      </c>
      <c r="AB1341" s="65"/>
      <c r="AC1341" s="30" t="s">
        <v>3779</v>
      </c>
    </row>
    <row r="1342" spans="1:29">
      <c r="A1342" s="24" t="s">
        <v>3780</v>
      </c>
      <c r="B1342" s="24" t="str">
        <f>IF(ISNUMBER(SEARCH(E1342,A1342)),A1342,IF(OR(E1342="",E1342=""),A1342,A1342&amp;" - "&amp;E1342))</f>
        <v>420 Evolution 30/1 CA PCH - Peach Chementine</v>
      </c>
      <c r="C1342" s="24" t="s">
        <v>463</v>
      </c>
      <c r="D1342" s="24" t="s">
        <v>464</v>
      </c>
      <c r="E1342" s="41" t="s">
        <v>3781</v>
      </c>
      <c r="F1342" s="41" t="s">
        <v>86</v>
      </c>
      <c r="G1342" s="27">
        <v>30</v>
      </c>
      <c r="H1342" s="28">
        <v>1</v>
      </c>
      <c r="I1342" s="24"/>
      <c r="J1342" s="24"/>
      <c r="K1342" s="24" t="s">
        <v>52</v>
      </c>
      <c r="L1342" s="24" t="s">
        <v>53</v>
      </c>
      <c r="M1342" s="24" t="s">
        <v>72</v>
      </c>
      <c r="N1342" s="24" t="s">
        <v>156</v>
      </c>
      <c r="O1342" s="24" t="s">
        <v>88</v>
      </c>
      <c r="P1342" s="24" t="s">
        <v>89</v>
      </c>
      <c r="Q1342" s="24" t="s">
        <v>73</v>
      </c>
      <c r="R1342" s="24" t="s">
        <v>58</v>
      </c>
      <c r="S1342" s="24" t="s">
        <v>128</v>
      </c>
      <c r="T1342" s="24" t="s">
        <v>106</v>
      </c>
      <c r="U1342" s="24" t="s">
        <v>164</v>
      </c>
      <c r="V1342" s="24" t="s">
        <v>79</v>
      </c>
      <c r="W1342" s="24" t="s">
        <v>116</v>
      </c>
      <c r="X1342" s="24" t="s">
        <v>173</v>
      </c>
      <c r="Y1342" s="24" t="s">
        <v>467</v>
      </c>
      <c r="Z1342" s="24" t="s">
        <v>64</v>
      </c>
      <c r="AA1342" s="24" t="s">
        <v>468</v>
      </c>
      <c r="AB1342" s="24"/>
      <c r="AC1342" s="24" t="s">
        <v>3782</v>
      </c>
    </row>
    <row r="1343" spans="1:29">
      <c r="A1343" s="30" t="s">
        <v>3783</v>
      </c>
      <c r="B1343" s="30" t="str">
        <f>IF(ISNUMBER(SEARCH(E1343,A1343)),A1343,IF(OR(E1343="",E1343=""),A1343,A1343&amp;" - "&amp;E1343))</f>
        <v>Demecan BH Lean Drop 22/1 - Sunset Sherbet</v>
      </c>
      <c r="C1343" s="30" t="s">
        <v>484</v>
      </c>
      <c r="D1343" s="30" t="s">
        <v>485</v>
      </c>
      <c r="E1343" s="40" t="s">
        <v>3784</v>
      </c>
      <c r="F1343" s="40" t="s">
        <v>177</v>
      </c>
      <c r="G1343" s="34">
        <v>22</v>
      </c>
      <c r="H1343" s="35">
        <v>1</v>
      </c>
      <c r="I1343" s="30"/>
      <c r="J1343" s="30"/>
      <c r="K1343" s="30" t="s">
        <v>52</v>
      </c>
      <c r="L1343" s="30" t="s">
        <v>527</v>
      </c>
      <c r="M1343" s="30" t="s">
        <v>72</v>
      </c>
      <c r="N1343" s="30" t="s">
        <v>54</v>
      </c>
      <c r="O1343" s="30" t="s">
        <v>88</v>
      </c>
      <c r="P1343" s="30" t="s">
        <v>74</v>
      </c>
      <c r="Q1343" s="30" t="s">
        <v>57</v>
      </c>
      <c r="R1343" s="30" t="s">
        <v>75</v>
      </c>
      <c r="S1343" s="30" t="s">
        <v>106</v>
      </c>
      <c r="T1343" s="30" t="s">
        <v>62</v>
      </c>
      <c r="U1343" s="30" t="s">
        <v>105</v>
      </c>
      <c r="V1343" s="30" t="s">
        <v>129</v>
      </c>
      <c r="W1343" s="30" t="s">
        <v>107</v>
      </c>
      <c r="X1343" s="30" t="s">
        <v>77</v>
      </c>
      <c r="Y1343" s="30"/>
      <c r="Z1343" s="30" t="s">
        <v>64</v>
      </c>
      <c r="AA1343" s="30" t="s">
        <v>485</v>
      </c>
      <c r="AB1343" s="30"/>
      <c r="AC1343" s="30" t="s">
        <v>3785</v>
      </c>
    </row>
    <row r="1344" spans="1:29">
      <c r="A1344" s="24" t="s">
        <v>3786</v>
      </c>
      <c r="B1344" s="24" t="str">
        <f>IF(ISNUMBER(SEARCH(E1344,A1344)),A1344,IF(OR(E1344="",E1344=""),A1344,A1344&amp;" - "&amp;E1344))</f>
        <v>Canify Basic 18/1 LS - Durban Sky</v>
      </c>
      <c r="C1344" s="24" t="s">
        <v>99</v>
      </c>
      <c r="D1344" s="24" t="s">
        <v>100</v>
      </c>
      <c r="E1344" s="41" t="s">
        <v>3787</v>
      </c>
      <c r="F1344" s="41" t="s">
        <v>86</v>
      </c>
      <c r="G1344" s="27">
        <v>17</v>
      </c>
      <c r="H1344" s="28">
        <v>1</v>
      </c>
      <c r="I1344" s="24"/>
      <c r="J1344" s="24"/>
      <c r="K1344" s="24" t="s">
        <v>52</v>
      </c>
      <c r="L1344" s="24" t="s">
        <v>630</v>
      </c>
      <c r="M1344" s="24" t="s">
        <v>178</v>
      </c>
      <c r="N1344" s="24" t="s">
        <v>72</v>
      </c>
      <c r="O1344" s="24" t="s">
        <v>111</v>
      </c>
      <c r="P1344" s="24" t="s">
        <v>157</v>
      </c>
      <c r="Q1344" s="24" t="s">
        <v>146</v>
      </c>
      <c r="R1344" s="24" t="s">
        <v>113</v>
      </c>
      <c r="S1344" s="24" t="s">
        <v>90</v>
      </c>
      <c r="T1344" s="24" t="s">
        <v>128</v>
      </c>
      <c r="U1344" s="24" t="s">
        <v>106</v>
      </c>
      <c r="V1344" s="24" t="s">
        <v>79</v>
      </c>
      <c r="W1344" s="24" t="s">
        <v>107</v>
      </c>
      <c r="X1344" s="24" t="s">
        <v>77</v>
      </c>
      <c r="Y1344" s="24" t="s">
        <v>3788</v>
      </c>
      <c r="Z1344" s="24" t="s">
        <v>64</v>
      </c>
      <c r="AA1344" s="24" t="s">
        <v>100</v>
      </c>
      <c r="AB1344" s="24"/>
      <c r="AC1344" s="24" t="s">
        <v>3789</v>
      </c>
    </row>
    <row r="1345" spans="1:29">
      <c r="A1345" s="30" t="s">
        <v>3790</v>
      </c>
      <c r="B1345" s="30" t="str">
        <f>IF(ISNUMBER(SEARCH(E1345,A1345)),A1345,IF(OR(E1345="",E1345=""),A1345,A1345&amp;" - "&amp;E1345))</f>
        <v>420 Evolution 33/1 CA PCH - Peach Chementine</v>
      </c>
      <c r="C1345" s="30" t="s">
        <v>463</v>
      </c>
      <c r="D1345" s="30" t="s">
        <v>464</v>
      </c>
      <c r="E1345" s="40" t="s">
        <v>3781</v>
      </c>
      <c r="F1345" s="40" t="s">
        <v>86</v>
      </c>
      <c r="G1345" s="34">
        <v>33</v>
      </c>
      <c r="H1345" s="35">
        <v>1</v>
      </c>
      <c r="I1345" s="30"/>
      <c r="J1345" s="30"/>
      <c r="K1345" s="30" t="s">
        <v>52</v>
      </c>
      <c r="L1345" s="30" t="s">
        <v>53</v>
      </c>
      <c r="M1345" s="30" t="s">
        <v>72</v>
      </c>
      <c r="N1345" s="30" t="s">
        <v>156</v>
      </c>
      <c r="O1345" s="30" t="s">
        <v>88</v>
      </c>
      <c r="P1345" s="30" t="s">
        <v>89</v>
      </c>
      <c r="Q1345" s="30" t="s">
        <v>73</v>
      </c>
      <c r="R1345" s="30" t="s">
        <v>58</v>
      </c>
      <c r="S1345" s="30" t="s">
        <v>128</v>
      </c>
      <c r="T1345" s="30" t="s">
        <v>106</v>
      </c>
      <c r="U1345" s="30" t="s">
        <v>164</v>
      </c>
      <c r="V1345" s="30" t="s">
        <v>79</v>
      </c>
      <c r="W1345" s="30" t="s">
        <v>116</v>
      </c>
      <c r="X1345" s="30" t="s">
        <v>173</v>
      </c>
      <c r="Y1345" s="30" t="s">
        <v>3791</v>
      </c>
      <c r="Z1345" s="30" t="s">
        <v>64</v>
      </c>
      <c r="AA1345" s="30" t="s">
        <v>468</v>
      </c>
      <c r="AB1345" s="30"/>
      <c r="AC1345" s="30" t="s">
        <v>3792</v>
      </c>
    </row>
    <row r="1346" spans="1:29">
      <c r="A1346" s="24" t="s">
        <v>3793</v>
      </c>
      <c r="B1346" s="24" t="str">
        <f>IF(ISNUMBER(SEARCH(E1346,A1346)),A1346,IF(OR(E1346="",E1346=""),A1346,A1346&amp;" - "&amp;E1346))</f>
        <v>avaay Signature 25/1 HYP - Hyperion</v>
      </c>
      <c r="C1346" s="24" t="s">
        <v>569</v>
      </c>
      <c r="D1346" s="24" t="s">
        <v>570</v>
      </c>
      <c r="E1346" s="41" t="s">
        <v>3794</v>
      </c>
      <c r="F1346" s="41" t="s">
        <v>144</v>
      </c>
      <c r="G1346" s="27">
        <v>25</v>
      </c>
      <c r="H1346" s="28">
        <v>1</v>
      </c>
      <c r="I1346" s="24"/>
      <c r="J1346" s="24"/>
      <c r="K1346" s="24" t="s">
        <v>52</v>
      </c>
      <c r="L1346" s="24" t="s">
        <v>53</v>
      </c>
      <c r="M1346" s="24" t="s">
        <v>72</v>
      </c>
      <c r="N1346" s="24" t="s">
        <v>54</v>
      </c>
      <c r="O1346" s="24" t="s">
        <v>71</v>
      </c>
      <c r="P1346" s="24" t="s">
        <v>59</v>
      </c>
      <c r="Q1346" s="24" t="s">
        <v>74</v>
      </c>
      <c r="R1346" s="24" t="s">
        <v>75</v>
      </c>
      <c r="S1346" s="24" t="s">
        <v>106</v>
      </c>
      <c r="T1346" s="24" t="s">
        <v>62</v>
      </c>
      <c r="U1346" s="24" t="s">
        <v>123</v>
      </c>
      <c r="V1346" s="24" t="s">
        <v>77</v>
      </c>
      <c r="W1346" s="24" t="s">
        <v>79</v>
      </c>
      <c r="X1346" s="24" t="s">
        <v>711</v>
      </c>
      <c r="Y1346" s="24" t="s">
        <v>1787</v>
      </c>
      <c r="Z1346" s="24" t="s">
        <v>64</v>
      </c>
      <c r="AA1346" s="24" t="s">
        <v>572</v>
      </c>
      <c r="AB1346" s="24" t="s">
        <v>802</v>
      </c>
      <c r="AC1346" s="24" t="s">
        <v>3795</v>
      </c>
    </row>
    <row r="1347" spans="1:29">
      <c r="A1347" s="30" t="s">
        <v>3796</v>
      </c>
      <c r="B1347" s="30" t="str">
        <f>IF(ISNUMBER(SEARCH(E1347,A1347)),A1347,IF(OR(E1347="",E1347=""),A1347,A1347&amp;" - "&amp;E1347))</f>
        <v>Pedanios 16/1 TNG-CA - Tangerine Dream</v>
      </c>
      <c r="C1347" s="30" t="s">
        <v>511</v>
      </c>
      <c r="D1347" s="30" t="s">
        <v>512</v>
      </c>
      <c r="E1347" s="40" t="s">
        <v>1399</v>
      </c>
      <c r="F1347" s="40" t="s">
        <v>69</v>
      </c>
      <c r="G1347" s="34">
        <v>16</v>
      </c>
      <c r="H1347" s="35">
        <v>1</v>
      </c>
      <c r="I1347" s="30"/>
      <c r="J1347" s="30"/>
      <c r="K1347" s="30" t="s">
        <v>17</v>
      </c>
      <c r="L1347" s="30" t="s">
        <v>53</v>
      </c>
      <c r="M1347" s="30" t="s">
        <v>71</v>
      </c>
      <c r="N1347" s="30" t="s">
        <v>88</v>
      </c>
      <c r="O1347" s="30" t="s">
        <v>55</v>
      </c>
      <c r="P1347" s="30" t="s">
        <v>89</v>
      </c>
      <c r="Q1347" s="30" t="s">
        <v>75</v>
      </c>
      <c r="R1347" s="30"/>
      <c r="S1347" s="30" t="s">
        <v>128</v>
      </c>
      <c r="T1347" s="30" t="s">
        <v>106</v>
      </c>
      <c r="U1347" s="30" t="s">
        <v>76</v>
      </c>
      <c r="V1347" s="30" t="s">
        <v>165</v>
      </c>
      <c r="W1347" s="30" t="s">
        <v>79</v>
      </c>
      <c r="X1347" s="30" t="s">
        <v>107</v>
      </c>
      <c r="Y1347" s="30" t="s">
        <v>283</v>
      </c>
      <c r="Z1347" s="30" t="s">
        <v>64</v>
      </c>
      <c r="AA1347" s="30" t="s">
        <v>512</v>
      </c>
      <c r="AB1347" s="30"/>
      <c r="AC1347" s="30" t="s">
        <v>3797</v>
      </c>
    </row>
    <row r="1348" spans="1:29">
      <c r="A1348" s="24" t="s">
        <v>3798</v>
      </c>
      <c r="B1348" s="24" t="str">
        <f>IF(ISNUMBER(SEARCH(E1348,A1348)),A1348,IF(OR(E1348="",E1348=""),A1348,A1348&amp;" - "&amp;E1348))</f>
        <v>Pedanios 31/1 CMK-CA - Chemango Kush</v>
      </c>
      <c r="C1348" s="24" t="s">
        <v>511</v>
      </c>
      <c r="D1348" s="24" t="s">
        <v>512</v>
      </c>
      <c r="E1348" s="41" t="s">
        <v>3799</v>
      </c>
      <c r="F1348" s="41" t="s">
        <v>177</v>
      </c>
      <c r="G1348" s="27">
        <v>29</v>
      </c>
      <c r="H1348" s="28">
        <v>1</v>
      </c>
      <c r="I1348" s="24"/>
      <c r="J1348" s="24"/>
      <c r="K1348" s="24" t="s">
        <v>17</v>
      </c>
      <c r="L1348" s="24" t="s">
        <v>53</v>
      </c>
      <c r="M1348" s="24" t="s">
        <v>103</v>
      </c>
      <c r="N1348" s="24" t="s">
        <v>72</v>
      </c>
      <c r="O1348" s="24" t="s">
        <v>121</v>
      </c>
      <c r="P1348" s="24" t="s">
        <v>74</v>
      </c>
      <c r="Q1348" s="24" t="s">
        <v>146</v>
      </c>
      <c r="R1348" s="24" t="s">
        <v>73</v>
      </c>
      <c r="S1348" s="24" t="s">
        <v>106</v>
      </c>
      <c r="T1348" s="24" t="s">
        <v>62</v>
      </c>
      <c r="U1348" s="24" t="s">
        <v>147</v>
      </c>
      <c r="V1348" s="24" t="s">
        <v>107</v>
      </c>
      <c r="W1348" s="24" t="s">
        <v>93</v>
      </c>
      <c r="X1348" s="24" t="s">
        <v>116</v>
      </c>
      <c r="Y1348" s="24" t="s">
        <v>1419</v>
      </c>
      <c r="Z1348" s="24" t="s">
        <v>64</v>
      </c>
      <c r="AA1348" s="24" t="s">
        <v>512</v>
      </c>
      <c r="AB1348" s="24"/>
      <c r="AC1348" s="24" t="s">
        <v>3800</v>
      </c>
    </row>
    <row r="1349" spans="1:29">
      <c r="A1349" s="30" t="s">
        <v>3801</v>
      </c>
      <c r="B1349" s="30" t="str">
        <f>IF(ISNUMBER(SEARCH(E1349,A1349)),A1349,IF(OR(E1349="",E1349=""),A1349,A1349&amp;" - "&amp;E1349))</f>
        <v>ZOIKS 22/1 CHZ - Columbian Haze</v>
      </c>
      <c r="C1349" s="30" t="s">
        <v>569</v>
      </c>
      <c r="D1349" s="30" t="s">
        <v>570</v>
      </c>
      <c r="E1349" s="40" t="s">
        <v>3802</v>
      </c>
      <c r="F1349" s="40" t="s">
        <v>69</v>
      </c>
      <c r="G1349" s="34">
        <v>22</v>
      </c>
      <c r="H1349" s="35">
        <v>1</v>
      </c>
      <c r="I1349" s="30"/>
      <c r="J1349" s="30"/>
      <c r="K1349" s="30" t="s">
        <v>52</v>
      </c>
      <c r="L1349" s="30" t="s">
        <v>202</v>
      </c>
      <c r="M1349" s="30" t="s">
        <v>178</v>
      </c>
      <c r="N1349" s="30" t="s">
        <v>71</v>
      </c>
      <c r="O1349" s="30" t="s">
        <v>111</v>
      </c>
      <c r="P1349" s="30" t="s">
        <v>146</v>
      </c>
      <c r="Q1349" s="30" t="s">
        <v>89</v>
      </c>
      <c r="R1349" s="30" t="s">
        <v>74</v>
      </c>
      <c r="S1349" s="30" t="s">
        <v>90</v>
      </c>
      <c r="T1349" s="30" t="s">
        <v>62</v>
      </c>
      <c r="U1349" s="30" t="s">
        <v>147</v>
      </c>
      <c r="V1349" s="30" t="s">
        <v>93</v>
      </c>
      <c r="W1349" s="30" t="s">
        <v>77</v>
      </c>
      <c r="X1349" s="30" t="s">
        <v>711</v>
      </c>
      <c r="Y1349" s="30" t="s">
        <v>2129</v>
      </c>
      <c r="Z1349" s="30" t="s">
        <v>64</v>
      </c>
      <c r="AA1349" s="30" t="s">
        <v>572</v>
      </c>
      <c r="AB1349" s="30" t="s">
        <v>3803</v>
      </c>
      <c r="AC1349" s="30" t="s">
        <v>3804</v>
      </c>
    </row>
    <row r="1350" spans="1:29">
      <c r="A1350" s="24" t="s">
        <v>3805</v>
      </c>
      <c r="B1350" s="24" t="str">
        <f>IF(ISNUMBER(SEARCH(E1350,A1350)),A1350,IF(OR(E1350="",E1350=""),A1350,A1350&amp;" - "&amp;E1350))</f>
        <v>aleph rose 16/1 - Tropicana Cookies</v>
      </c>
      <c r="C1350" s="24" t="s">
        <v>725</v>
      </c>
      <c r="D1350" s="24" t="s">
        <v>726</v>
      </c>
      <c r="E1350" s="41" t="s">
        <v>624</v>
      </c>
      <c r="F1350" s="41" t="s">
        <v>144</v>
      </c>
      <c r="G1350" s="27">
        <v>16</v>
      </c>
      <c r="H1350" s="28">
        <v>1</v>
      </c>
      <c r="I1350" s="24"/>
      <c r="J1350" s="24"/>
      <c r="K1350" s="24" t="s">
        <v>52</v>
      </c>
      <c r="L1350" s="24" t="s">
        <v>185</v>
      </c>
      <c r="M1350" s="24" t="s">
        <v>55</v>
      </c>
      <c r="N1350" s="24" t="s">
        <v>111</v>
      </c>
      <c r="O1350" s="24" t="s">
        <v>178</v>
      </c>
      <c r="P1350" s="24" t="s">
        <v>136</v>
      </c>
      <c r="Q1350" s="24" t="s">
        <v>58</v>
      </c>
      <c r="R1350" s="24" t="s">
        <v>75</v>
      </c>
      <c r="S1350" s="24" t="s">
        <v>106</v>
      </c>
      <c r="T1350" s="24" t="s">
        <v>1436</v>
      </c>
      <c r="U1350" s="24"/>
      <c r="V1350" s="24" t="s">
        <v>77</v>
      </c>
      <c r="W1350" s="24" t="s">
        <v>79</v>
      </c>
      <c r="X1350" s="24" t="s">
        <v>173</v>
      </c>
      <c r="Y1350" s="24" t="s">
        <v>307</v>
      </c>
      <c r="Z1350" s="24" t="s">
        <v>64</v>
      </c>
      <c r="AA1350" s="24" t="s">
        <v>726</v>
      </c>
      <c r="AB1350" s="24"/>
      <c r="AC1350" s="24" t="s">
        <v>3806</v>
      </c>
    </row>
    <row r="1351" spans="1:29">
      <c r="A1351" s="30" t="s">
        <v>3807</v>
      </c>
      <c r="B1351" s="30" t="str">
        <f>IF(ISNUMBER(SEARCH(E1351,A1351)),A1351,IF(OR(E1351="",E1351=""),A1351,A1351&amp;" - "&amp;E1351))</f>
        <v>enua 20/1 BNM CA - Banana Mints</v>
      </c>
      <c r="C1351" s="30" t="s">
        <v>650</v>
      </c>
      <c r="D1351" s="30" t="s">
        <v>651</v>
      </c>
      <c r="E1351" s="40" t="s">
        <v>3808</v>
      </c>
      <c r="F1351" s="40" t="s">
        <v>177</v>
      </c>
      <c r="G1351" s="34">
        <v>20</v>
      </c>
      <c r="H1351" s="35">
        <v>1</v>
      </c>
      <c r="I1351" s="30"/>
      <c r="J1351" s="30"/>
      <c r="K1351" s="30" t="s">
        <v>52</v>
      </c>
      <c r="L1351" s="30" t="s">
        <v>53</v>
      </c>
      <c r="M1351" s="30" t="s">
        <v>111</v>
      </c>
      <c r="N1351" s="30" t="s">
        <v>72</v>
      </c>
      <c r="O1351" s="30" t="s">
        <v>121</v>
      </c>
      <c r="P1351" s="30" t="s">
        <v>59</v>
      </c>
      <c r="Q1351" s="30" t="s">
        <v>112</v>
      </c>
      <c r="R1351" s="30" t="s">
        <v>74</v>
      </c>
      <c r="S1351" s="30" t="s">
        <v>128</v>
      </c>
      <c r="T1351" s="30" t="s">
        <v>106</v>
      </c>
      <c r="U1351" s="30" t="s">
        <v>62</v>
      </c>
      <c r="V1351" s="30" t="s">
        <v>173</v>
      </c>
      <c r="W1351" s="30" t="s">
        <v>77</v>
      </c>
      <c r="X1351" s="30" t="s">
        <v>116</v>
      </c>
      <c r="Y1351" s="30"/>
      <c r="Z1351" s="30" t="s">
        <v>64</v>
      </c>
      <c r="AA1351" s="30" t="s">
        <v>653</v>
      </c>
      <c r="AB1351" s="30"/>
      <c r="AC1351" s="30" t="s">
        <v>3809</v>
      </c>
    </row>
    <row r="1352" spans="1:29">
      <c r="A1352" s="24" t="s">
        <v>3810</v>
      </c>
      <c r="B1352" s="24" t="str">
        <f>IF(ISNUMBER(SEARCH(E1352,A1352)),A1352,IF(OR(E1352="",E1352=""),A1352,A1352&amp;" - "&amp;E1352))</f>
        <v>NICE 24/1 BL - Black Lime</v>
      </c>
      <c r="C1352" s="24" t="s">
        <v>996</v>
      </c>
      <c r="D1352" s="24" t="s">
        <v>997</v>
      </c>
      <c r="E1352" s="41" t="s">
        <v>3811</v>
      </c>
      <c r="F1352" s="41" t="s">
        <v>86</v>
      </c>
      <c r="G1352" s="27">
        <v>24</v>
      </c>
      <c r="H1352" s="28">
        <v>1</v>
      </c>
      <c r="I1352" s="24"/>
      <c r="J1352" s="24"/>
      <c r="K1352" s="24" t="s">
        <v>52</v>
      </c>
      <c r="L1352" s="24" t="s">
        <v>102</v>
      </c>
      <c r="M1352" s="24" t="s">
        <v>54</v>
      </c>
      <c r="N1352" s="24" t="s">
        <v>178</v>
      </c>
      <c r="O1352" s="24" t="s">
        <v>88</v>
      </c>
      <c r="P1352" s="24" t="s">
        <v>73</v>
      </c>
      <c r="Q1352" s="24" t="s">
        <v>59</v>
      </c>
      <c r="R1352" s="24" t="s">
        <v>75</v>
      </c>
      <c r="S1352" s="24" t="s">
        <v>106</v>
      </c>
      <c r="T1352" s="24" t="s">
        <v>62</v>
      </c>
      <c r="U1352" s="24" t="s">
        <v>147</v>
      </c>
      <c r="V1352" s="24" t="s">
        <v>79</v>
      </c>
      <c r="W1352" s="24" t="s">
        <v>107</v>
      </c>
      <c r="X1352" s="24" t="s">
        <v>77</v>
      </c>
      <c r="Y1352" s="24"/>
      <c r="Z1352" s="24" t="s">
        <v>64</v>
      </c>
      <c r="AA1352" s="24" t="s">
        <v>997</v>
      </c>
      <c r="AB1352" s="24"/>
      <c r="AC1352" s="24" t="s">
        <v>3812</v>
      </c>
    </row>
    <row r="1353" spans="1:29">
      <c r="A1353" s="30" t="s">
        <v>3813</v>
      </c>
      <c r="B1353" s="30" t="str">
        <f>IF(ISNUMBER(SEARCH(E1353,A1353)),A1353,IF(OR(E1353="",E1353=""),A1353,A1353&amp;" - "&amp;E1353))</f>
        <v>Tweed 17/1 - Gelato 33</v>
      </c>
      <c r="C1353" s="30" t="s">
        <v>547</v>
      </c>
      <c r="D1353" s="30" t="s">
        <v>548</v>
      </c>
      <c r="E1353" s="40" t="s">
        <v>1627</v>
      </c>
      <c r="F1353" s="40" t="s">
        <v>86</v>
      </c>
      <c r="G1353" s="34">
        <v>17</v>
      </c>
      <c r="H1353" s="35">
        <v>1</v>
      </c>
      <c r="I1353" s="30"/>
      <c r="J1353" s="30"/>
      <c r="K1353" s="30" t="s">
        <v>52</v>
      </c>
      <c r="L1353" s="30" t="s">
        <v>53</v>
      </c>
      <c r="M1353" s="30" t="s">
        <v>178</v>
      </c>
      <c r="N1353" s="30" t="s">
        <v>54</v>
      </c>
      <c r="O1353" s="30" t="s">
        <v>111</v>
      </c>
      <c r="P1353" s="30" t="s">
        <v>57</v>
      </c>
      <c r="Q1353" s="30" t="s">
        <v>75</v>
      </c>
      <c r="R1353" s="30" t="s">
        <v>74</v>
      </c>
      <c r="S1353" s="30" t="s">
        <v>62</v>
      </c>
      <c r="T1353" s="30" t="s">
        <v>164</v>
      </c>
      <c r="U1353" s="30" t="s">
        <v>147</v>
      </c>
      <c r="V1353" s="30" t="s">
        <v>77</v>
      </c>
      <c r="W1353" s="30" t="s">
        <v>107</v>
      </c>
      <c r="X1353" s="30"/>
      <c r="Y1353" s="30" t="s">
        <v>311</v>
      </c>
      <c r="Z1353" s="30" t="s">
        <v>64</v>
      </c>
      <c r="AA1353" s="30" t="s">
        <v>551</v>
      </c>
      <c r="AB1353" s="30"/>
      <c r="AC1353" s="30" t="s">
        <v>3814</v>
      </c>
    </row>
    <row r="1354" spans="1:29">
      <c r="A1354" s="24" t="s">
        <v>3815</v>
      </c>
      <c r="B1354" s="24" t="str">
        <f>IF(ISNUMBER(SEARCH(E1354,A1354)),A1354,IF(OR(E1354="",E1354=""),A1354,A1354&amp;" - "&amp;E1354))</f>
        <v>Tweed 22/1 - Jack Herer</v>
      </c>
      <c r="C1354" s="24" t="s">
        <v>547</v>
      </c>
      <c r="D1354" s="24" t="s">
        <v>548</v>
      </c>
      <c r="E1354" s="41" t="s">
        <v>382</v>
      </c>
      <c r="F1354" s="41" t="s">
        <v>144</v>
      </c>
      <c r="G1354" s="27">
        <v>22</v>
      </c>
      <c r="H1354" s="28">
        <v>1</v>
      </c>
      <c r="I1354" s="24"/>
      <c r="J1354" s="24"/>
      <c r="K1354" s="24" t="s">
        <v>52</v>
      </c>
      <c r="L1354" s="24" t="s">
        <v>53</v>
      </c>
      <c r="M1354" s="24" t="s">
        <v>54</v>
      </c>
      <c r="N1354" s="24" t="s">
        <v>55</v>
      </c>
      <c r="O1354" s="24" t="s">
        <v>178</v>
      </c>
      <c r="P1354" s="24" t="s">
        <v>113</v>
      </c>
      <c r="Q1354" s="24" t="s">
        <v>59</v>
      </c>
      <c r="R1354" s="24" t="s">
        <v>146</v>
      </c>
      <c r="S1354" s="24" t="s">
        <v>62</v>
      </c>
      <c r="T1354" s="24" t="s">
        <v>164</v>
      </c>
      <c r="U1354" s="24"/>
      <c r="V1354" s="24" t="s">
        <v>77</v>
      </c>
      <c r="W1354" s="24" t="s">
        <v>79</v>
      </c>
      <c r="X1354" s="24" t="s">
        <v>292</v>
      </c>
      <c r="Y1354" s="24" t="s">
        <v>307</v>
      </c>
      <c r="Z1354" s="24" t="s">
        <v>64</v>
      </c>
      <c r="AA1354" s="24" t="s">
        <v>551</v>
      </c>
      <c r="AB1354" s="24"/>
      <c r="AC1354" s="24" t="s">
        <v>3816</v>
      </c>
    </row>
    <row r="1355" spans="1:29">
      <c r="A1355" s="30" t="s">
        <v>3817</v>
      </c>
      <c r="B1355" s="30" t="str">
        <f>IF(ISNUMBER(SEARCH(E1355,A1355)),A1355,IF(OR(E1355="",E1355=""),A1355,A1355&amp;" - "&amp;E1355))</f>
        <v>Becanex PIEX 2 70% THC Rohextrakt</v>
      </c>
      <c r="C1355" s="29" t="s">
        <v>3818</v>
      </c>
      <c r="D1355" s="33" t="s">
        <v>3819</v>
      </c>
      <c r="E1355" s="40"/>
      <c r="F1355" s="40" t="s">
        <v>120</v>
      </c>
      <c r="G1355" s="34"/>
      <c r="H1355" s="35"/>
      <c r="I1355" s="30">
        <v>75</v>
      </c>
      <c r="J1355" s="30">
        <v>0</v>
      </c>
      <c r="K1355" s="30" t="s">
        <v>1913</v>
      </c>
      <c r="L1355" s="30"/>
      <c r="M1355" s="30" t="s">
        <v>72</v>
      </c>
      <c r="N1355" s="30" t="s">
        <v>88</v>
      </c>
      <c r="O1355" s="30" t="s">
        <v>178</v>
      </c>
      <c r="P1355" s="30"/>
      <c r="Q1355" s="30"/>
      <c r="R1355" s="30"/>
      <c r="S1355" s="30" t="s">
        <v>62</v>
      </c>
      <c r="T1355" s="30" t="s">
        <v>164</v>
      </c>
      <c r="U1355" s="30" t="s">
        <v>60</v>
      </c>
      <c r="V1355" s="30" t="s">
        <v>173</v>
      </c>
      <c r="W1355" s="30" t="s">
        <v>77</v>
      </c>
      <c r="X1355" s="30" t="s">
        <v>79</v>
      </c>
      <c r="Y1355" s="30" t="s">
        <v>3820</v>
      </c>
      <c r="Z1355" s="30" t="s">
        <v>1915</v>
      </c>
      <c r="AA1355" s="68" t="s">
        <v>3819</v>
      </c>
      <c r="AB1355" s="30"/>
      <c r="AC1355" s="30" t="s">
        <v>3821</v>
      </c>
    </row>
    <row r="1356" spans="1:29">
      <c r="A1356" s="24" t="s">
        <v>3822</v>
      </c>
      <c r="B1356" s="24" t="str">
        <f>IF(ISNUMBER(SEARCH(E1356,A1356)),A1356,IF(OR(E1356="",E1356=""),A1356,A1356&amp;" - "&amp;E1356))</f>
        <v>Tweed Balanced 6/8 - Caramel</v>
      </c>
      <c r="C1356" s="24" t="s">
        <v>547</v>
      </c>
      <c r="D1356" s="24" t="s">
        <v>548</v>
      </c>
      <c r="E1356" s="41" t="s">
        <v>3039</v>
      </c>
      <c r="F1356" s="41" t="s">
        <v>120</v>
      </c>
      <c r="G1356" s="27">
        <v>6</v>
      </c>
      <c r="H1356" s="28">
        <v>8</v>
      </c>
      <c r="I1356" s="24"/>
      <c r="J1356" s="24"/>
      <c r="K1356" s="24" t="s">
        <v>52</v>
      </c>
      <c r="L1356" s="24" t="s">
        <v>53</v>
      </c>
      <c r="M1356" s="24" t="s">
        <v>72</v>
      </c>
      <c r="N1356" s="24"/>
      <c r="O1356" s="24"/>
      <c r="P1356" s="24" t="s">
        <v>89</v>
      </c>
      <c r="Q1356" s="24"/>
      <c r="R1356" s="24"/>
      <c r="S1356" s="24" t="s">
        <v>62</v>
      </c>
      <c r="T1356" s="24" t="s">
        <v>147</v>
      </c>
      <c r="U1356" s="24"/>
      <c r="V1356" s="24"/>
      <c r="W1356" s="24"/>
      <c r="X1356" s="24"/>
      <c r="Y1356" s="24" t="s">
        <v>1762</v>
      </c>
      <c r="Z1356" s="24" t="s">
        <v>64</v>
      </c>
      <c r="AA1356" s="24" t="s">
        <v>551</v>
      </c>
      <c r="AB1356" s="24"/>
      <c r="AC1356" s="24" t="s">
        <v>3823</v>
      </c>
    </row>
    <row r="1357" spans="1:29">
      <c r="A1357" s="30" t="s">
        <v>3824</v>
      </c>
      <c r="B1357" s="30" t="str">
        <f>IF(ISNUMBER(SEARCH(E1357,A1357)),A1357,IF(OR(E1357="",E1357=""),A1357,A1357&amp;" - "&amp;E1357))</f>
        <v>420 Evolution 25/1 CA PCH - Peach Chementine</v>
      </c>
      <c r="C1357" s="30" t="s">
        <v>463</v>
      </c>
      <c r="D1357" s="30" t="s">
        <v>464</v>
      </c>
      <c r="E1357" s="40" t="s">
        <v>3781</v>
      </c>
      <c r="F1357" s="40" t="s">
        <v>86</v>
      </c>
      <c r="G1357" s="34">
        <v>25</v>
      </c>
      <c r="H1357" s="35">
        <v>1</v>
      </c>
      <c r="I1357" s="30"/>
      <c r="J1357" s="30"/>
      <c r="K1357" s="30" t="s">
        <v>52</v>
      </c>
      <c r="L1357" s="30" t="s">
        <v>53</v>
      </c>
      <c r="M1357" s="30" t="s">
        <v>72</v>
      </c>
      <c r="N1357" s="30" t="s">
        <v>156</v>
      </c>
      <c r="O1357" s="30" t="s">
        <v>88</v>
      </c>
      <c r="P1357" s="30" t="s">
        <v>89</v>
      </c>
      <c r="Q1357" s="30" t="s">
        <v>73</v>
      </c>
      <c r="R1357" s="30" t="s">
        <v>58</v>
      </c>
      <c r="S1357" s="30" t="s">
        <v>128</v>
      </c>
      <c r="T1357" s="30" t="s">
        <v>106</v>
      </c>
      <c r="U1357" s="30" t="s">
        <v>164</v>
      </c>
      <c r="V1357" s="30" t="s">
        <v>79</v>
      </c>
      <c r="W1357" s="30" t="s">
        <v>116</v>
      </c>
      <c r="X1357" s="30" t="s">
        <v>173</v>
      </c>
      <c r="Y1357" s="30"/>
      <c r="Z1357" s="30" t="s">
        <v>64</v>
      </c>
      <c r="AA1357" s="30" t="s">
        <v>468</v>
      </c>
      <c r="AB1357" s="30"/>
      <c r="AC1357" s="30" t="s">
        <v>3825</v>
      </c>
    </row>
    <row r="1358" spans="1:29">
      <c r="A1358" s="24" t="s">
        <v>3826</v>
      </c>
      <c r="B1358" s="24" t="str">
        <f>IF(ISNUMBER(SEARCH(E1358,A1358)),A1358,IF(OR(E1358="",E1358=""),A1358,A1358&amp;" - "&amp;E1358))</f>
        <v>420 Evolution 27/1 CA PCH - Peach Chementine</v>
      </c>
      <c r="C1358" s="24" t="s">
        <v>463</v>
      </c>
      <c r="D1358" s="24" t="s">
        <v>464</v>
      </c>
      <c r="E1358" s="41" t="s">
        <v>3781</v>
      </c>
      <c r="F1358" s="41" t="s">
        <v>86</v>
      </c>
      <c r="G1358" s="27">
        <v>27</v>
      </c>
      <c r="H1358" s="28">
        <v>1</v>
      </c>
      <c r="I1358" s="24"/>
      <c r="J1358" s="24"/>
      <c r="K1358" s="24" t="s">
        <v>52</v>
      </c>
      <c r="L1358" s="24" t="s">
        <v>53</v>
      </c>
      <c r="M1358" s="24" t="s">
        <v>72</v>
      </c>
      <c r="N1358" s="24" t="s">
        <v>156</v>
      </c>
      <c r="O1358" s="24" t="s">
        <v>88</v>
      </c>
      <c r="P1358" s="24" t="s">
        <v>89</v>
      </c>
      <c r="Q1358" s="24" t="s">
        <v>73</v>
      </c>
      <c r="R1358" s="24" t="s">
        <v>58</v>
      </c>
      <c r="S1358" s="24" t="s">
        <v>128</v>
      </c>
      <c r="T1358" s="24" t="s">
        <v>106</v>
      </c>
      <c r="U1358" s="24" t="s">
        <v>164</v>
      </c>
      <c r="V1358" s="24" t="s">
        <v>79</v>
      </c>
      <c r="W1358" s="24" t="s">
        <v>116</v>
      </c>
      <c r="X1358" s="24" t="s">
        <v>173</v>
      </c>
      <c r="Y1358" s="24"/>
      <c r="Z1358" s="24" t="s">
        <v>64</v>
      </c>
      <c r="AA1358" s="24" t="s">
        <v>468</v>
      </c>
      <c r="AB1358" s="24"/>
      <c r="AC1358" s="24" t="s">
        <v>3827</v>
      </c>
    </row>
    <row r="1359" spans="1:29">
      <c r="A1359" s="30" t="s">
        <v>3828</v>
      </c>
      <c r="B1359" s="30" t="str">
        <f>IF(ISNUMBER(SEARCH(E1359,A1359)),A1359,IF(OR(E1359="",E1359=""),A1359,A1359&amp;" - "&amp;E1359))</f>
        <v>ADREX 28 CAN - Koko Cookies</v>
      </c>
      <c r="C1359" s="30" t="s">
        <v>911</v>
      </c>
      <c r="D1359" s="30" t="s">
        <v>912</v>
      </c>
      <c r="E1359" s="40" t="s">
        <v>277</v>
      </c>
      <c r="F1359" s="40" t="s">
        <v>86</v>
      </c>
      <c r="G1359" s="34">
        <v>28</v>
      </c>
      <c r="H1359" s="35">
        <v>1</v>
      </c>
      <c r="I1359" s="30"/>
      <c r="J1359" s="30"/>
      <c r="K1359" s="30" t="s">
        <v>52</v>
      </c>
      <c r="L1359" s="30" t="s">
        <v>53</v>
      </c>
      <c r="M1359" s="30" t="s">
        <v>71</v>
      </c>
      <c r="N1359" s="30" t="s">
        <v>72</v>
      </c>
      <c r="O1359" s="30"/>
      <c r="P1359" s="30" t="s">
        <v>74</v>
      </c>
      <c r="Q1359" s="30" t="s">
        <v>89</v>
      </c>
      <c r="R1359" s="30" t="s">
        <v>59</v>
      </c>
      <c r="S1359" s="30" t="s">
        <v>106</v>
      </c>
      <c r="T1359" s="30" t="s">
        <v>62</v>
      </c>
      <c r="U1359" s="30" t="s">
        <v>147</v>
      </c>
      <c r="V1359" s="30" t="s">
        <v>77</v>
      </c>
      <c r="W1359" s="30" t="s">
        <v>180</v>
      </c>
      <c r="X1359" s="30" t="s">
        <v>93</v>
      </c>
      <c r="Y1359" s="30"/>
      <c r="Z1359" s="30" t="s">
        <v>64</v>
      </c>
      <c r="AA1359" s="30" t="s">
        <v>912</v>
      </c>
      <c r="AB1359" s="30"/>
      <c r="AC1359" s="30" t="s">
        <v>3829</v>
      </c>
    </row>
    <row r="1360" spans="1:29">
      <c r="A1360" s="24" t="s">
        <v>3830</v>
      </c>
      <c r="B1360" s="24" t="str">
        <f>IF(ISNUMBER(SEARCH(E1360,A1360)),A1360,IF(OR(E1360="",E1360=""),A1360,A1360&amp;" - "&amp;E1360))</f>
        <v>Canify Cannabis flos 27/1 POR Ku. - Chapel of Love</v>
      </c>
      <c r="C1360" s="24" t="s">
        <v>99</v>
      </c>
      <c r="D1360" s="24" t="s">
        <v>100</v>
      </c>
      <c r="E1360" s="41" t="s">
        <v>3831</v>
      </c>
      <c r="F1360" s="41" t="s">
        <v>86</v>
      </c>
      <c r="G1360" s="27">
        <v>27</v>
      </c>
      <c r="H1360" s="28">
        <v>1</v>
      </c>
      <c r="I1360" s="24"/>
      <c r="J1360" s="24"/>
      <c r="K1360" s="24" t="s">
        <v>52</v>
      </c>
      <c r="L1360" s="24" t="s">
        <v>102</v>
      </c>
      <c r="M1360" s="24" t="s">
        <v>72</v>
      </c>
      <c r="N1360" s="24" t="s">
        <v>178</v>
      </c>
      <c r="O1360" s="24"/>
      <c r="P1360" s="24" t="s">
        <v>75</v>
      </c>
      <c r="Q1360" s="24" t="s">
        <v>73</v>
      </c>
      <c r="R1360" s="24" t="s">
        <v>57</v>
      </c>
      <c r="S1360" s="24" t="s">
        <v>106</v>
      </c>
      <c r="T1360" s="24" t="s">
        <v>62</v>
      </c>
      <c r="U1360" s="24" t="s">
        <v>147</v>
      </c>
      <c r="V1360" s="24" t="s">
        <v>79</v>
      </c>
      <c r="W1360" s="24" t="s">
        <v>173</v>
      </c>
      <c r="X1360" s="24" t="s">
        <v>77</v>
      </c>
      <c r="Y1360" s="24"/>
      <c r="Z1360" s="24" t="s">
        <v>64</v>
      </c>
      <c r="AA1360" s="24" t="s">
        <v>100</v>
      </c>
      <c r="AB1360" s="24"/>
      <c r="AC1360" s="24" t="s">
        <v>3832</v>
      </c>
    </row>
    <row r="1361" spans="1:29">
      <c r="A1361" s="30" t="s">
        <v>3833</v>
      </c>
      <c r="B1361" s="30" t="str">
        <f>IF(ISNUMBER(SEARCH(E1361,A1361)),A1361,IF(OR(E1361="",E1361=""),A1361,A1361&amp;" - "&amp;E1361))</f>
        <v>Roxton Air FC PT 25/1 - Frosted Cookies</v>
      </c>
      <c r="C1361" s="30" t="s">
        <v>564</v>
      </c>
      <c r="D1361" s="30" t="s">
        <v>565</v>
      </c>
      <c r="E1361" s="40" t="s">
        <v>1414</v>
      </c>
      <c r="F1361" s="40" t="s">
        <v>86</v>
      </c>
      <c r="G1361" s="34">
        <v>25</v>
      </c>
      <c r="H1361" s="35">
        <v>1</v>
      </c>
      <c r="I1361" s="30"/>
      <c r="J1361" s="30"/>
      <c r="K1361" s="30" t="s">
        <v>52</v>
      </c>
      <c r="L1361" s="30" t="s">
        <v>102</v>
      </c>
      <c r="M1361" s="30" t="s">
        <v>71</v>
      </c>
      <c r="N1361" s="30" t="s">
        <v>121</v>
      </c>
      <c r="O1361" s="30" t="s">
        <v>72</v>
      </c>
      <c r="P1361" s="30" t="s">
        <v>75</v>
      </c>
      <c r="Q1361" s="30" t="s">
        <v>74</v>
      </c>
      <c r="R1361" s="30"/>
      <c r="S1361" s="30" t="s">
        <v>106</v>
      </c>
      <c r="T1361" s="30" t="s">
        <v>62</v>
      </c>
      <c r="U1361" s="30" t="s">
        <v>91</v>
      </c>
      <c r="V1361" s="30" t="s">
        <v>79</v>
      </c>
      <c r="W1361" s="30" t="s">
        <v>116</v>
      </c>
      <c r="X1361" s="30" t="s">
        <v>107</v>
      </c>
      <c r="Y1361" s="30" t="s">
        <v>240</v>
      </c>
      <c r="Z1361" s="30" t="s">
        <v>64</v>
      </c>
      <c r="AA1361" s="30" t="s">
        <v>565</v>
      </c>
      <c r="AB1361" s="30" t="s">
        <v>1411</v>
      </c>
      <c r="AC1361" s="30" t="s">
        <v>3834</v>
      </c>
    </row>
    <row r="1362" spans="1:29">
      <c r="A1362" s="24" t="s">
        <v>3835</v>
      </c>
      <c r="B1362" s="24" t="str">
        <f>IF(ISNUMBER(SEARCH(E1362,A1362)),A1362,IF(OR(E1362="",E1362=""),A1362,A1362&amp;" - "&amp;E1362))</f>
        <v>Demecan Craft OMG 22/1 - Glitter Pop Bomb</v>
      </c>
      <c r="C1362" s="24" t="s">
        <v>484</v>
      </c>
      <c r="D1362" s="24" t="s">
        <v>485</v>
      </c>
      <c r="E1362" s="41" t="s">
        <v>1484</v>
      </c>
      <c r="F1362" s="41" t="s">
        <v>177</v>
      </c>
      <c r="G1362" s="27">
        <v>25</v>
      </c>
      <c r="H1362" s="28">
        <v>1</v>
      </c>
      <c r="I1362" s="24"/>
      <c r="J1362" s="24"/>
      <c r="K1362" s="24" t="s">
        <v>52</v>
      </c>
      <c r="L1362" s="24" t="s">
        <v>53</v>
      </c>
      <c r="M1362" s="24" t="s">
        <v>111</v>
      </c>
      <c r="N1362" s="24" t="s">
        <v>71</v>
      </c>
      <c r="O1362" s="24" t="s">
        <v>88</v>
      </c>
      <c r="P1362" s="24" t="s">
        <v>75</v>
      </c>
      <c r="Q1362" s="24" t="s">
        <v>89</v>
      </c>
      <c r="R1362" s="24" t="s">
        <v>59</v>
      </c>
      <c r="S1362" s="24" t="s">
        <v>128</v>
      </c>
      <c r="T1362" s="24" t="s">
        <v>106</v>
      </c>
      <c r="U1362" s="24" t="s">
        <v>123</v>
      </c>
      <c r="V1362" s="24" t="s">
        <v>711</v>
      </c>
      <c r="W1362" s="24" t="s">
        <v>79</v>
      </c>
      <c r="X1362" s="24" t="s">
        <v>107</v>
      </c>
      <c r="Y1362" s="24" t="s">
        <v>240</v>
      </c>
      <c r="Z1362" s="24" t="s">
        <v>64</v>
      </c>
      <c r="AA1362" s="24" t="s">
        <v>485</v>
      </c>
      <c r="AB1362" s="24"/>
      <c r="AC1362" s="24" t="s">
        <v>3836</v>
      </c>
    </row>
    <row r="1363" spans="1:29">
      <c r="A1363" s="30" t="s">
        <v>3837</v>
      </c>
      <c r="B1363" s="30" t="str">
        <f>IF(ISNUMBER(SEARCH(E1363,A1363)),A1363,IF(OR(E1363="",E1363=""),A1363,A1363&amp;" - "&amp;E1363))</f>
        <v>avaay 34/1 MIM - Midnight Mimosa</v>
      </c>
      <c r="C1363" s="30" t="s">
        <v>569</v>
      </c>
      <c r="D1363" s="30" t="s">
        <v>570</v>
      </c>
      <c r="E1363" s="40" t="s">
        <v>3496</v>
      </c>
      <c r="F1363" s="40" t="s">
        <v>177</v>
      </c>
      <c r="G1363" s="34">
        <v>33</v>
      </c>
      <c r="H1363" s="35">
        <v>1</v>
      </c>
      <c r="I1363" s="30"/>
      <c r="J1363" s="30"/>
      <c r="K1363" s="30" t="s">
        <v>52</v>
      </c>
      <c r="L1363" s="30" t="s">
        <v>53</v>
      </c>
      <c r="M1363" s="30" t="s">
        <v>178</v>
      </c>
      <c r="N1363" s="30" t="s">
        <v>54</v>
      </c>
      <c r="O1363" s="30" t="s">
        <v>88</v>
      </c>
      <c r="P1363" s="30" t="s">
        <v>74</v>
      </c>
      <c r="Q1363" s="30" t="s">
        <v>59</v>
      </c>
      <c r="R1363" s="30" t="s">
        <v>89</v>
      </c>
      <c r="S1363" s="30" t="s">
        <v>106</v>
      </c>
      <c r="T1363" s="30" t="s">
        <v>62</v>
      </c>
      <c r="U1363" s="30" t="s">
        <v>114</v>
      </c>
      <c r="V1363" s="30" t="s">
        <v>116</v>
      </c>
      <c r="W1363" s="30" t="s">
        <v>93</v>
      </c>
      <c r="X1363" s="30" t="s">
        <v>79</v>
      </c>
      <c r="Y1363" s="30" t="s">
        <v>1117</v>
      </c>
      <c r="Z1363" s="30" t="s">
        <v>64</v>
      </c>
      <c r="AA1363" s="30" t="s">
        <v>572</v>
      </c>
      <c r="AB1363" s="30" t="s">
        <v>1252</v>
      </c>
      <c r="AC1363" s="30" t="s">
        <v>3838</v>
      </c>
    </row>
    <row r="1364" spans="1:29">
      <c r="A1364" s="24" t="s">
        <v>3839</v>
      </c>
      <c r="B1364" s="24" t="str">
        <f>IF(ISNUMBER(SEARCH(E1364,A1364)),A1364,IF(OR(E1364="",E1364=""),A1364,A1364&amp;" - "&amp;E1364))</f>
        <v>27/1 NICE S - Strawberry Banana</v>
      </c>
      <c r="C1364" s="24" t="s">
        <v>996</v>
      </c>
      <c r="D1364" s="24" t="s">
        <v>997</v>
      </c>
      <c r="E1364" s="41" t="s">
        <v>196</v>
      </c>
      <c r="F1364" s="41" t="s">
        <v>86</v>
      </c>
      <c r="G1364" s="27">
        <v>27</v>
      </c>
      <c r="H1364" s="28">
        <v>1</v>
      </c>
      <c r="I1364" s="24"/>
      <c r="J1364" s="24"/>
      <c r="K1364" s="24" t="s">
        <v>52</v>
      </c>
      <c r="L1364" s="24" t="s">
        <v>102</v>
      </c>
      <c r="M1364" s="24" t="s">
        <v>71</v>
      </c>
      <c r="N1364" s="24" t="s">
        <v>72</v>
      </c>
      <c r="O1364" s="24" t="s">
        <v>103</v>
      </c>
      <c r="P1364" s="24" t="s">
        <v>89</v>
      </c>
      <c r="Q1364" s="24" t="s">
        <v>58</v>
      </c>
      <c r="R1364" s="24"/>
      <c r="S1364" s="24" t="s">
        <v>128</v>
      </c>
      <c r="T1364" s="24" t="s">
        <v>106</v>
      </c>
      <c r="U1364" s="24" t="s">
        <v>62</v>
      </c>
      <c r="V1364" s="24" t="s">
        <v>77</v>
      </c>
      <c r="W1364" s="24" t="s">
        <v>79</v>
      </c>
      <c r="X1364" s="24" t="s">
        <v>173</v>
      </c>
      <c r="Y1364" s="24"/>
      <c r="Z1364" s="24" t="s">
        <v>64</v>
      </c>
      <c r="AA1364" s="24" t="s">
        <v>997</v>
      </c>
      <c r="AB1364" s="24"/>
      <c r="AC1364" s="24" t="s">
        <v>3840</v>
      </c>
    </row>
    <row r="1365" spans="1:29">
      <c r="A1365" s="30" t="s">
        <v>3841</v>
      </c>
      <c r="B1365" s="30" t="str">
        <f>IF(ISNUMBER(SEARCH(E1365,A1365)),A1365,IF(OR(E1365="",E1365=""),A1365,A1365&amp;" - "&amp;E1365))</f>
        <v>22/1 Amici BH - Blueberry Headband</v>
      </c>
      <c r="C1365" s="30" t="s">
        <v>996</v>
      </c>
      <c r="D1365" s="30" t="s">
        <v>997</v>
      </c>
      <c r="E1365" s="30" t="s">
        <v>2702</v>
      </c>
      <c r="F1365" s="30" t="s">
        <v>177</v>
      </c>
      <c r="G1365" s="30">
        <v>22</v>
      </c>
      <c r="H1365" s="35">
        <v>1</v>
      </c>
      <c r="I1365" s="30"/>
      <c r="J1365" s="30"/>
      <c r="K1365" s="30" t="s">
        <v>52</v>
      </c>
      <c r="L1365" s="30" t="s">
        <v>102</v>
      </c>
      <c r="M1365" s="30" t="s">
        <v>54</v>
      </c>
      <c r="N1365" s="30" t="s">
        <v>88</v>
      </c>
      <c r="O1365" s="30" t="s">
        <v>156</v>
      </c>
      <c r="P1365" s="30" t="s">
        <v>59</v>
      </c>
      <c r="Q1365" s="30" t="s">
        <v>75</v>
      </c>
      <c r="R1365" s="30" t="s">
        <v>74</v>
      </c>
      <c r="S1365" s="30" t="s">
        <v>62</v>
      </c>
      <c r="T1365" s="30" t="s">
        <v>123</v>
      </c>
      <c r="U1365" s="30" t="s">
        <v>147</v>
      </c>
      <c r="V1365" s="30" t="s">
        <v>165</v>
      </c>
      <c r="W1365" s="30" t="s">
        <v>77</v>
      </c>
      <c r="X1365" s="30" t="s">
        <v>79</v>
      </c>
      <c r="Y1365" s="30" t="s">
        <v>331</v>
      </c>
      <c r="Z1365" s="30" t="s">
        <v>64</v>
      </c>
      <c r="AA1365" s="30" t="s">
        <v>997</v>
      </c>
      <c r="AB1365" s="30"/>
      <c r="AC1365" s="36" t="s">
        <v>3842</v>
      </c>
    </row>
    <row r="1366" spans="1:29">
      <c r="A1366" s="24" t="s">
        <v>3843</v>
      </c>
      <c r="B1366" s="24" t="str">
        <f>IF(ISNUMBER(SEARCH(E1366,A1366)),A1366,IF(OR(E1366="",E1366=""),A1366,A1366&amp;" - "&amp;E1366))</f>
        <v>MGF Pop Up No. 1 - Apples &amp; Bananas</v>
      </c>
      <c r="C1366" s="24" t="s">
        <v>3108</v>
      </c>
      <c r="D1366" s="24" t="s">
        <v>3109</v>
      </c>
      <c r="E1366" s="41" t="s">
        <v>1120</v>
      </c>
      <c r="F1366" s="41" t="s">
        <v>86</v>
      </c>
      <c r="G1366" s="27">
        <v>20</v>
      </c>
      <c r="H1366" s="28">
        <v>1</v>
      </c>
      <c r="I1366" s="24"/>
      <c r="J1366" s="24"/>
      <c r="K1366" s="24" t="s">
        <v>52</v>
      </c>
      <c r="L1366" s="24" t="s">
        <v>102</v>
      </c>
      <c r="M1366" s="24" t="s">
        <v>72</v>
      </c>
      <c r="N1366" s="24" t="s">
        <v>55</v>
      </c>
      <c r="O1366" s="24" t="s">
        <v>71</v>
      </c>
      <c r="P1366" s="24" t="s">
        <v>58</v>
      </c>
      <c r="Q1366" s="24"/>
      <c r="R1366" s="24"/>
      <c r="S1366" s="24" t="s">
        <v>105</v>
      </c>
      <c r="T1366" s="24" t="s">
        <v>147</v>
      </c>
      <c r="U1366" s="24" t="s">
        <v>192</v>
      </c>
      <c r="V1366" s="24" t="s">
        <v>92</v>
      </c>
      <c r="W1366" s="24" t="s">
        <v>93</v>
      </c>
      <c r="X1366" s="24" t="s">
        <v>77</v>
      </c>
      <c r="Y1366" s="24"/>
      <c r="Z1366" s="24" t="s">
        <v>64</v>
      </c>
      <c r="AA1366" s="24" t="s">
        <v>3109</v>
      </c>
      <c r="AB1366" s="24"/>
      <c r="AC1366" s="24" t="s">
        <v>3844</v>
      </c>
    </row>
    <row r="1367" spans="1:29">
      <c r="A1367" s="30" t="s">
        <v>3845</v>
      </c>
      <c r="B1367" s="30" t="str">
        <f>IF(ISNUMBER(SEARCH(E1367,A1367)),A1367,IF(OR(E1367="",E1367=""),A1367,A1367&amp;" - "&amp;E1367))</f>
        <v>Tilray CRAFT THC25 - Triangle Mints</v>
      </c>
      <c r="C1367" s="30" t="s">
        <v>133</v>
      </c>
      <c r="D1367" s="30" t="s">
        <v>134</v>
      </c>
      <c r="E1367" s="40" t="s">
        <v>3846</v>
      </c>
      <c r="F1367" s="40" t="s">
        <v>86</v>
      </c>
      <c r="G1367" s="34">
        <v>25</v>
      </c>
      <c r="H1367" s="35">
        <v>1</v>
      </c>
      <c r="I1367" s="30"/>
      <c r="J1367" s="30"/>
      <c r="K1367" s="30" t="s">
        <v>52</v>
      </c>
      <c r="L1367" s="30" t="s">
        <v>53</v>
      </c>
      <c r="M1367" s="30" t="s">
        <v>111</v>
      </c>
      <c r="N1367" s="30" t="s">
        <v>72</v>
      </c>
      <c r="O1367" s="30" t="s">
        <v>54</v>
      </c>
      <c r="P1367" s="30" t="s">
        <v>73</v>
      </c>
      <c r="Q1367" s="30" t="s">
        <v>57</v>
      </c>
      <c r="R1367" s="30" t="s">
        <v>112</v>
      </c>
      <c r="S1367" s="30" t="s">
        <v>106</v>
      </c>
      <c r="T1367" s="30" t="s">
        <v>62</v>
      </c>
      <c r="U1367" s="30" t="s">
        <v>123</v>
      </c>
      <c r="V1367" s="30" t="s">
        <v>107</v>
      </c>
      <c r="W1367" s="30" t="s">
        <v>129</v>
      </c>
      <c r="X1367" s="30" t="s">
        <v>165</v>
      </c>
      <c r="Y1367" s="30" t="s">
        <v>3847</v>
      </c>
      <c r="Z1367" s="30" t="s">
        <v>64</v>
      </c>
      <c r="AA1367" s="30" t="s">
        <v>134</v>
      </c>
      <c r="AB1367" s="30"/>
      <c r="AC1367" s="30" t="s">
        <v>3848</v>
      </c>
    </row>
    <row r="1368" spans="1:29">
      <c r="A1368" s="24" t="s">
        <v>3849</v>
      </c>
      <c r="B1368" s="24" t="str">
        <f>IF(ISNUMBER(SEARCH(E1368,A1368)),A1368,IF(OR(E1368="",E1368=""),A1368,A1368&amp;" - "&amp;E1368))</f>
        <v>Demecan CORE SAXONIA 28:01 LB - La Bomba No.4</v>
      </c>
      <c r="C1368" s="24" t="s">
        <v>484</v>
      </c>
      <c r="D1368" s="24" t="s">
        <v>485</v>
      </c>
      <c r="E1368" s="41" t="s">
        <v>3850</v>
      </c>
      <c r="F1368" s="41" t="s">
        <v>177</v>
      </c>
      <c r="G1368" s="27">
        <v>28</v>
      </c>
      <c r="H1368" s="28">
        <v>1</v>
      </c>
      <c r="I1368" s="24"/>
      <c r="J1368" s="24"/>
      <c r="K1368" s="24" t="s">
        <v>52</v>
      </c>
      <c r="L1368" s="24" t="s">
        <v>527</v>
      </c>
      <c r="M1368" s="24" t="s">
        <v>72</v>
      </c>
      <c r="N1368" s="24"/>
      <c r="O1368" s="24"/>
      <c r="P1368" s="24" t="s">
        <v>89</v>
      </c>
      <c r="Q1368" s="24" t="s">
        <v>73</v>
      </c>
      <c r="R1368" s="24"/>
      <c r="S1368" s="24" t="s">
        <v>106</v>
      </c>
      <c r="T1368" s="24" t="s">
        <v>62</v>
      </c>
      <c r="U1368" s="24" t="s">
        <v>147</v>
      </c>
      <c r="V1368" s="24" t="s">
        <v>129</v>
      </c>
      <c r="W1368" s="24" t="s">
        <v>77</v>
      </c>
      <c r="X1368" s="24" t="s">
        <v>116</v>
      </c>
      <c r="Y1368" s="24" t="s">
        <v>2270</v>
      </c>
      <c r="Z1368" s="24" t="s">
        <v>64</v>
      </c>
      <c r="AA1368" s="24" t="s">
        <v>485</v>
      </c>
      <c r="AB1368" s="24"/>
      <c r="AC1368" s="24" t="s">
        <v>3851</v>
      </c>
    </row>
    <row r="1369" spans="1:29">
      <c r="A1369" s="30" t="s">
        <v>3852</v>
      </c>
      <c r="B1369" s="30" t="str">
        <f>IF(ISNUMBER(SEARCH(E1369,A1369)),A1369,IF(OR(E1369="",E1369=""),A1369,A1369&amp;" - "&amp;E1369))</f>
        <v>enua 25/1 MAC 1 CA - Miracle Alien Cookies</v>
      </c>
      <c r="C1369" s="30" t="s">
        <v>650</v>
      </c>
      <c r="D1369" s="30" t="s">
        <v>651</v>
      </c>
      <c r="E1369" s="40" t="s">
        <v>3853</v>
      </c>
      <c r="F1369" s="40" t="s">
        <v>86</v>
      </c>
      <c r="G1369" s="34">
        <v>20</v>
      </c>
      <c r="H1369" s="35">
        <v>1</v>
      </c>
      <c r="I1369" s="30"/>
      <c r="J1369" s="30"/>
      <c r="K1369" s="30" t="s">
        <v>52</v>
      </c>
      <c r="L1369" s="30" t="s">
        <v>202</v>
      </c>
      <c r="M1369" s="30" t="s">
        <v>72</v>
      </c>
      <c r="N1369" s="30" t="s">
        <v>54</v>
      </c>
      <c r="O1369" s="30" t="s">
        <v>88</v>
      </c>
      <c r="P1369" s="30" t="s">
        <v>104</v>
      </c>
      <c r="Q1369" s="30" t="s">
        <v>59</v>
      </c>
      <c r="R1369" s="30" t="s">
        <v>74</v>
      </c>
      <c r="S1369" s="30" t="s">
        <v>106</v>
      </c>
      <c r="T1369" s="30" t="s">
        <v>62</v>
      </c>
      <c r="U1369" s="30" t="s">
        <v>192</v>
      </c>
      <c r="V1369" s="30" t="s">
        <v>107</v>
      </c>
      <c r="W1369" s="30" t="s">
        <v>77</v>
      </c>
      <c r="X1369" s="30" t="s">
        <v>93</v>
      </c>
      <c r="Y1369" s="30" t="s">
        <v>1333</v>
      </c>
      <c r="Z1369" s="30" t="s">
        <v>64</v>
      </c>
      <c r="AA1369" s="30" t="s">
        <v>653</v>
      </c>
      <c r="AB1369" s="30"/>
      <c r="AC1369" s="30" t="s">
        <v>3854</v>
      </c>
    </row>
    <row r="1370" spans="1:29">
      <c r="A1370" s="24" t="s">
        <v>3855</v>
      </c>
      <c r="B1370" s="24" t="str">
        <f>IF(ISNUMBER(SEARCH(E1370,A1370)),A1370,IF(OR(E1370="",E1370=""),A1370,A1370&amp;" - "&amp;E1370))</f>
        <v>Remexian Balanced CNF MCC 10/13 - Mango Cheese</v>
      </c>
      <c r="C1370" s="24" t="s">
        <v>83</v>
      </c>
      <c r="D1370" s="24" t="s">
        <v>84</v>
      </c>
      <c r="E1370" s="41" t="s">
        <v>3661</v>
      </c>
      <c r="F1370" s="41" t="s">
        <v>86</v>
      </c>
      <c r="G1370" s="27">
        <v>10</v>
      </c>
      <c r="H1370" s="28">
        <v>13</v>
      </c>
      <c r="I1370" s="24"/>
      <c r="J1370" s="24"/>
      <c r="K1370" s="24" t="s">
        <v>52</v>
      </c>
      <c r="L1370" s="24" t="s">
        <v>53</v>
      </c>
      <c r="M1370" s="24" t="s">
        <v>88</v>
      </c>
      <c r="N1370" s="24"/>
      <c r="O1370" s="24"/>
      <c r="P1370" s="24" t="s">
        <v>75</v>
      </c>
      <c r="Q1370" s="24" t="s">
        <v>136</v>
      </c>
      <c r="R1370" s="24" t="s">
        <v>58</v>
      </c>
      <c r="S1370" s="24" t="s">
        <v>128</v>
      </c>
      <c r="T1370" s="24" t="s">
        <v>62</v>
      </c>
      <c r="U1370" s="24" t="s">
        <v>192</v>
      </c>
      <c r="V1370" s="24" t="s">
        <v>79</v>
      </c>
      <c r="W1370" s="24" t="s">
        <v>93</v>
      </c>
      <c r="X1370" s="24" t="s">
        <v>107</v>
      </c>
      <c r="Y1370" s="24"/>
      <c r="Z1370" s="24" t="s">
        <v>64</v>
      </c>
      <c r="AA1370" s="24" t="s">
        <v>95</v>
      </c>
      <c r="AB1370" s="24"/>
      <c r="AC1370" s="24" t="s">
        <v>3856</v>
      </c>
    </row>
    <row r="1371" spans="1:29">
      <c r="A1371" s="30" t="s">
        <v>3857</v>
      </c>
      <c r="B1371" s="30" t="str">
        <f>IF(ISNUMBER(SEARCH(E1371,A1371)),A1371,IF(OR(E1371="",E1371=""),A1371,A1371&amp;" - "&amp;E1371))</f>
        <v>enua 27/1 GMO CA - Koko Cookies</v>
      </c>
      <c r="C1371" s="30" t="s">
        <v>650</v>
      </c>
      <c r="D1371" s="30" t="s">
        <v>651</v>
      </c>
      <c r="E1371" s="40" t="s">
        <v>277</v>
      </c>
      <c r="F1371" s="40" t="s">
        <v>177</v>
      </c>
      <c r="G1371" s="34">
        <v>27</v>
      </c>
      <c r="H1371" s="35">
        <v>1</v>
      </c>
      <c r="I1371" s="30"/>
      <c r="J1371" s="30"/>
      <c r="K1371" s="30" t="s">
        <v>52</v>
      </c>
      <c r="L1371" s="30" t="s">
        <v>53</v>
      </c>
      <c r="M1371" s="30" t="s">
        <v>71</v>
      </c>
      <c r="N1371" s="30" t="s">
        <v>72</v>
      </c>
      <c r="O1371" s="30"/>
      <c r="P1371" s="30" t="s">
        <v>74</v>
      </c>
      <c r="Q1371" s="30" t="s">
        <v>89</v>
      </c>
      <c r="R1371" s="30" t="s">
        <v>59</v>
      </c>
      <c r="S1371" s="30" t="s">
        <v>128</v>
      </c>
      <c r="T1371" s="30" t="s">
        <v>61</v>
      </c>
      <c r="U1371" s="30" t="s">
        <v>62</v>
      </c>
      <c r="V1371" s="30" t="s">
        <v>77</v>
      </c>
      <c r="W1371" s="30" t="s">
        <v>180</v>
      </c>
      <c r="X1371" s="30" t="s">
        <v>93</v>
      </c>
      <c r="Y1371" s="30"/>
      <c r="Z1371" s="30" t="s">
        <v>64</v>
      </c>
      <c r="AA1371" s="30" t="s">
        <v>653</v>
      </c>
      <c r="AB1371" s="30"/>
      <c r="AC1371" s="30" t="s">
        <v>3858</v>
      </c>
    </row>
    <row r="1372" spans="1:29">
      <c r="A1372" s="24" t="s">
        <v>3859</v>
      </c>
      <c r="B1372" s="24" t="str">
        <f>IF(ISNUMBER(SEARCH(E1372,A1372)),A1372,IF(OR(E1372="",E1372=""),A1372,A1372&amp;" - "&amp;E1372))</f>
        <v>enua 27/1 ZKM CA - Zkittlez Kushmints</v>
      </c>
      <c r="C1372" s="24" t="s">
        <v>650</v>
      </c>
      <c r="D1372" s="24" t="s">
        <v>651</v>
      </c>
      <c r="E1372" s="41" t="s">
        <v>3860</v>
      </c>
      <c r="F1372" s="41" t="s">
        <v>120</v>
      </c>
      <c r="G1372" s="27">
        <v>27</v>
      </c>
      <c r="H1372" s="28">
        <v>1</v>
      </c>
      <c r="I1372" s="24"/>
      <c r="J1372" s="24"/>
      <c r="K1372" s="24" t="s">
        <v>52</v>
      </c>
      <c r="L1372" s="24" t="s">
        <v>53</v>
      </c>
      <c r="M1372" s="24" t="s">
        <v>54</v>
      </c>
      <c r="N1372" s="24" t="s">
        <v>178</v>
      </c>
      <c r="O1372" s="24" t="s">
        <v>88</v>
      </c>
      <c r="P1372" s="24" t="s">
        <v>136</v>
      </c>
      <c r="Q1372" s="24" t="s">
        <v>75</v>
      </c>
      <c r="R1372" s="24" t="s">
        <v>112</v>
      </c>
      <c r="S1372" s="24" t="s">
        <v>128</v>
      </c>
      <c r="T1372" s="24" t="s">
        <v>61</v>
      </c>
      <c r="U1372" s="24" t="s">
        <v>62</v>
      </c>
      <c r="V1372" s="24" t="s">
        <v>77</v>
      </c>
      <c r="W1372" s="24" t="s">
        <v>107</v>
      </c>
      <c r="X1372" s="24" t="s">
        <v>79</v>
      </c>
      <c r="Y1372" s="24" t="s">
        <v>555</v>
      </c>
      <c r="Z1372" s="24" t="s">
        <v>64</v>
      </c>
      <c r="AA1372" s="24" t="s">
        <v>653</v>
      </c>
      <c r="AB1372" s="24"/>
      <c r="AC1372" s="24" t="s">
        <v>3861</v>
      </c>
    </row>
    <row r="1373" spans="1:29">
      <c r="A1373" s="30" t="s">
        <v>3862</v>
      </c>
      <c r="B1373" s="30" t="str">
        <f>IF(ISNUMBER(SEARCH(E1373,A1373)),A1373,IF(OR(E1373="",E1373=""),A1373,A1373&amp;" - "&amp;E1373))</f>
        <v>Remexian 30/1 CRX GSH - Gelato Sherbert</v>
      </c>
      <c r="C1373" s="30" t="s">
        <v>83</v>
      </c>
      <c r="D1373" s="30" t="s">
        <v>84</v>
      </c>
      <c r="E1373" s="40" t="s">
        <v>1332</v>
      </c>
      <c r="F1373" s="40" t="s">
        <v>86</v>
      </c>
      <c r="G1373" s="34">
        <v>31</v>
      </c>
      <c r="H1373" s="35">
        <v>1</v>
      </c>
      <c r="I1373" s="30"/>
      <c r="J1373" s="30"/>
      <c r="K1373" s="30" t="s">
        <v>52</v>
      </c>
      <c r="L1373" s="30" t="s">
        <v>53</v>
      </c>
      <c r="M1373" s="30" t="s">
        <v>103</v>
      </c>
      <c r="N1373" s="30" t="s">
        <v>72</v>
      </c>
      <c r="O1373" s="30" t="s">
        <v>55</v>
      </c>
      <c r="P1373" s="30" t="s">
        <v>89</v>
      </c>
      <c r="Q1373" s="30" t="s">
        <v>146</v>
      </c>
      <c r="R1373" s="30" t="s">
        <v>112</v>
      </c>
      <c r="S1373" s="30" t="s">
        <v>106</v>
      </c>
      <c r="T1373" s="30" t="s">
        <v>62</v>
      </c>
      <c r="U1373" s="30" t="s">
        <v>147</v>
      </c>
      <c r="V1373" s="30" t="s">
        <v>107</v>
      </c>
      <c r="W1373" s="30" t="s">
        <v>77</v>
      </c>
      <c r="X1373" s="30" t="s">
        <v>93</v>
      </c>
      <c r="Y1373" s="30" t="s">
        <v>1117</v>
      </c>
      <c r="Z1373" s="30" t="s">
        <v>64</v>
      </c>
      <c r="AA1373" s="30" t="s">
        <v>95</v>
      </c>
      <c r="AB1373" s="30"/>
      <c r="AC1373" s="30" t="s">
        <v>3863</v>
      </c>
    </row>
    <row r="1374" spans="1:29">
      <c r="A1374" s="24" t="s">
        <v>3864</v>
      </c>
      <c r="B1374" s="24" t="str">
        <f>IF(ISNUMBER(SEARCH(E1374,A1374)),A1374,IF(OR(E1374="",E1374=""),A1374,A1374&amp;" - "&amp;E1374))</f>
        <v>Remexian 33/1 BAG GJY - Banana Gas</v>
      </c>
      <c r="C1374" s="24" t="s">
        <v>83</v>
      </c>
      <c r="D1374" s="24" t="s">
        <v>84</v>
      </c>
      <c r="E1374" s="41" t="s">
        <v>1407</v>
      </c>
      <c r="F1374" s="41" t="s">
        <v>86</v>
      </c>
      <c r="G1374" s="27">
        <v>33</v>
      </c>
      <c r="H1374" s="28">
        <v>1</v>
      </c>
      <c r="I1374" s="24"/>
      <c r="J1374" s="24"/>
      <c r="K1374" s="24" t="s">
        <v>52</v>
      </c>
      <c r="L1374" s="24" t="s">
        <v>53</v>
      </c>
      <c r="M1374" s="24" t="s">
        <v>72</v>
      </c>
      <c r="N1374" s="24" t="s">
        <v>121</v>
      </c>
      <c r="O1374" s="24"/>
      <c r="P1374" s="24" t="s">
        <v>58</v>
      </c>
      <c r="Q1374" s="24" t="s">
        <v>89</v>
      </c>
      <c r="R1374" s="24" t="s">
        <v>73</v>
      </c>
      <c r="S1374" s="24" t="s">
        <v>179</v>
      </c>
      <c r="T1374" s="24" t="s">
        <v>61</v>
      </c>
      <c r="U1374" s="24" t="s">
        <v>76</v>
      </c>
      <c r="V1374" s="24" t="s">
        <v>116</v>
      </c>
      <c r="W1374" s="24" t="s">
        <v>107</v>
      </c>
      <c r="X1374" s="24" t="s">
        <v>93</v>
      </c>
      <c r="Y1374" s="24" t="s">
        <v>204</v>
      </c>
      <c r="Z1374" s="24" t="s">
        <v>64</v>
      </c>
      <c r="AA1374" s="24" t="s">
        <v>95</v>
      </c>
      <c r="AB1374" s="24"/>
      <c r="AC1374" s="24" t="s">
        <v>3865</v>
      </c>
    </row>
    <row r="1375" spans="1:29">
      <c r="A1375" s="30" t="s">
        <v>3866</v>
      </c>
      <c r="B1375" s="30" t="str">
        <f>IF(ISNUMBER(SEARCH(E1375,A1375)),A1375,IF(OR(E1375="",E1375=""),A1375,A1375&amp;" - "&amp;E1375))</f>
        <v>Cookies 26/1 MD - Medellin</v>
      </c>
      <c r="C1375" s="30" t="s">
        <v>996</v>
      </c>
      <c r="D1375" s="30" t="s">
        <v>997</v>
      </c>
      <c r="E1375" s="40" t="s">
        <v>1793</v>
      </c>
      <c r="F1375" s="40" t="s">
        <v>120</v>
      </c>
      <c r="G1375" s="34">
        <v>26</v>
      </c>
      <c r="H1375" s="35">
        <v>1</v>
      </c>
      <c r="I1375" s="30"/>
      <c r="J1375" s="30"/>
      <c r="K1375" s="30" t="s">
        <v>52</v>
      </c>
      <c r="L1375" s="30" t="s">
        <v>102</v>
      </c>
      <c r="M1375" s="30" t="s">
        <v>111</v>
      </c>
      <c r="N1375" s="30" t="s">
        <v>178</v>
      </c>
      <c r="O1375" s="30" t="s">
        <v>54</v>
      </c>
      <c r="P1375" s="30" t="s">
        <v>157</v>
      </c>
      <c r="Q1375" s="30" t="s">
        <v>57</v>
      </c>
      <c r="R1375" s="30" t="s">
        <v>73</v>
      </c>
      <c r="S1375" s="30" t="s">
        <v>62</v>
      </c>
      <c r="T1375" s="30" t="s">
        <v>91</v>
      </c>
      <c r="U1375" s="30" t="s">
        <v>147</v>
      </c>
      <c r="V1375" s="30" t="s">
        <v>107</v>
      </c>
      <c r="W1375" s="30" t="s">
        <v>77</v>
      </c>
      <c r="X1375" s="30" t="s">
        <v>79</v>
      </c>
      <c r="Y1375" s="30" t="s">
        <v>3867</v>
      </c>
      <c r="Z1375" s="30" t="s">
        <v>64</v>
      </c>
      <c r="AA1375" s="30" t="s">
        <v>997</v>
      </c>
      <c r="AB1375" s="30"/>
      <c r="AC1375" s="30" t="s">
        <v>3868</v>
      </c>
    </row>
    <row r="1376" spans="1:29">
      <c r="A1376" s="24" t="s">
        <v>3869</v>
      </c>
      <c r="B1376" s="24" t="str">
        <f>IF(ISNUMBER(SEARCH(E1376,A1376)),A1376,IF(OR(E1376="",E1376=""),A1376,A1376&amp;" - "&amp;E1376))</f>
        <v>enua 27/1 ZS CA - Zurple Syrup</v>
      </c>
      <c r="C1376" s="24" t="s">
        <v>650</v>
      </c>
      <c r="D1376" s="24" t="s">
        <v>651</v>
      </c>
      <c r="E1376" s="41" t="s">
        <v>3870</v>
      </c>
      <c r="F1376" s="41" t="s">
        <v>177</v>
      </c>
      <c r="G1376" s="27">
        <v>28</v>
      </c>
      <c r="H1376" s="28">
        <v>1</v>
      </c>
      <c r="I1376" s="24"/>
      <c r="J1376" s="24"/>
      <c r="K1376" s="24" t="s">
        <v>52</v>
      </c>
      <c r="L1376" s="24" t="s">
        <v>53</v>
      </c>
      <c r="M1376" s="24" t="s">
        <v>121</v>
      </c>
      <c r="N1376" s="24" t="s">
        <v>72</v>
      </c>
      <c r="O1376" s="24" t="s">
        <v>88</v>
      </c>
      <c r="P1376" s="24" t="s">
        <v>59</v>
      </c>
      <c r="Q1376" s="24" t="s">
        <v>58</v>
      </c>
      <c r="R1376" s="24" t="s">
        <v>89</v>
      </c>
      <c r="S1376" s="24" t="s">
        <v>128</v>
      </c>
      <c r="T1376" s="24" t="s">
        <v>61</v>
      </c>
      <c r="U1376" s="24" t="s">
        <v>62</v>
      </c>
      <c r="V1376" s="24" t="s">
        <v>180</v>
      </c>
      <c r="W1376" s="24" t="s">
        <v>116</v>
      </c>
      <c r="X1376" s="24" t="s">
        <v>77</v>
      </c>
      <c r="Y1376" s="24" t="s">
        <v>555</v>
      </c>
      <c r="Z1376" s="24" t="s">
        <v>64</v>
      </c>
      <c r="AA1376" s="24" t="s">
        <v>653</v>
      </c>
      <c r="AB1376" s="24"/>
      <c r="AC1376" s="24" t="s">
        <v>3871</v>
      </c>
    </row>
    <row r="1377" spans="1:29">
      <c r="A1377" s="30" t="s">
        <v>3872</v>
      </c>
      <c r="B1377" s="30" t="str">
        <f>IF(ISNUMBER(SEARCH(E1377,A1377)),A1377,IF(OR(E1377="",E1377=""),A1377,A1377&amp;" - "&amp;E1377))</f>
        <v>Remexian 27/1 GMO: - GMO Breath</v>
      </c>
      <c r="C1377" s="30" t="s">
        <v>83</v>
      </c>
      <c r="D1377" s="30" t="s">
        <v>84</v>
      </c>
      <c r="E1377" s="40" t="s">
        <v>3311</v>
      </c>
      <c r="F1377" s="40" t="s">
        <v>86</v>
      </c>
      <c r="G1377" s="34">
        <v>26</v>
      </c>
      <c r="H1377" s="35">
        <v>1</v>
      </c>
      <c r="I1377" s="30"/>
      <c r="J1377" s="30"/>
      <c r="K1377" s="30" t="s">
        <v>52</v>
      </c>
      <c r="L1377" s="30" t="s">
        <v>53</v>
      </c>
      <c r="M1377" s="30" t="s">
        <v>72</v>
      </c>
      <c r="N1377" s="30" t="s">
        <v>121</v>
      </c>
      <c r="O1377" s="30"/>
      <c r="P1377" s="30" t="s">
        <v>75</v>
      </c>
      <c r="Q1377" s="30" t="s">
        <v>59</v>
      </c>
      <c r="R1377" s="30"/>
      <c r="S1377" s="30" t="s">
        <v>106</v>
      </c>
      <c r="T1377" s="30" t="s">
        <v>62</v>
      </c>
      <c r="U1377" s="30" t="s">
        <v>147</v>
      </c>
      <c r="V1377" s="30" t="s">
        <v>79</v>
      </c>
      <c r="W1377" s="30" t="s">
        <v>77</v>
      </c>
      <c r="X1377" s="30" t="s">
        <v>116</v>
      </c>
      <c r="Y1377" s="30" t="s">
        <v>3873</v>
      </c>
      <c r="Z1377" s="30" t="s">
        <v>64</v>
      </c>
      <c r="AA1377" s="30" t="s">
        <v>95</v>
      </c>
      <c r="AB1377" s="30"/>
      <c r="AC1377" s="30" t="s">
        <v>3874</v>
      </c>
    </row>
    <row r="1378" spans="1:29">
      <c r="A1378" s="57" t="s">
        <v>3875</v>
      </c>
      <c r="B1378" s="24" t="str">
        <f>IF(ISNUMBER(SEARCH(E1378,A1378)),A1378,IF(OR(E1378="",E1378=""),A1378,A1378&amp;" - "&amp;E1378))</f>
        <v>Huala 22/1 UK CIN - Cinderella Kush</v>
      </c>
      <c r="C1378" s="24" t="s">
        <v>463</v>
      </c>
      <c r="D1378" s="24" t="s">
        <v>464</v>
      </c>
      <c r="E1378" s="41" t="s">
        <v>3042</v>
      </c>
      <c r="F1378" s="41" t="s">
        <v>177</v>
      </c>
      <c r="G1378" s="27">
        <v>22</v>
      </c>
      <c r="H1378" s="28">
        <v>1</v>
      </c>
      <c r="I1378" s="24"/>
      <c r="J1378" s="24"/>
      <c r="K1378" s="24" t="s">
        <v>52</v>
      </c>
      <c r="L1378" s="24" t="s">
        <v>3043</v>
      </c>
      <c r="M1378" s="24" t="s">
        <v>111</v>
      </c>
      <c r="N1378" s="24" t="s">
        <v>178</v>
      </c>
      <c r="O1378" s="24" t="s">
        <v>88</v>
      </c>
      <c r="P1378" s="24" t="s">
        <v>136</v>
      </c>
      <c r="Q1378" s="24" t="s">
        <v>157</v>
      </c>
      <c r="R1378" s="24" t="s">
        <v>146</v>
      </c>
      <c r="S1378" s="24" t="s">
        <v>128</v>
      </c>
      <c r="T1378" s="24" t="s">
        <v>61</v>
      </c>
      <c r="U1378" s="24" t="s">
        <v>62</v>
      </c>
      <c r="V1378" s="24" t="s">
        <v>116</v>
      </c>
      <c r="W1378" s="24" t="s">
        <v>93</v>
      </c>
      <c r="X1378" s="24" t="s">
        <v>107</v>
      </c>
      <c r="Y1378" s="24" t="s">
        <v>3876</v>
      </c>
      <c r="Z1378" s="24" t="s">
        <v>64</v>
      </c>
      <c r="AA1378" s="24" t="s">
        <v>468</v>
      </c>
      <c r="AB1378" s="24"/>
      <c r="AC1378" s="24" t="s">
        <v>3877</v>
      </c>
    </row>
    <row r="1379" spans="1:29">
      <c r="A1379" s="30" t="s">
        <v>3878</v>
      </c>
      <c r="B1379" s="30" t="str">
        <f>IF(ISNUMBER(SEARCH(E1379,A1379)),A1379,IF(OR(E1379="",E1379=""),A1379,A1379&amp;" - "&amp;E1379))</f>
        <v>avaay 35/1 SCG - Super Citra G</v>
      </c>
      <c r="C1379" s="30" t="s">
        <v>569</v>
      </c>
      <c r="D1379" s="30" t="s">
        <v>570</v>
      </c>
      <c r="E1379" s="40" t="s">
        <v>1251</v>
      </c>
      <c r="F1379" s="40" t="s">
        <v>86</v>
      </c>
      <c r="G1379" s="34">
        <v>35</v>
      </c>
      <c r="H1379" s="35">
        <v>1</v>
      </c>
      <c r="I1379" s="30"/>
      <c r="J1379" s="30"/>
      <c r="K1379" s="30" t="s">
        <v>52</v>
      </c>
      <c r="L1379" s="30" t="s">
        <v>53</v>
      </c>
      <c r="M1379" s="30" t="s">
        <v>54</v>
      </c>
      <c r="N1379" s="30" t="s">
        <v>71</v>
      </c>
      <c r="O1379" s="30" t="s">
        <v>178</v>
      </c>
      <c r="P1379" s="30" t="s">
        <v>146</v>
      </c>
      <c r="Q1379" s="30" t="s">
        <v>157</v>
      </c>
      <c r="R1379" s="30" t="s">
        <v>75</v>
      </c>
      <c r="S1379" s="30" t="s">
        <v>61</v>
      </c>
      <c r="T1379" s="30" t="s">
        <v>62</v>
      </c>
      <c r="U1379" s="30" t="s">
        <v>123</v>
      </c>
      <c r="V1379" s="30" t="s">
        <v>77</v>
      </c>
      <c r="W1379" s="30" t="s">
        <v>292</v>
      </c>
      <c r="X1379" s="30" t="s">
        <v>173</v>
      </c>
      <c r="Y1379" s="30" t="s">
        <v>293</v>
      </c>
      <c r="Z1379" s="30" t="s">
        <v>64</v>
      </c>
      <c r="AA1379" s="30" t="s">
        <v>572</v>
      </c>
      <c r="AB1379" s="30" t="s">
        <v>1252</v>
      </c>
      <c r="AC1379" s="30" t="s">
        <v>3879</v>
      </c>
    </row>
    <row r="1380" spans="1:29">
      <c r="A1380" s="24" t="s">
        <v>3880</v>
      </c>
      <c r="B1380" s="24" t="str">
        <f>IF(ISNUMBER(SEARCH(E1380,A1380)),A1380,IF(OR(E1380="",E1380=""),A1380,A1380&amp;" - "&amp;E1380))</f>
        <v>aleph red 27/1 - Hokuzai</v>
      </c>
      <c r="C1380" s="24" t="s">
        <v>725</v>
      </c>
      <c r="D1380" s="24" t="s">
        <v>726</v>
      </c>
      <c r="E1380" s="41" t="s">
        <v>3881</v>
      </c>
      <c r="F1380" s="41" t="s">
        <v>86</v>
      </c>
      <c r="G1380" s="27">
        <v>28</v>
      </c>
      <c r="H1380" s="28">
        <v>1</v>
      </c>
      <c r="I1380" s="24"/>
      <c r="J1380" s="24"/>
      <c r="K1380" s="24" t="s">
        <v>52</v>
      </c>
      <c r="L1380" s="24" t="s">
        <v>102</v>
      </c>
      <c r="M1380" s="24" t="s">
        <v>178</v>
      </c>
      <c r="N1380" s="24" t="s">
        <v>71</v>
      </c>
      <c r="O1380" s="24" t="s">
        <v>54</v>
      </c>
      <c r="P1380" s="24" t="s">
        <v>73</v>
      </c>
      <c r="Q1380" s="24" t="s">
        <v>59</v>
      </c>
      <c r="R1380" s="24" t="s">
        <v>57</v>
      </c>
      <c r="S1380" s="24" t="s">
        <v>106</v>
      </c>
      <c r="T1380" s="24" t="s">
        <v>62</v>
      </c>
      <c r="U1380" s="24" t="s">
        <v>147</v>
      </c>
      <c r="V1380" s="24" t="s">
        <v>79</v>
      </c>
      <c r="W1380" s="24" t="s">
        <v>116</v>
      </c>
      <c r="X1380" s="24" t="s">
        <v>93</v>
      </c>
      <c r="Y1380" s="24" t="s">
        <v>204</v>
      </c>
      <c r="Z1380" s="24" t="s">
        <v>64</v>
      </c>
      <c r="AA1380" s="24" t="s">
        <v>726</v>
      </c>
      <c r="AB1380" s="24"/>
      <c r="AC1380" s="24" t="s">
        <v>3882</v>
      </c>
    </row>
    <row r="1381" spans="1:29">
      <c r="A1381" s="30" t="s">
        <v>3883</v>
      </c>
      <c r="B1381" s="30" t="str">
        <f>IF(ISNUMBER(SEARCH(E1381,A1381)),A1381,IF(OR(E1381="",E1381=""),A1381,A1381&amp;" - "&amp;E1381))</f>
        <v>aleph purple 26/1 - Straight Candy Gas</v>
      </c>
      <c r="C1381" s="30" t="s">
        <v>725</v>
      </c>
      <c r="D1381" s="30" t="s">
        <v>726</v>
      </c>
      <c r="E1381" s="40" t="s">
        <v>3884</v>
      </c>
      <c r="F1381" s="40" t="s">
        <v>86</v>
      </c>
      <c r="G1381" s="34">
        <v>24</v>
      </c>
      <c r="H1381" s="35">
        <v>1</v>
      </c>
      <c r="I1381" s="30"/>
      <c r="J1381" s="30"/>
      <c r="K1381" s="30" t="s">
        <v>52</v>
      </c>
      <c r="L1381" s="30" t="s">
        <v>102</v>
      </c>
      <c r="M1381" s="30" t="s">
        <v>178</v>
      </c>
      <c r="N1381" s="30" t="s">
        <v>71</v>
      </c>
      <c r="O1381" s="30" t="s">
        <v>72</v>
      </c>
      <c r="P1381" s="30" t="s">
        <v>57</v>
      </c>
      <c r="Q1381" s="30" t="s">
        <v>136</v>
      </c>
      <c r="R1381" s="30" t="s">
        <v>58</v>
      </c>
      <c r="S1381" s="30" t="s">
        <v>106</v>
      </c>
      <c r="T1381" s="30" t="s">
        <v>62</v>
      </c>
      <c r="U1381" s="30" t="s">
        <v>123</v>
      </c>
      <c r="V1381" s="30" t="s">
        <v>79</v>
      </c>
      <c r="W1381" s="30" t="s">
        <v>116</v>
      </c>
      <c r="X1381" s="30" t="s">
        <v>93</v>
      </c>
      <c r="Y1381" s="30" t="s">
        <v>2270</v>
      </c>
      <c r="Z1381" s="30" t="s">
        <v>64</v>
      </c>
      <c r="AA1381" s="30" t="s">
        <v>726</v>
      </c>
      <c r="AB1381" s="30"/>
      <c r="AC1381" s="30" t="s">
        <v>3885</v>
      </c>
    </row>
    <row r="1382" spans="1:29">
      <c r="A1382" s="24" t="s">
        <v>3886</v>
      </c>
      <c r="B1382" s="24" t="str">
        <f>IF(ISNUMBER(SEARCH(E1382,A1382)),A1382,IF(OR(E1382="",E1382=""),A1382,A1382&amp;" - "&amp;E1382))</f>
        <v>MGF  26/1 King Bling</v>
      </c>
      <c r="C1382" s="24" t="s">
        <v>3108</v>
      </c>
      <c r="D1382" s="24" t="s">
        <v>3109</v>
      </c>
      <c r="E1382" s="41" t="s">
        <v>3887</v>
      </c>
      <c r="F1382" s="41" t="s">
        <v>177</v>
      </c>
      <c r="G1382" s="27">
        <v>26</v>
      </c>
      <c r="H1382" s="28">
        <v>1</v>
      </c>
      <c r="I1382" s="24"/>
      <c r="J1382" s="24"/>
      <c r="K1382" s="24" t="s">
        <v>52</v>
      </c>
      <c r="L1382" s="24" t="s">
        <v>102</v>
      </c>
      <c r="M1382" s="24" t="s">
        <v>54</v>
      </c>
      <c r="N1382" s="24" t="s">
        <v>178</v>
      </c>
      <c r="O1382" s="24" t="s">
        <v>72</v>
      </c>
      <c r="P1382" s="24" t="s">
        <v>146</v>
      </c>
      <c r="Q1382" s="24" t="s">
        <v>57</v>
      </c>
      <c r="R1382" s="24" t="s">
        <v>136</v>
      </c>
      <c r="S1382" s="24" t="s">
        <v>106</v>
      </c>
      <c r="T1382" s="24" t="s">
        <v>62</v>
      </c>
      <c r="U1382" s="24" t="s">
        <v>123</v>
      </c>
      <c r="V1382" s="24" t="s">
        <v>79</v>
      </c>
      <c r="W1382" s="24" t="s">
        <v>116</v>
      </c>
      <c r="X1382" s="24" t="s">
        <v>93</v>
      </c>
      <c r="Y1382" s="24"/>
      <c r="Z1382" s="24" t="s">
        <v>64</v>
      </c>
      <c r="AA1382" s="24" t="s">
        <v>3109</v>
      </c>
      <c r="AB1382" s="24"/>
      <c r="AC1382" s="24" t="s">
        <v>3888</v>
      </c>
    </row>
    <row r="1383" spans="1:29">
      <c r="A1383" s="30" t="s">
        <v>3889</v>
      </c>
      <c r="B1383" s="30" t="str">
        <f>IF(ISNUMBER(SEARCH(E1383,A1383)),A1383,IF(OR(E1383="",E1383=""),A1383,A1383&amp;" - "&amp;E1383))</f>
        <v>Bathera 33/1 PP - Polar Pop</v>
      </c>
      <c r="C1383" s="30" t="s">
        <v>153</v>
      </c>
      <c r="D1383" s="30" t="s">
        <v>154</v>
      </c>
      <c r="E1383" s="40" t="s">
        <v>1600</v>
      </c>
      <c r="F1383" s="40" t="s">
        <v>144</v>
      </c>
      <c r="G1383" s="34">
        <v>33</v>
      </c>
      <c r="H1383" s="35">
        <v>1</v>
      </c>
      <c r="I1383" s="30"/>
      <c r="J1383" s="30"/>
      <c r="K1383" s="30" t="s">
        <v>52</v>
      </c>
      <c r="L1383" s="30" t="s">
        <v>102</v>
      </c>
      <c r="M1383" s="30" t="s">
        <v>72</v>
      </c>
      <c r="N1383" s="30" t="s">
        <v>54</v>
      </c>
      <c r="O1383" s="30" t="s">
        <v>88</v>
      </c>
      <c r="P1383" s="30" t="s">
        <v>74</v>
      </c>
      <c r="Q1383" s="30" t="s">
        <v>89</v>
      </c>
      <c r="R1383" s="30" t="s">
        <v>112</v>
      </c>
      <c r="S1383" s="30" t="s">
        <v>128</v>
      </c>
      <c r="T1383" s="30" t="s">
        <v>61</v>
      </c>
      <c r="U1383" s="30" t="s">
        <v>62</v>
      </c>
      <c r="V1383" s="30" t="s">
        <v>79</v>
      </c>
      <c r="W1383" s="30" t="s">
        <v>107</v>
      </c>
      <c r="X1383" s="30" t="s">
        <v>77</v>
      </c>
      <c r="Y1383" s="30" t="s">
        <v>286</v>
      </c>
      <c r="Z1383" s="30" t="s">
        <v>64</v>
      </c>
      <c r="AA1383" s="30" t="s">
        <v>154</v>
      </c>
      <c r="AB1383" s="30" t="s">
        <v>160</v>
      </c>
      <c r="AC1383" s="30" t="s">
        <v>3890</v>
      </c>
    </row>
    <row r="1384" spans="1:29">
      <c r="A1384" s="24" t="s">
        <v>3891</v>
      </c>
      <c r="B1384" s="24" t="str">
        <f>IF(ISNUMBER(SEARCH(E1384,A1384)),A1384,IF(OR(E1384="",E1384=""),A1384,A1384&amp;" - "&amp;E1384))</f>
        <v>30/1 Amici UL - Ultra Limelight</v>
      </c>
      <c r="C1384" s="24" t="s">
        <v>996</v>
      </c>
      <c r="D1384" s="24" t="s">
        <v>997</v>
      </c>
      <c r="E1384" s="41" t="s">
        <v>3892</v>
      </c>
      <c r="F1384" s="41" t="s">
        <v>69</v>
      </c>
      <c r="G1384" s="27">
        <v>30</v>
      </c>
      <c r="H1384" s="28">
        <v>1</v>
      </c>
      <c r="I1384" s="24"/>
      <c r="J1384" s="24"/>
      <c r="K1384" s="24" t="s">
        <v>52</v>
      </c>
      <c r="L1384" s="24" t="s">
        <v>53</v>
      </c>
      <c r="M1384" s="24" t="s">
        <v>121</v>
      </c>
      <c r="N1384" s="24" t="s">
        <v>71</v>
      </c>
      <c r="O1384" s="24" t="s">
        <v>88</v>
      </c>
      <c r="P1384" s="24" t="s">
        <v>146</v>
      </c>
      <c r="Q1384" s="24" t="s">
        <v>58</v>
      </c>
      <c r="R1384" s="24" t="s">
        <v>74</v>
      </c>
      <c r="S1384" s="24" t="s">
        <v>90</v>
      </c>
      <c r="T1384" s="24" t="s">
        <v>106</v>
      </c>
      <c r="U1384" s="24" t="s">
        <v>62</v>
      </c>
      <c r="V1384" s="24" t="s">
        <v>93</v>
      </c>
      <c r="W1384" s="24" t="s">
        <v>292</v>
      </c>
      <c r="X1384" s="24" t="s">
        <v>77</v>
      </c>
      <c r="Y1384" s="24"/>
      <c r="Z1384" s="24" t="s">
        <v>64</v>
      </c>
      <c r="AA1384" s="24" t="s">
        <v>997</v>
      </c>
      <c r="AB1384" s="24"/>
      <c r="AC1384" s="24" t="s">
        <v>3893</v>
      </c>
    </row>
    <row r="1385" spans="1:29">
      <c r="A1385" s="30" t="s">
        <v>3894</v>
      </c>
      <c r="B1385" s="30" t="str">
        <f>IF(ISNUMBER(SEARCH(E1385,A1385)),A1385,IF(OR(E1385="",E1385=""),A1385,A1385&amp;" - "&amp;E1385))</f>
        <v>Northbound 25/1 GAB - Garlic Breath</v>
      </c>
      <c r="C1385" s="30" t="s">
        <v>996</v>
      </c>
      <c r="D1385" s="30" t="s">
        <v>997</v>
      </c>
      <c r="E1385" s="40" t="s">
        <v>480</v>
      </c>
      <c r="F1385" s="40" t="s">
        <v>177</v>
      </c>
      <c r="G1385" s="34">
        <v>25</v>
      </c>
      <c r="H1385" s="35">
        <v>1</v>
      </c>
      <c r="I1385" s="30"/>
      <c r="J1385" s="30"/>
      <c r="K1385" s="30" t="s">
        <v>52</v>
      </c>
      <c r="L1385" s="30" t="s">
        <v>53</v>
      </c>
      <c r="M1385" s="30" t="s">
        <v>178</v>
      </c>
      <c r="N1385" s="30" t="s">
        <v>121</v>
      </c>
      <c r="O1385" s="30" t="s">
        <v>72</v>
      </c>
      <c r="P1385" s="30" t="s">
        <v>59</v>
      </c>
      <c r="Q1385" s="30" t="s">
        <v>186</v>
      </c>
      <c r="R1385" s="30"/>
      <c r="S1385" s="30" t="s">
        <v>106</v>
      </c>
      <c r="T1385" s="30" t="s">
        <v>62</v>
      </c>
      <c r="U1385" s="30" t="s">
        <v>91</v>
      </c>
      <c r="V1385" s="30" t="s">
        <v>107</v>
      </c>
      <c r="W1385" s="30" t="s">
        <v>77</v>
      </c>
      <c r="X1385" s="30" t="s">
        <v>129</v>
      </c>
      <c r="Y1385" s="30" t="s">
        <v>268</v>
      </c>
      <c r="Z1385" s="30" t="s">
        <v>64</v>
      </c>
      <c r="AA1385" s="30" t="s">
        <v>997</v>
      </c>
      <c r="AB1385" s="30"/>
      <c r="AC1385" s="30" t="s">
        <v>3895</v>
      </c>
    </row>
    <row r="1386" spans="1:29">
      <c r="A1386" s="24" t="s">
        <v>3896</v>
      </c>
      <c r="B1386" s="24" t="str">
        <f>IF(ISNUMBER(SEARCH(E1386,A1386)),A1386,IF(OR(E1386="",E1386=""),A1386,A1386&amp;" - "&amp;E1386))</f>
        <v>IMC PDE THC25 - Platinum Delight</v>
      </c>
      <c r="C1386" s="24" t="s">
        <v>646</v>
      </c>
      <c r="D1386" s="24" t="s">
        <v>646</v>
      </c>
      <c r="E1386" s="41" t="s">
        <v>3897</v>
      </c>
      <c r="F1386" s="41" t="s">
        <v>144</v>
      </c>
      <c r="G1386" s="27">
        <v>25</v>
      </c>
      <c r="H1386" s="28">
        <v>1</v>
      </c>
      <c r="I1386" s="24"/>
      <c r="J1386" s="24"/>
      <c r="K1386" s="24" t="s">
        <v>52</v>
      </c>
      <c r="L1386" s="24" t="s">
        <v>1506</v>
      </c>
      <c r="M1386" s="24" t="s">
        <v>178</v>
      </c>
      <c r="N1386" s="24" t="s">
        <v>111</v>
      </c>
      <c r="O1386" s="24" t="s">
        <v>54</v>
      </c>
      <c r="P1386" s="24" t="s">
        <v>74</v>
      </c>
      <c r="Q1386" s="24" t="s">
        <v>57</v>
      </c>
      <c r="R1386" s="24" t="s">
        <v>58</v>
      </c>
      <c r="S1386" s="24" t="s">
        <v>106</v>
      </c>
      <c r="T1386" s="24" t="s">
        <v>62</v>
      </c>
      <c r="U1386" s="24" t="s">
        <v>147</v>
      </c>
      <c r="V1386" s="24" t="s">
        <v>79</v>
      </c>
      <c r="W1386" s="24" t="s">
        <v>116</v>
      </c>
      <c r="X1386" s="24" t="s">
        <v>93</v>
      </c>
      <c r="Y1386" s="24"/>
      <c r="Z1386" s="24" t="s">
        <v>64</v>
      </c>
      <c r="AA1386" s="24" t="s">
        <v>646</v>
      </c>
      <c r="AB1386" s="24"/>
      <c r="AC1386" s="24" t="s">
        <v>3898</v>
      </c>
    </row>
    <row r="1387" spans="1:29">
      <c r="A1387" s="30" t="s">
        <v>3899</v>
      </c>
      <c r="B1387" s="30" t="str">
        <f>IF(ISNUMBER(SEARCH(E1387,A1387)),A1387,IF(OR(E1387="",E1387=""),A1387,A1387&amp;" - "&amp;E1387))</f>
        <v>IMC BD THC25 - Set Fire</v>
      </c>
      <c r="C1387" s="30" t="s">
        <v>646</v>
      </c>
      <c r="D1387" s="30" t="s">
        <v>646</v>
      </c>
      <c r="E1387" s="40" t="s">
        <v>3900</v>
      </c>
      <c r="F1387" s="40" t="s">
        <v>86</v>
      </c>
      <c r="G1387" s="34">
        <v>25</v>
      </c>
      <c r="H1387" s="35">
        <v>1</v>
      </c>
      <c r="I1387" s="30"/>
      <c r="J1387" s="30"/>
      <c r="K1387" s="30" t="s">
        <v>52</v>
      </c>
      <c r="L1387" s="30" t="s">
        <v>1506</v>
      </c>
      <c r="M1387" s="30" t="s">
        <v>88</v>
      </c>
      <c r="N1387" s="30" t="s">
        <v>72</v>
      </c>
      <c r="O1387" s="30"/>
      <c r="P1387" s="30" t="s">
        <v>146</v>
      </c>
      <c r="Q1387" s="30" t="s">
        <v>89</v>
      </c>
      <c r="R1387" s="30" t="s">
        <v>74</v>
      </c>
      <c r="S1387" s="30" t="s">
        <v>106</v>
      </c>
      <c r="T1387" s="30" t="s">
        <v>62</v>
      </c>
      <c r="U1387" s="30" t="s">
        <v>123</v>
      </c>
      <c r="V1387" s="30" t="s">
        <v>93</v>
      </c>
      <c r="W1387" s="30" t="s">
        <v>107</v>
      </c>
      <c r="X1387" s="30" t="s">
        <v>116</v>
      </c>
      <c r="Y1387" s="30"/>
      <c r="Z1387" s="30" t="s">
        <v>64</v>
      </c>
      <c r="AA1387" s="30" t="s">
        <v>646</v>
      </c>
      <c r="AB1387" s="30"/>
      <c r="AC1387" s="30" t="s">
        <v>3901</v>
      </c>
    </row>
    <row r="1388" spans="1:29">
      <c r="A1388" s="24" t="s">
        <v>3902</v>
      </c>
      <c r="B1388" s="24" t="str">
        <f>IF(ISNUMBER(SEARCH(E1388,A1388)),A1388,IF(OR(E1388="",E1388=""),A1388,A1388&amp;" - "&amp;E1388))</f>
        <v>IMC AGD THC25 - Afghani Drifter</v>
      </c>
      <c r="C1388" s="24" t="s">
        <v>646</v>
      </c>
      <c r="D1388" s="24" t="s">
        <v>646</v>
      </c>
      <c r="E1388" s="41" t="s">
        <v>3903</v>
      </c>
      <c r="F1388" s="41" t="s">
        <v>177</v>
      </c>
      <c r="G1388" s="27">
        <v>25</v>
      </c>
      <c r="H1388" s="28">
        <v>1</v>
      </c>
      <c r="I1388" s="24"/>
      <c r="J1388" s="24"/>
      <c r="K1388" s="24" t="s">
        <v>52</v>
      </c>
      <c r="L1388" s="24" t="s">
        <v>1506</v>
      </c>
      <c r="M1388" s="24" t="s">
        <v>88</v>
      </c>
      <c r="N1388" s="24" t="s">
        <v>72</v>
      </c>
      <c r="O1388" s="24"/>
      <c r="P1388" s="24" t="s">
        <v>146</v>
      </c>
      <c r="Q1388" s="24" t="s">
        <v>157</v>
      </c>
      <c r="R1388" s="24" t="s">
        <v>113</v>
      </c>
      <c r="S1388" s="24" t="s">
        <v>106</v>
      </c>
      <c r="T1388" s="24" t="s">
        <v>62</v>
      </c>
      <c r="U1388" s="24" t="s">
        <v>147</v>
      </c>
      <c r="V1388" s="24" t="s">
        <v>79</v>
      </c>
      <c r="W1388" s="24" t="s">
        <v>93</v>
      </c>
      <c r="X1388" s="24" t="s">
        <v>107</v>
      </c>
      <c r="Y1388" s="24"/>
      <c r="Z1388" s="24" t="s">
        <v>64</v>
      </c>
      <c r="AA1388" s="24" t="s">
        <v>646</v>
      </c>
      <c r="AB1388" s="24"/>
      <c r="AC1388" s="24" t="s">
        <v>3904</v>
      </c>
    </row>
    <row r="1389" spans="1:29">
      <c r="A1389" s="30" t="s">
        <v>3905</v>
      </c>
      <c r="B1389" s="30" t="str">
        <f>IF(ISNUMBER(SEARCH(E1389,A1389)),A1389,IF(OR(E1389="",E1389=""),A1389,A1389&amp;" - "&amp;E1389))</f>
        <v>IMC BBQK THC21 - Korean BBQ</v>
      </c>
      <c r="C1389" s="30" t="s">
        <v>646</v>
      </c>
      <c r="D1389" s="30" t="s">
        <v>646</v>
      </c>
      <c r="E1389" s="40" t="s">
        <v>3906</v>
      </c>
      <c r="F1389" s="40" t="s">
        <v>177</v>
      </c>
      <c r="G1389" s="34">
        <v>21</v>
      </c>
      <c r="H1389" s="35">
        <v>1</v>
      </c>
      <c r="I1389" s="30"/>
      <c r="J1389" s="30"/>
      <c r="K1389" s="30" t="s">
        <v>52</v>
      </c>
      <c r="L1389" s="30" t="s">
        <v>1506</v>
      </c>
      <c r="M1389" s="30" t="s">
        <v>178</v>
      </c>
      <c r="N1389" s="30" t="s">
        <v>54</v>
      </c>
      <c r="O1389" s="30" t="s">
        <v>111</v>
      </c>
      <c r="P1389" s="30" t="s">
        <v>157</v>
      </c>
      <c r="Q1389" s="30" t="s">
        <v>57</v>
      </c>
      <c r="R1389" s="30" t="s">
        <v>89</v>
      </c>
      <c r="S1389" s="30" t="s">
        <v>62</v>
      </c>
      <c r="T1389" s="30" t="s">
        <v>147</v>
      </c>
      <c r="U1389" s="30" t="s">
        <v>493</v>
      </c>
      <c r="V1389" s="30" t="s">
        <v>116</v>
      </c>
      <c r="W1389" s="30" t="s">
        <v>79</v>
      </c>
      <c r="X1389" s="30" t="s">
        <v>93</v>
      </c>
      <c r="Y1389" s="30"/>
      <c r="Z1389" s="30" t="s">
        <v>64</v>
      </c>
      <c r="AA1389" s="30" t="s">
        <v>646</v>
      </c>
      <c r="AB1389" s="30"/>
      <c r="AC1389" s="30" t="s">
        <v>3907</v>
      </c>
    </row>
    <row r="1390" spans="1:29">
      <c r="A1390" s="24" t="s">
        <v>3908</v>
      </c>
      <c r="B1390" s="24" t="str">
        <f>IF(ISNUMBER(SEARCH(E1390,A1390)),A1390,IF(OR(E1390="",E1390=""),A1390,A1390&amp;" - "&amp;E1390))</f>
        <v>IMC NCC THC21 - Cookies &amp; Cream</v>
      </c>
      <c r="C1390" s="24" t="s">
        <v>646</v>
      </c>
      <c r="D1390" s="24" t="s">
        <v>646</v>
      </c>
      <c r="E1390" s="41" t="s">
        <v>1897</v>
      </c>
      <c r="F1390" s="41" t="s">
        <v>86</v>
      </c>
      <c r="G1390" s="27">
        <v>21</v>
      </c>
      <c r="H1390" s="28">
        <v>1</v>
      </c>
      <c r="I1390" s="24"/>
      <c r="J1390" s="24"/>
      <c r="K1390" s="24" t="s">
        <v>52</v>
      </c>
      <c r="L1390" s="24" t="s">
        <v>1506</v>
      </c>
      <c r="M1390" s="24" t="s">
        <v>178</v>
      </c>
      <c r="N1390" s="24" t="s">
        <v>54</v>
      </c>
      <c r="O1390" s="24" t="s">
        <v>111</v>
      </c>
      <c r="P1390" s="24" t="s">
        <v>74</v>
      </c>
      <c r="Q1390" s="24" t="s">
        <v>89</v>
      </c>
      <c r="R1390" s="24"/>
      <c r="S1390" s="24" t="s">
        <v>106</v>
      </c>
      <c r="T1390" s="24" t="s">
        <v>62</v>
      </c>
      <c r="U1390" s="24" t="s">
        <v>91</v>
      </c>
      <c r="V1390" s="24" t="s">
        <v>79</v>
      </c>
      <c r="W1390" s="24" t="s">
        <v>116</v>
      </c>
      <c r="X1390" s="24" t="s">
        <v>107</v>
      </c>
      <c r="Y1390" s="24"/>
      <c r="Z1390" s="24" t="s">
        <v>64</v>
      </c>
      <c r="AA1390" s="24" t="s">
        <v>646</v>
      </c>
      <c r="AB1390" s="24"/>
      <c r="AC1390" s="24" t="s">
        <v>3909</v>
      </c>
    </row>
    <row r="1391" spans="1:29">
      <c r="A1391" s="30" t="s">
        <v>3910</v>
      </c>
      <c r="B1391" s="30" t="str">
        <f>IF(ISNUMBER(SEARCH(E1391,A1391)),A1391,IF(OR(E1391="",E1391=""),A1391,A1391&amp;" - "&amp;E1391))</f>
        <v>MGF Pop Up No. 4 PU - SFV OG Kush</v>
      </c>
      <c r="C1391" s="30" t="s">
        <v>3108</v>
      </c>
      <c r="D1391" s="30" t="s">
        <v>3109</v>
      </c>
      <c r="E1391" s="40" t="s">
        <v>3911</v>
      </c>
      <c r="F1391" s="40" t="s">
        <v>177</v>
      </c>
      <c r="G1391" s="34">
        <v>29</v>
      </c>
      <c r="H1391" s="35">
        <v>1</v>
      </c>
      <c r="I1391" s="30"/>
      <c r="J1391" s="30"/>
      <c r="K1391" s="30" t="s">
        <v>52</v>
      </c>
      <c r="L1391" s="30" t="s">
        <v>102</v>
      </c>
      <c r="M1391" s="30" t="s">
        <v>72</v>
      </c>
      <c r="N1391" s="30" t="s">
        <v>55</v>
      </c>
      <c r="O1391" s="30" t="s">
        <v>88</v>
      </c>
      <c r="P1391" s="30" t="s">
        <v>146</v>
      </c>
      <c r="Q1391" s="30" t="s">
        <v>59</v>
      </c>
      <c r="R1391" s="30" t="s">
        <v>75</v>
      </c>
      <c r="S1391" s="30" t="s">
        <v>106</v>
      </c>
      <c r="T1391" s="30" t="s">
        <v>62</v>
      </c>
      <c r="U1391" s="30" t="s">
        <v>147</v>
      </c>
      <c r="V1391" s="30" t="s">
        <v>116</v>
      </c>
      <c r="W1391" s="30" t="s">
        <v>107</v>
      </c>
      <c r="X1391" s="30" t="s">
        <v>77</v>
      </c>
      <c r="Y1391" s="30" t="s">
        <v>361</v>
      </c>
      <c r="Z1391" s="30" t="s">
        <v>64</v>
      </c>
      <c r="AA1391" s="30" t="s">
        <v>3109</v>
      </c>
      <c r="AB1391" s="30"/>
      <c r="AC1391" s="30" t="s">
        <v>3912</v>
      </c>
    </row>
    <row r="1392" spans="1:29">
      <c r="A1392" s="24" t="s">
        <v>3913</v>
      </c>
      <c r="B1392" s="24" t="str">
        <f>IF(ISNUMBER(SEARCH(E1392,A1392)),A1392,IF(OR(E1392="",E1392=""),A1392,A1392&amp;" - "&amp;E1392))</f>
        <v>MGF Pop Up No. 4 - Rose Gold Pave</v>
      </c>
      <c r="C1392" s="24" t="s">
        <v>3108</v>
      </c>
      <c r="D1392" s="24" t="s">
        <v>3109</v>
      </c>
      <c r="E1392" s="41" t="s">
        <v>3645</v>
      </c>
      <c r="F1392" s="41" t="s">
        <v>86</v>
      </c>
      <c r="G1392" s="27">
        <v>27</v>
      </c>
      <c r="H1392" s="28">
        <v>1</v>
      </c>
      <c r="I1392" s="24"/>
      <c r="J1392" s="24"/>
      <c r="K1392" s="24" t="s">
        <v>52</v>
      </c>
      <c r="L1392" s="24" t="s">
        <v>53</v>
      </c>
      <c r="M1392" s="24" t="s">
        <v>178</v>
      </c>
      <c r="N1392" s="24" t="s">
        <v>71</v>
      </c>
      <c r="O1392" s="24" t="s">
        <v>54</v>
      </c>
      <c r="P1392" s="24" t="s">
        <v>112</v>
      </c>
      <c r="Q1392" s="24" t="s">
        <v>136</v>
      </c>
      <c r="R1392" s="24" t="s">
        <v>58</v>
      </c>
      <c r="S1392" s="24" t="s">
        <v>106</v>
      </c>
      <c r="T1392" s="24" t="s">
        <v>62</v>
      </c>
      <c r="U1392" s="24" t="s">
        <v>147</v>
      </c>
      <c r="V1392" s="24" t="s">
        <v>116</v>
      </c>
      <c r="W1392" s="24" t="s">
        <v>93</v>
      </c>
      <c r="X1392" s="24" t="s">
        <v>79</v>
      </c>
      <c r="Y1392" s="24" t="s">
        <v>361</v>
      </c>
      <c r="Z1392" s="24" t="s">
        <v>64</v>
      </c>
      <c r="AA1392" s="24" t="s">
        <v>3109</v>
      </c>
      <c r="AB1392" s="24"/>
      <c r="AC1392" s="24" t="s">
        <v>3914</v>
      </c>
    </row>
    <row r="1393" spans="1:29">
      <c r="A1393" s="30" t="s">
        <v>3843</v>
      </c>
      <c r="B1393" s="30" t="str">
        <f>IF(ISNUMBER(SEARCH(E1393,A1393)),A1393,IF(OR(E1393="",E1393=""),A1393,A1393&amp;" - "&amp;E1393))</f>
        <v>MGF Pop Up No. 1 - Jokerz #53</v>
      </c>
      <c r="C1393" s="30" t="s">
        <v>3108</v>
      </c>
      <c r="D1393" s="30" t="s">
        <v>3109</v>
      </c>
      <c r="E1393" s="40" t="s">
        <v>1502</v>
      </c>
      <c r="F1393" s="40" t="s">
        <v>177</v>
      </c>
      <c r="G1393" s="34">
        <v>26</v>
      </c>
      <c r="H1393" s="35">
        <v>1</v>
      </c>
      <c r="I1393" s="30"/>
      <c r="J1393" s="30"/>
      <c r="K1393" s="30" t="s">
        <v>52</v>
      </c>
      <c r="L1393" s="30" t="s">
        <v>1506</v>
      </c>
      <c r="M1393" s="30" t="s">
        <v>72</v>
      </c>
      <c r="N1393" s="30" t="s">
        <v>54</v>
      </c>
      <c r="O1393" s="30" t="s">
        <v>88</v>
      </c>
      <c r="P1393" s="30" t="s">
        <v>59</v>
      </c>
      <c r="Q1393" s="30" t="s">
        <v>74</v>
      </c>
      <c r="R1393" s="30" t="s">
        <v>73</v>
      </c>
      <c r="S1393" s="30" t="s">
        <v>106</v>
      </c>
      <c r="T1393" s="30" t="s">
        <v>62</v>
      </c>
      <c r="U1393" s="30" t="s">
        <v>123</v>
      </c>
      <c r="V1393" s="30" t="s">
        <v>116</v>
      </c>
      <c r="W1393" s="30" t="s">
        <v>107</v>
      </c>
      <c r="X1393" s="30" t="s">
        <v>77</v>
      </c>
      <c r="Y1393" s="30" t="s">
        <v>361</v>
      </c>
      <c r="Z1393" s="30" t="s">
        <v>64</v>
      </c>
      <c r="AA1393" s="30" t="s">
        <v>3109</v>
      </c>
      <c r="AB1393" s="30"/>
      <c r="AC1393" s="30" t="s">
        <v>3915</v>
      </c>
    </row>
    <row r="1394" spans="1:29">
      <c r="A1394" s="24" t="s">
        <v>3916</v>
      </c>
      <c r="B1394" s="24" t="str">
        <f>IF(ISNUMBER(SEARCH(E1394,A1394)),A1394,IF(OR(E1394="",E1394=""),A1394,A1394&amp;" - "&amp;E1394))</f>
        <v>Wellford Aquaponic 30/1 QSG - Queen SanG</v>
      </c>
      <c r="C1394" s="24" t="s">
        <v>741</v>
      </c>
      <c r="D1394" s="24" t="s">
        <v>742</v>
      </c>
      <c r="E1394" s="41" t="s">
        <v>896</v>
      </c>
      <c r="F1394" s="41" t="s">
        <v>69</v>
      </c>
      <c r="G1394" s="27">
        <v>30</v>
      </c>
      <c r="H1394" s="28">
        <v>1</v>
      </c>
      <c r="I1394" s="24"/>
      <c r="J1394" s="24"/>
      <c r="K1394" s="24" t="s">
        <v>52</v>
      </c>
      <c r="L1394" s="24" t="s">
        <v>53</v>
      </c>
      <c r="M1394" s="24" t="s">
        <v>178</v>
      </c>
      <c r="N1394" s="24" t="s">
        <v>72</v>
      </c>
      <c r="O1394" s="24" t="s">
        <v>88</v>
      </c>
      <c r="P1394" s="24" t="s">
        <v>73</v>
      </c>
      <c r="Q1394" s="24" t="s">
        <v>75</v>
      </c>
      <c r="R1394" s="24" t="s">
        <v>58</v>
      </c>
      <c r="S1394" s="24" t="s">
        <v>128</v>
      </c>
      <c r="T1394" s="24" t="s">
        <v>106</v>
      </c>
      <c r="U1394" s="24" t="s">
        <v>179</v>
      </c>
      <c r="V1394" s="24" t="s">
        <v>79</v>
      </c>
      <c r="W1394" s="24" t="s">
        <v>197</v>
      </c>
      <c r="X1394" s="24" t="s">
        <v>173</v>
      </c>
      <c r="Y1394" s="24" t="s">
        <v>1320</v>
      </c>
      <c r="Z1394" s="24" t="s">
        <v>64</v>
      </c>
      <c r="AA1394" s="24" t="s">
        <v>742</v>
      </c>
      <c r="AB1394" s="24" t="s">
        <v>979</v>
      </c>
      <c r="AC1394" s="24" t="s">
        <v>3917</v>
      </c>
    </row>
    <row r="1395" spans="1:29">
      <c r="A1395" s="30" t="s">
        <v>3918</v>
      </c>
      <c r="B1395" s="30" t="str">
        <f>IF(ISNUMBER(SEARCH(E1395,A1395)),A1395,IF(OR(E1395="",E1395=""),A1395,A1395&amp;" - "&amp;E1395))</f>
        <v>420 Natural 22/1 CA TRP - Tropicana Cookies</v>
      </c>
      <c r="C1395" s="30" t="s">
        <v>463</v>
      </c>
      <c r="D1395" s="30" t="s">
        <v>464</v>
      </c>
      <c r="E1395" s="40" t="s">
        <v>624</v>
      </c>
      <c r="F1395" s="40" t="s">
        <v>86</v>
      </c>
      <c r="G1395" s="34">
        <v>22</v>
      </c>
      <c r="H1395" s="35">
        <v>1</v>
      </c>
      <c r="I1395" s="30"/>
      <c r="J1395" s="30"/>
      <c r="K1395" s="30" t="s">
        <v>52</v>
      </c>
      <c r="L1395" s="30" t="s">
        <v>53</v>
      </c>
      <c r="M1395" s="30" t="s">
        <v>55</v>
      </c>
      <c r="N1395" s="30" t="s">
        <v>111</v>
      </c>
      <c r="O1395" s="30" t="s">
        <v>178</v>
      </c>
      <c r="P1395" s="30" t="s">
        <v>136</v>
      </c>
      <c r="Q1395" s="30" t="s">
        <v>58</v>
      </c>
      <c r="R1395" s="30" t="s">
        <v>75</v>
      </c>
      <c r="S1395" s="30" t="s">
        <v>128</v>
      </c>
      <c r="T1395" s="30" t="s">
        <v>106</v>
      </c>
      <c r="U1395" s="30" t="s">
        <v>62</v>
      </c>
      <c r="V1395" s="30" t="s">
        <v>77</v>
      </c>
      <c r="W1395" s="30" t="s">
        <v>79</v>
      </c>
      <c r="X1395" s="30" t="s">
        <v>173</v>
      </c>
      <c r="Y1395" s="30" t="s">
        <v>80</v>
      </c>
      <c r="Z1395" s="30" t="s">
        <v>64</v>
      </c>
      <c r="AA1395" s="30" t="s">
        <v>468</v>
      </c>
      <c r="AB1395" s="30"/>
      <c r="AC1395" s="30" t="s">
        <v>3919</v>
      </c>
    </row>
    <row r="1396" spans="1:29">
      <c r="A1396" s="24" t="s">
        <v>3920</v>
      </c>
      <c r="B1396" s="24" t="str">
        <f>IF(ISNUMBER(SEARCH(E1396,A1396)),A1396,IF(OR(E1396="",E1396=""),A1396,A1396&amp;" - "&amp;E1396))</f>
        <v>avaay Signature 34/1 OGC - Ocean Grown Cookies</v>
      </c>
      <c r="C1396" s="24" t="s">
        <v>569</v>
      </c>
      <c r="D1396" s="24" t="s">
        <v>570</v>
      </c>
      <c r="E1396" s="41" t="s">
        <v>1696</v>
      </c>
      <c r="F1396" s="41" t="s">
        <v>177</v>
      </c>
      <c r="G1396" s="27">
        <v>34</v>
      </c>
      <c r="H1396" s="28">
        <v>1</v>
      </c>
      <c r="I1396" s="24"/>
      <c r="J1396" s="24"/>
      <c r="K1396" s="24" t="s">
        <v>52</v>
      </c>
      <c r="L1396" s="24" t="s">
        <v>53</v>
      </c>
      <c r="M1396" s="24" t="s">
        <v>54</v>
      </c>
      <c r="N1396" s="24" t="s">
        <v>178</v>
      </c>
      <c r="O1396" s="24" t="s">
        <v>88</v>
      </c>
      <c r="P1396" s="24" t="s">
        <v>59</v>
      </c>
      <c r="Q1396" s="24" t="s">
        <v>75</v>
      </c>
      <c r="R1396" s="24" t="s">
        <v>89</v>
      </c>
      <c r="S1396" s="24" t="s">
        <v>106</v>
      </c>
      <c r="T1396" s="24" t="s">
        <v>62</v>
      </c>
      <c r="U1396" s="24" t="s">
        <v>123</v>
      </c>
      <c r="V1396" s="24" t="s">
        <v>116</v>
      </c>
      <c r="W1396" s="24" t="s">
        <v>93</v>
      </c>
      <c r="X1396" s="24" t="s">
        <v>107</v>
      </c>
      <c r="Y1396" s="24"/>
      <c r="Z1396" s="24" t="s">
        <v>64</v>
      </c>
      <c r="AA1396" s="24" t="s">
        <v>572</v>
      </c>
      <c r="AB1396" s="24"/>
      <c r="AC1396" s="24" t="s">
        <v>3921</v>
      </c>
    </row>
    <row r="1397" spans="1:29">
      <c r="A1397" s="30" t="s">
        <v>3922</v>
      </c>
      <c r="B1397" s="30" t="str">
        <f>IF(ISNUMBER(SEARCH(E1397,A1397)),A1397,IF(OR(E1397="",E1397=""),A1397,A1397&amp;" - "&amp;E1397))</f>
        <v>avaay Signature 29/1 OGC - Ocean Grown Cookies</v>
      </c>
      <c r="C1397" s="30" t="s">
        <v>569</v>
      </c>
      <c r="D1397" s="30" t="s">
        <v>570</v>
      </c>
      <c r="E1397" s="40" t="s">
        <v>1696</v>
      </c>
      <c r="F1397" s="40" t="s">
        <v>177</v>
      </c>
      <c r="G1397" s="34">
        <v>29</v>
      </c>
      <c r="H1397" s="35">
        <v>1</v>
      </c>
      <c r="I1397" s="30"/>
      <c r="J1397" s="30"/>
      <c r="K1397" s="30" t="s">
        <v>52</v>
      </c>
      <c r="L1397" s="30" t="s">
        <v>53</v>
      </c>
      <c r="M1397" s="30" t="s">
        <v>54</v>
      </c>
      <c r="N1397" s="30" t="s">
        <v>178</v>
      </c>
      <c r="O1397" s="30" t="s">
        <v>88</v>
      </c>
      <c r="P1397" s="30" t="s">
        <v>59</v>
      </c>
      <c r="Q1397" s="30" t="s">
        <v>75</v>
      </c>
      <c r="R1397" s="30" t="s">
        <v>89</v>
      </c>
      <c r="S1397" s="30" t="s">
        <v>106</v>
      </c>
      <c r="T1397" s="30" t="s">
        <v>62</v>
      </c>
      <c r="U1397" s="30" t="s">
        <v>123</v>
      </c>
      <c r="V1397" s="30" t="s">
        <v>116</v>
      </c>
      <c r="W1397" s="30" t="s">
        <v>93</v>
      </c>
      <c r="X1397" s="30" t="s">
        <v>107</v>
      </c>
      <c r="Y1397" s="30" t="s">
        <v>1065</v>
      </c>
      <c r="Z1397" s="30" t="s">
        <v>64</v>
      </c>
      <c r="AA1397" s="30" t="s">
        <v>572</v>
      </c>
      <c r="AB1397" s="30"/>
      <c r="AC1397" s="30" t="s">
        <v>3923</v>
      </c>
    </row>
    <row r="1398" spans="1:29">
      <c r="A1398" s="24" t="s">
        <v>3924</v>
      </c>
      <c r="B1398" s="24" t="str">
        <f>IF(ISNUMBER(SEARCH(E1398,A1398)),A1398,IF(OR(E1398="",E1398=""),A1398,A1398&amp;" - "&amp;E1398))</f>
        <v>420 Evolution 36/1 CA PCH - Peach Chementine</v>
      </c>
      <c r="C1398" s="24" t="s">
        <v>463</v>
      </c>
      <c r="D1398" s="24" t="s">
        <v>464</v>
      </c>
      <c r="E1398" s="41" t="s">
        <v>3781</v>
      </c>
      <c r="F1398" s="41" t="s">
        <v>86</v>
      </c>
      <c r="G1398" s="27">
        <v>36</v>
      </c>
      <c r="H1398" s="28">
        <v>1</v>
      </c>
      <c r="I1398" s="24"/>
      <c r="J1398" s="24"/>
      <c r="K1398" s="24" t="s">
        <v>52</v>
      </c>
      <c r="L1398" s="24" t="s">
        <v>53</v>
      </c>
      <c r="M1398" s="24" t="s">
        <v>72</v>
      </c>
      <c r="N1398" s="24" t="s">
        <v>156</v>
      </c>
      <c r="O1398" s="24" t="s">
        <v>88</v>
      </c>
      <c r="P1398" s="24" t="s">
        <v>89</v>
      </c>
      <c r="Q1398" s="24" t="s">
        <v>73</v>
      </c>
      <c r="R1398" s="24" t="s">
        <v>58</v>
      </c>
      <c r="S1398" s="24" t="s">
        <v>128</v>
      </c>
      <c r="T1398" s="24" t="s">
        <v>106</v>
      </c>
      <c r="U1398" s="24" t="s">
        <v>164</v>
      </c>
      <c r="V1398" s="24" t="s">
        <v>79</v>
      </c>
      <c r="W1398" s="24" t="s">
        <v>116</v>
      </c>
      <c r="X1398" s="24" t="s">
        <v>173</v>
      </c>
      <c r="Y1398" s="24" t="s">
        <v>3925</v>
      </c>
      <c r="Z1398" s="24" t="s">
        <v>64</v>
      </c>
      <c r="AA1398" s="24" t="s">
        <v>468</v>
      </c>
      <c r="AB1398" s="24"/>
      <c r="AC1398" s="24" t="s">
        <v>3926</v>
      </c>
    </row>
    <row r="1399" spans="1:29">
      <c r="A1399" s="30" t="s">
        <v>3927</v>
      </c>
      <c r="B1399" s="30" t="str">
        <f>IF(ISNUMBER(SEARCH(E1399,A1399)),A1399,IF(OR(E1399="",E1399=""),A1399,A1399&amp;" - "&amp;E1399))</f>
        <v>Tweed 23/1 - Wappa</v>
      </c>
      <c r="C1399" s="30" t="s">
        <v>547</v>
      </c>
      <c r="D1399" s="30" t="s">
        <v>548</v>
      </c>
      <c r="E1399" s="40" t="s">
        <v>566</v>
      </c>
      <c r="F1399" s="40" t="s">
        <v>177</v>
      </c>
      <c r="G1399" s="34">
        <v>23</v>
      </c>
      <c r="H1399" s="35">
        <v>1</v>
      </c>
      <c r="I1399" s="30"/>
      <c r="J1399" s="30"/>
      <c r="K1399" s="30" t="s">
        <v>52</v>
      </c>
      <c r="L1399" s="30" t="s">
        <v>53</v>
      </c>
      <c r="M1399" s="30" t="s">
        <v>121</v>
      </c>
      <c r="N1399" s="30" t="s">
        <v>212</v>
      </c>
      <c r="O1399" s="30" t="s">
        <v>72</v>
      </c>
      <c r="P1399" s="30" t="s">
        <v>75</v>
      </c>
      <c r="Q1399" s="30" t="s">
        <v>89</v>
      </c>
      <c r="R1399" s="30"/>
      <c r="S1399" s="30" t="s">
        <v>62</v>
      </c>
      <c r="T1399" s="30" t="s">
        <v>164</v>
      </c>
      <c r="U1399" s="30" t="s">
        <v>147</v>
      </c>
      <c r="V1399" s="30" t="s">
        <v>77</v>
      </c>
      <c r="W1399" s="30" t="s">
        <v>79</v>
      </c>
      <c r="X1399" s="30" t="s">
        <v>107</v>
      </c>
      <c r="Y1399" s="30" t="s">
        <v>1537</v>
      </c>
      <c r="Z1399" s="30" t="s">
        <v>64</v>
      </c>
      <c r="AA1399" s="30" t="s">
        <v>551</v>
      </c>
      <c r="AB1399" s="30"/>
      <c r="AC1399" s="30" t="s">
        <v>3928</v>
      </c>
    </row>
    <row r="1400" spans="1:29">
      <c r="A1400" s="24" t="s">
        <v>3929</v>
      </c>
      <c r="B1400" s="24" t="str">
        <f>IF(ISNUMBER(SEARCH(E1400,A1400)),A1400,IF(OR(E1400="",E1400=""),A1400,A1400&amp;" - "&amp;E1400))</f>
        <v>avaay Khalifa 28/1 KM - Khalifa Mints</v>
      </c>
      <c r="C1400" s="24" t="s">
        <v>569</v>
      </c>
      <c r="D1400" s="24" t="s">
        <v>570</v>
      </c>
      <c r="E1400" s="41" t="s">
        <v>3930</v>
      </c>
      <c r="F1400" s="41" t="s">
        <v>86</v>
      </c>
      <c r="G1400" s="27">
        <v>28</v>
      </c>
      <c r="H1400" s="28">
        <v>1</v>
      </c>
      <c r="I1400" s="24"/>
      <c r="J1400" s="24"/>
      <c r="K1400" s="24" t="s">
        <v>52</v>
      </c>
      <c r="L1400" s="24" t="s">
        <v>53</v>
      </c>
      <c r="M1400" s="24" t="s">
        <v>54</v>
      </c>
      <c r="N1400" s="24" t="s">
        <v>72</v>
      </c>
      <c r="O1400" s="24" t="s">
        <v>55</v>
      </c>
      <c r="P1400" s="24" t="s">
        <v>57</v>
      </c>
      <c r="Q1400" s="24" t="s">
        <v>74</v>
      </c>
      <c r="R1400" s="24" t="s">
        <v>59</v>
      </c>
      <c r="S1400" s="24" t="s">
        <v>106</v>
      </c>
      <c r="T1400" s="24" t="s">
        <v>123</v>
      </c>
      <c r="U1400" s="24" t="s">
        <v>60</v>
      </c>
      <c r="V1400" s="24" t="s">
        <v>79</v>
      </c>
      <c r="W1400" s="24" t="s">
        <v>116</v>
      </c>
      <c r="X1400" s="24" t="s">
        <v>93</v>
      </c>
      <c r="Y1400" s="24" t="s">
        <v>2644</v>
      </c>
      <c r="Z1400" s="24" t="s">
        <v>64</v>
      </c>
      <c r="AA1400" s="24" t="s">
        <v>572</v>
      </c>
      <c r="AB1400" s="24" t="s">
        <v>663</v>
      </c>
      <c r="AC1400" s="24" t="s">
        <v>3931</v>
      </c>
    </row>
    <row r="1401" spans="1:29">
      <c r="A1401" s="30" t="s">
        <v>3932</v>
      </c>
      <c r="B1401" s="30" t="str">
        <f>IF(ISNUMBER(SEARCH(E1401,A1401)),A1401,IF(OR(E1401="",E1401=""),A1401,A1401&amp;" - "&amp;E1401))</f>
        <v>420 Sungrown 18/1 CA Dog - Chemdog</v>
      </c>
      <c r="C1401" s="30" t="s">
        <v>463</v>
      </c>
      <c r="D1401" s="30" t="s">
        <v>464</v>
      </c>
      <c r="E1401" s="40" t="s">
        <v>2997</v>
      </c>
      <c r="F1401" s="40" t="s">
        <v>177</v>
      </c>
      <c r="G1401" s="34">
        <v>18</v>
      </c>
      <c r="H1401" s="35">
        <v>1</v>
      </c>
      <c r="I1401" s="30"/>
      <c r="J1401" s="30"/>
      <c r="K1401" s="30" t="s">
        <v>52</v>
      </c>
      <c r="L1401" s="30" t="s">
        <v>53</v>
      </c>
      <c r="M1401" s="30" t="s">
        <v>88</v>
      </c>
      <c r="N1401" s="30" t="s">
        <v>72</v>
      </c>
      <c r="O1401" s="30" t="s">
        <v>54</v>
      </c>
      <c r="P1401" s="30" t="s">
        <v>74</v>
      </c>
      <c r="Q1401" s="30" t="s">
        <v>73</v>
      </c>
      <c r="R1401" s="30" t="s">
        <v>59</v>
      </c>
      <c r="S1401" s="30" t="s">
        <v>106</v>
      </c>
      <c r="T1401" s="30" t="s">
        <v>62</v>
      </c>
      <c r="U1401" s="30" t="s">
        <v>147</v>
      </c>
      <c r="V1401" s="30" t="s">
        <v>93</v>
      </c>
      <c r="W1401" s="30" t="s">
        <v>107</v>
      </c>
      <c r="X1401" s="30" t="s">
        <v>173</v>
      </c>
      <c r="Y1401" s="30" t="s">
        <v>1135</v>
      </c>
      <c r="Z1401" s="30" t="s">
        <v>64</v>
      </c>
      <c r="AA1401" s="30" t="s">
        <v>468</v>
      </c>
      <c r="AB1401" s="30"/>
      <c r="AC1401" s="30" t="s">
        <v>3933</v>
      </c>
    </row>
    <row r="1402" spans="1:29">
      <c r="A1402" s="24" t="s">
        <v>3934</v>
      </c>
      <c r="B1402" s="24" t="str">
        <f>IF(ISNUMBER(SEARCH(E1402,A1402)),A1402,IF(OR(E1402="",E1402=""),A1402,A1402&amp;" - "&amp;E1402))</f>
        <v>madrecan 24/1 DGV - Dougs Varin</v>
      </c>
      <c r="C1402" s="24" t="s">
        <v>83</v>
      </c>
      <c r="D1402" s="24" t="s">
        <v>84</v>
      </c>
      <c r="E1402" s="41" t="s">
        <v>3935</v>
      </c>
      <c r="F1402" s="41" t="s">
        <v>69</v>
      </c>
      <c r="G1402" s="27">
        <v>24</v>
      </c>
      <c r="H1402" s="28">
        <v>1</v>
      </c>
      <c r="I1402" s="24"/>
      <c r="J1402" s="24"/>
      <c r="K1402" s="24" t="s">
        <v>17</v>
      </c>
      <c r="L1402" s="24" t="s">
        <v>102</v>
      </c>
      <c r="M1402" s="24" t="s">
        <v>72</v>
      </c>
      <c r="N1402" s="24" t="s">
        <v>88</v>
      </c>
      <c r="O1402" s="24" t="s">
        <v>111</v>
      </c>
      <c r="P1402" s="24" t="s">
        <v>59</v>
      </c>
      <c r="Q1402" s="24" t="s">
        <v>146</v>
      </c>
      <c r="R1402" s="24" t="s">
        <v>74</v>
      </c>
      <c r="S1402" s="24" t="s">
        <v>106</v>
      </c>
      <c r="T1402" s="24" t="s">
        <v>179</v>
      </c>
      <c r="U1402" s="24" t="s">
        <v>62</v>
      </c>
      <c r="V1402" s="24" t="s">
        <v>77</v>
      </c>
      <c r="W1402" s="24" t="s">
        <v>173</v>
      </c>
      <c r="X1402" s="24"/>
      <c r="Y1402" s="24" t="s">
        <v>268</v>
      </c>
      <c r="Z1402" s="24" t="s">
        <v>64</v>
      </c>
      <c r="AA1402" s="24" t="s">
        <v>95</v>
      </c>
      <c r="AB1402" s="24"/>
      <c r="AC1402" s="24" t="s">
        <v>3936</v>
      </c>
    </row>
    <row r="1403" spans="1:29">
      <c r="A1403" s="30" t="s">
        <v>3937</v>
      </c>
      <c r="B1403" s="30" t="str">
        <f>IF(ISNUMBER(SEARCH(E1403,A1403)),A1403,IF(OR(E1403="",E1403=""),A1403,A1403&amp;" - "&amp;E1403))</f>
        <v>Therismos 28/1 PKM - Pink Kush Mints</v>
      </c>
      <c r="C1403" s="30" t="s">
        <v>741</v>
      </c>
      <c r="D1403" s="30" t="s">
        <v>742</v>
      </c>
      <c r="E1403" s="40" t="s">
        <v>3938</v>
      </c>
      <c r="F1403" s="40" t="s">
        <v>86</v>
      </c>
      <c r="G1403" s="34">
        <v>31</v>
      </c>
      <c r="H1403" s="35">
        <v>1</v>
      </c>
      <c r="I1403" s="30"/>
      <c r="J1403" s="30"/>
      <c r="K1403" s="30" t="s">
        <v>52</v>
      </c>
      <c r="L1403" s="30" t="s">
        <v>53</v>
      </c>
      <c r="M1403" s="30" t="s">
        <v>88</v>
      </c>
      <c r="N1403" s="30" t="s">
        <v>72</v>
      </c>
      <c r="O1403" s="30"/>
      <c r="P1403" s="30" t="s">
        <v>89</v>
      </c>
      <c r="Q1403" s="30" t="s">
        <v>104</v>
      </c>
      <c r="R1403" s="30" t="s">
        <v>59</v>
      </c>
      <c r="S1403" s="30" t="s">
        <v>106</v>
      </c>
      <c r="T1403" s="30" t="s">
        <v>62</v>
      </c>
      <c r="U1403" s="30" t="s">
        <v>123</v>
      </c>
      <c r="V1403" s="30" t="s">
        <v>107</v>
      </c>
      <c r="W1403" s="30" t="s">
        <v>138</v>
      </c>
      <c r="X1403" s="30" t="s">
        <v>116</v>
      </c>
      <c r="Y1403" s="30" t="s">
        <v>3939</v>
      </c>
      <c r="Z1403" s="30" t="s">
        <v>64</v>
      </c>
      <c r="AA1403" s="30" t="s">
        <v>742</v>
      </c>
      <c r="AB1403" s="30"/>
      <c r="AC1403" s="30" t="s">
        <v>3940</v>
      </c>
    </row>
    <row r="1404" spans="1:29">
      <c r="A1404" s="24" t="s">
        <v>3941</v>
      </c>
      <c r="B1404" s="24" t="str">
        <f>IF(ISNUMBER(SEARCH(E1404,A1404)),A1404,IF(OR(E1404="",E1404=""),A1404,A1404&amp;" - "&amp;E1404))</f>
        <v>enua 22/1 BNM CA - Banana Mints</v>
      </c>
      <c r="C1404" s="24" t="s">
        <v>650</v>
      </c>
      <c r="D1404" s="24" t="s">
        <v>651</v>
      </c>
      <c r="E1404" s="41" t="s">
        <v>3808</v>
      </c>
      <c r="F1404" s="41" t="s">
        <v>177</v>
      </c>
      <c r="G1404" s="27">
        <v>23</v>
      </c>
      <c r="H1404" s="28">
        <v>1</v>
      </c>
      <c r="I1404" s="24"/>
      <c r="J1404" s="24"/>
      <c r="K1404" s="24" t="s">
        <v>52</v>
      </c>
      <c r="L1404" s="24" t="s">
        <v>53</v>
      </c>
      <c r="M1404" s="24" t="s">
        <v>111</v>
      </c>
      <c r="N1404" s="24" t="s">
        <v>72</v>
      </c>
      <c r="O1404" s="24" t="s">
        <v>121</v>
      </c>
      <c r="P1404" s="24" t="s">
        <v>59</v>
      </c>
      <c r="Q1404" s="24" t="s">
        <v>112</v>
      </c>
      <c r="R1404" s="24" t="s">
        <v>74</v>
      </c>
      <c r="S1404" s="24" t="s">
        <v>128</v>
      </c>
      <c r="T1404" s="24" t="s">
        <v>106</v>
      </c>
      <c r="U1404" s="24" t="s">
        <v>62</v>
      </c>
      <c r="V1404" s="24" t="s">
        <v>173</v>
      </c>
      <c r="W1404" s="24" t="s">
        <v>77</v>
      </c>
      <c r="X1404" s="24" t="s">
        <v>116</v>
      </c>
      <c r="Y1404" s="24" t="s">
        <v>3942</v>
      </c>
      <c r="Z1404" s="24" t="s">
        <v>64</v>
      </c>
      <c r="AA1404" s="24" t="s">
        <v>653</v>
      </c>
      <c r="AB1404" s="24"/>
      <c r="AC1404" s="24" t="s">
        <v>3943</v>
      </c>
    </row>
    <row r="1405" spans="1:29">
      <c r="A1405" s="30" t="s">
        <v>3843</v>
      </c>
      <c r="B1405" s="30" t="str">
        <f>IF(ISNUMBER(SEARCH(E1405,A1405)),A1405,IF(OR(E1405="",E1405=""),A1405,A1405&amp;" - "&amp;E1405))</f>
        <v>MGF Pop Up No. 1 - Red Bullz</v>
      </c>
      <c r="C1405" s="30" t="s">
        <v>3108</v>
      </c>
      <c r="D1405" s="30" t="s">
        <v>3109</v>
      </c>
      <c r="E1405" s="40" t="s">
        <v>3944</v>
      </c>
      <c r="F1405" s="40" t="s">
        <v>144</v>
      </c>
      <c r="G1405" s="34">
        <v>26</v>
      </c>
      <c r="H1405" s="35">
        <v>1</v>
      </c>
      <c r="I1405" s="30"/>
      <c r="J1405" s="30"/>
      <c r="K1405" s="30" t="s">
        <v>52</v>
      </c>
      <c r="L1405" s="30" t="s">
        <v>102</v>
      </c>
      <c r="M1405" s="30" t="s">
        <v>54</v>
      </c>
      <c r="N1405" s="30" t="s">
        <v>88</v>
      </c>
      <c r="O1405" s="30" t="s">
        <v>55</v>
      </c>
      <c r="P1405" s="30" t="s">
        <v>75</v>
      </c>
      <c r="Q1405" s="30" t="s">
        <v>59</v>
      </c>
      <c r="R1405" s="30" t="s">
        <v>58</v>
      </c>
      <c r="S1405" s="30" t="s">
        <v>106</v>
      </c>
      <c r="T1405" s="30" t="s">
        <v>62</v>
      </c>
      <c r="U1405" s="30"/>
      <c r="V1405" s="30" t="s">
        <v>180</v>
      </c>
      <c r="W1405" s="30" t="s">
        <v>107</v>
      </c>
      <c r="X1405" s="30" t="s">
        <v>79</v>
      </c>
      <c r="Y1405" s="30" t="s">
        <v>361</v>
      </c>
      <c r="Z1405" s="30" t="s">
        <v>64</v>
      </c>
      <c r="AA1405" s="30" t="s">
        <v>3109</v>
      </c>
      <c r="AB1405" s="30"/>
      <c r="AC1405" s="30" t="s">
        <v>3945</v>
      </c>
    </row>
    <row r="1406" spans="1:29">
      <c r="A1406" s="24" t="s">
        <v>3946</v>
      </c>
      <c r="B1406" s="24" t="str">
        <f>IF(ISNUMBER(SEARCH(E1406,A1406)),A1406,IF(OR(E1406="",E1406=""),A1406,A1406&amp;" - "&amp;E1406))</f>
        <v>Demecan Core Solar 21/1 - Black Russian</v>
      </c>
      <c r="C1406" s="24" t="s">
        <v>484</v>
      </c>
      <c r="D1406" s="24" t="s">
        <v>485</v>
      </c>
      <c r="E1406" s="41" t="s">
        <v>1350</v>
      </c>
      <c r="F1406" s="41" t="s">
        <v>177</v>
      </c>
      <c r="G1406" s="27">
        <v>21</v>
      </c>
      <c r="H1406" s="28">
        <v>1</v>
      </c>
      <c r="I1406" s="24"/>
      <c r="J1406" s="24"/>
      <c r="K1406" s="24" t="s">
        <v>52</v>
      </c>
      <c r="L1406" s="24" t="s">
        <v>53</v>
      </c>
      <c r="M1406" s="24" t="s">
        <v>121</v>
      </c>
      <c r="N1406" s="24" t="s">
        <v>72</v>
      </c>
      <c r="O1406" s="24"/>
      <c r="P1406" s="24" t="s">
        <v>74</v>
      </c>
      <c r="Q1406" s="24" t="s">
        <v>89</v>
      </c>
      <c r="R1406" s="24" t="s">
        <v>59</v>
      </c>
      <c r="S1406" s="24" t="s">
        <v>128</v>
      </c>
      <c r="T1406" s="24" t="s">
        <v>62</v>
      </c>
      <c r="U1406" s="24" t="s">
        <v>164</v>
      </c>
      <c r="V1406" s="24" t="s">
        <v>107</v>
      </c>
      <c r="W1406" s="24" t="s">
        <v>173</v>
      </c>
      <c r="X1406" s="24" t="s">
        <v>77</v>
      </c>
      <c r="Y1406" s="24" t="s">
        <v>311</v>
      </c>
      <c r="Z1406" s="24" t="s">
        <v>64</v>
      </c>
      <c r="AA1406" s="24" t="s">
        <v>485</v>
      </c>
      <c r="AB1406" s="24"/>
      <c r="AC1406" s="24" t="s">
        <v>3947</v>
      </c>
    </row>
    <row r="1407" spans="1:29">
      <c r="A1407" s="30" t="s">
        <v>3948</v>
      </c>
      <c r="B1407" s="30" t="str">
        <f>IF(ISNUMBER(SEARCH(E1407,A1407)),A1407,IF(OR(E1407="",E1407=""),A1407,A1407&amp;" - "&amp;E1407))</f>
        <v>Remexian 30/1 CRN GRB - Garlic Breath</v>
      </c>
      <c r="C1407" s="30" t="s">
        <v>83</v>
      </c>
      <c r="D1407" s="30" t="s">
        <v>84</v>
      </c>
      <c r="E1407" s="40" t="s">
        <v>480</v>
      </c>
      <c r="F1407" s="40" t="s">
        <v>177</v>
      </c>
      <c r="G1407" s="34">
        <v>30</v>
      </c>
      <c r="H1407" s="35">
        <v>1</v>
      </c>
      <c r="I1407" s="30"/>
      <c r="J1407" s="30"/>
      <c r="K1407" s="30" t="s">
        <v>52</v>
      </c>
      <c r="L1407" s="30" t="s">
        <v>53</v>
      </c>
      <c r="M1407" s="30" t="s">
        <v>178</v>
      </c>
      <c r="N1407" s="30" t="s">
        <v>121</v>
      </c>
      <c r="O1407" s="30" t="s">
        <v>72</v>
      </c>
      <c r="P1407" s="30" t="s">
        <v>59</v>
      </c>
      <c r="Q1407" s="30" t="s">
        <v>186</v>
      </c>
      <c r="R1407" s="30"/>
      <c r="S1407" s="30" t="s">
        <v>106</v>
      </c>
      <c r="T1407" s="30" t="s">
        <v>62</v>
      </c>
      <c r="U1407" s="30" t="s">
        <v>147</v>
      </c>
      <c r="V1407" s="30" t="s">
        <v>107</v>
      </c>
      <c r="W1407" s="30" t="s">
        <v>77</v>
      </c>
      <c r="X1407" s="30" t="s">
        <v>129</v>
      </c>
      <c r="Y1407" s="30" t="s">
        <v>3949</v>
      </c>
      <c r="Z1407" s="30" t="s">
        <v>64</v>
      </c>
      <c r="AA1407" s="30" t="s">
        <v>95</v>
      </c>
      <c r="AB1407" s="30"/>
      <c r="AC1407" s="30" t="s">
        <v>3950</v>
      </c>
    </row>
    <row r="1408" spans="1:29">
      <c r="A1408" s="24" t="s">
        <v>3951</v>
      </c>
      <c r="B1408" s="24" t="str">
        <f>IF(ISNUMBER(SEARCH(E1408,A1408)),A1408,IF(OR(E1408="",E1408=""),A1408,A1408&amp;" - "&amp;E1408))</f>
        <v>420 Sungrown 27/1 CA ZRP - Zour Apple</v>
      </c>
      <c r="C1408" s="24" t="s">
        <v>463</v>
      </c>
      <c r="D1408" s="24" t="s">
        <v>464</v>
      </c>
      <c r="E1408" s="41" t="s">
        <v>590</v>
      </c>
      <c r="F1408" s="41" t="s">
        <v>177</v>
      </c>
      <c r="G1408" s="27">
        <v>27</v>
      </c>
      <c r="H1408" s="28">
        <v>1</v>
      </c>
      <c r="I1408" s="24"/>
      <c r="J1408" s="24"/>
      <c r="K1408" s="24" t="s">
        <v>52</v>
      </c>
      <c r="L1408" s="24" t="s">
        <v>53</v>
      </c>
      <c r="M1408" s="24" t="s">
        <v>111</v>
      </c>
      <c r="N1408" s="24" t="s">
        <v>178</v>
      </c>
      <c r="O1408" s="24" t="s">
        <v>72</v>
      </c>
      <c r="P1408" s="24" t="s">
        <v>58</v>
      </c>
      <c r="Q1408" s="24" t="s">
        <v>591</v>
      </c>
      <c r="R1408" s="24"/>
      <c r="S1408" s="24" t="s">
        <v>90</v>
      </c>
      <c r="T1408" s="24" t="s">
        <v>128</v>
      </c>
      <c r="U1408" s="24" t="s">
        <v>62</v>
      </c>
      <c r="V1408" s="24" t="s">
        <v>107</v>
      </c>
      <c r="W1408" s="24" t="s">
        <v>93</v>
      </c>
      <c r="X1408" s="24" t="s">
        <v>92</v>
      </c>
      <c r="Y1408" s="24"/>
      <c r="Z1408" s="24" t="s">
        <v>64</v>
      </c>
      <c r="AA1408" s="24" t="s">
        <v>468</v>
      </c>
      <c r="AB1408" s="24"/>
      <c r="AC1408" s="24" t="s">
        <v>3952</v>
      </c>
    </row>
    <row r="1409" spans="1:29">
      <c r="A1409" s="30" t="s">
        <v>3953</v>
      </c>
      <c r="B1409" s="30" t="str">
        <f>IF(ISNUMBER(SEARCH(E1409,A1409)),A1409,IF(OR(E1409="",E1409=""),A1409,A1409&amp;" - "&amp;E1409))</f>
        <v>Ceres Cap J 30/1 - Cap Junky</v>
      </c>
      <c r="C1409" s="30" t="s">
        <v>564</v>
      </c>
      <c r="D1409" s="30" t="s">
        <v>565</v>
      </c>
      <c r="E1409" s="40" t="s">
        <v>1594</v>
      </c>
      <c r="F1409" s="40" t="s">
        <v>86</v>
      </c>
      <c r="G1409" s="34">
        <v>30</v>
      </c>
      <c r="H1409" s="35">
        <v>1</v>
      </c>
      <c r="I1409" s="30"/>
      <c r="J1409" s="30"/>
      <c r="K1409" s="30" t="s">
        <v>52</v>
      </c>
      <c r="L1409" s="30" t="s">
        <v>53</v>
      </c>
      <c r="M1409" s="30" t="s">
        <v>111</v>
      </c>
      <c r="N1409" s="30" t="s">
        <v>54</v>
      </c>
      <c r="O1409" s="30" t="s">
        <v>178</v>
      </c>
      <c r="P1409" s="30" t="s">
        <v>74</v>
      </c>
      <c r="Q1409" s="30" t="s">
        <v>59</v>
      </c>
      <c r="R1409" s="30" t="s">
        <v>89</v>
      </c>
      <c r="S1409" s="30" t="s">
        <v>106</v>
      </c>
      <c r="T1409" s="30" t="s">
        <v>62</v>
      </c>
      <c r="U1409" s="30" t="s">
        <v>123</v>
      </c>
      <c r="V1409" s="30" t="s">
        <v>116</v>
      </c>
      <c r="W1409" s="30" t="s">
        <v>107</v>
      </c>
      <c r="X1409" s="30" t="s">
        <v>77</v>
      </c>
      <c r="Y1409" s="30" t="s">
        <v>2149</v>
      </c>
      <c r="Z1409" s="30" t="s">
        <v>64</v>
      </c>
      <c r="AA1409" s="30" t="s">
        <v>565</v>
      </c>
      <c r="AB1409" s="30"/>
      <c r="AC1409" s="30" t="s">
        <v>3954</v>
      </c>
    </row>
    <row r="1410" spans="1:29">
      <c r="A1410" s="24" t="s">
        <v>3955</v>
      </c>
      <c r="B1410" s="24" t="str">
        <f>IF(ISNUMBER(SEARCH(E1410,A1410)),A1410,IF(OR(E1410="",E1410=""),A1410,A1410&amp;" - "&amp;E1410))</f>
        <v>Canify Cannabis flos 23/1 PRT Ku. S - Black Cherry Pie</v>
      </c>
      <c r="C1410" s="24" t="s">
        <v>99</v>
      </c>
      <c r="D1410" s="24" t="s">
        <v>100</v>
      </c>
      <c r="E1410" s="41" t="s">
        <v>191</v>
      </c>
      <c r="F1410" s="41" t="s">
        <v>120</v>
      </c>
      <c r="G1410" s="27">
        <v>22</v>
      </c>
      <c r="H1410" s="28">
        <v>1</v>
      </c>
      <c r="I1410" s="24"/>
      <c r="J1410" s="24"/>
      <c r="K1410" s="24" t="s">
        <v>52</v>
      </c>
      <c r="L1410" s="24" t="s">
        <v>102</v>
      </c>
      <c r="M1410" s="24" t="s">
        <v>111</v>
      </c>
      <c r="N1410" s="24" t="s">
        <v>103</v>
      </c>
      <c r="O1410" s="24" t="s">
        <v>71</v>
      </c>
      <c r="P1410" s="24" t="s">
        <v>58</v>
      </c>
      <c r="Q1410" s="24" t="s">
        <v>113</v>
      </c>
      <c r="R1410" s="24"/>
      <c r="S1410" s="24" t="s">
        <v>62</v>
      </c>
      <c r="T1410" s="24" t="s">
        <v>105</v>
      </c>
      <c r="U1410" s="24" t="s">
        <v>192</v>
      </c>
      <c r="V1410" s="24" t="s">
        <v>711</v>
      </c>
      <c r="W1410" s="24" t="s">
        <v>93</v>
      </c>
      <c r="X1410" s="24" t="s">
        <v>116</v>
      </c>
      <c r="Y1410" s="24" t="s">
        <v>213</v>
      </c>
      <c r="Z1410" s="24" t="s">
        <v>64</v>
      </c>
      <c r="AA1410" s="24" t="s">
        <v>100</v>
      </c>
      <c r="AB1410" s="24" t="s">
        <v>194</v>
      </c>
      <c r="AC1410" s="24" t="s">
        <v>3956</v>
      </c>
    </row>
    <row r="1411" spans="1:29">
      <c r="A1411" s="30" t="s">
        <v>3957</v>
      </c>
      <c r="B1411" s="30" t="str">
        <f>IF(ISNUMBER(SEARCH(E1411,A1411)),A1411,IF(OR(E1411="",E1411=""),A1411,A1411&amp;" - "&amp;E1411))</f>
        <v>Cannamedical Indica forte URY Smalls - Dawg Bud Fusion</v>
      </c>
      <c r="C1411" s="30" t="s">
        <v>48</v>
      </c>
      <c r="D1411" s="30" t="s">
        <v>49</v>
      </c>
      <c r="E1411" s="40" t="s">
        <v>341</v>
      </c>
      <c r="F1411" s="40" t="s">
        <v>120</v>
      </c>
      <c r="G1411" s="34">
        <v>24</v>
      </c>
      <c r="H1411" s="35">
        <v>1</v>
      </c>
      <c r="I1411" s="30"/>
      <c r="J1411" s="30"/>
      <c r="K1411" s="30" t="s">
        <v>52</v>
      </c>
      <c r="L1411" s="30" t="s">
        <v>185</v>
      </c>
      <c r="M1411" s="30" t="s">
        <v>121</v>
      </c>
      <c r="N1411" s="30" t="s">
        <v>72</v>
      </c>
      <c r="O1411" s="30"/>
      <c r="P1411" s="30" t="s">
        <v>113</v>
      </c>
      <c r="Q1411" s="30" t="s">
        <v>74</v>
      </c>
      <c r="R1411" s="30" t="s">
        <v>89</v>
      </c>
      <c r="S1411" s="30" t="s">
        <v>128</v>
      </c>
      <c r="T1411" s="30" t="s">
        <v>106</v>
      </c>
      <c r="U1411" s="30" t="s">
        <v>76</v>
      </c>
      <c r="V1411" s="30" t="s">
        <v>173</v>
      </c>
      <c r="W1411" s="30" t="s">
        <v>116</v>
      </c>
      <c r="X1411" s="30" t="s">
        <v>107</v>
      </c>
      <c r="Y1411" s="30"/>
      <c r="Z1411" s="30" t="s">
        <v>64</v>
      </c>
      <c r="AA1411" s="30" t="s">
        <v>49</v>
      </c>
      <c r="AB1411" s="30"/>
      <c r="AC1411" s="30" t="s">
        <v>3958</v>
      </c>
    </row>
    <row r="1412" spans="1:29">
      <c r="A1412" s="24" t="s">
        <v>3959</v>
      </c>
      <c r="B1412" s="24" t="str">
        <f>IF(ISNUMBER(SEARCH(E1412,A1412)),A1412,IF(OR(E1412="",E1412=""),A1412,A1412&amp;" - "&amp;E1412))</f>
        <v>enua 25/1 ICCK CA - Ice Cream Cake</v>
      </c>
      <c r="C1412" s="24" t="s">
        <v>650</v>
      </c>
      <c r="D1412" s="24" t="s">
        <v>651</v>
      </c>
      <c r="E1412" s="41" t="s">
        <v>1214</v>
      </c>
      <c r="F1412" s="41" t="s">
        <v>177</v>
      </c>
      <c r="G1412" s="27">
        <v>25</v>
      </c>
      <c r="H1412" s="28">
        <v>1</v>
      </c>
      <c r="I1412" s="24"/>
      <c r="J1412" s="24"/>
      <c r="K1412" s="24" t="s">
        <v>52</v>
      </c>
      <c r="L1412" s="24" t="s">
        <v>53</v>
      </c>
      <c r="M1412" s="24" t="s">
        <v>121</v>
      </c>
      <c r="N1412" s="24" t="s">
        <v>72</v>
      </c>
      <c r="O1412" s="24" t="s">
        <v>103</v>
      </c>
      <c r="P1412" s="24" t="s">
        <v>89</v>
      </c>
      <c r="Q1412" s="24" t="s">
        <v>57</v>
      </c>
      <c r="R1412" s="24"/>
      <c r="S1412" s="24" t="s">
        <v>128</v>
      </c>
      <c r="T1412" s="24" t="s">
        <v>61</v>
      </c>
      <c r="U1412" s="24" t="s">
        <v>76</v>
      </c>
      <c r="V1412" s="24" t="s">
        <v>107</v>
      </c>
      <c r="W1412" s="24" t="s">
        <v>77</v>
      </c>
      <c r="X1412" s="24" t="s">
        <v>173</v>
      </c>
      <c r="Y1412" s="24" t="s">
        <v>555</v>
      </c>
      <c r="Z1412" s="24" t="s">
        <v>64</v>
      </c>
      <c r="AA1412" s="24" t="s">
        <v>653</v>
      </c>
      <c r="AB1412" s="24"/>
      <c r="AC1412" s="24" t="s">
        <v>3960</v>
      </c>
    </row>
    <row r="1413" spans="1:29">
      <c r="A1413" s="30" t="s">
        <v>3961</v>
      </c>
      <c r="B1413" s="30" t="str">
        <f>IF(ISNUMBER(SEARCH(E1413,A1413)),A1413,IF(OR(E1413="",E1413=""),A1413,A1413&amp;" - "&amp;E1413))</f>
        <v>enua 22/1 ICCK CA - Ice Cream Cake</v>
      </c>
      <c r="C1413" s="30" t="s">
        <v>650</v>
      </c>
      <c r="D1413" s="30" t="s">
        <v>651</v>
      </c>
      <c r="E1413" s="40" t="s">
        <v>1214</v>
      </c>
      <c r="F1413" s="40" t="s">
        <v>177</v>
      </c>
      <c r="G1413" s="34">
        <v>22</v>
      </c>
      <c r="H1413" s="35">
        <v>1</v>
      </c>
      <c r="I1413" s="30"/>
      <c r="J1413" s="30"/>
      <c r="K1413" s="30" t="s">
        <v>52</v>
      </c>
      <c r="L1413" s="30" t="s">
        <v>53</v>
      </c>
      <c r="M1413" s="30" t="s">
        <v>121</v>
      </c>
      <c r="N1413" s="30" t="s">
        <v>72</v>
      </c>
      <c r="O1413" s="30" t="s">
        <v>103</v>
      </c>
      <c r="P1413" s="30" t="s">
        <v>89</v>
      </c>
      <c r="Q1413" s="30" t="s">
        <v>57</v>
      </c>
      <c r="R1413" s="30"/>
      <c r="S1413" s="30" t="s">
        <v>128</v>
      </c>
      <c r="T1413" s="30" t="s">
        <v>61</v>
      </c>
      <c r="U1413" s="30" t="s">
        <v>76</v>
      </c>
      <c r="V1413" s="30" t="s">
        <v>107</v>
      </c>
      <c r="W1413" s="30" t="s">
        <v>77</v>
      </c>
      <c r="X1413" s="30" t="s">
        <v>173</v>
      </c>
      <c r="Y1413" s="30"/>
      <c r="Z1413" s="30" t="s">
        <v>64</v>
      </c>
      <c r="AA1413" s="30" t="s">
        <v>653</v>
      </c>
      <c r="AB1413" s="30"/>
      <c r="AC1413" s="30" t="s">
        <v>3962</v>
      </c>
    </row>
    <row r="1414" spans="1:29">
      <c r="A1414" s="24" t="s">
        <v>3963</v>
      </c>
      <c r="B1414" s="24" t="str">
        <f>IF(ISNUMBER(SEARCH(E1414,A1414)),A1414,IF(OR(E1414="",E1414=""),A1414,A1414&amp;" - "&amp;E1414))</f>
        <v>enua 20/1 ICCK CA - Ice Cream Cake</v>
      </c>
      <c r="C1414" s="24" t="s">
        <v>650</v>
      </c>
      <c r="D1414" s="24" t="s">
        <v>651</v>
      </c>
      <c r="E1414" s="41" t="s">
        <v>1214</v>
      </c>
      <c r="F1414" s="41" t="s">
        <v>177</v>
      </c>
      <c r="G1414" s="27">
        <v>20</v>
      </c>
      <c r="H1414" s="28">
        <v>1</v>
      </c>
      <c r="I1414" s="24"/>
      <c r="J1414" s="24"/>
      <c r="K1414" s="24" t="s">
        <v>52</v>
      </c>
      <c r="L1414" s="24" t="s">
        <v>53</v>
      </c>
      <c r="M1414" s="24" t="s">
        <v>121</v>
      </c>
      <c r="N1414" s="24" t="s">
        <v>72</v>
      </c>
      <c r="O1414" s="24" t="s">
        <v>103</v>
      </c>
      <c r="P1414" s="24" t="s">
        <v>89</v>
      </c>
      <c r="Q1414" s="24" t="s">
        <v>57</v>
      </c>
      <c r="R1414" s="24"/>
      <c r="S1414" s="24" t="s">
        <v>128</v>
      </c>
      <c r="T1414" s="24" t="s">
        <v>61</v>
      </c>
      <c r="U1414" s="24" t="s">
        <v>76</v>
      </c>
      <c r="V1414" s="24" t="s">
        <v>107</v>
      </c>
      <c r="W1414" s="24" t="s">
        <v>77</v>
      </c>
      <c r="X1414" s="24" t="s">
        <v>173</v>
      </c>
      <c r="Y1414" s="24"/>
      <c r="Z1414" s="24" t="s">
        <v>64</v>
      </c>
      <c r="AA1414" s="24" t="s">
        <v>653</v>
      </c>
      <c r="AB1414" s="24"/>
      <c r="AC1414" s="24" t="s">
        <v>3964</v>
      </c>
    </row>
    <row r="1415" spans="1:29">
      <c r="A1415" s="30" t="s">
        <v>3965</v>
      </c>
      <c r="B1415" s="30" t="str">
        <f>IF(ISNUMBER(SEARCH(E1415,A1415)),A1415,IF(OR(E1415="",E1415=""),A1415,A1415&amp;" - "&amp;E1415))</f>
        <v>Wellford Aquaponic 26/1 BOC - Bozy's Cure</v>
      </c>
      <c r="C1415" s="30" t="s">
        <v>741</v>
      </c>
      <c r="D1415" s="30" t="s">
        <v>742</v>
      </c>
      <c r="E1415" s="40" t="s">
        <v>3966</v>
      </c>
      <c r="F1415" s="40" t="s">
        <v>86</v>
      </c>
      <c r="G1415" s="34">
        <v>26</v>
      </c>
      <c r="H1415" s="35">
        <v>1</v>
      </c>
      <c r="I1415" s="30"/>
      <c r="J1415" s="30"/>
      <c r="K1415" s="30" t="s">
        <v>52</v>
      </c>
      <c r="L1415" s="30" t="s">
        <v>53</v>
      </c>
      <c r="M1415" s="30" t="s">
        <v>54</v>
      </c>
      <c r="N1415" s="30" t="s">
        <v>178</v>
      </c>
      <c r="O1415" s="30" t="s">
        <v>72</v>
      </c>
      <c r="P1415" s="30" t="s">
        <v>57</v>
      </c>
      <c r="Q1415" s="30" t="s">
        <v>146</v>
      </c>
      <c r="R1415" s="30" t="s">
        <v>136</v>
      </c>
      <c r="S1415" s="30" t="s">
        <v>106</v>
      </c>
      <c r="T1415" s="30" t="s">
        <v>62</v>
      </c>
      <c r="U1415" s="30" t="s">
        <v>164</v>
      </c>
      <c r="V1415" s="30" t="s">
        <v>79</v>
      </c>
      <c r="W1415" s="30" t="s">
        <v>116</v>
      </c>
      <c r="X1415" s="30" t="s">
        <v>93</v>
      </c>
      <c r="Y1415" s="30" t="s">
        <v>80</v>
      </c>
      <c r="Z1415" s="30" t="s">
        <v>64</v>
      </c>
      <c r="AA1415" s="30" t="s">
        <v>742</v>
      </c>
      <c r="AB1415" s="30" t="s">
        <v>979</v>
      </c>
      <c r="AC1415" s="30" t="s">
        <v>3967</v>
      </c>
    </row>
    <row r="1416" spans="1:29">
      <c r="A1416" s="24" t="s">
        <v>3968</v>
      </c>
      <c r="B1416" s="24" t="str">
        <f>IF(ISNUMBER(SEARCH(E1416,A1416)),A1416,IF(OR(E1416="",E1416=""),A1416,A1416&amp;" - "&amp;E1416))</f>
        <v>Wellford Aquaponic 30/1 PKM - Pink Kush Mints</v>
      </c>
      <c r="C1416" s="24" t="s">
        <v>741</v>
      </c>
      <c r="D1416" s="24" t="s">
        <v>742</v>
      </c>
      <c r="E1416" s="41" t="s">
        <v>3938</v>
      </c>
      <c r="F1416" s="41" t="s">
        <v>120</v>
      </c>
      <c r="G1416" s="27">
        <v>30</v>
      </c>
      <c r="H1416" s="28">
        <v>1</v>
      </c>
      <c r="I1416" s="24"/>
      <c r="J1416" s="24"/>
      <c r="K1416" s="24" t="s">
        <v>52</v>
      </c>
      <c r="L1416" s="24" t="s">
        <v>53</v>
      </c>
      <c r="M1416" s="24" t="s">
        <v>88</v>
      </c>
      <c r="N1416" s="24" t="s">
        <v>72</v>
      </c>
      <c r="O1416" s="24"/>
      <c r="P1416" s="24" t="s">
        <v>89</v>
      </c>
      <c r="Q1416" s="24" t="s">
        <v>104</v>
      </c>
      <c r="R1416" s="24" t="s">
        <v>59</v>
      </c>
      <c r="S1416" s="24" t="s">
        <v>106</v>
      </c>
      <c r="T1416" s="24" t="s">
        <v>76</v>
      </c>
      <c r="U1416" s="24" t="s">
        <v>62</v>
      </c>
      <c r="V1416" s="24" t="s">
        <v>107</v>
      </c>
      <c r="W1416" s="24" t="s">
        <v>138</v>
      </c>
      <c r="X1416" s="24" t="s">
        <v>116</v>
      </c>
      <c r="Y1416" s="24" t="s">
        <v>1112</v>
      </c>
      <c r="Z1416" s="24" t="s">
        <v>64</v>
      </c>
      <c r="AA1416" s="24" t="s">
        <v>742</v>
      </c>
      <c r="AB1416" s="24" t="s">
        <v>979</v>
      </c>
      <c r="AC1416" s="24" t="s">
        <v>3969</v>
      </c>
    </row>
    <row r="1417" spans="1:29">
      <c r="A1417" s="30" t="s">
        <v>3970</v>
      </c>
      <c r="B1417" s="30" t="str">
        <f>IF(ISNUMBER(SEARCH(E1417,A1417)),A1417,IF(OR(E1417="",E1417=""),A1417,A1417&amp;" - "&amp;E1417))</f>
        <v>Demecan HS Lean Drop 20/1 - Mandarin Soda</v>
      </c>
      <c r="C1417" s="30" t="s">
        <v>484</v>
      </c>
      <c r="D1417" s="30" t="s">
        <v>485</v>
      </c>
      <c r="E1417" s="40" t="s">
        <v>3971</v>
      </c>
      <c r="F1417" s="40" t="s">
        <v>86</v>
      </c>
      <c r="G1417" s="34">
        <v>20</v>
      </c>
      <c r="H1417" s="35">
        <v>1</v>
      </c>
      <c r="I1417" s="30"/>
      <c r="J1417" s="30"/>
      <c r="K1417" s="30" t="s">
        <v>52</v>
      </c>
      <c r="L1417" s="30" t="s">
        <v>202</v>
      </c>
      <c r="M1417" s="30" t="s">
        <v>178</v>
      </c>
      <c r="N1417" s="30" t="s">
        <v>111</v>
      </c>
      <c r="O1417" s="30" t="s">
        <v>72</v>
      </c>
      <c r="P1417" s="30" t="s">
        <v>59</v>
      </c>
      <c r="Q1417" s="30" t="s">
        <v>75</v>
      </c>
      <c r="R1417" s="30" t="s">
        <v>74</v>
      </c>
      <c r="S1417" s="30" t="s">
        <v>106</v>
      </c>
      <c r="T1417" s="30" t="s">
        <v>62</v>
      </c>
      <c r="U1417" s="30" t="s">
        <v>123</v>
      </c>
      <c r="V1417" s="30" t="s">
        <v>116</v>
      </c>
      <c r="W1417" s="30" t="s">
        <v>93</v>
      </c>
      <c r="X1417" s="30" t="s">
        <v>77</v>
      </c>
      <c r="Y1417" s="30"/>
      <c r="Z1417" s="30" t="s">
        <v>64</v>
      </c>
      <c r="AA1417" s="30" t="s">
        <v>485</v>
      </c>
      <c r="AB1417" s="30"/>
      <c r="AC1417" s="30" t="s">
        <v>3972</v>
      </c>
    </row>
    <row r="1418" spans="1:29">
      <c r="A1418" s="24" t="s">
        <v>1727</v>
      </c>
      <c r="B1418" s="24" t="str">
        <f>IF(ISNUMBER(SEARCH(E1418,A1418)),A1418,IF(OR(E1418="",E1418=""),A1418,A1418&amp;" - "&amp;E1418))</f>
        <v>Cannamedical Sativa Vita - Lavender Clouds</v>
      </c>
      <c r="C1418" s="24" t="s">
        <v>48</v>
      </c>
      <c r="D1418" s="24" t="s">
        <v>49</v>
      </c>
      <c r="E1418" s="41" t="s">
        <v>3973</v>
      </c>
      <c r="F1418" s="41" t="s">
        <v>144</v>
      </c>
      <c r="G1418" s="27">
        <v>14</v>
      </c>
      <c r="H1418" s="28">
        <v>1</v>
      </c>
      <c r="I1418" s="24"/>
      <c r="J1418" s="24"/>
      <c r="K1418" s="24" t="s">
        <v>52</v>
      </c>
      <c r="L1418" s="24" t="s">
        <v>53</v>
      </c>
      <c r="M1418" s="24" t="s">
        <v>55</v>
      </c>
      <c r="N1418" s="24" t="s">
        <v>71</v>
      </c>
      <c r="O1418" s="24" t="s">
        <v>72</v>
      </c>
      <c r="P1418" s="24" t="s">
        <v>157</v>
      </c>
      <c r="Q1418" s="24" t="s">
        <v>104</v>
      </c>
      <c r="R1418" s="24" t="s">
        <v>59</v>
      </c>
      <c r="S1418" s="24" t="s">
        <v>106</v>
      </c>
      <c r="T1418" s="24" t="s">
        <v>179</v>
      </c>
      <c r="U1418" s="24" t="s">
        <v>62</v>
      </c>
      <c r="V1418" s="24" t="s">
        <v>77</v>
      </c>
      <c r="W1418" s="24" t="s">
        <v>79</v>
      </c>
      <c r="X1418" s="24"/>
      <c r="Y1418" s="24"/>
      <c r="Z1418" s="24" t="s">
        <v>64</v>
      </c>
      <c r="AA1418" s="24" t="s">
        <v>49</v>
      </c>
      <c r="AB1418" s="24"/>
      <c r="AC1418" s="24" t="s">
        <v>3974</v>
      </c>
    </row>
    <row r="1419" spans="1:29">
      <c r="A1419" s="30" t="s">
        <v>3975</v>
      </c>
      <c r="B1419" s="30" t="str">
        <f>IF(ISNUMBER(SEARCH(E1419,A1419)),A1419,IF(OR(E1419="",E1419=""),A1419,A1419&amp;" - "&amp;E1419))</f>
        <v>enua SSV CA 22/1 - Sweet San Valley</v>
      </c>
      <c r="C1419" s="30" t="s">
        <v>650</v>
      </c>
      <c r="D1419" s="30" t="s">
        <v>651</v>
      </c>
      <c r="E1419" s="40" t="s">
        <v>3767</v>
      </c>
      <c r="F1419" s="40" t="s">
        <v>177</v>
      </c>
      <c r="G1419" s="34">
        <v>22</v>
      </c>
      <c r="H1419" s="35">
        <v>1</v>
      </c>
      <c r="I1419" s="30"/>
      <c r="J1419" s="30"/>
      <c r="K1419" s="30" t="s">
        <v>52</v>
      </c>
      <c r="L1419" s="30" t="s">
        <v>53</v>
      </c>
      <c r="M1419" s="30" t="s">
        <v>111</v>
      </c>
      <c r="N1419" s="30" t="s">
        <v>178</v>
      </c>
      <c r="O1419" s="30" t="s">
        <v>54</v>
      </c>
      <c r="P1419" s="30" t="s">
        <v>57</v>
      </c>
      <c r="Q1419" s="30" t="s">
        <v>136</v>
      </c>
      <c r="R1419" s="30" t="s">
        <v>146</v>
      </c>
      <c r="S1419" s="30" t="s">
        <v>128</v>
      </c>
      <c r="T1419" s="30" t="s">
        <v>61</v>
      </c>
      <c r="U1419" s="30" t="s">
        <v>62</v>
      </c>
      <c r="V1419" s="30" t="s">
        <v>79</v>
      </c>
      <c r="W1419" s="30" t="s">
        <v>116</v>
      </c>
      <c r="X1419" s="30" t="s">
        <v>93</v>
      </c>
      <c r="Y1419" s="30"/>
      <c r="Z1419" s="30" t="s">
        <v>64</v>
      </c>
      <c r="AA1419" s="30" t="s">
        <v>653</v>
      </c>
      <c r="AB1419" s="30"/>
      <c r="AC1419" s="30" t="s">
        <v>3976</v>
      </c>
    </row>
    <row r="1420" spans="1:29">
      <c r="A1420" s="24" t="s">
        <v>3977</v>
      </c>
      <c r="B1420" s="24" t="str">
        <f>IF(ISNUMBER(SEARCH(E1420,A1420)),A1420,IF(OR(E1420="",E1420=""),A1420,A1420&amp;" - "&amp;E1420))</f>
        <v>Cannamedical Sativa Light - Lavender Clouds</v>
      </c>
      <c r="C1420" s="24" t="s">
        <v>48</v>
      </c>
      <c r="D1420" s="24" t="s">
        <v>49</v>
      </c>
      <c r="E1420" s="41" t="s">
        <v>3973</v>
      </c>
      <c r="F1420" s="41" t="s">
        <v>144</v>
      </c>
      <c r="G1420" s="27">
        <v>17</v>
      </c>
      <c r="H1420" s="28">
        <v>1</v>
      </c>
      <c r="I1420" s="24"/>
      <c r="J1420" s="24"/>
      <c r="K1420" s="24" t="s">
        <v>52</v>
      </c>
      <c r="L1420" s="24" t="s">
        <v>53</v>
      </c>
      <c r="M1420" s="24" t="s">
        <v>55</v>
      </c>
      <c r="N1420" s="24" t="s">
        <v>71</v>
      </c>
      <c r="O1420" s="24" t="s">
        <v>72</v>
      </c>
      <c r="P1420" s="24" t="s">
        <v>157</v>
      </c>
      <c r="Q1420" s="24" t="s">
        <v>104</v>
      </c>
      <c r="R1420" s="24" t="s">
        <v>59</v>
      </c>
      <c r="S1420" s="24" t="s">
        <v>106</v>
      </c>
      <c r="T1420" s="24" t="s">
        <v>179</v>
      </c>
      <c r="U1420" s="24" t="s">
        <v>62</v>
      </c>
      <c r="V1420" s="24" t="s">
        <v>77</v>
      </c>
      <c r="W1420" s="24" t="s">
        <v>79</v>
      </c>
      <c r="X1420" s="24"/>
      <c r="Y1420" s="24"/>
      <c r="Z1420" s="24" t="s">
        <v>64</v>
      </c>
      <c r="AA1420" s="24" t="s">
        <v>49</v>
      </c>
      <c r="AB1420" s="24"/>
      <c r="AC1420" s="24" t="s">
        <v>3978</v>
      </c>
    </row>
    <row r="1421" spans="1:29">
      <c r="A1421" s="30" t="s">
        <v>3979</v>
      </c>
      <c r="B1421" s="30" t="str">
        <f>IF(ISNUMBER(SEARCH(E1421,A1421)),A1421,IF(OR(E1421="",E1421=""),A1421,A1421&amp;" - "&amp;E1421))</f>
        <v>avaay 27/1 DID - Do-Si-Dos</v>
      </c>
      <c r="C1421" s="30" t="s">
        <v>569</v>
      </c>
      <c r="D1421" s="30" t="s">
        <v>570</v>
      </c>
      <c r="E1421" s="40" t="s">
        <v>638</v>
      </c>
      <c r="F1421" s="40" t="s">
        <v>86</v>
      </c>
      <c r="G1421" s="34">
        <v>26</v>
      </c>
      <c r="H1421" s="35">
        <v>1</v>
      </c>
      <c r="I1421" s="30"/>
      <c r="J1421" s="30"/>
      <c r="K1421" s="30" t="s">
        <v>52</v>
      </c>
      <c r="L1421" s="30" t="s">
        <v>53</v>
      </c>
      <c r="M1421" s="30" t="s">
        <v>103</v>
      </c>
      <c r="N1421" s="30" t="s">
        <v>72</v>
      </c>
      <c r="O1421" s="30" t="s">
        <v>121</v>
      </c>
      <c r="P1421" s="30"/>
      <c r="Q1421" s="30"/>
      <c r="R1421" s="30"/>
      <c r="S1421" s="30" t="s">
        <v>128</v>
      </c>
      <c r="T1421" s="30" t="s">
        <v>106</v>
      </c>
      <c r="U1421" s="30" t="s">
        <v>62</v>
      </c>
      <c r="V1421" s="30" t="s">
        <v>107</v>
      </c>
      <c r="W1421" s="30" t="s">
        <v>77</v>
      </c>
      <c r="X1421" s="30" t="s">
        <v>173</v>
      </c>
      <c r="Y1421" s="30" t="s">
        <v>1876</v>
      </c>
      <c r="Z1421" s="30" t="s">
        <v>64</v>
      </c>
      <c r="AA1421" s="30" t="s">
        <v>572</v>
      </c>
      <c r="AB1421" s="30"/>
      <c r="AC1421" s="30" t="s">
        <v>3980</v>
      </c>
    </row>
    <row r="1422" spans="1:29">
      <c r="A1422" s="24" t="s">
        <v>3981</v>
      </c>
      <c r="B1422" s="24" t="str">
        <f>IF(ISNUMBER(SEARCH(E1422,A1422)),A1422,IF(OR(E1422="",E1422=""),A1422,A1422&amp;" - "&amp;E1422))</f>
        <v>420 Compound 30/1 RPV - Rose Gold Pave</v>
      </c>
      <c r="C1422" s="24" t="s">
        <v>463</v>
      </c>
      <c r="D1422" s="24" t="s">
        <v>464</v>
      </c>
      <c r="E1422" s="41" t="s">
        <v>3645</v>
      </c>
      <c r="F1422" s="41" t="s">
        <v>86</v>
      </c>
      <c r="G1422" s="27">
        <v>30</v>
      </c>
      <c r="H1422" s="28">
        <v>1</v>
      </c>
      <c r="I1422" s="24"/>
      <c r="J1422" s="24"/>
      <c r="K1422" s="24" t="s">
        <v>52</v>
      </c>
      <c r="L1422" s="24" t="s">
        <v>53</v>
      </c>
      <c r="M1422" s="24" t="s">
        <v>178</v>
      </c>
      <c r="N1422" s="24" t="s">
        <v>71</v>
      </c>
      <c r="O1422" s="24" t="s">
        <v>54</v>
      </c>
      <c r="P1422" s="24" t="s">
        <v>112</v>
      </c>
      <c r="Q1422" s="24" t="s">
        <v>136</v>
      </c>
      <c r="R1422" s="24" t="s">
        <v>58</v>
      </c>
      <c r="S1422" s="24" t="s">
        <v>106</v>
      </c>
      <c r="T1422" s="24" t="s">
        <v>62</v>
      </c>
      <c r="U1422" s="24" t="s">
        <v>147</v>
      </c>
      <c r="V1422" s="24" t="s">
        <v>116</v>
      </c>
      <c r="W1422" s="24" t="s">
        <v>93</v>
      </c>
      <c r="X1422" s="24" t="s">
        <v>79</v>
      </c>
      <c r="Y1422" s="24" t="s">
        <v>1292</v>
      </c>
      <c r="Z1422" s="24" t="s">
        <v>64</v>
      </c>
      <c r="AA1422" s="24" t="s">
        <v>468</v>
      </c>
      <c r="AB1422" s="24"/>
      <c r="AC1422" s="24" t="s">
        <v>3982</v>
      </c>
    </row>
    <row r="1423" spans="1:29">
      <c r="A1423" s="30" t="s">
        <v>3983</v>
      </c>
      <c r="B1423" s="30" t="str">
        <f>IF(ISNUMBER(SEARCH(E1423,A1423)),A1423,IF(OR(E1423="",E1423=""),A1423,A1423&amp;" - "&amp;E1423))</f>
        <v>420 Compound 27/1 RPV - Rose Gold Pave</v>
      </c>
      <c r="C1423" s="30" t="s">
        <v>463</v>
      </c>
      <c r="D1423" s="30" t="s">
        <v>464</v>
      </c>
      <c r="E1423" s="40" t="s">
        <v>3645</v>
      </c>
      <c r="F1423" s="40" t="s">
        <v>86</v>
      </c>
      <c r="G1423" s="34">
        <v>27</v>
      </c>
      <c r="H1423" s="35">
        <v>1</v>
      </c>
      <c r="I1423" s="30"/>
      <c r="J1423" s="30"/>
      <c r="K1423" s="30" t="s">
        <v>52</v>
      </c>
      <c r="L1423" s="30" t="s">
        <v>53</v>
      </c>
      <c r="M1423" s="30" t="s">
        <v>178</v>
      </c>
      <c r="N1423" s="30" t="s">
        <v>71</v>
      </c>
      <c r="O1423" s="30" t="s">
        <v>54</v>
      </c>
      <c r="P1423" s="30" t="s">
        <v>112</v>
      </c>
      <c r="Q1423" s="30" t="s">
        <v>136</v>
      </c>
      <c r="R1423" s="30" t="s">
        <v>58</v>
      </c>
      <c r="S1423" s="30" t="s">
        <v>106</v>
      </c>
      <c r="T1423" s="30" t="s">
        <v>62</v>
      </c>
      <c r="U1423" s="30" t="s">
        <v>147</v>
      </c>
      <c r="V1423" s="30" t="s">
        <v>116</v>
      </c>
      <c r="W1423" s="30" t="s">
        <v>93</v>
      </c>
      <c r="X1423" s="30" t="s">
        <v>79</v>
      </c>
      <c r="Y1423" s="30"/>
      <c r="Z1423" s="30" t="s">
        <v>64</v>
      </c>
      <c r="AA1423" s="30" t="s">
        <v>468</v>
      </c>
      <c r="AB1423" s="30"/>
      <c r="AC1423" s="36" t="s">
        <v>3984</v>
      </c>
    </row>
    <row r="1424" spans="1:29">
      <c r="A1424" s="24" t="s">
        <v>3985</v>
      </c>
      <c r="B1424" s="24" t="str">
        <f>IF(ISNUMBER(SEARCH(E1424,A1424)),A1424,IF(OR(E1424="",E1424=""),A1424,A1424&amp;" - "&amp;E1424))</f>
        <v>avaay Khalifa 32/1 KK - Khalifa Kush</v>
      </c>
      <c r="C1424" s="24" t="s">
        <v>569</v>
      </c>
      <c r="D1424" s="24" t="s">
        <v>570</v>
      </c>
      <c r="E1424" s="41" t="s">
        <v>3986</v>
      </c>
      <c r="F1424" s="41" t="s">
        <v>86</v>
      </c>
      <c r="G1424" s="27">
        <v>32</v>
      </c>
      <c r="H1424" s="28">
        <v>1</v>
      </c>
      <c r="I1424" s="24"/>
      <c r="J1424" s="24"/>
      <c r="K1424" s="24" t="s">
        <v>52</v>
      </c>
      <c r="L1424" s="24" t="s">
        <v>53</v>
      </c>
      <c r="M1424" s="24" t="s">
        <v>54</v>
      </c>
      <c r="N1424" s="24" t="s">
        <v>178</v>
      </c>
      <c r="O1424" s="24" t="s">
        <v>55</v>
      </c>
      <c r="P1424" s="24" t="s">
        <v>89</v>
      </c>
      <c r="Q1424" s="24" t="s">
        <v>75</v>
      </c>
      <c r="R1424" s="24" t="s">
        <v>59</v>
      </c>
      <c r="S1424" s="24" t="s">
        <v>106</v>
      </c>
      <c r="T1424" s="24" t="s">
        <v>62</v>
      </c>
      <c r="U1424" s="24" t="s">
        <v>147</v>
      </c>
      <c r="V1424" s="24" t="s">
        <v>79</v>
      </c>
      <c r="W1424" s="24" t="s">
        <v>93</v>
      </c>
      <c r="X1424" s="24" t="s">
        <v>107</v>
      </c>
      <c r="Y1424" s="24" t="s">
        <v>2644</v>
      </c>
      <c r="Z1424" s="24" t="s">
        <v>64</v>
      </c>
      <c r="AA1424" s="24" t="s">
        <v>572</v>
      </c>
      <c r="AB1424" s="24" t="s">
        <v>663</v>
      </c>
      <c r="AC1424" s="24" t="s">
        <v>3987</v>
      </c>
    </row>
    <row r="1425" spans="1:29" s="10" customFormat="1">
      <c r="A1425" s="30" t="s">
        <v>1778</v>
      </c>
      <c r="B1425" s="30" t="str">
        <f>IF(ISNUMBER(SEARCH(E1425,A1425)),A1425,IF(OR(E1425="",E1425=""),A1425,A1425&amp;" - "&amp;E1425))</f>
        <v>Canify Cannabis flos 25/1 PRT Ku. - Black Cherry Pie</v>
      </c>
      <c r="C1425" s="30" t="s">
        <v>99</v>
      </c>
      <c r="D1425" s="30" t="s">
        <v>100</v>
      </c>
      <c r="E1425" s="40" t="s">
        <v>191</v>
      </c>
      <c r="F1425" s="40" t="s">
        <v>120</v>
      </c>
      <c r="G1425" s="34">
        <v>25</v>
      </c>
      <c r="H1425" s="35">
        <v>1</v>
      </c>
      <c r="I1425" s="30"/>
      <c r="J1425" s="30"/>
      <c r="K1425" s="30" t="s">
        <v>52</v>
      </c>
      <c r="L1425" s="30" t="s">
        <v>102</v>
      </c>
      <c r="M1425" s="30" t="s">
        <v>111</v>
      </c>
      <c r="N1425" s="30" t="s">
        <v>103</v>
      </c>
      <c r="O1425" s="30" t="s">
        <v>71</v>
      </c>
      <c r="P1425" s="30" t="s">
        <v>58</v>
      </c>
      <c r="Q1425" s="30" t="s">
        <v>113</v>
      </c>
      <c r="R1425" s="30"/>
      <c r="S1425" s="30" t="s">
        <v>62</v>
      </c>
      <c r="T1425" s="30" t="s">
        <v>105</v>
      </c>
      <c r="U1425" s="30" t="s">
        <v>192</v>
      </c>
      <c r="V1425" s="30" t="s">
        <v>711</v>
      </c>
      <c r="W1425" s="30" t="s">
        <v>93</v>
      </c>
      <c r="X1425" s="30" t="s">
        <v>116</v>
      </c>
      <c r="Y1425" s="30"/>
      <c r="Z1425" s="30" t="s">
        <v>64</v>
      </c>
      <c r="AA1425" s="30" t="s">
        <v>100</v>
      </c>
      <c r="AB1425" s="30" t="s">
        <v>194</v>
      </c>
      <c r="AC1425" s="30" t="s">
        <v>3988</v>
      </c>
    </row>
    <row r="1426" spans="1:29">
      <c r="A1426" s="24" t="s">
        <v>3989</v>
      </c>
      <c r="B1426" s="24" t="str">
        <f>IF(ISNUMBER(SEARCH(E1426,A1426)),A1426,IF(OR(E1426="",E1426=""),A1426,A1426&amp;" - "&amp;E1426))</f>
        <v>Pedanios 28/1 CMK-CA - Chemango Kush</v>
      </c>
      <c r="C1426" s="24" t="s">
        <v>511</v>
      </c>
      <c r="D1426" s="24" t="s">
        <v>512</v>
      </c>
      <c r="E1426" s="41" t="s">
        <v>3799</v>
      </c>
      <c r="F1426" s="41" t="s">
        <v>177</v>
      </c>
      <c r="G1426" s="27">
        <v>28</v>
      </c>
      <c r="H1426" s="28">
        <v>1</v>
      </c>
      <c r="I1426" s="24"/>
      <c r="J1426" s="24"/>
      <c r="K1426" s="24" t="s">
        <v>17</v>
      </c>
      <c r="L1426" s="24" t="s">
        <v>53</v>
      </c>
      <c r="M1426" s="24" t="s">
        <v>103</v>
      </c>
      <c r="N1426" s="24" t="s">
        <v>72</v>
      </c>
      <c r="O1426" s="24" t="s">
        <v>121</v>
      </c>
      <c r="P1426" s="24" t="s">
        <v>74</v>
      </c>
      <c r="Q1426" s="24" t="s">
        <v>146</v>
      </c>
      <c r="R1426" s="24" t="s">
        <v>73</v>
      </c>
      <c r="S1426" s="24" t="s">
        <v>106</v>
      </c>
      <c r="T1426" s="24" t="s">
        <v>62</v>
      </c>
      <c r="U1426" s="24"/>
      <c r="V1426" s="24" t="s">
        <v>107</v>
      </c>
      <c r="W1426" s="24" t="s">
        <v>93</v>
      </c>
      <c r="X1426" s="24" t="s">
        <v>116</v>
      </c>
      <c r="Y1426" s="24" t="s">
        <v>204</v>
      </c>
      <c r="Z1426" s="24" t="s">
        <v>64</v>
      </c>
      <c r="AA1426" s="24" t="s">
        <v>512</v>
      </c>
      <c r="AB1426" s="24"/>
      <c r="AC1426" s="24" t="s">
        <v>3990</v>
      </c>
    </row>
    <row r="1427" spans="1:29">
      <c r="A1427" s="30" t="s">
        <v>1541</v>
      </c>
      <c r="B1427" s="30" t="str">
        <f>IF(ISNUMBER(SEARCH(E1427,A1427)),A1427,IF(OR(E1427="",E1427=""),A1427,A1427&amp;" - "&amp;E1427))</f>
        <v>Tilray THC22 Spotlight Porto - Jean Guy</v>
      </c>
      <c r="C1427" s="30" t="s">
        <v>133</v>
      </c>
      <c r="D1427" s="30" t="s">
        <v>134</v>
      </c>
      <c r="E1427" s="40" t="s">
        <v>394</v>
      </c>
      <c r="F1427" s="40" t="s">
        <v>69</v>
      </c>
      <c r="G1427" s="34">
        <v>22</v>
      </c>
      <c r="H1427" s="35">
        <v>1</v>
      </c>
      <c r="I1427" s="30"/>
      <c r="J1427" s="30"/>
      <c r="K1427" s="30" t="s">
        <v>17</v>
      </c>
      <c r="L1427" s="30" t="s">
        <v>102</v>
      </c>
      <c r="M1427" s="30" t="s">
        <v>54</v>
      </c>
      <c r="N1427" s="30" t="s">
        <v>88</v>
      </c>
      <c r="O1427" s="30" t="s">
        <v>55</v>
      </c>
      <c r="P1427" s="30" t="s">
        <v>75</v>
      </c>
      <c r="Q1427" s="30" t="s">
        <v>74</v>
      </c>
      <c r="R1427" s="30"/>
      <c r="S1427" s="30" t="s">
        <v>106</v>
      </c>
      <c r="T1427" s="30" t="s">
        <v>179</v>
      </c>
      <c r="U1427" s="30" t="s">
        <v>234</v>
      </c>
      <c r="V1427" s="30" t="s">
        <v>77</v>
      </c>
      <c r="W1427" s="30" t="s">
        <v>78</v>
      </c>
      <c r="X1427" s="30" t="s">
        <v>395</v>
      </c>
      <c r="Y1427" s="30"/>
      <c r="Z1427" s="30" t="s">
        <v>64</v>
      </c>
      <c r="AA1427" s="30" t="s">
        <v>134</v>
      </c>
      <c r="AB1427" s="30"/>
      <c r="AC1427" s="30" t="s">
        <v>3991</v>
      </c>
    </row>
    <row r="1428" spans="1:29">
      <c r="A1428" s="24" t="s">
        <v>3992</v>
      </c>
      <c r="B1428" s="24" t="str">
        <f>IF(ISNUMBER(SEARCH(E1428,A1428)),A1428,IF(OR(E1428="",E1428=""),A1428,A1428&amp;" - "&amp;E1428))</f>
        <v>420 Sungrown 27/1 CA LLY - Legendary Larry</v>
      </c>
      <c r="C1428" s="24" t="s">
        <v>463</v>
      </c>
      <c r="D1428" s="24" t="s">
        <v>464</v>
      </c>
      <c r="E1428" s="41" t="s">
        <v>746</v>
      </c>
      <c r="F1428" s="41" t="s">
        <v>177</v>
      </c>
      <c r="G1428" s="27">
        <v>27</v>
      </c>
      <c r="H1428" s="28">
        <v>1</v>
      </c>
      <c r="I1428" s="24"/>
      <c r="J1428" s="24"/>
      <c r="K1428" s="24" t="s">
        <v>52</v>
      </c>
      <c r="L1428" s="24" t="s">
        <v>53</v>
      </c>
      <c r="M1428" s="24" t="s">
        <v>72</v>
      </c>
      <c r="N1428" s="24"/>
      <c r="O1428" s="24"/>
      <c r="P1428" s="24" t="s">
        <v>59</v>
      </c>
      <c r="Q1428" s="24" t="s">
        <v>75</v>
      </c>
      <c r="R1428" s="24" t="s">
        <v>74</v>
      </c>
      <c r="S1428" s="24" t="s">
        <v>128</v>
      </c>
      <c r="T1428" s="24" t="s">
        <v>61</v>
      </c>
      <c r="U1428" s="24" t="s">
        <v>164</v>
      </c>
      <c r="V1428" s="24" t="s">
        <v>165</v>
      </c>
      <c r="W1428" s="24" t="s">
        <v>107</v>
      </c>
      <c r="X1428" s="24" t="s">
        <v>116</v>
      </c>
      <c r="Y1428" s="24" t="s">
        <v>1730</v>
      </c>
      <c r="Z1428" s="24" t="s">
        <v>64</v>
      </c>
      <c r="AA1428" s="24" t="s">
        <v>468</v>
      </c>
      <c r="AB1428" s="24"/>
      <c r="AC1428" s="24" t="s">
        <v>3993</v>
      </c>
    </row>
    <row r="1429" spans="1:29">
      <c r="A1429" s="30" t="s">
        <v>3994</v>
      </c>
      <c r="B1429" s="30" t="str">
        <f>IF(ISNUMBER(SEARCH(E1429,A1429)),A1429,IF(OR(E1429="",E1429=""),A1429,A1429&amp;" - "&amp;E1429))</f>
        <v>Cannamedical Indica Classic URY Smalls - Cheddar Skunk</v>
      </c>
      <c r="C1429" s="30" t="s">
        <v>48</v>
      </c>
      <c r="D1429" s="30" t="s">
        <v>49</v>
      </c>
      <c r="E1429" s="40" t="s">
        <v>426</v>
      </c>
      <c r="F1429" s="40" t="s">
        <v>120</v>
      </c>
      <c r="G1429" s="34">
        <v>19</v>
      </c>
      <c r="H1429" s="35">
        <v>1</v>
      </c>
      <c r="I1429" s="30"/>
      <c r="J1429" s="30"/>
      <c r="K1429" s="30" t="s">
        <v>52</v>
      </c>
      <c r="L1429" s="30" t="s">
        <v>185</v>
      </c>
      <c r="M1429" s="30" t="s">
        <v>72</v>
      </c>
      <c r="N1429" s="30" t="s">
        <v>178</v>
      </c>
      <c r="O1429" s="30" t="s">
        <v>54</v>
      </c>
      <c r="P1429" s="30" t="s">
        <v>58</v>
      </c>
      <c r="Q1429" s="30" t="s">
        <v>59</v>
      </c>
      <c r="R1429" s="30" t="s">
        <v>89</v>
      </c>
      <c r="S1429" s="30" t="s">
        <v>90</v>
      </c>
      <c r="T1429" s="30" t="s">
        <v>128</v>
      </c>
      <c r="U1429" s="30" t="s">
        <v>106</v>
      </c>
      <c r="V1429" s="30" t="s">
        <v>116</v>
      </c>
      <c r="W1429" s="30" t="s">
        <v>107</v>
      </c>
      <c r="X1429" s="30" t="s">
        <v>77</v>
      </c>
      <c r="Y1429" s="30" t="s">
        <v>1175</v>
      </c>
      <c r="Z1429" s="30" t="s">
        <v>64</v>
      </c>
      <c r="AA1429" s="30" t="s">
        <v>49</v>
      </c>
      <c r="AB1429" s="30"/>
      <c r="AC1429" s="36" t="s">
        <v>3995</v>
      </c>
    </row>
    <row r="1430" spans="1:29">
      <c r="A1430" s="24" t="s">
        <v>3996</v>
      </c>
      <c r="B1430" s="24" t="str">
        <f>IF(ISNUMBER(SEARCH(E1430,A1430)),A1430,IF(OR(E1430="",E1430=""),A1430,A1430&amp;" - "&amp;E1430))</f>
        <v>madrecan 18/1 Mac Minis - MAC 2.0</v>
      </c>
      <c r="C1430" s="24" t="s">
        <v>83</v>
      </c>
      <c r="D1430" s="24" t="s">
        <v>84</v>
      </c>
      <c r="E1430" s="41" t="s">
        <v>417</v>
      </c>
      <c r="F1430" s="41" t="s">
        <v>86</v>
      </c>
      <c r="G1430" s="27">
        <v>18</v>
      </c>
      <c r="H1430" s="28">
        <v>1</v>
      </c>
      <c r="I1430" s="24"/>
      <c r="J1430" s="24"/>
      <c r="K1430" s="24" t="s">
        <v>17</v>
      </c>
      <c r="L1430" s="24" t="s">
        <v>102</v>
      </c>
      <c r="M1430" s="24" t="s">
        <v>88</v>
      </c>
      <c r="N1430" s="24" t="s">
        <v>111</v>
      </c>
      <c r="O1430" s="24" t="s">
        <v>71</v>
      </c>
      <c r="P1430" s="24" t="s">
        <v>73</v>
      </c>
      <c r="Q1430" s="24" t="s">
        <v>75</v>
      </c>
      <c r="R1430" s="24" t="s">
        <v>59</v>
      </c>
      <c r="S1430" s="24" t="s">
        <v>62</v>
      </c>
      <c r="T1430" s="24"/>
      <c r="U1430" s="24"/>
      <c r="V1430" s="24" t="s">
        <v>107</v>
      </c>
      <c r="W1430" s="24" t="s">
        <v>77</v>
      </c>
      <c r="X1430" s="24" t="s">
        <v>79</v>
      </c>
      <c r="Y1430" s="24"/>
      <c r="Z1430" s="24" t="s">
        <v>64</v>
      </c>
      <c r="AA1430" s="24" t="s">
        <v>95</v>
      </c>
      <c r="AB1430" s="24"/>
      <c r="AC1430" s="24" t="s">
        <v>3997</v>
      </c>
    </row>
    <row r="1431" spans="1:29">
      <c r="A1431" s="30" t="s">
        <v>3998</v>
      </c>
      <c r="B1431" s="30" t="str">
        <f>IF(ISNUMBER(SEARCH(E1431,A1431)),A1431,IF(OR(E1431="",E1431=""),A1431,A1431&amp;" - "&amp;E1431))</f>
        <v>BC Green 20/1 CPC - Cappuccino</v>
      </c>
      <c r="C1431" s="30" t="s">
        <v>2522</v>
      </c>
      <c r="D1431" s="30" t="s">
        <v>2523</v>
      </c>
      <c r="E1431" s="40" t="s">
        <v>2972</v>
      </c>
      <c r="F1431" s="40" t="s">
        <v>144</v>
      </c>
      <c r="G1431" s="34">
        <v>21</v>
      </c>
      <c r="H1431" s="35">
        <v>1</v>
      </c>
      <c r="I1431" s="30"/>
      <c r="J1431" s="30"/>
      <c r="K1431" s="30" t="s">
        <v>52</v>
      </c>
      <c r="L1431" s="30" t="s">
        <v>102</v>
      </c>
      <c r="M1431" s="30" t="s">
        <v>72</v>
      </c>
      <c r="N1431" s="30" t="s">
        <v>88</v>
      </c>
      <c r="O1431" s="30" t="s">
        <v>54</v>
      </c>
      <c r="P1431" s="30" t="s">
        <v>89</v>
      </c>
      <c r="Q1431" s="30" t="s">
        <v>59</v>
      </c>
      <c r="R1431" s="30"/>
      <c r="S1431" s="30" t="s">
        <v>106</v>
      </c>
      <c r="T1431" s="30" t="s">
        <v>62</v>
      </c>
      <c r="U1431" s="30" t="s">
        <v>164</v>
      </c>
      <c r="V1431" s="30" t="s">
        <v>93</v>
      </c>
      <c r="W1431" s="30" t="s">
        <v>165</v>
      </c>
      <c r="X1431" s="30" t="s">
        <v>92</v>
      </c>
      <c r="Y1431" s="30" t="s">
        <v>523</v>
      </c>
      <c r="Z1431" s="30" t="s">
        <v>64</v>
      </c>
      <c r="AA1431" s="30" t="s">
        <v>2523</v>
      </c>
      <c r="AB1431" s="30"/>
      <c r="AC1431" s="30" t="s">
        <v>3999</v>
      </c>
    </row>
    <row r="1432" spans="1:29">
      <c r="A1432" s="24" t="s">
        <v>4000</v>
      </c>
      <c r="B1432" s="24" t="str">
        <f>IF(ISNUMBER(SEARCH(E1432,A1432)),A1432,IF(OR(E1432="",E1432=""),A1432,A1432&amp;" - "&amp;E1432))</f>
        <v>Wellford Aquaponic 30/1 ATG - Atlantic Glue GG4</v>
      </c>
      <c r="C1432" s="24" t="s">
        <v>741</v>
      </c>
      <c r="D1432" s="24" t="s">
        <v>742</v>
      </c>
      <c r="E1432" s="41" t="s">
        <v>982</v>
      </c>
      <c r="F1432" s="41" t="s">
        <v>120</v>
      </c>
      <c r="G1432" s="27">
        <v>30</v>
      </c>
      <c r="H1432" s="28">
        <v>1</v>
      </c>
      <c r="I1432" s="24"/>
      <c r="J1432" s="24"/>
      <c r="K1432" s="24" t="s">
        <v>52</v>
      </c>
      <c r="L1432" s="24" t="s">
        <v>53</v>
      </c>
      <c r="M1432" s="24" t="s">
        <v>54</v>
      </c>
      <c r="N1432" s="24" t="s">
        <v>88</v>
      </c>
      <c r="O1432" s="24" t="s">
        <v>72</v>
      </c>
      <c r="P1432" s="24" t="s">
        <v>146</v>
      </c>
      <c r="Q1432" s="24" t="s">
        <v>59</v>
      </c>
      <c r="R1432" s="24" t="s">
        <v>89</v>
      </c>
      <c r="S1432" s="24" t="s">
        <v>128</v>
      </c>
      <c r="T1432" s="24" t="s">
        <v>61</v>
      </c>
      <c r="U1432" s="24" t="s">
        <v>62</v>
      </c>
      <c r="V1432" s="24" t="s">
        <v>77</v>
      </c>
      <c r="W1432" s="24" t="s">
        <v>116</v>
      </c>
      <c r="X1432" s="24" t="s">
        <v>107</v>
      </c>
      <c r="Y1432" s="24" t="s">
        <v>581</v>
      </c>
      <c r="Z1432" s="24" t="s">
        <v>64</v>
      </c>
      <c r="AA1432" s="24" t="s">
        <v>742</v>
      </c>
      <c r="AB1432" s="24" t="s">
        <v>979</v>
      </c>
      <c r="AC1432" s="37" t="s">
        <v>4001</v>
      </c>
    </row>
    <row r="1433" spans="1:29">
      <c r="A1433" s="30" t="s">
        <v>4002</v>
      </c>
      <c r="B1433" s="30" t="str">
        <f>IF(ISNUMBER(SEARCH(E1433,A1433)),A1433,IF(OR(E1433="",E1433=""),A1433,A1433&amp;" - "&amp;E1433))</f>
        <v>Demecan Craft 22/1 - Permanent Marker</v>
      </c>
      <c r="C1433" s="30" t="s">
        <v>484</v>
      </c>
      <c r="D1433" s="30" t="s">
        <v>485</v>
      </c>
      <c r="E1433" s="40" t="s">
        <v>327</v>
      </c>
      <c r="F1433" s="40" t="s">
        <v>120</v>
      </c>
      <c r="G1433" s="34">
        <v>22</v>
      </c>
      <c r="H1433" s="35">
        <v>1</v>
      </c>
      <c r="I1433" s="30"/>
      <c r="J1433" s="30"/>
      <c r="K1433" s="30" t="s">
        <v>52</v>
      </c>
      <c r="L1433" s="30" t="s">
        <v>527</v>
      </c>
      <c r="M1433" s="30" t="s">
        <v>54</v>
      </c>
      <c r="N1433" s="30" t="s">
        <v>111</v>
      </c>
      <c r="O1433" s="30" t="s">
        <v>71</v>
      </c>
      <c r="P1433" s="30" t="s">
        <v>104</v>
      </c>
      <c r="Q1433" s="30" t="s">
        <v>89</v>
      </c>
      <c r="R1433" s="30"/>
      <c r="S1433" s="30" t="s">
        <v>106</v>
      </c>
      <c r="T1433" s="30" t="s">
        <v>62</v>
      </c>
      <c r="U1433" s="30" t="s">
        <v>123</v>
      </c>
      <c r="V1433" s="30" t="s">
        <v>116</v>
      </c>
      <c r="W1433" s="30" t="s">
        <v>173</v>
      </c>
      <c r="X1433" s="30" t="s">
        <v>107</v>
      </c>
      <c r="Y1433" s="30" t="s">
        <v>204</v>
      </c>
      <c r="Z1433" s="30" t="s">
        <v>64</v>
      </c>
      <c r="AA1433" s="30" t="s">
        <v>485</v>
      </c>
      <c r="AB1433" s="30"/>
      <c r="AC1433" s="30" t="s">
        <v>4003</v>
      </c>
    </row>
    <row r="1434" spans="1:29">
      <c r="A1434" s="24" t="s">
        <v>4004</v>
      </c>
      <c r="B1434" s="24" t="str">
        <f>IF(ISNUMBER(SEARCH(E1434,A1434)),A1434,IF(OR(E1434="",E1434=""),A1434,A1434&amp;" - "&amp;E1434))</f>
        <v>Pedanios 14/1 TNG-CA - Tangerine Dream</v>
      </c>
      <c r="C1434" s="24" t="s">
        <v>511</v>
      </c>
      <c r="D1434" s="24" t="s">
        <v>512</v>
      </c>
      <c r="E1434" s="41" t="s">
        <v>1399</v>
      </c>
      <c r="F1434" s="41" t="s">
        <v>69</v>
      </c>
      <c r="G1434" s="27">
        <v>14</v>
      </c>
      <c r="H1434" s="28">
        <v>1</v>
      </c>
      <c r="I1434" s="24"/>
      <c r="J1434" s="24"/>
      <c r="K1434" s="24" t="s">
        <v>17</v>
      </c>
      <c r="L1434" s="24" t="s">
        <v>53</v>
      </c>
      <c r="M1434" s="24" t="s">
        <v>71</v>
      </c>
      <c r="N1434" s="24" t="s">
        <v>88</v>
      </c>
      <c r="O1434" s="24" t="s">
        <v>55</v>
      </c>
      <c r="P1434" s="24" t="s">
        <v>89</v>
      </c>
      <c r="Q1434" s="24" t="s">
        <v>75</v>
      </c>
      <c r="R1434" s="24"/>
      <c r="S1434" s="24" t="s">
        <v>128</v>
      </c>
      <c r="T1434" s="24" t="s">
        <v>106</v>
      </c>
      <c r="U1434" s="24" t="s">
        <v>76</v>
      </c>
      <c r="V1434" s="24" t="s">
        <v>165</v>
      </c>
      <c r="W1434" s="24" t="s">
        <v>79</v>
      </c>
      <c r="X1434" s="24" t="s">
        <v>107</v>
      </c>
      <c r="Y1434" s="24" t="s">
        <v>3220</v>
      </c>
      <c r="Z1434" s="24" t="s">
        <v>64</v>
      </c>
      <c r="AA1434" s="24" t="s">
        <v>512</v>
      </c>
      <c r="AB1434" s="24"/>
      <c r="AC1434" s="24" t="s">
        <v>4005</v>
      </c>
    </row>
    <row r="1435" spans="1:29">
      <c r="A1435" s="30" t="s">
        <v>4006</v>
      </c>
      <c r="B1435" s="30" t="str">
        <f>IF(ISNUMBER(SEARCH(E1435,A1435)),A1435,IF(OR(E1435="",E1435=""),A1435,A1435&amp;" - "&amp;E1435))</f>
        <v>PureCan Cooki3 S 25/1 - Ginger Cookies</v>
      </c>
      <c r="C1435" s="29" t="s">
        <v>3205</v>
      </c>
      <c r="D1435" s="30" t="s">
        <v>3206</v>
      </c>
      <c r="E1435" s="40" t="s">
        <v>420</v>
      </c>
      <c r="F1435" s="40" t="s">
        <v>86</v>
      </c>
      <c r="G1435" s="34">
        <v>25</v>
      </c>
      <c r="H1435" s="35">
        <v>1</v>
      </c>
      <c r="I1435" s="30"/>
      <c r="J1435" s="30"/>
      <c r="K1435" s="30" t="s">
        <v>52</v>
      </c>
      <c r="L1435" s="30" t="s">
        <v>102</v>
      </c>
      <c r="M1435" s="30" t="s">
        <v>54</v>
      </c>
      <c r="N1435" s="30" t="s">
        <v>178</v>
      </c>
      <c r="O1435" s="30" t="s">
        <v>111</v>
      </c>
      <c r="P1435" s="30" t="s">
        <v>59</v>
      </c>
      <c r="Q1435" s="30" t="s">
        <v>73</v>
      </c>
      <c r="R1435" s="30" t="s">
        <v>89</v>
      </c>
      <c r="S1435" s="30" t="s">
        <v>106</v>
      </c>
      <c r="T1435" s="30" t="s">
        <v>62</v>
      </c>
      <c r="U1435" s="30" t="s">
        <v>147</v>
      </c>
      <c r="V1435" s="30" t="s">
        <v>116</v>
      </c>
      <c r="W1435" s="30" t="s">
        <v>77</v>
      </c>
      <c r="X1435" s="30" t="s">
        <v>107</v>
      </c>
      <c r="Y1435" s="30"/>
      <c r="Z1435" s="30" t="s">
        <v>64</v>
      </c>
      <c r="AA1435" s="30" t="s">
        <v>3206</v>
      </c>
      <c r="AB1435" s="30"/>
      <c r="AC1435" s="30" t="s">
        <v>4007</v>
      </c>
    </row>
    <row r="1436" spans="1:29">
      <c r="A1436" s="24" t="s">
        <v>4008</v>
      </c>
      <c r="B1436" s="24" t="str">
        <f>IF(ISNUMBER(SEARCH(E1436,A1436)),A1436,IF(OR(E1436="",E1436=""),A1436,A1436&amp;" - "&amp;E1436))</f>
        <v>Pedanios 27/1 FRG-CA - Farm Gas</v>
      </c>
      <c r="C1436" s="24" t="s">
        <v>511</v>
      </c>
      <c r="D1436" s="24" t="s">
        <v>512</v>
      </c>
      <c r="E1436" s="41" t="s">
        <v>4009</v>
      </c>
      <c r="F1436" s="41" t="s">
        <v>120</v>
      </c>
      <c r="G1436" s="27">
        <v>27</v>
      </c>
      <c r="H1436" s="28">
        <v>1</v>
      </c>
      <c r="I1436" s="24"/>
      <c r="J1436" s="24"/>
      <c r="K1436" s="24" t="s">
        <v>17</v>
      </c>
      <c r="L1436" s="24" t="s">
        <v>53</v>
      </c>
      <c r="M1436" s="24" t="s">
        <v>156</v>
      </c>
      <c r="N1436" s="24" t="s">
        <v>88</v>
      </c>
      <c r="O1436" s="24" t="s">
        <v>71</v>
      </c>
      <c r="P1436" s="24" t="s">
        <v>73</v>
      </c>
      <c r="Q1436" s="24" t="s">
        <v>89</v>
      </c>
      <c r="R1436" s="24" t="s">
        <v>59</v>
      </c>
      <c r="S1436" s="24" t="s">
        <v>106</v>
      </c>
      <c r="T1436" s="24" t="s">
        <v>62</v>
      </c>
      <c r="U1436" s="24" t="s">
        <v>164</v>
      </c>
      <c r="V1436" s="24" t="s">
        <v>79</v>
      </c>
      <c r="W1436" s="24" t="s">
        <v>77</v>
      </c>
      <c r="X1436" s="24" t="s">
        <v>116</v>
      </c>
      <c r="Y1436" s="24" t="s">
        <v>283</v>
      </c>
      <c r="Z1436" s="24" t="s">
        <v>64</v>
      </c>
      <c r="AA1436" s="24" t="s">
        <v>512</v>
      </c>
      <c r="AB1436" s="24"/>
      <c r="AC1436" s="24" t="s">
        <v>4010</v>
      </c>
    </row>
    <row r="1437" spans="1:29">
      <c r="A1437" s="43" t="s">
        <v>4011</v>
      </c>
      <c r="B1437" s="43" t="str">
        <f>IF(ISNUMBER(SEARCH(E1437,A1437)),A1437,IF(OR(E1437="",E1437=""),A1437,A1437&amp;" - "&amp;E1437))</f>
        <v>Eufloria 27/1 PSL - Pink Slurricane</v>
      </c>
      <c r="C1437" s="30" t="s">
        <v>83</v>
      </c>
      <c r="D1437" s="30" t="s">
        <v>84</v>
      </c>
      <c r="E1437" s="45" t="s">
        <v>1894</v>
      </c>
      <c r="F1437" s="45" t="s">
        <v>177</v>
      </c>
      <c r="G1437" s="46" t="s">
        <v>33</v>
      </c>
      <c r="H1437" s="35">
        <v>1</v>
      </c>
      <c r="I1437" s="43" t="s">
        <v>0</v>
      </c>
      <c r="J1437" s="43" t="s">
        <v>0</v>
      </c>
      <c r="K1437" s="43" t="s">
        <v>52</v>
      </c>
      <c r="L1437" s="43" t="s">
        <v>53</v>
      </c>
      <c r="M1437" s="43" t="s">
        <v>72</v>
      </c>
      <c r="N1437" s="43" t="s">
        <v>88</v>
      </c>
      <c r="O1437" s="43" t="s">
        <v>0</v>
      </c>
      <c r="P1437" s="43" t="s">
        <v>75</v>
      </c>
      <c r="Q1437" s="43" t="s">
        <v>59</v>
      </c>
      <c r="R1437" s="43" t="s">
        <v>113</v>
      </c>
      <c r="S1437" s="43" t="s">
        <v>62</v>
      </c>
      <c r="T1437" s="43" t="s">
        <v>147</v>
      </c>
      <c r="U1437" s="43" t="s">
        <v>0</v>
      </c>
      <c r="V1437" s="43" t="s">
        <v>107</v>
      </c>
      <c r="W1437" s="43" t="s">
        <v>77</v>
      </c>
      <c r="X1437" s="43" t="s">
        <v>116</v>
      </c>
      <c r="Y1437" s="43" t="s">
        <v>240</v>
      </c>
      <c r="Z1437" s="43" t="s">
        <v>64</v>
      </c>
      <c r="AA1437" s="43" t="s">
        <v>95</v>
      </c>
      <c r="AB1437" s="43" t="s">
        <v>0</v>
      </c>
      <c r="AC1437" s="30" t="s">
        <v>4012</v>
      </c>
    </row>
    <row r="1438" spans="1:29">
      <c r="A1438" s="43" t="s">
        <v>4013</v>
      </c>
      <c r="B1438" s="43" t="s">
        <v>4014</v>
      </c>
      <c r="C1438" s="24" t="s">
        <v>484</v>
      </c>
      <c r="D1438" s="24" t="s">
        <v>485</v>
      </c>
      <c r="E1438" s="45" t="s">
        <v>4015</v>
      </c>
      <c r="F1438" s="45" t="s">
        <v>120</v>
      </c>
      <c r="G1438" s="46" t="s">
        <v>460</v>
      </c>
      <c r="H1438" s="28">
        <v>1</v>
      </c>
      <c r="I1438" s="43" t="s">
        <v>0</v>
      </c>
      <c r="J1438" s="43" t="s">
        <v>0</v>
      </c>
      <c r="K1438" s="43" t="s">
        <v>52</v>
      </c>
      <c r="L1438" s="43" t="s">
        <v>527</v>
      </c>
      <c r="M1438" s="43" t="s">
        <v>71</v>
      </c>
      <c r="N1438" s="43" t="s">
        <v>103</v>
      </c>
      <c r="O1438" s="43" t="s">
        <v>178</v>
      </c>
      <c r="P1438" s="43" t="s">
        <v>104</v>
      </c>
      <c r="Q1438" s="43" t="s">
        <v>89</v>
      </c>
      <c r="R1438" s="43" t="s">
        <v>58</v>
      </c>
      <c r="S1438" s="43" t="s">
        <v>123</v>
      </c>
      <c r="T1438" s="43" t="s">
        <v>106</v>
      </c>
      <c r="U1438" s="43" t="s">
        <v>62</v>
      </c>
      <c r="V1438" s="43" t="s">
        <v>77</v>
      </c>
      <c r="W1438" s="43" t="s">
        <v>129</v>
      </c>
      <c r="X1438" s="43" t="s">
        <v>79</v>
      </c>
      <c r="Y1438" s="43" t="s">
        <v>311</v>
      </c>
      <c r="Z1438" s="43" t="s">
        <v>64</v>
      </c>
      <c r="AA1438" s="43" t="s">
        <v>485</v>
      </c>
      <c r="AB1438" s="43"/>
      <c r="AC1438" s="24" t="s">
        <v>4016</v>
      </c>
    </row>
    <row r="1439" spans="1:29">
      <c r="A1439" s="43" t="s">
        <v>4017</v>
      </c>
      <c r="B1439" s="43" t="str">
        <f>IF(ISNUMBER(SEARCH(E1439,A1439)),A1439,IF(OR(E1439="",E1439=""),A1439,A1439&amp;" - "&amp;E1439))</f>
        <v>Tweed 21/1 Wappa</v>
      </c>
      <c r="C1439" s="30" t="s">
        <v>547</v>
      </c>
      <c r="D1439" s="30" t="s">
        <v>548</v>
      </c>
      <c r="E1439" s="45" t="s">
        <v>566</v>
      </c>
      <c r="F1439" s="45" t="s">
        <v>177</v>
      </c>
      <c r="G1439" s="46" t="s">
        <v>452</v>
      </c>
      <c r="H1439" s="35">
        <v>1</v>
      </c>
      <c r="I1439" s="43" t="s">
        <v>0</v>
      </c>
      <c r="J1439" s="43" t="s">
        <v>0</v>
      </c>
      <c r="K1439" s="43" t="s">
        <v>52</v>
      </c>
      <c r="L1439" s="43" t="s">
        <v>53</v>
      </c>
      <c r="M1439" s="43" t="s">
        <v>121</v>
      </c>
      <c r="N1439" s="43" t="s">
        <v>212</v>
      </c>
      <c r="O1439" s="43" t="s">
        <v>72</v>
      </c>
      <c r="P1439" s="43" t="s">
        <v>75</v>
      </c>
      <c r="Q1439" s="43" t="s">
        <v>89</v>
      </c>
      <c r="R1439" s="43" t="s">
        <v>0</v>
      </c>
      <c r="S1439" s="43" t="s">
        <v>62</v>
      </c>
      <c r="T1439" s="43" t="s">
        <v>164</v>
      </c>
      <c r="U1439" s="43" t="s">
        <v>147</v>
      </c>
      <c r="V1439" s="43" t="s">
        <v>77</v>
      </c>
      <c r="W1439" s="43" t="s">
        <v>79</v>
      </c>
      <c r="X1439" s="43" t="s">
        <v>107</v>
      </c>
      <c r="Y1439" s="43" t="s">
        <v>1006</v>
      </c>
      <c r="Z1439" s="43" t="s">
        <v>64</v>
      </c>
      <c r="AA1439" s="43" t="s">
        <v>551</v>
      </c>
      <c r="AB1439" s="43" t="s">
        <v>0</v>
      </c>
      <c r="AC1439" s="30" t="s">
        <v>4018</v>
      </c>
    </row>
    <row r="1440" spans="1:29">
      <c r="A1440" s="43" t="s">
        <v>4019</v>
      </c>
      <c r="B1440" s="43" t="str">
        <f>IF(ISNUMBER(SEARCH(E1440,A1440)),A1440,IF(OR(E1440="",E1440=""),A1440,A1440&amp;" - "&amp;E1440))</f>
        <v>All Nations PE 25/1 - Pineapple Express</v>
      </c>
      <c r="C1440" s="24" t="s">
        <v>564</v>
      </c>
      <c r="D1440" s="24" t="s">
        <v>565</v>
      </c>
      <c r="E1440" s="45" t="s">
        <v>4020</v>
      </c>
      <c r="F1440" s="45" t="s">
        <v>144</v>
      </c>
      <c r="G1440" s="46" t="s">
        <v>26</v>
      </c>
      <c r="H1440" s="28">
        <v>1</v>
      </c>
      <c r="I1440" s="43" t="s">
        <v>0</v>
      </c>
      <c r="J1440" s="43" t="s">
        <v>0</v>
      </c>
      <c r="K1440" s="43" t="s">
        <v>52</v>
      </c>
      <c r="L1440" s="43" t="s">
        <v>53</v>
      </c>
      <c r="M1440" s="43" t="s">
        <v>55</v>
      </c>
      <c r="N1440" s="43" t="s">
        <v>72</v>
      </c>
      <c r="O1440" s="43" t="s">
        <v>88</v>
      </c>
      <c r="P1440" s="43" t="s">
        <v>59</v>
      </c>
      <c r="Q1440" s="43" t="s">
        <v>75</v>
      </c>
      <c r="R1440" s="43" t="s">
        <v>74</v>
      </c>
      <c r="S1440" s="43" t="s">
        <v>106</v>
      </c>
      <c r="T1440" s="43" t="s">
        <v>62</v>
      </c>
      <c r="U1440" s="43" t="s">
        <v>123</v>
      </c>
      <c r="V1440" s="43" t="s">
        <v>180</v>
      </c>
      <c r="W1440" s="43" t="s">
        <v>129</v>
      </c>
      <c r="X1440" s="43" t="s">
        <v>107</v>
      </c>
      <c r="Y1440" s="43" t="s">
        <v>449</v>
      </c>
      <c r="Z1440" s="43" t="s">
        <v>64</v>
      </c>
      <c r="AA1440" s="43" t="s">
        <v>565</v>
      </c>
      <c r="AB1440" s="43" t="s">
        <v>0</v>
      </c>
      <c r="AC1440" s="24" t="s">
        <v>4021</v>
      </c>
    </row>
    <row r="1441" spans="1:29">
      <c r="A1441" s="43" t="s">
        <v>4022</v>
      </c>
      <c r="B1441" s="43" t="str">
        <f>IF(ISNUMBER(SEARCH(E1441,A1441)),A1441,IF(OR(E1441="",E1441=""),A1441,A1441&amp;" - "&amp;E1441))</f>
        <v>All Nations AKM 25/1 - Alien Kush Mintz</v>
      </c>
      <c r="C1441" s="30" t="s">
        <v>564</v>
      </c>
      <c r="D1441" s="30" t="s">
        <v>565</v>
      </c>
      <c r="E1441" s="45" t="s">
        <v>4023</v>
      </c>
      <c r="F1441" s="45" t="s">
        <v>177</v>
      </c>
      <c r="G1441" s="46" t="s">
        <v>26</v>
      </c>
      <c r="H1441" s="35">
        <v>1</v>
      </c>
      <c r="I1441" s="43" t="s">
        <v>0</v>
      </c>
      <c r="J1441" s="43" t="s">
        <v>0</v>
      </c>
      <c r="K1441" s="43" t="s">
        <v>52</v>
      </c>
      <c r="L1441" s="43" t="s">
        <v>53</v>
      </c>
      <c r="M1441" s="43" t="s">
        <v>54</v>
      </c>
      <c r="N1441" s="43" t="s">
        <v>71</v>
      </c>
      <c r="O1441" s="43" t="s">
        <v>72</v>
      </c>
      <c r="P1441" s="43" t="s">
        <v>73</v>
      </c>
      <c r="Q1441" s="43" t="s">
        <v>59</v>
      </c>
      <c r="R1441" s="43" t="s">
        <v>112</v>
      </c>
      <c r="S1441" s="43" t="s">
        <v>90</v>
      </c>
      <c r="T1441" s="43" t="s">
        <v>106</v>
      </c>
      <c r="U1441" s="43" t="s">
        <v>105</v>
      </c>
      <c r="V1441" s="43" t="s">
        <v>180</v>
      </c>
      <c r="W1441" s="43" t="s">
        <v>173</v>
      </c>
      <c r="X1441" s="43" t="s">
        <v>77</v>
      </c>
      <c r="Y1441" s="43" t="s">
        <v>449</v>
      </c>
      <c r="Z1441" s="43" t="s">
        <v>64</v>
      </c>
      <c r="AA1441" s="43" t="s">
        <v>565</v>
      </c>
      <c r="AB1441" s="43" t="s">
        <v>0</v>
      </c>
      <c r="AC1441" s="30" t="s">
        <v>4024</v>
      </c>
    </row>
    <row r="1442" spans="1:29">
      <c r="A1442" s="43" t="s">
        <v>4025</v>
      </c>
      <c r="B1442" s="43" t="str">
        <f>IF(ISNUMBER(SEARCH(E1442,A1442)),A1442,IF(OR(E1442="",E1442=""),A1442,A1442&amp;" - "&amp;E1442))</f>
        <v>Grünhorn Hybrid 25/25 Vollspektrum Extrakt</v>
      </c>
      <c r="C1442" s="24" t="s">
        <v>2080</v>
      </c>
      <c r="D1442" s="24" t="s">
        <v>2081</v>
      </c>
      <c r="E1442" s="45"/>
      <c r="F1442" s="45" t="s">
        <v>86</v>
      </c>
      <c r="G1442" s="46" t="s">
        <v>0</v>
      </c>
      <c r="H1442" s="69" t="s">
        <v>0</v>
      </c>
      <c r="I1442" s="43" t="s">
        <v>26</v>
      </c>
      <c r="J1442" s="43" t="s">
        <v>26</v>
      </c>
      <c r="K1442" s="43" t="s">
        <v>1918</v>
      </c>
      <c r="L1442" s="43"/>
      <c r="M1442" s="43" t="s">
        <v>0</v>
      </c>
      <c r="N1442" s="43" t="s">
        <v>0</v>
      </c>
      <c r="O1442" s="43" t="s">
        <v>0</v>
      </c>
      <c r="P1442" s="43" t="s">
        <v>0</v>
      </c>
      <c r="Q1442" s="43" t="s">
        <v>0</v>
      </c>
      <c r="R1442" s="43" t="s">
        <v>0</v>
      </c>
      <c r="S1442" s="43" t="s">
        <v>128</v>
      </c>
      <c r="T1442" s="43" t="s">
        <v>106</v>
      </c>
      <c r="U1442" s="43" t="s">
        <v>62</v>
      </c>
      <c r="V1442" s="43" t="s">
        <v>0</v>
      </c>
      <c r="W1442" s="43" t="s">
        <v>0</v>
      </c>
      <c r="X1442" s="43" t="s">
        <v>0</v>
      </c>
      <c r="Y1442" s="43" t="s">
        <v>0</v>
      </c>
      <c r="Z1442" s="43" t="s">
        <v>1915</v>
      </c>
      <c r="AA1442" s="43" t="s">
        <v>2081</v>
      </c>
      <c r="AB1442" s="43" t="s">
        <v>0</v>
      </c>
      <c r="AC1442" s="24" t="s">
        <v>4026</v>
      </c>
    </row>
    <row r="1443" spans="1:29">
      <c r="A1443" s="30" t="s">
        <v>4027</v>
      </c>
      <c r="B1443" s="30" t="str">
        <f>IF(ISNUMBER(SEARCH(E1443,A1443)),A1443,IF(OR(E1443="",E1443=""),A1443,A1443&amp;" - "&amp;E1443))</f>
        <v>Grünhorn Hybrid 50/1 Vollspektrum Extrakt</v>
      </c>
      <c r="C1443" s="30" t="s">
        <v>2080</v>
      </c>
      <c r="D1443" s="30" t="s">
        <v>2081</v>
      </c>
      <c r="E1443" s="40"/>
      <c r="F1443" s="40" t="s">
        <v>86</v>
      </c>
      <c r="G1443" s="34" t="s">
        <v>0</v>
      </c>
      <c r="H1443" s="35" t="s">
        <v>0</v>
      </c>
      <c r="I1443" s="31" t="s">
        <v>45</v>
      </c>
      <c r="J1443" s="30" t="s">
        <v>65</v>
      </c>
      <c r="K1443" s="30" t="s">
        <v>1918</v>
      </c>
      <c r="L1443" s="30"/>
      <c r="M1443" s="30" t="s">
        <v>0</v>
      </c>
      <c r="N1443" s="30" t="s">
        <v>0</v>
      </c>
      <c r="O1443" s="30" t="s">
        <v>0</v>
      </c>
      <c r="P1443" s="30" t="s">
        <v>0</v>
      </c>
      <c r="Q1443" s="30" t="s">
        <v>0</v>
      </c>
      <c r="R1443" s="30" t="s">
        <v>0</v>
      </c>
      <c r="S1443" s="30" t="s">
        <v>62</v>
      </c>
      <c r="T1443" s="30" t="s">
        <v>91</v>
      </c>
      <c r="U1443" s="30" t="s">
        <v>203</v>
      </c>
      <c r="V1443" s="30" t="s">
        <v>0</v>
      </c>
      <c r="W1443" s="30" t="s">
        <v>0</v>
      </c>
      <c r="X1443" s="30" t="s">
        <v>0</v>
      </c>
      <c r="Y1443" s="30" t="s">
        <v>0</v>
      </c>
      <c r="Z1443" s="30" t="s">
        <v>1915</v>
      </c>
      <c r="AA1443" s="30" t="s">
        <v>2081</v>
      </c>
      <c r="AB1443" s="30" t="s">
        <v>0</v>
      </c>
      <c r="AC1443" s="30" t="s">
        <v>4028</v>
      </c>
    </row>
    <row r="1444" spans="1:29">
      <c r="A1444" s="43" t="s">
        <v>4029</v>
      </c>
      <c r="B1444" s="43" t="str">
        <f>IF(ISNUMBER(SEARCH(E1444,A1444)),A1444,IF(OR(E1444="",E1444=""),A1444,A1444&amp;" - "&amp;E1444))</f>
        <v>Cannabisextrakt Avextra 25/25</v>
      </c>
      <c r="C1444" s="24" t="s">
        <v>2001</v>
      </c>
      <c r="D1444" s="24" t="s">
        <v>2002</v>
      </c>
      <c r="E1444" s="45"/>
      <c r="F1444" s="45"/>
      <c r="G1444" s="46" t="s">
        <v>0</v>
      </c>
      <c r="H1444" s="69" t="s">
        <v>0</v>
      </c>
      <c r="I1444" s="43" t="s">
        <v>26</v>
      </c>
      <c r="J1444" s="43" t="s">
        <v>26</v>
      </c>
      <c r="K1444" s="43" t="s">
        <v>2003</v>
      </c>
      <c r="L1444" s="43"/>
      <c r="M1444" s="43" t="s">
        <v>0</v>
      </c>
      <c r="N1444" s="43" t="s">
        <v>0</v>
      </c>
      <c r="O1444" s="43" t="s">
        <v>0</v>
      </c>
      <c r="P1444" s="43" t="s">
        <v>0</v>
      </c>
      <c r="Q1444" s="43" t="s">
        <v>0</v>
      </c>
      <c r="R1444" s="43" t="s">
        <v>0</v>
      </c>
      <c r="S1444" s="43" t="s">
        <v>0</v>
      </c>
      <c r="T1444" s="43" t="s">
        <v>0</v>
      </c>
      <c r="U1444" s="43" t="s">
        <v>0</v>
      </c>
      <c r="V1444" s="43" t="s">
        <v>0</v>
      </c>
      <c r="W1444" s="43" t="s">
        <v>0</v>
      </c>
      <c r="X1444" s="43" t="s">
        <v>0</v>
      </c>
      <c r="Y1444" s="43" t="s">
        <v>1812</v>
      </c>
      <c r="Z1444" s="43" t="s">
        <v>1915</v>
      </c>
      <c r="AA1444" s="43" t="s">
        <v>2002</v>
      </c>
      <c r="AB1444" s="43" t="s">
        <v>0</v>
      </c>
      <c r="AC1444" s="24" t="s">
        <v>4030</v>
      </c>
    </row>
    <row r="1445" spans="1:29">
      <c r="A1445" s="43" t="s">
        <v>4031</v>
      </c>
      <c r="B1445" s="43" t="str">
        <f>IF(ISNUMBER(SEARCH(E1445,A1445)),A1445,IF(OR(E1445="",E1445=""),A1445,A1445&amp;" - "&amp;E1445))</f>
        <v>Grünhorn Cannabisextrakt Hybrid 10/10</v>
      </c>
      <c r="C1445" s="30" t="s">
        <v>2080</v>
      </c>
      <c r="D1445" s="30" t="s">
        <v>2081</v>
      </c>
      <c r="E1445" s="45"/>
      <c r="F1445" s="45" t="s">
        <v>86</v>
      </c>
      <c r="G1445" s="46" t="s">
        <v>0</v>
      </c>
      <c r="H1445" s="69" t="s">
        <v>0</v>
      </c>
      <c r="I1445" s="43" t="s">
        <v>12</v>
      </c>
      <c r="J1445" s="43" t="s">
        <v>12</v>
      </c>
      <c r="K1445" s="43" t="s">
        <v>1918</v>
      </c>
      <c r="L1445" s="43"/>
      <c r="M1445" s="43" t="s">
        <v>0</v>
      </c>
      <c r="N1445" s="43" t="s">
        <v>0</v>
      </c>
      <c r="O1445" s="43" t="s">
        <v>0</v>
      </c>
      <c r="P1445" s="43" t="s">
        <v>0</v>
      </c>
      <c r="Q1445" s="43" t="s">
        <v>0</v>
      </c>
      <c r="R1445" s="43" t="s">
        <v>0</v>
      </c>
      <c r="S1445" s="43" t="s">
        <v>0</v>
      </c>
      <c r="T1445" s="43" t="s">
        <v>0</v>
      </c>
      <c r="U1445" s="43" t="s">
        <v>0</v>
      </c>
      <c r="V1445" s="43" t="s">
        <v>0</v>
      </c>
      <c r="W1445" s="43" t="s">
        <v>0</v>
      </c>
      <c r="X1445" s="43" t="s">
        <v>0</v>
      </c>
      <c r="Y1445" s="43" t="s">
        <v>0</v>
      </c>
      <c r="Z1445" s="43" t="s">
        <v>1915</v>
      </c>
      <c r="AA1445" s="43" t="s">
        <v>2081</v>
      </c>
      <c r="AB1445" s="43" t="s">
        <v>0</v>
      </c>
      <c r="AC1445" s="30" t="s">
        <v>4032</v>
      </c>
    </row>
    <row r="1446" spans="1:29">
      <c r="A1446" s="43" t="s">
        <v>4033</v>
      </c>
      <c r="B1446" s="43" t="str">
        <f>IF(ISNUMBER(SEARCH(E1446,A1446)),A1446,IF(OR(E1446="",E1446=""),A1446,A1446&amp;" - "&amp;E1446))</f>
        <v>XATEPA</v>
      </c>
      <c r="C1446" s="24" t="s">
        <v>99</v>
      </c>
      <c r="D1446" s="24" t="s">
        <v>100</v>
      </c>
      <c r="E1446" s="45"/>
      <c r="F1446" s="45" t="s">
        <v>177</v>
      </c>
      <c r="G1446" s="46" t="s">
        <v>0</v>
      </c>
      <c r="H1446" s="69" t="s">
        <v>0</v>
      </c>
      <c r="I1446" s="43" t="s">
        <v>4034</v>
      </c>
      <c r="J1446" s="43">
        <v>8</v>
      </c>
      <c r="K1446" s="43" t="s">
        <v>1913</v>
      </c>
      <c r="L1446" s="43"/>
      <c r="M1446" s="43" t="s">
        <v>0</v>
      </c>
      <c r="N1446" s="43" t="s">
        <v>0</v>
      </c>
      <c r="O1446" s="43" t="s">
        <v>0</v>
      </c>
      <c r="P1446" s="43" t="s">
        <v>0</v>
      </c>
      <c r="Q1446" s="43" t="s">
        <v>0</v>
      </c>
      <c r="R1446" s="43" t="s">
        <v>0</v>
      </c>
      <c r="S1446" s="43" t="s">
        <v>128</v>
      </c>
      <c r="T1446" s="43" t="s">
        <v>106</v>
      </c>
      <c r="U1446" s="43" t="s">
        <v>62</v>
      </c>
      <c r="V1446" s="43" t="s">
        <v>0</v>
      </c>
      <c r="W1446" s="43" t="s">
        <v>0</v>
      </c>
      <c r="X1446" s="43" t="s">
        <v>0</v>
      </c>
      <c r="Y1446" s="43" t="s">
        <v>0</v>
      </c>
      <c r="Z1446" s="43" t="s">
        <v>1915</v>
      </c>
      <c r="AA1446" s="43" t="s">
        <v>100</v>
      </c>
      <c r="AB1446" s="43" t="s">
        <v>0</v>
      </c>
      <c r="AC1446" s="37" t="s">
        <v>4035</v>
      </c>
    </row>
    <row r="1447" spans="1:29">
      <c r="A1447" s="43" t="s">
        <v>4036</v>
      </c>
      <c r="B1447" s="43" t="s">
        <v>4037</v>
      </c>
      <c r="C1447" s="30" t="s">
        <v>2522</v>
      </c>
      <c r="D1447" s="30" t="s">
        <v>2523</v>
      </c>
      <c r="E1447" s="45" t="s">
        <v>1120</v>
      </c>
      <c r="F1447" s="45" t="s">
        <v>86</v>
      </c>
      <c r="G1447" s="46" t="s">
        <v>4038</v>
      </c>
      <c r="H1447" s="35">
        <v>1</v>
      </c>
      <c r="I1447" s="43" t="s">
        <v>0</v>
      </c>
      <c r="J1447" s="43" t="s">
        <v>0</v>
      </c>
      <c r="K1447" s="43" t="s">
        <v>52</v>
      </c>
      <c r="L1447" s="43" t="s">
        <v>102</v>
      </c>
      <c r="M1447" s="43" t="s">
        <v>72</v>
      </c>
      <c r="N1447" s="43" t="s">
        <v>55</v>
      </c>
      <c r="O1447" s="43" t="s">
        <v>71</v>
      </c>
      <c r="P1447" s="43" t="s">
        <v>58</v>
      </c>
      <c r="Q1447" s="43" t="s">
        <v>0</v>
      </c>
      <c r="R1447" s="43" t="s">
        <v>0</v>
      </c>
      <c r="S1447" s="43" t="s">
        <v>105</v>
      </c>
      <c r="T1447" s="43" t="s">
        <v>147</v>
      </c>
      <c r="U1447" s="43" t="s">
        <v>192</v>
      </c>
      <c r="V1447" s="43" t="s">
        <v>92</v>
      </c>
      <c r="W1447" s="43" t="s">
        <v>93</v>
      </c>
      <c r="X1447" s="43" t="s">
        <v>77</v>
      </c>
      <c r="Y1447" s="43" t="s">
        <v>307</v>
      </c>
      <c r="Z1447" s="43" t="s">
        <v>64</v>
      </c>
      <c r="AA1447" s="43" t="s">
        <v>2523</v>
      </c>
      <c r="AB1447" s="43" t="s">
        <v>0</v>
      </c>
      <c r="AC1447" s="30" t="s">
        <v>4039</v>
      </c>
    </row>
    <row r="1448" spans="1:29">
      <c r="A1448" s="43" t="s">
        <v>4040</v>
      </c>
      <c r="B1448" s="43" t="s">
        <v>4041</v>
      </c>
      <c r="C1448" s="24" t="s">
        <v>83</v>
      </c>
      <c r="D1448" s="24" t="s">
        <v>84</v>
      </c>
      <c r="E1448" s="45" t="s">
        <v>4042</v>
      </c>
      <c r="F1448" s="45" t="s">
        <v>177</v>
      </c>
      <c r="G1448" s="46" t="s">
        <v>452</v>
      </c>
      <c r="H1448" s="28">
        <v>1</v>
      </c>
      <c r="I1448" s="43" t="s">
        <v>0</v>
      </c>
      <c r="J1448" s="43" t="s">
        <v>0</v>
      </c>
      <c r="K1448" s="43" t="s">
        <v>52</v>
      </c>
      <c r="L1448" s="43" t="s">
        <v>53</v>
      </c>
      <c r="M1448" s="43" t="s">
        <v>121</v>
      </c>
      <c r="N1448" s="43" t="s">
        <v>111</v>
      </c>
      <c r="O1448" s="43" t="s">
        <v>54</v>
      </c>
      <c r="P1448" s="43" t="s">
        <v>146</v>
      </c>
      <c r="Q1448" s="43" t="s">
        <v>75</v>
      </c>
      <c r="R1448" s="43" t="s">
        <v>89</v>
      </c>
      <c r="S1448" s="43" t="s">
        <v>128</v>
      </c>
      <c r="T1448" s="43" t="s">
        <v>106</v>
      </c>
      <c r="U1448" s="43" t="s">
        <v>0</v>
      </c>
      <c r="V1448" s="43" t="s">
        <v>93</v>
      </c>
      <c r="W1448" s="43" t="s">
        <v>116</v>
      </c>
      <c r="X1448" s="43" t="s">
        <v>79</v>
      </c>
      <c r="Y1448" s="43" t="s">
        <v>1090</v>
      </c>
      <c r="Z1448" s="43" t="s">
        <v>64</v>
      </c>
      <c r="AA1448" s="43" t="s">
        <v>95</v>
      </c>
      <c r="AB1448" s="43" t="s">
        <v>678</v>
      </c>
      <c r="AC1448" s="24" t="s">
        <v>4043</v>
      </c>
    </row>
    <row r="1449" spans="1:29">
      <c r="A1449" s="43" t="s">
        <v>4044</v>
      </c>
      <c r="B1449" s="43" t="s">
        <v>4045</v>
      </c>
      <c r="C1449" s="30" t="s">
        <v>822</v>
      </c>
      <c r="D1449" s="30" t="s">
        <v>823</v>
      </c>
      <c r="E1449" s="45" t="s">
        <v>4046</v>
      </c>
      <c r="F1449" s="45" t="s">
        <v>86</v>
      </c>
      <c r="G1449" s="46" t="s">
        <v>436</v>
      </c>
      <c r="H1449" s="35">
        <v>1</v>
      </c>
      <c r="I1449" s="43" t="s">
        <v>0</v>
      </c>
      <c r="J1449" s="43" t="s">
        <v>0</v>
      </c>
      <c r="K1449" s="43" t="s">
        <v>52</v>
      </c>
      <c r="L1449" s="43" t="s">
        <v>53</v>
      </c>
      <c r="M1449" s="43" t="s">
        <v>88</v>
      </c>
      <c r="N1449" s="43" t="s">
        <v>72</v>
      </c>
      <c r="O1449" s="43" t="s">
        <v>0</v>
      </c>
      <c r="P1449" s="43" t="s">
        <v>75</v>
      </c>
      <c r="Q1449" s="43" t="s">
        <v>89</v>
      </c>
      <c r="R1449" s="43" t="s">
        <v>0</v>
      </c>
      <c r="S1449" s="43" t="s">
        <v>90</v>
      </c>
      <c r="T1449" s="43" t="s">
        <v>128</v>
      </c>
      <c r="U1449" s="43" t="s">
        <v>62</v>
      </c>
      <c r="V1449" s="43" t="s">
        <v>173</v>
      </c>
      <c r="W1449" s="43" t="s">
        <v>79</v>
      </c>
      <c r="X1449" s="43" t="s">
        <v>77</v>
      </c>
      <c r="Y1449" s="43" t="s">
        <v>513</v>
      </c>
      <c r="Z1449" s="43" t="s">
        <v>64</v>
      </c>
      <c r="AA1449" s="43" t="s">
        <v>826</v>
      </c>
      <c r="AB1449" s="43" t="s">
        <v>0</v>
      </c>
      <c r="AC1449" s="30" t="s">
        <v>4047</v>
      </c>
    </row>
    <row r="1450" spans="1:29">
      <c r="A1450" s="43" t="s">
        <v>4048</v>
      </c>
      <c r="B1450" s="43" t="s">
        <v>4049</v>
      </c>
      <c r="C1450" s="24" t="s">
        <v>484</v>
      </c>
      <c r="D1450" s="24" t="s">
        <v>485</v>
      </c>
      <c r="E1450" s="45" t="s">
        <v>4050</v>
      </c>
      <c r="F1450" s="45" t="s">
        <v>86</v>
      </c>
      <c r="G1450" s="46" t="s">
        <v>4038</v>
      </c>
      <c r="H1450" s="28">
        <v>1</v>
      </c>
      <c r="I1450" s="43" t="s">
        <v>0</v>
      </c>
      <c r="J1450" s="43" t="s">
        <v>0</v>
      </c>
      <c r="K1450" s="43" t="s">
        <v>52</v>
      </c>
      <c r="L1450" s="43" t="s">
        <v>53</v>
      </c>
      <c r="M1450" s="43" t="s">
        <v>55</v>
      </c>
      <c r="N1450" s="43" t="s">
        <v>72</v>
      </c>
      <c r="O1450" s="43" t="s">
        <v>111</v>
      </c>
      <c r="P1450" s="43" t="s">
        <v>104</v>
      </c>
      <c r="Q1450" s="43" t="s">
        <v>74</v>
      </c>
      <c r="R1450" s="43" t="s">
        <v>75</v>
      </c>
      <c r="S1450" s="43" t="s">
        <v>106</v>
      </c>
      <c r="T1450" s="43" t="s">
        <v>62</v>
      </c>
      <c r="U1450" s="43" t="s">
        <v>0</v>
      </c>
      <c r="V1450" s="43" t="s">
        <v>79</v>
      </c>
      <c r="W1450" s="43" t="s">
        <v>77</v>
      </c>
      <c r="X1450" s="43" t="s">
        <v>93</v>
      </c>
      <c r="Y1450" s="43" t="s">
        <v>124</v>
      </c>
      <c r="Z1450" s="43" t="s">
        <v>64</v>
      </c>
      <c r="AA1450" s="43" t="s">
        <v>485</v>
      </c>
      <c r="AB1450" s="43" t="s">
        <v>0</v>
      </c>
      <c r="AC1450" s="24" t="s">
        <v>4051</v>
      </c>
    </row>
    <row r="1451" spans="1:29">
      <c r="A1451" s="43" t="s">
        <v>4052</v>
      </c>
      <c r="B1451" s="43" t="s">
        <v>4053</v>
      </c>
      <c r="C1451" s="30" t="s">
        <v>83</v>
      </c>
      <c r="D1451" s="30" t="s">
        <v>84</v>
      </c>
      <c r="E1451" s="45" t="s">
        <v>1414</v>
      </c>
      <c r="F1451" s="45" t="s">
        <v>86</v>
      </c>
      <c r="G1451" s="46" t="s">
        <v>33</v>
      </c>
      <c r="H1451" s="35">
        <v>1</v>
      </c>
      <c r="I1451" s="43" t="s">
        <v>0</v>
      </c>
      <c r="J1451" s="43" t="s">
        <v>0</v>
      </c>
      <c r="K1451" s="43" t="s">
        <v>52</v>
      </c>
      <c r="L1451" s="43" t="s">
        <v>53</v>
      </c>
      <c r="M1451" s="43" t="s">
        <v>71</v>
      </c>
      <c r="N1451" s="43" t="s">
        <v>121</v>
      </c>
      <c r="O1451" s="43" t="s">
        <v>72</v>
      </c>
      <c r="P1451" s="43" t="s">
        <v>75</v>
      </c>
      <c r="Q1451" s="43" t="s">
        <v>74</v>
      </c>
      <c r="R1451" s="43" t="s">
        <v>0</v>
      </c>
      <c r="S1451" s="43" t="s">
        <v>106</v>
      </c>
      <c r="T1451" s="43" t="s">
        <v>62</v>
      </c>
      <c r="U1451" s="43" t="s">
        <v>91</v>
      </c>
      <c r="V1451" s="43" t="s">
        <v>79</v>
      </c>
      <c r="W1451" s="43" t="s">
        <v>116</v>
      </c>
      <c r="X1451" s="43" t="s">
        <v>107</v>
      </c>
      <c r="Y1451" s="43" t="s">
        <v>240</v>
      </c>
      <c r="Z1451" s="43" t="s">
        <v>64</v>
      </c>
      <c r="AA1451" s="43" t="s">
        <v>95</v>
      </c>
      <c r="AB1451" s="43" t="s">
        <v>0</v>
      </c>
      <c r="AC1451" s="30" t="s">
        <v>4054</v>
      </c>
    </row>
    <row r="1452" spans="1:29">
      <c r="A1452" s="43" t="s">
        <v>4055</v>
      </c>
      <c r="B1452" s="43" t="s">
        <v>4056</v>
      </c>
      <c r="C1452" s="24" t="s">
        <v>83</v>
      </c>
      <c r="D1452" s="24" t="s">
        <v>84</v>
      </c>
      <c r="E1452" s="45" t="s">
        <v>954</v>
      </c>
      <c r="F1452" s="45" t="s">
        <v>144</v>
      </c>
      <c r="G1452" s="46" t="s">
        <v>4057</v>
      </c>
      <c r="H1452" s="28">
        <v>1</v>
      </c>
      <c r="I1452" s="43" t="s">
        <v>0</v>
      </c>
      <c r="J1452" s="43" t="s">
        <v>0</v>
      </c>
      <c r="K1452" s="43" t="s">
        <v>52</v>
      </c>
      <c r="L1452" s="43" t="s">
        <v>53</v>
      </c>
      <c r="M1452" s="43" t="s">
        <v>55</v>
      </c>
      <c r="N1452" s="43" t="s">
        <v>88</v>
      </c>
      <c r="O1452" s="43" t="s">
        <v>72</v>
      </c>
      <c r="P1452" s="43" t="s">
        <v>146</v>
      </c>
      <c r="Q1452" s="43" t="s">
        <v>591</v>
      </c>
      <c r="R1452" s="43" t="s">
        <v>74</v>
      </c>
      <c r="S1452" s="43" t="s">
        <v>90</v>
      </c>
      <c r="T1452" s="43" t="s">
        <v>106</v>
      </c>
      <c r="U1452" s="43" t="s">
        <v>147</v>
      </c>
      <c r="V1452" s="43" t="s">
        <v>92</v>
      </c>
      <c r="W1452" s="43" t="s">
        <v>116</v>
      </c>
      <c r="X1452" s="43" t="s">
        <v>79</v>
      </c>
      <c r="Y1452" s="43" t="s">
        <v>335</v>
      </c>
      <c r="Z1452" s="43" t="s">
        <v>64</v>
      </c>
      <c r="AA1452" s="43" t="s">
        <v>95</v>
      </c>
      <c r="AB1452" s="43" t="s">
        <v>0</v>
      </c>
      <c r="AC1452" s="24" t="s">
        <v>4058</v>
      </c>
    </row>
    <row r="1453" spans="1:29">
      <c r="A1453" s="43" t="s">
        <v>4059</v>
      </c>
      <c r="B1453" s="43" t="s">
        <v>4060</v>
      </c>
      <c r="C1453" s="30" t="s">
        <v>83</v>
      </c>
      <c r="D1453" s="30" t="s">
        <v>84</v>
      </c>
      <c r="E1453" s="45" t="s">
        <v>3362</v>
      </c>
      <c r="F1453" s="45" t="s">
        <v>177</v>
      </c>
      <c r="G1453" s="46" t="s">
        <v>4057</v>
      </c>
      <c r="H1453" s="35">
        <v>1</v>
      </c>
      <c r="I1453" s="43" t="s">
        <v>0</v>
      </c>
      <c r="J1453" s="43" t="s">
        <v>0</v>
      </c>
      <c r="K1453" s="43" t="s">
        <v>52</v>
      </c>
      <c r="L1453" s="43" t="s">
        <v>53</v>
      </c>
      <c r="M1453" s="43" t="s">
        <v>54</v>
      </c>
      <c r="N1453" s="43" t="s">
        <v>111</v>
      </c>
      <c r="O1453" s="43" t="s">
        <v>88</v>
      </c>
      <c r="P1453" s="43" t="s">
        <v>89</v>
      </c>
      <c r="Q1453" s="43" t="s">
        <v>75</v>
      </c>
      <c r="R1453" s="43" t="s">
        <v>57</v>
      </c>
      <c r="S1453" s="43" t="s">
        <v>90</v>
      </c>
      <c r="T1453" s="43" t="s">
        <v>106</v>
      </c>
      <c r="U1453" s="43" t="s">
        <v>62</v>
      </c>
      <c r="V1453" s="43" t="s">
        <v>116</v>
      </c>
      <c r="W1453" s="43" t="s">
        <v>107</v>
      </c>
      <c r="X1453" s="43" t="s">
        <v>173</v>
      </c>
      <c r="Y1453" s="43" t="s">
        <v>1762</v>
      </c>
      <c r="Z1453" s="43" t="s">
        <v>64</v>
      </c>
      <c r="AA1453" s="43" t="s">
        <v>95</v>
      </c>
      <c r="AB1453" s="43" t="s">
        <v>0</v>
      </c>
      <c r="AC1453" s="30" t="s">
        <v>4061</v>
      </c>
    </row>
    <row r="1454" spans="1:29">
      <c r="A1454" s="43" t="s">
        <v>4062</v>
      </c>
      <c r="B1454" s="43" t="s">
        <v>4063</v>
      </c>
      <c r="C1454" s="24" t="s">
        <v>646</v>
      </c>
      <c r="D1454" s="24" t="s">
        <v>646</v>
      </c>
      <c r="E1454" s="45" t="s">
        <v>4064</v>
      </c>
      <c r="F1454" s="45" t="s">
        <v>86</v>
      </c>
      <c r="G1454" s="46" t="s">
        <v>26</v>
      </c>
      <c r="H1454" s="28">
        <v>1</v>
      </c>
      <c r="I1454" s="43" t="s">
        <v>0</v>
      </c>
      <c r="J1454" s="43" t="s">
        <v>0</v>
      </c>
      <c r="K1454" s="43" t="s">
        <v>52</v>
      </c>
      <c r="L1454" s="43" t="s">
        <v>1506</v>
      </c>
      <c r="M1454" s="43" t="s">
        <v>88</v>
      </c>
      <c r="N1454" s="43" t="s">
        <v>71</v>
      </c>
      <c r="O1454" s="43" t="s">
        <v>72</v>
      </c>
      <c r="P1454" s="43" t="s">
        <v>75</v>
      </c>
      <c r="Q1454" s="43" t="s">
        <v>73</v>
      </c>
      <c r="R1454" s="43" t="s">
        <v>58</v>
      </c>
      <c r="S1454" s="43" t="s">
        <v>106</v>
      </c>
      <c r="T1454" s="43" t="s">
        <v>62</v>
      </c>
      <c r="U1454" s="43" t="s">
        <v>147</v>
      </c>
      <c r="V1454" s="43" t="s">
        <v>116</v>
      </c>
      <c r="W1454" s="43" t="s">
        <v>77</v>
      </c>
      <c r="X1454" s="43" t="s">
        <v>0</v>
      </c>
      <c r="Y1454" s="43" t="s">
        <v>1090</v>
      </c>
      <c r="Z1454" s="43" t="s">
        <v>64</v>
      </c>
      <c r="AA1454" s="43" t="s">
        <v>646</v>
      </c>
      <c r="AB1454" s="43" t="s">
        <v>0</v>
      </c>
      <c r="AC1454" s="24" t="s">
        <v>4065</v>
      </c>
    </row>
    <row r="1455" spans="1:29">
      <c r="A1455" s="43" t="s">
        <v>4066</v>
      </c>
      <c r="B1455" s="43" t="s">
        <v>4067</v>
      </c>
      <c r="C1455" s="30" t="s">
        <v>646</v>
      </c>
      <c r="D1455" s="30" t="s">
        <v>646</v>
      </c>
      <c r="E1455" s="45" t="s">
        <v>3897</v>
      </c>
      <c r="F1455" s="45" t="s">
        <v>144</v>
      </c>
      <c r="G1455" s="46" t="s">
        <v>33</v>
      </c>
      <c r="H1455" s="35">
        <v>1</v>
      </c>
      <c r="I1455" s="43" t="s">
        <v>0</v>
      </c>
      <c r="J1455" s="43" t="s">
        <v>0</v>
      </c>
      <c r="K1455" s="43" t="s">
        <v>52</v>
      </c>
      <c r="L1455" s="43" t="s">
        <v>1506</v>
      </c>
      <c r="M1455" s="43" t="s">
        <v>178</v>
      </c>
      <c r="N1455" s="43" t="s">
        <v>111</v>
      </c>
      <c r="O1455" s="43" t="s">
        <v>54</v>
      </c>
      <c r="P1455" s="43" t="s">
        <v>74</v>
      </c>
      <c r="Q1455" s="43" t="s">
        <v>57</v>
      </c>
      <c r="R1455" s="43" t="s">
        <v>58</v>
      </c>
      <c r="S1455" s="43" t="s">
        <v>106</v>
      </c>
      <c r="T1455" s="43" t="s">
        <v>62</v>
      </c>
      <c r="U1455" s="43" t="s">
        <v>147</v>
      </c>
      <c r="V1455" s="43" t="s">
        <v>79</v>
      </c>
      <c r="W1455" s="43" t="s">
        <v>116</v>
      </c>
      <c r="X1455" s="43" t="s">
        <v>93</v>
      </c>
      <c r="Y1455" s="43" t="s">
        <v>314</v>
      </c>
      <c r="Z1455" s="43" t="s">
        <v>64</v>
      </c>
      <c r="AA1455" s="43" t="s">
        <v>646</v>
      </c>
      <c r="AB1455" s="43" t="s">
        <v>0</v>
      </c>
      <c r="AC1455" s="30" t="s">
        <v>4068</v>
      </c>
    </row>
    <row r="1456" spans="1:29">
      <c r="A1456" s="43" t="s">
        <v>4069</v>
      </c>
      <c r="B1456" s="43" t="str">
        <f>IF(ISNUMBER(SEARCH(E1456,A1456)),A1456,IF(OR(E1456="",E1456=""),A1456,A1456&amp;" - "&amp;E1456))</f>
        <v>BLKMKT LAW THC25 - LA WoMAC</v>
      </c>
      <c r="C1456" s="24" t="s">
        <v>646</v>
      </c>
      <c r="D1456" s="24" t="s">
        <v>646</v>
      </c>
      <c r="E1456" s="43" t="s">
        <v>3691</v>
      </c>
      <c r="F1456" s="43" t="s">
        <v>86</v>
      </c>
      <c r="G1456" s="43" t="s">
        <v>26</v>
      </c>
      <c r="H1456" s="28">
        <v>1</v>
      </c>
      <c r="I1456" s="43" t="s">
        <v>0</v>
      </c>
      <c r="J1456" s="43" t="s">
        <v>0</v>
      </c>
      <c r="K1456" s="43" t="s">
        <v>52</v>
      </c>
      <c r="L1456" s="43" t="s">
        <v>1506</v>
      </c>
      <c r="M1456" s="43" t="s">
        <v>178</v>
      </c>
      <c r="N1456" s="43" t="s">
        <v>54</v>
      </c>
      <c r="O1456" s="43" t="s">
        <v>88</v>
      </c>
      <c r="P1456" s="43" t="s">
        <v>157</v>
      </c>
      <c r="Q1456" s="43" t="s">
        <v>74</v>
      </c>
      <c r="R1456" s="43" t="s">
        <v>73</v>
      </c>
      <c r="S1456" s="43" t="s">
        <v>90</v>
      </c>
      <c r="T1456" s="43" t="s">
        <v>62</v>
      </c>
      <c r="U1456" s="43" t="s">
        <v>493</v>
      </c>
      <c r="V1456" s="43" t="s">
        <v>116</v>
      </c>
      <c r="W1456" s="43" t="s">
        <v>79</v>
      </c>
      <c r="X1456" s="43" t="s">
        <v>93</v>
      </c>
      <c r="Y1456" s="43" t="s">
        <v>204</v>
      </c>
      <c r="Z1456" s="43" t="s">
        <v>64</v>
      </c>
      <c r="AA1456" s="43" t="s">
        <v>646</v>
      </c>
      <c r="AB1456" s="43" t="s">
        <v>3692</v>
      </c>
      <c r="AC1456" s="24" t="s">
        <v>4070</v>
      </c>
    </row>
    <row r="1457" spans="1:29">
      <c r="A1457" s="43" t="s">
        <v>4071</v>
      </c>
      <c r="B1457" s="43" t="str">
        <f>IF(ISNUMBER(SEARCH(E1457,A1457)),A1457,IF(OR(E1457="",E1457=""),A1457,A1457&amp;" - "&amp;E1457))</f>
        <v>Remexian 25/1 BPD - Big Purple Dragon</v>
      </c>
      <c r="C1457" s="30" t="s">
        <v>83</v>
      </c>
      <c r="D1457" s="30" t="s">
        <v>84</v>
      </c>
      <c r="E1457" s="45" t="s">
        <v>4072</v>
      </c>
      <c r="F1457" s="45" t="s">
        <v>86</v>
      </c>
      <c r="G1457" s="46" t="s">
        <v>26</v>
      </c>
      <c r="H1457" s="35">
        <v>1</v>
      </c>
      <c r="I1457" s="43" t="s">
        <v>0</v>
      </c>
      <c r="J1457" s="43" t="s">
        <v>0</v>
      </c>
      <c r="K1457" s="43" t="s">
        <v>52</v>
      </c>
      <c r="L1457" s="43" t="s">
        <v>87</v>
      </c>
      <c r="M1457" s="43" t="s">
        <v>54</v>
      </c>
      <c r="N1457" s="43" t="s">
        <v>72</v>
      </c>
      <c r="O1457" s="43" t="s">
        <v>0</v>
      </c>
      <c r="P1457" s="43" t="s">
        <v>74</v>
      </c>
      <c r="Q1457" s="43" t="s">
        <v>59</v>
      </c>
      <c r="R1457" s="43" t="s">
        <v>0</v>
      </c>
      <c r="S1457" s="43" t="s">
        <v>106</v>
      </c>
      <c r="T1457" s="43" t="s">
        <v>62</v>
      </c>
      <c r="U1457" s="43" t="s">
        <v>114</v>
      </c>
      <c r="V1457" s="43" t="s">
        <v>129</v>
      </c>
      <c r="W1457" s="43" t="s">
        <v>107</v>
      </c>
      <c r="X1457" s="43" t="s">
        <v>77</v>
      </c>
      <c r="Y1457" s="43" t="s">
        <v>204</v>
      </c>
      <c r="Z1457" s="43" t="s">
        <v>64</v>
      </c>
      <c r="AA1457" s="43" t="s">
        <v>95</v>
      </c>
      <c r="AB1457" s="43" t="s">
        <v>0</v>
      </c>
      <c r="AC1457" s="30" t="s">
        <v>4073</v>
      </c>
    </row>
    <row r="1458" spans="1:29">
      <c r="A1458" s="43" t="s">
        <v>4074</v>
      </c>
      <c r="B1458" s="43" t="str">
        <f>IF(ISNUMBER(SEARCH(E1458,A1458)),A1458,IF(OR(E1458="",E1458=""),A1458,A1458&amp;" - "&amp;E1458))</f>
        <v>Tikun Midnight 10/14</v>
      </c>
      <c r="C1458" s="23" t="s">
        <v>4075</v>
      </c>
      <c r="D1458" s="43" t="s">
        <v>4076</v>
      </c>
      <c r="E1458" s="45" t="s">
        <v>4077</v>
      </c>
      <c r="F1458" s="45" t="s">
        <v>144</v>
      </c>
      <c r="G1458" s="46" t="s">
        <v>12</v>
      </c>
      <c r="H1458" s="69" t="s">
        <v>40</v>
      </c>
      <c r="I1458" s="43" t="s">
        <v>0</v>
      </c>
      <c r="J1458" s="43" t="s">
        <v>0</v>
      </c>
      <c r="K1458" s="43" t="s">
        <v>52</v>
      </c>
      <c r="L1458" s="43" t="s">
        <v>1506</v>
      </c>
      <c r="M1458" s="43" t="s">
        <v>111</v>
      </c>
      <c r="N1458" s="43" t="s">
        <v>72</v>
      </c>
      <c r="O1458" s="43" t="s">
        <v>0</v>
      </c>
      <c r="P1458" s="43" t="s">
        <v>75</v>
      </c>
      <c r="Q1458" s="43" t="s">
        <v>74</v>
      </c>
      <c r="R1458" s="43" t="s">
        <v>0</v>
      </c>
      <c r="S1458" s="43" t="s">
        <v>128</v>
      </c>
      <c r="T1458" s="43" t="s">
        <v>106</v>
      </c>
      <c r="U1458" s="43" t="s">
        <v>123</v>
      </c>
      <c r="V1458" s="43" t="s">
        <v>107</v>
      </c>
      <c r="W1458" s="43" t="s">
        <v>635</v>
      </c>
      <c r="X1458" s="43" t="s">
        <v>173</v>
      </c>
      <c r="Y1458" s="43" t="s">
        <v>833</v>
      </c>
      <c r="Z1458" s="43" t="s">
        <v>64</v>
      </c>
      <c r="AA1458" s="43" t="s">
        <v>4076</v>
      </c>
      <c r="AB1458" s="43" t="s">
        <v>0</v>
      </c>
      <c r="AC1458" s="24" t="s">
        <v>4078</v>
      </c>
    </row>
    <row r="1459" spans="1:29">
      <c r="A1459" s="43" t="s">
        <v>4079</v>
      </c>
      <c r="B1459" s="43" t="str">
        <f>IF(ISNUMBER(SEARCH(E1459,A1459)),A1459,IF(OR(E1459="",E1459=""),A1459,A1459&amp;" - "&amp;E1459))</f>
        <v>Tikun Erez 20/1</v>
      </c>
      <c r="C1459" s="29" t="s">
        <v>4075</v>
      </c>
      <c r="D1459" s="43" t="s">
        <v>4076</v>
      </c>
      <c r="E1459" s="45" t="s">
        <v>1571</v>
      </c>
      <c r="F1459" s="45" t="s">
        <v>86</v>
      </c>
      <c r="G1459" s="46" t="s">
        <v>460</v>
      </c>
      <c r="H1459" s="35">
        <v>1</v>
      </c>
      <c r="I1459" s="43" t="s">
        <v>0</v>
      </c>
      <c r="J1459" s="43" t="s">
        <v>0</v>
      </c>
      <c r="K1459" s="43" t="s">
        <v>52</v>
      </c>
      <c r="L1459" s="43" t="s">
        <v>1506</v>
      </c>
      <c r="M1459" s="43" t="s">
        <v>103</v>
      </c>
      <c r="N1459" s="43" t="s">
        <v>121</v>
      </c>
      <c r="O1459" s="43" t="s">
        <v>72</v>
      </c>
      <c r="P1459" s="43" t="s">
        <v>74</v>
      </c>
      <c r="Q1459" s="43" t="s">
        <v>146</v>
      </c>
      <c r="R1459" s="43" t="s">
        <v>59</v>
      </c>
      <c r="S1459" s="43" t="s">
        <v>128</v>
      </c>
      <c r="T1459" s="43" t="s">
        <v>106</v>
      </c>
      <c r="U1459" s="43" t="s">
        <v>179</v>
      </c>
      <c r="V1459" s="43" t="s">
        <v>138</v>
      </c>
      <c r="W1459" s="43" t="s">
        <v>93</v>
      </c>
      <c r="X1459" s="43" t="s">
        <v>77</v>
      </c>
      <c r="Y1459" s="43" t="s">
        <v>226</v>
      </c>
      <c r="Z1459" s="43" t="s">
        <v>64</v>
      </c>
      <c r="AA1459" s="43" t="s">
        <v>4076</v>
      </c>
      <c r="AB1459" s="43" t="s">
        <v>0</v>
      </c>
      <c r="AC1459" s="30" t="s">
        <v>4080</v>
      </c>
    </row>
    <row r="1460" spans="1:29">
      <c r="A1460" s="43" t="s">
        <v>4081</v>
      </c>
      <c r="B1460" s="43" t="str">
        <f>IF(ISNUMBER(SEARCH(E1460,A1460)),A1460,IF(OR(E1460="",E1460=""),A1460,A1460&amp;" - "&amp;E1460))</f>
        <v>Eufloria 27/1 SRU - Slurricane Pancakes Runtz</v>
      </c>
      <c r="C1460" s="24" t="s">
        <v>83</v>
      </c>
      <c r="D1460" s="24" t="s">
        <v>84</v>
      </c>
      <c r="E1460" s="45" t="s">
        <v>4082</v>
      </c>
      <c r="F1460" s="45" t="s">
        <v>120</v>
      </c>
      <c r="G1460" s="46" t="s">
        <v>33</v>
      </c>
      <c r="H1460" s="28">
        <v>1</v>
      </c>
      <c r="I1460" s="43" t="s">
        <v>0</v>
      </c>
      <c r="J1460" s="43" t="s">
        <v>0</v>
      </c>
      <c r="K1460" s="43" t="s">
        <v>52</v>
      </c>
      <c r="L1460" s="43" t="s">
        <v>53</v>
      </c>
      <c r="M1460" s="43" t="s">
        <v>88</v>
      </c>
      <c r="N1460" s="43" t="s">
        <v>72</v>
      </c>
      <c r="O1460" s="43" t="s">
        <v>71</v>
      </c>
      <c r="P1460" s="43" t="s">
        <v>58</v>
      </c>
      <c r="Q1460" s="43" t="s">
        <v>75</v>
      </c>
      <c r="R1460" s="43" t="s">
        <v>73</v>
      </c>
      <c r="S1460" s="43" t="s">
        <v>106</v>
      </c>
      <c r="T1460" s="43" t="s">
        <v>123</v>
      </c>
      <c r="U1460" s="43" t="s">
        <v>493</v>
      </c>
      <c r="V1460" s="43" t="s">
        <v>173</v>
      </c>
      <c r="W1460" s="43" t="s">
        <v>93</v>
      </c>
      <c r="X1460" s="43" t="s">
        <v>116</v>
      </c>
      <c r="Y1460" s="43" t="s">
        <v>240</v>
      </c>
      <c r="Z1460" s="43" t="s">
        <v>64</v>
      </c>
      <c r="AA1460" s="43" t="s">
        <v>95</v>
      </c>
      <c r="AB1460" s="43" t="s">
        <v>0</v>
      </c>
      <c r="AC1460" s="24" t="s">
        <v>4083</v>
      </c>
    </row>
    <row r="1461" spans="1:29">
      <c r="A1461" s="43" t="s">
        <v>4084</v>
      </c>
      <c r="B1461" s="43" t="str">
        <f>IF(ISNUMBER(SEARCH(E1461,A1461)),A1461,IF(OR(E1461="",E1461=""),A1461,A1461&amp;" - "&amp;E1461))</f>
        <v>Eufloria 27/1 RVC - Red Velvet Cake</v>
      </c>
      <c r="C1461" s="30" t="s">
        <v>83</v>
      </c>
      <c r="D1461" s="30" t="s">
        <v>84</v>
      </c>
      <c r="E1461" s="45" t="s">
        <v>4085</v>
      </c>
      <c r="F1461" s="45" t="s">
        <v>86</v>
      </c>
      <c r="G1461" s="46" t="s">
        <v>4086</v>
      </c>
      <c r="H1461" s="35">
        <v>1</v>
      </c>
      <c r="I1461" s="43" t="s">
        <v>0</v>
      </c>
      <c r="J1461" s="43" t="s">
        <v>0</v>
      </c>
      <c r="K1461" s="43" t="s">
        <v>52</v>
      </c>
      <c r="L1461" s="43" t="s">
        <v>53</v>
      </c>
      <c r="M1461" s="43" t="s">
        <v>72</v>
      </c>
      <c r="N1461" s="43" t="s">
        <v>71</v>
      </c>
      <c r="O1461" s="43" t="s">
        <v>178</v>
      </c>
      <c r="P1461" s="43" t="s">
        <v>58</v>
      </c>
      <c r="Q1461" s="43" t="s">
        <v>59</v>
      </c>
      <c r="R1461" s="43" t="s">
        <v>89</v>
      </c>
      <c r="S1461" s="43" t="s">
        <v>106</v>
      </c>
      <c r="T1461" s="43" t="s">
        <v>62</v>
      </c>
      <c r="U1461" s="43" t="s">
        <v>123</v>
      </c>
      <c r="V1461" s="43" t="s">
        <v>77</v>
      </c>
      <c r="W1461" s="43" t="s">
        <v>173</v>
      </c>
      <c r="X1461" s="43" t="s">
        <v>138</v>
      </c>
      <c r="Y1461" s="43" t="s">
        <v>240</v>
      </c>
      <c r="Z1461" s="43" t="s">
        <v>64</v>
      </c>
      <c r="AA1461" s="43" t="s">
        <v>95</v>
      </c>
      <c r="AB1461" s="43" t="s">
        <v>0</v>
      </c>
      <c r="AC1461" s="30" t="s">
        <v>4087</v>
      </c>
    </row>
    <row r="1462" spans="1:29">
      <c r="A1462" s="43" t="s">
        <v>4088</v>
      </c>
      <c r="B1462" s="43" t="str">
        <f>IF(ISNUMBER(SEARCH(E1462,A1462)),A1462,IF(OR(E1462="",E1462=""),A1462,A1462&amp;" - "&amp;E1462))</f>
        <v>Therismos CJU 30/1 - Cap Junky</v>
      </c>
      <c r="C1462" s="24" t="s">
        <v>741</v>
      </c>
      <c r="D1462" s="24" t="s">
        <v>742</v>
      </c>
      <c r="E1462" s="45" t="s">
        <v>1594</v>
      </c>
      <c r="F1462" s="45" t="s">
        <v>86</v>
      </c>
      <c r="G1462" s="46" t="s">
        <v>4057</v>
      </c>
      <c r="H1462" s="28">
        <v>1</v>
      </c>
      <c r="I1462" s="43" t="s">
        <v>0</v>
      </c>
      <c r="J1462" s="43" t="s">
        <v>0</v>
      </c>
      <c r="K1462" s="43" t="s">
        <v>52</v>
      </c>
      <c r="L1462" s="43" t="s">
        <v>53</v>
      </c>
      <c r="M1462" s="43" t="s">
        <v>111</v>
      </c>
      <c r="N1462" s="43" t="s">
        <v>54</v>
      </c>
      <c r="O1462" s="43" t="s">
        <v>178</v>
      </c>
      <c r="P1462" s="43" t="s">
        <v>74</v>
      </c>
      <c r="Q1462" s="43" t="s">
        <v>59</v>
      </c>
      <c r="R1462" s="43" t="s">
        <v>89</v>
      </c>
      <c r="S1462" s="43" t="s">
        <v>61</v>
      </c>
      <c r="T1462" s="43" t="s">
        <v>123</v>
      </c>
      <c r="U1462" s="43" t="s">
        <v>114</v>
      </c>
      <c r="V1462" s="43" t="s">
        <v>116</v>
      </c>
      <c r="W1462" s="43" t="s">
        <v>107</v>
      </c>
      <c r="X1462" s="43" t="s">
        <v>77</v>
      </c>
      <c r="Y1462" s="43" t="s">
        <v>1430</v>
      </c>
      <c r="Z1462" s="43" t="s">
        <v>64</v>
      </c>
      <c r="AA1462" s="43" t="s">
        <v>742</v>
      </c>
      <c r="AB1462" s="43" t="s">
        <v>0</v>
      </c>
      <c r="AC1462" s="24" t="s">
        <v>4089</v>
      </c>
    </row>
    <row r="1463" spans="1:29">
      <c r="A1463" s="43" t="s">
        <v>4090</v>
      </c>
      <c r="B1463" s="43" t="str">
        <f>IF(ISNUMBER(SEARCH(E1463,A1463)),A1463,IF(OR(E1463="",E1463=""),A1463,A1463&amp;" - "&amp;E1463))</f>
        <v>Big Dreams 21/1 PSF (Small Buds) - PK0300</v>
      </c>
      <c r="C1463" s="30" t="s">
        <v>83</v>
      </c>
      <c r="D1463" s="30" t="s">
        <v>84</v>
      </c>
      <c r="E1463" s="45" t="s">
        <v>4042</v>
      </c>
      <c r="F1463" s="45" t="s">
        <v>177</v>
      </c>
      <c r="G1463" s="46" t="s">
        <v>452</v>
      </c>
      <c r="H1463" s="35">
        <v>1</v>
      </c>
      <c r="I1463" s="43" t="s">
        <v>0</v>
      </c>
      <c r="J1463" s="43" t="s">
        <v>0</v>
      </c>
      <c r="K1463" s="43" t="s">
        <v>52</v>
      </c>
      <c r="L1463" s="43" t="s">
        <v>53</v>
      </c>
      <c r="M1463" s="43" t="s">
        <v>121</v>
      </c>
      <c r="N1463" s="43" t="s">
        <v>111</v>
      </c>
      <c r="O1463" s="43" t="s">
        <v>54</v>
      </c>
      <c r="P1463" s="43" t="s">
        <v>146</v>
      </c>
      <c r="Q1463" s="43" t="s">
        <v>75</v>
      </c>
      <c r="R1463" s="43" t="s">
        <v>89</v>
      </c>
      <c r="S1463" s="43" t="s">
        <v>128</v>
      </c>
      <c r="T1463" s="43" t="s">
        <v>106</v>
      </c>
      <c r="U1463" s="43" t="s">
        <v>0</v>
      </c>
      <c r="V1463" s="43" t="s">
        <v>93</v>
      </c>
      <c r="W1463" s="43" t="s">
        <v>116</v>
      </c>
      <c r="X1463" s="43" t="s">
        <v>79</v>
      </c>
      <c r="Y1463" s="43" t="s">
        <v>314</v>
      </c>
      <c r="Z1463" s="43" t="s">
        <v>64</v>
      </c>
      <c r="AA1463" s="43" t="s">
        <v>95</v>
      </c>
      <c r="AB1463" s="43" t="s">
        <v>678</v>
      </c>
      <c r="AC1463" s="30" t="s">
        <v>4091</v>
      </c>
    </row>
    <row r="1464" spans="1:29">
      <c r="A1464" s="43" t="s">
        <v>4092</v>
      </c>
      <c r="B1464" s="43" t="str">
        <f>IF(ISNUMBER(SEARCH(E1464,A1464)),A1464,IF(OR(E1464="",E1464=""),A1464,A1464&amp;" - "&amp;E1464))</f>
        <v>IMC PF THC27 - Purple Flame</v>
      </c>
      <c r="C1464" s="24" t="s">
        <v>646</v>
      </c>
      <c r="D1464" s="24" t="s">
        <v>646</v>
      </c>
      <c r="E1464" s="45" t="s">
        <v>4064</v>
      </c>
      <c r="F1464" s="45" t="s">
        <v>86</v>
      </c>
      <c r="G1464" s="46" t="s">
        <v>33</v>
      </c>
      <c r="H1464" s="28">
        <v>1</v>
      </c>
      <c r="I1464" s="43" t="s">
        <v>0</v>
      </c>
      <c r="J1464" s="43" t="s">
        <v>0</v>
      </c>
      <c r="K1464" s="43" t="s">
        <v>52</v>
      </c>
      <c r="L1464" s="43" t="s">
        <v>1506</v>
      </c>
      <c r="M1464" s="43" t="s">
        <v>88</v>
      </c>
      <c r="N1464" s="43" t="s">
        <v>71</v>
      </c>
      <c r="O1464" s="43" t="s">
        <v>72</v>
      </c>
      <c r="P1464" s="43" t="s">
        <v>75</v>
      </c>
      <c r="Q1464" s="43" t="s">
        <v>73</v>
      </c>
      <c r="R1464" s="43" t="s">
        <v>58</v>
      </c>
      <c r="S1464" s="43" t="s">
        <v>106</v>
      </c>
      <c r="T1464" s="43" t="s">
        <v>62</v>
      </c>
      <c r="U1464" s="43" t="s">
        <v>147</v>
      </c>
      <c r="V1464" s="43" t="s">
        <v>116</v>
      </c>
      <c r="W1464" s="43" t="s">
        <v>77</v>
      </c>
      <c r="X1464" s="43" t="s">
        <v>0</v>
      </c>
      <c r="Y1464" s="43" t="s">
        <v>338</v>
      </c>
      <c r="Z1464" s="43" t="s">
        <v>64</v>
      </c>
      <c r="AA1464" s="43" t="s">
        <v>646</v>
      </c>
      <c r="AB1464" s="43" t="s">
        <v>0</v>
      </c>
      <c r="AC1464" s="24" t="s">
        <v>4093</v>
      </c>
    </row>
    <row r="1465" spans="1:29">
      <c r="A1465" s="43" t="s">
        <v>4094</v>
      </c>
      <c r="B1465" s="43" t="str">
        <f>IF(ISNUMBER(SEARCH(E1465,A1465)),A1465,IF(OR(E1465="",E1465=""),A1465,A1465&amp;" - "&amp;E1465))</f>
        <v>Cookies 24/1 Blanco</v>
      </c>
      <c r="C1465" s="30" t="s">
        <v>996</v>
      </c>
      <c r="D1465" s="30" t="s">
        <v>997</v>
      </c>
      <c r="E1465" s="45" t="s">
        <v>4095</v>
      </c>
      <c r="F1465" s="45" t="s">
        <v>86</v>
      </c>
      <c r="G1465" s="46" t="s">
        <v>448</v>
      </c>
      <c r="H1465" s="35">
        <v>1</v>
      </c>
      <c r="I1465" s="43" t="s">
        <v>0</v>
      </c>
      <c r="J1465" s="43" t="s">
        <v>0</v>
      </c>
      <c r="K1465" s="43" t="s">
        <v>52</v>
      </c>
      <c r="L1465" s="43" t="s">
        <v>53</v>
      </c>
      <c r="M1465" s="43" t="s">
        <v>72</v>
      </c>
      <c r="N1465" s="43" t="s">
        <v>54</v>
      </c>
      <c r="O1465" s="43" t="s">
        <v>178</v>
      </c>
      <c r="P1465" s="43" t="s">
        <v>59</v>
      </c>
      <c r="Q1465" s="43" t="s">
        <v>113</v>
      </c>
      <c r="R1465" s="43" t="s">
        <v>74</v>
      </c>
      <c r="S1465" s="43" t="s">
        <v>106</v>
      </c>
      <c r="T1465" s="43" t="s">
        <v>62</v>
      </c>
      <c r="U1465" s="43" t="s">
        <v>147</v>
      </c>
      <c r="V1465" s="43" t="s">
        <v>79</v>
      </c>
      <c r="W1465" s="43" t="s">
        <v>77</v>
      </c>
      <c r="X1465" s="43" t="s">
        <v>173</v>
      </c>
      <c r="Y1465" s="43" t="s">
        <v>413</v>
      </c>
      <c r="Z1465" s="43" t="s">
        <v>64</v>
      </c>
      <c r="AA1465" s="43" t="s">
        <v>997</v>
      </c>
      <c r="AB1465" s="43" t="s">
        <v>0</v>
      </c>
      <c r="AC1465" s="30" t="s">
        <v>4096</v>
      </c>
    </row>
    <row r="1466" spans="1:29">
      <c r="A1466" s="43" t="s">
        <v>4097</v>
      </c>
      <c r="B1466" s="43" t="str">
        <f>IF(ISNUMBER(SEARCH(E1466,A1466)),A1466,IF(OR(E1466="",E1466=""),A1466,A1466&amp;" - "&amp;E1466))</f>
        <v>IMC AGD THC25 Smalls - Afghani Drifter</v>
      </c>
      <c r="C1466" s="24" t="s">
        <v>646</v>
      </c>
      <c r="D1466" s="24" t="s">
        <v>646</v>
      </c>
      <c r="E1466" s="45" t="s">
        <v>3903</v>
      </c>
      <c r="F1466" s="45" t="s">
        <v>177</v>
      </c>
      <c r="G1466" s="46" t="s">
        <v>26</v>
      </c>
      <c r="H1466" s="28">
        <v>1</v>
      </c>
      <c r="I1466" s="43" t="s">
        <v>0</v>
      </c>
      <c r="J1466" s="43" t="s">
        <v>0</v>
      </c>
      <c r="K1466" s="43" t="s">
        <v>52</v>
      </c>
      <c r="L1466" s="43" t="s">
        <v>1506</v>
      </c>
      <c r="M1466" s="43" t="s">
        <v>88</v>
      </c>
      <c r="N1466" s="43" t="s">
        <v>72</v>
      </c>
      <c r="O1466" s="43" t="s">
        <v>0</v>
      </c>
      <c r="P1466" s="43" t="s">
        <v>146</v>
      </c>
      <c r="Q1466" s="43" t="s">
        <v>157</v>
      </c>
      <c r="R1466" s="43" t="s">
        <v>113</v>
      </c>
      <c r="S1466" s="43" t="s">
        <v>106</v>
      </c>
      <c r="T1466" s="43" t="s">
        <v>62</v>
      </c>
      <c r="U1466" s="43" t="s">
        <v>147</v>
      </c>
      <c r="V1466" s="43" t="s">
        <v>79</v>
      </c>
      <c r="W1466" s="43" t="s">
        <v>93</v>
      </c>
      <c r="X1466" s="43" t="s">
        <v>107</v>
      </c>
      <c r="Y1466" s="43" t="s">
        <v>1002</v>
      </c>
      <c r="Z1466" s="43" t="s">
        <v>64</v>
      </c>
      <c r="AA1466" s="43" t="s">
        <v>646</v>
      </c>
      <c r="AB1466" s="43" t="s">
        <v>0</v>
      </c>
      <c r="AC1466" s="24" t="s">
        <v>4098</v>
      </c>
    </row>
    <row r="1467" spans="1:29">
      <c r="A1467" s="43" t="s">
        <v>4099</v>
      </c>
      <c r="B1467" s="43" t="str">
        <f>IF(ISNUMBER(SEARCH(E1467,A1467)),A1467,IF(OR(E1467="",E1467=""),A1467,A1467&amp;" - "&amp;E1467))</f>
        <v>Remexian Balanced CNF MCC 9/15 - Mango Cheese</v>
      </c>
      <c r="C1467" s="30" t="s">
        <v>83</v>
      </c>
      <c r="D1467" s="30" t="s">
        <v>84</v>
      </c>
      <c r="E1467" s="45" t="s">
        <v>3661</v>
      </c>
      <c r="F1467" s="45" t="s">
        <v>86</v>
      </c>
      <c r="G1467" s="46" t="s">
        <v>10</v>
      </c>
      <c r="H1467" s="69" t="s">
        <v>20</v>
      </c>
      <c r="I1467" s="43" t="s">
        <v>0</v>
      </c>
      <c r="J1467" s="43" t="s">
        <v>0</v>
      </c>
      <c r="K1467" s="43" t="s">
        <v>52</v>
      </c>
      <c r="L1467" s="43" t="s">
        <v>53</v>
      </c>
      <c r="M1467" s="43" t="s">
        <v>88</v>
      </c>
      <c r="N1467" s="43" t="s">
        <v>0</v>
      </c>
      <c r="O1467" s="43" t="s">
        <v>0</v>
      </c>
      <c r="P1467" s="43" t="s">
        <v>75</v>
      </c>
      <c r="Q1467" s="43" t="s">
        <v>136</v>
      </c>
      <c r="R1467" s="43" t="s">
        <v>58</v>
      </c>
      <c r="S1467" s="43" t="s">
        <v>128</v>
      </c>
      <c r="T1467" s="43" t="s">
        <v>62</v>
      </c>
      <c r="U1467" s="43" t="s">
        <v>192</v>
      </c>
      <c r="V1467" s="43" t="s">
        <v>79</v>
      </c>
      <c r="W1467" s="43" t="s">
        <v>93</v>
      </c>
      <c r="X1467" s="43" t="s">
        <v>107</v>
      </c>
      <c r="Y1467" s="43" t="s">
        <v>335</v>
      </c>
      <c r="Z1467" s="43" t="s">
        <v>64</v>
      </c>
      <c r="AA1467" s="43" t="s">
        <v>95</v>
      </c>
      <c r="AB1467" s="43" t="s">
        <v>0</v>
      </c>
      <c r="AC1467" s="30" t="s">
        <v>4100</v>
      </c>
    </row>
    <row r="1468" spans="1:29">
      <c r="A1468" s="43" t="s">
        <v>4101</v>
      </c>
      <c r="B1468" s="43" t="str">
        <f>IF(ISNUMBER(SEARCH(E1468,A1468)),A1468,IF(OR(E1468="",E1468=""),A1468,A1468&amp;" - "&amp;E1468))</f>
        <v>Demecan Regular Drop - Animal Face Cookies</v>
      </c>
      <c r="C1468" s="24" t="s">
        <v>484</v>
      </c>
      <c r="D1468" s="24" t="s">
        <v>485</v>
      </c>
      <c r="E1468" s="45" t="s">
        <v>4102</v>
      </c>
      <c r="F1468" s="45" t="s">
        <v>144</v>
      </c>
      <c r="G1468" s="46" t="s">
        <v>26</v>
      </c>
      <c r="H1468" s="28">
        <v>1</v>
      </c>
      <c r="I1468" s="43" t="s">
        <v>0</v>
      </c>
      <c r="J1468" s="43" t="s">
        <v>0</v>
      </c>
      <c r="K1468" s="43" t="s">
        <v>52</v>
      </c>
      <c r="L1468" s="43" t="s">
        <v>53</v>
      </c>
      <c r="M1468" s="43" t="s">
        <v>72</v>
      </c>
      <c r="N1468" s="43" t="s">
        <v>0</v>
      </c>
      <c r="O1468" s="43" t="s">
        <v>0</v>
      </c>
      <c r="P1468" s="43" t="s">
        <v>75</v>
      </c>
      <c r="Q1468" s="43" t="s">
        <v>58</v>
      </c>
      <c r="R1468" s="43" t="s">
        <v>89</v>
      </c>
      <c r="S1468" s="43" t="s">
        <v>106</v>
      </c>
      <c r="T1468" s="43" t="s">
        <v>62</v>
      </c>
      <c r="U1468" s="43" t="s">
        <v>147</v>
      </c>
      <c r="V1468" s="43" t="s">
        <v>165</v>
      </c>
      <c r="W1468" s="43" t="s">
        <v>129</v>
      </c>
      <c r="X1468" s="43" t="s">
        <v>79</v>
      </c>
      <c r="Y1468" s="43" t="s">
        <v>268</v>
      </c>
      <c r="Z1468" s="43" t="s">
        <v>64</v>
      </c>
      <c r="AA1468" s="43" t="s">
        <v>485</v>
      </c>
      <c r="AB1468" s="43" t="s">
        <v>0</v>
      </c>
      <c r="AC1468" s="24" t="s">
        <v>4103</v>
      </c>
    </row>
    <row r="1469" spans="1:29">
      <c r="A1469" s="43" t="s">
        <v>4104</v>
      </c>
      <c r="B1469" s="43" t="str">
        <f>IF(ISNUMBER(SEARCH(E1469,A1469)),A1469,IF(OR(E1469="",E1469=""),A1469,A1469&amp;" - "&amp;E1469))</f>
        <v>IMC PF THC21 Smalls - Purple Flame</v>
      </c>
      <c r="C1469" s="30" t="s">
        <v>646</v>
      </c>
      <c r="D1469" s="30" t="s">
        <v>646</v>
      </c>
      <c r="E1469" s="45" t="s">
        <v>4064</v>
      </c>
      <c r="F1469" s="45" t="s">
        <v>86</v>
      </c>
      <c r="G1469" s="46" t="s">
        <v>452</v>
      </c>
      <c r="H1469" s="35">
        <v>1</v>
      </c>
      <c r="I1469" s="43" t="s">
        <v>0</v>
      </c>
      <c r="J1469" s="43" t="s">
        <v>0</v>
      </c>
      <c r="K1469" s="43" t="s">
        <v>52</v>
      </c>
      <c r="L1469" s="43" t="s">
        <v>1506</v>
      </c>
      <c r="M1469" s="43" t="s">
        <v>88</v>
      </c>
      <c r="N1469" s="43" t="s">
        <v>71</v>
      </c>
      <c r="O1469" s="43" t="s">
        <v>72</v>
      </c>
      <c r="P1469" s="43" t="s">
        <v>75</v>
      </c>
      <c r="Q1469" s="43" t="s">
        <v>73</v>
      </c>
      <c r="R1469" s="43" t="s">
        <v>58</v>
      </c>
      <c r="S1469" s="43" t="s">
        <v>106</v>
      </c>
      <c r="T1469" s="43" t="s">
        <v>62</v>
      </c>
      <c r="U1469" s="43" t="s">
        <v>147</v>
      </c>
      <c r="V1469" s="43" t="s">
        <v>116</v>
      </c>
      <c r="W1469" s="43" t="s">
        <v>77</v>
      </c>
      <c r="X1469" s="43" t="s">
        <v>0</v>
      </c>
      <c r="Y1469" s="43" t="s">
        <v>4105</v>
      </c>
      <c r="Z1469" s="43" t="s">
        <v>64</v>
      </c>
      <c r="AA1469" s="43" t="s">
        <v>646</v>
      </c>
      <c r="AB1469" s="43" t="s">
        <v>0</v>
      </c>
      <c r="AC1469" s="30" t="s">
        <v>4106</v>
      </c>
    </row>
    <row r="1470" spans="1:29">
      <c r="A1470" s="43" t="s">
        <v>4107</v>
      </c>
      <c r="B1470" s="43" t="str">
        <f>IF(ISNUMBER(SEARCH(E1470,A1470)),A1470,IF(OR(E1470="",E1470=""),A1470,A1470&amp;" - "&amp;E1470))</f>
        <v>Buuo Beat 26/1 - Chem de la Chem</v>
      </c>
      <c r="C1470" s="24" t="s">
        <v>641</v>
      </c>
      <c r="D1470" s="24" t="s">
        <v>642</v>
      </c>
      <c r="E1470" s="45" t="s">
        <v>1151</v>
      </c>
      <c r="F1470" s="45" t="s">
        <v>144</v>
      </c>
      <c r="G1470" s="46" t="s">
        <v>4086</v>
      </c>
      <c r="H1470" s="28">
        <v>1</v>
      </c>
      <c r="I1470" s="43" t="s">
        <v>0</v>
      </c>
      <c r="J1470" s="43" t="s">
        <v>0</v>
      </c>
      <c r="K1470" s="43" t="s">
        <v>52</v>
      </c>
      <c r="L1470" s="43" t="s">
        <v>102</v>
      </c>
      <c r="M1470" s="43" t="s">
        <v>72</v>
      </c>
      <c r="N1470" s="43" t="s">
        <v>111</v>
      </c>
      <c r="O1470" s="43" t="s">
        <v>55</v>
      </c>
      <c r="P1470" s="43" t="s">
        <v>146</v>
      </c>
      <c r="Q1470" s="43" t="s">
        <v>75</v>
      </c>
      <c r="R1470" s="43" t="s">
        <v>59</v>
      </c>
      <c r="S1470" s="43" t="s">
        <v>62</v>
      </c>
      <c r="T1470" s="43" t="s">
        <v>147</v>
      </c>
      <c r="U1470" s="43" t="s">
        <v>493</v>
      </c>
      <c r="V1470" s="43" t="s">
        <v>77</v>
      </c>
      <c r="W1470" s="43" t="s">
        <v>79</v>
      </c>
      <c r="X1470" s="43" t="s">
        <v>107</v>
      </c>
      <c r="Y1470" s="43" t="s">
        <v>2230</v>
      </c>
      <c r="Z1470" s="43" t="s">
        <v>64</v>
      </c>
      <c r="AA1470" s="43" t="s">
        <v>642</v>
      </c>
      <c r="AB1470" s="43" t="s">
        <v>0</v>
      </c>
      <c r="AC1470" s="24" t="s">
        <v>4108</v>
      </c>
    </row>
    <row r="1471" spans="1:29">
      <c r="A1471" s="43" t="s">
        <v>4109</v>
      </c>
      <c r="B1471" s="43" t="str">
        <f>IF(ISNUMBER(SEARCH(E1471,A1471)),A1471,IF(OR(E1471="",E1471=""),A1471,A1471&amp;" - "&amp;E1471))</f>
        <v>Remexian 20/1 GJY FCO - Frosted Cookies</v>
      </c>
      <c r="C1471" s="30" t="s">
        <v>83</v>
      </c>
      <c r="D1471" s="30" t="s">
        <v>84</v>
      </c>
      <c r="E1471" s="45" t="s">
        <v>1414</v>
      </c>
      <c r="F1471" s="45" t="s">
        <v>86</v>
      </c>
      <c r="G1471" s="46" t="s">
        <v>460</v>
      </c>
      <c r="H1471" s="35">
        <v>1</v>
      </c>
      <c r="I1471" s="43" t="s">
        <v>0</v>
      </c>
      <c r="J1471" s="43" t="s">
        <v>0</v>
      </c>
      <c r="K1471" s="43" t="s">
        <v>52</v>
      </c>
      <c r="L1471" s="43" t="s">
        <v>53</v>
      </c>
      <c r="M1471" s="43" t="s">
        <v>71</v>
      </c>
      <c r="N1471" s="43" t="s">
        <v>121</v>
      </c>
      <c r="O1471" s="43" t="s">
        <v>72</v>
      </c>
      <c r="P1471" s="43" t="s">
        <v>75</v>
      </c>
      <c r="Q1471" s="43" t="s">
        <v>74</v>
      </c>
      <c r="R1471" s="43" t="s">
        <v>0</v>
      </c>
      <c r="S1471" s="43" t="s">
        <v>106</v>
      </c>
      <c r="T1471" s="43" t="s">
        <v>62</v>
      </c>
      <c r="U1471" s="43" t="s">
        <v>91</v>
      </c>
      <c r="V1471" s="43" t="s">
        <v>79</v>
      </c>
      <c r="W1471" s="43" t="s">
        <v>116</v>
      </c>
      <c r="X1471" s="43" t="s">
        <v>107</v>
      </c>
      <c r="Y1471" s="43" t="s">
        <v>1681</v>
      </c>
      <c r="Z1471" s="43" t="s">
        <v>64</v>
      </c>
      <c r="AA1471" s="43" t="s">
        <v>95</v>
      </c>
      <c r="AB1471" s="43" t="s">
        <v>0</v>
      </c>
      <c r="AC1471" s="30" t="s">
        <v>4110</v>
      </c>
    </row>
    <row r="1472" spans="1:29">
      <c r="A1472" s="43" t="s">
        <v>4111</v>
      </c>
      <c r="B1472" s="43" t="str">
        <f>IF(ISNUMBER(SEARCH(E1472,A1472)),A1472,IF(OR(E1472="",E1472=""),A1472,A1472&amp;" - "&amp;E1472))</f>
        <v>Remexian 24/1 LET - Lemon Thrill</v>
      </c>
      <c r="C1472" s="24" t="s">
        <v>83</v>
      </c>
      <c r="D1472" s="24" t="s">
        <v>84</v>
      </c>
      <c r="E1472" s="45" t="s">
        <v>4112</v>
      </c>
      <c r="F1472" s="45" t="s">
        <v>69</v>
      </c>
      <c r="G1472" s="46" t="s">
        <v>448</v>
      </c>
      <c r="H1472" s="28">
        <v>1</v>
      </c>
      <c r="I1472" s="43" t="s">
        <v>0</v>
      </c>
      <c r="J1472" s="43" t="s">
        <v>0</v>
      </c>
      <c r="K1472" s="43" t="s">
        <v>52</v>
      </c>
      <c r="L1472" s="43" t="s">
        <v>102</v>
      </c>
      <c r="M1472" s="43" t="s">
        <v>72</v>
      </c>
      <c r="N1472" s="43" t="s">
        <v>54</v>
      </c>
      <c r="O1472" s="43" t="s">
        <v>111</v>
      </c>
      <c r="P1472" s="43" t="s">
        <v>75</v>
      </c>
      <c r="Q1472" s="43" t="s">
        <v>73</v>
      </c>
      <c r="R1472" s="43" t="s">
        <v>104</v>
      </c>
      <c r="S1472" s="43" t="s">
        <v>106</v>
      </c>
      <c r="T1472" s="43" t="s">
        <v>62</v>
      </c>
      <c r="U1472" s="43" t="s">
        <v>147</v>
      </c>
      <c r="V1472" s="43" t="s">
        <v>173</v>
      </c>
      <c r="W1472" s="43" t="s">
        <v>77</v>
      </c>
      <c r="X1472" s="43" t="s">
        <v>79</v>
      </c>
      <c r="Y1472" s="43" t="s">
        <v>3044</v>
      </c>
      <c r="Z1472" s="43" t="s">
        <v>64</v>
      </c>
      <c r="AA1472" s="43" t="s">
        <v>95</v>
      </c>
      <c r="AB1472" s="43" t="s">
        <v>0</v>
      </c>
      <c r="AC1472" s="24" t="s">
        <v>4113</v>
      </c>
    </row>
    <row r="1473" spans="1:29" s="10" customFormat="1">
      <c r="A1473" s="43" t="s">
        <v>4114</v>
      </c>
      <c r="B1473" s="43" t="str">
        <f>IF(ISNUMBER(SEARCH(E1473,A1473)),A1473,IF(OR(E1473="",E1473=""),A1473,A1473&amp;" - "&amp;E1473))</f>
        <v>Aphria Typ 1 23/1 - Bienville</v>
      </c>
      <c r="C1473" s="30" t="s">
        <v>133</v>
      </c>
      <c r="D1473" s="30" t="s">
        <v>134</v>
      </c>
      <c r="E1473" s="45" t="s">
        <v>542</v>
      </c>
      <c r="F1473" s="45" t="s">
        <v>69</v>
      </c>
      <c r="G1473" s="46" t="s">
        <v>436</v>
      </c>
      <c r="H1473" s="35">
        <v>1</v>
      </c>
      <c r="I1473" s="43" t="s">
        <v>0</v>
      </c>
      <c r="J1473" s="43" t="s">
        <v>0</v>
      </c>
      <c r="K1473" s="43" t="s">
        <v>17</v>
      </c>
      <c r="L1473" s="43" t="s">
        <v>527</v>
      </c>
      <c r="M1473" s="43" t="s">
        <v>54</v>
      </c>
      <c r="N1473" s="43" t="s">
        <v>55</v>
      </c>
      <c r="O1473" s="43" t="s">
        <v>178</v>
      </c>
      <c r="P1473" s="43" t="s">
        <v>75</v>
      </c>
      <c r="Q1473" s="43" t="s">
        <v>0</v>
      </c>
      <c r="R1473" s="43" t="s">
        <v>0</v>
      </c>
      <c r="S1473" s="43" t="s">
        <v>106</v>
      </c>
      <c r="T1473" s="43" t="s">
        <v>62</v>
      </c>
      <c r="U1473" s="43" t="s">
        <v>164</v>
      </c>
      <c r="V1473" s="43" t="s">
        <v>107</v>
      </c>
      <c r="W1473" s="43" t="s">
        <v>77</v>
      </c>
      <c r="X1473" s="43" t="s">
        <v>173</v>
      </c>
      <c r="Y1473" s="43" t="s">
        <v>1023</v>
      </c>
      <c r="Z1473" s="43" t="s">
        <v>64</v>
      </c>
      <c r="AA1473" s="43" t="s">
        <v>528</v>
      </c>
      <c r="AB1473" s="43" t="s">
        <v>0</v>
      </c>
      <c r="AC1473" s="30" t="s">
        <v>4115</v>
      </c>
    </row>
    <row r="1474" spans="1:29">
      <c r="A1474" s="43" t="s">
        <v>4116</v>
      </c>
      <c r="B1474" s="43" t="str">
        <f>IF(ISNUMBER(SEARCH(E1474,A1474)),A1474,IF(OR(E1474="",E1474=""),A1474,A1474&amp;" - "&amp;E1474))</f>
        <v>Social Choice 27/1 LUX MER - Meringue</v>
      </c>
      <c r="C1474" s="24" t="s">
        <v>83</v>
      </c>
      <c r="D1474" s="24" t="s">
        <v>84</v>
      </c>
      <c r="E1474" s="45" t="s">
        <v>3198</v>
      </c>
      <c r="F1474" s="45" t="s">
        <v>177</v>
      </c>
      <c r="G1474" s="46" t="s">
        <v>33</v>
      </c>
      <c r="H1474" s="28">
        <v>1</v>
      </c>
      <c r="I1474" s="43" t="s">
        <v>0</v>
      </c>
      <c r="J1474" s="43" t="s">
        <v>0</v>
      </c>
      <c r="K1474" s="43" t="s">
        <v>52</v>
      </c>
      <c r="L1474" s="43" t="s">
        <v>3775</v>
      </c>
      <c r="M1474" s="43" t="s">
        <v>54</v>
      </c>
      <c r="N1474" s="43" t="s">
        <v>55</v>
      </c>
      <c r="O1474" s="43" t="s">
        <v>72</v>
      </c>
      <c r="P1474" s="43" t="s">
        <v>89</v>
      </c>
      <c r="Q1474" s="43" t="s">
        <v>75</v>
      </c>
      <c r="R1474" s="43" t="s">
        <v>0</v>
      </c>
      <c r="S1474" s="43" t="s">
        <v>106</v>
      </c>
      <c r="T1474" s="43" t="s">
        <v>123</v>
      </c>
      <c r="U1474" s="43" t="s">
        <v>147</v>
      </c>
      <c r="V1474" s="43" t="s">
        <v>173</v>
      </c>
      <c r="W1474" s="43" t="s">
        <v>107</v>
      </c>
      <c r="X1474" s="43" t="s">
        <v>77</v>
      </c>
      <c r="Y1474" s="43" t="s">
        <v>877</v>
      </c>
      <c r="Z1474" s="43" t="s">
        <v>64</v>
      </c>
      <c r="AA1474" s="43" t="s">
        <v>95</v>
      </c>
      <c r="AB1474" s="43" t="s">
        <v>4117</v>
      </c>
      <c r="AC1474" s="24" t="s">
        <v>4118</v>
      </c>
    </row>
    <row r="1475" spans="1:29">
      <c r="A1475" s="43" t="s">
        <v>4119</v>
      </c>
      <c r="B1475" s="43" t="str">
        <f>IF(ISNUMBER(SEARCH(E1475,A1475)),A1475,IF(OR(E1475="",E1475=""),A1475,A1475&amp;" - "&amp;E1475))</f>
        <v>Big Dreams 18/1 PSF DOB - Donny Burger</v>
      </c>
      <c r="C1475" s="30" t="s">
        <v>83</v>
      </c>
      <c r="D1475" s="30" t="s">
        <v>84</v>
      </c>
      <c r="E1475" s="45" t="s">
        <v>4120</v>
      </c>
      <c r="F1475" s="45" t="s">
        <v>120</v>
      </c>
      <c r="G1475" s="46" t="s">
        <v>8</v>
      </c>
      <c r="H1475" s="35">
        <v>1</v>
      </c>
      <c r="I1475" s="43" t="s">
        <v>0</v>
      </c>
      <c r="J1475" s="43" t="s">
        <v>0</v>
      </c>
      <c r="K1475" s="43" t="s">
        <v>52</v>
      </c>
      <c r="L1475" s="43" t="s">
        <v>102</v>
      </c>
      <c r="M1475" s="43" t="s">
        <v>72</v>
      </c>
      <c r="N1475" s="43" t="s">
        <v>178</v>
      </c>
      <c r="O1475" s="43" t="s">
        <v>54</v>
      </c>
      <c r="P1475" s="43" t="s">
        <v>186</v>
      </c>
      <c r="Q1475" s="43" t="s">
        <v>59</v>
      </c>
      <c r="R1475" s="43" t="s">
        <v>0</v>
      </c>
      <c r="S1475" s="43" t="s">
        <v>106</v>
      </c>
      <c r="T1475" s="43" t="s">
        <v>62</v>
      </c>
      <c r="U1475" s="43" t="s">
        <v>147</v>
      </c>
      <c r="V1475" s="43" t="s">
        <v>79</v>
      </c>
      <c r="W1475" s="43" t="s">
        <v>173</v>
      </c>
      <c r="X1475" s="43" t="s">
        <v>77</v>
      </c>
      <c r="Y1475" s="43" t="s">
        <v>1192</v>
      </c>
      <c r="Z1475" s="43" t="s">
        <v>64</v>
      </c>
      <c r="AA1475" s="43" t="s">
        <v>95</v>
      </c>
      <c r="AB1475" s="43" t="s">
        <v>0</v>
      </c>
      <c r="AC1475" s="30" t="s">
        <v>4121</v>
      </c>
    </row>
    <row r="1476" spans="1:29">
      <c r="A1476" s="43" t="s">
        <v>4122</v>
      </c>
      <c r="B1476" s="43" t="str">
        <f>IF(ISNUMBER(SEARCH(E1476,A1476)),A1476,IF(OR(E1476="",E1476=""),A1476,A1476&amp;" - "&amp;E1476))</f>
        <v>BLKMKT CM THC24 BLK MLK - Cereal Milk</v>
      </c>
      <c r="C1476" s="24" t="s">
        <v>646</v>
      </c>
      <c r="D1476" s="24" t="s">
        <v>646</v>
      </c>
      <c r="E1476" s="45" t="s">
        <v>2586</v>
      </c>
      <c r="F1476" s="45" t="s">
        <v>144</v>
      </c>
      <c r="G1476" s="46" t="s">
        <v>448</v>
      </c>
      <c r="H1476" s="28">
        <v>1</v>
      </c>
      <c r="I1476" s="43" t="s">
        <v>0</v>
      </c>
      <c r="J1476" s="43" t="s">
        <v>0</v>
      </c>
      <c r="K1476" s="43" t="s">
        <v>52</v>
      </c>
      <c r="L1476" s="43" t="s">
        <v>53</v>
      </c>
      <c r="M1476" s="43" t="s">
        <v>88</v>
      </c>
      <c r="N1476" s="43" t="s">
        <v>72</v>
      </c>
      <c r="O1476" s="43" t="s">
        <v>0</v>
      </c>
      <c r="P1476" s="43" t="s">
        <v>75</v>
      </c>
      <c r="Q1476" s="43" t="s">
        <v>58</v>
      </c>
      <c r="R1476" s="43" t="s">
        <v>89</v>
      </c>
      <c r="S1476" s="43" t="s">
        <v>106</v>
      </c>
      <c r="T1476" s="43" t="s">
        <v>62</v>
      </c>
      <c r="U1476" s="43" t="s">
        <v>91</v>
      </c>
      <c r="V1476" s="43" t="s">
        <v>107</v>
      </c>
      <c r="W1476" s="43" t="s">
        <v>116</v>
      </c>
      <c r="X1476" s="43" t="s">
        <v>93</v>
      </c>
      <c r="Y1476" s="43" t="s">
        <v>335</v>
      </c>
      <c r="Z1476" s="43" t="s">
        <v>64</v>
      </c>
      <c r="AA1476" s="43" t="s">
        <v>646</v>
      </c>
      <c r="AB1476" s="43" t="s">
        <v>0</v>
      </c>
      <c r="AC1476" s="24" t="s">
        <v>4123</v>
      </c>
    </row>
    <row r="1477" spans="1:29">
      <c r="A1477" s="43" t="s">
        <v>4124</v>
      </c>
      <c r="B1477" s="43" t="str">
        <f>IF(ISNUMBER(SEARCH(E1477,A1477)),A1477,IF(OR(E1477="",E1477=""),A1477,A1477&amp;" - "&amp;E1477))</f>
        <v>Breezy Organics PS 23/1 - Pink Sherbet</v>
      </c>
      <c r="C1477" s="30" t="s">
        <v>2114</v>
      </c>
      <c r="D1477" s="30" t="s">
        <v>2115</v>
      </c>
      <c r="E1477" s="45" t="s">
        <v>4125</v>
      </c>
      <c r="F1477" s="45" t="s">
        <v>86</v>
      </c>
      <c r="G1477" s="46" t="s">
        <v>4126</v>
      </c>
      <c r="H1477" s="35">
        <v>1</v>
      </c>
      <c r="I1477" s="43" t="s">
        <v>0</v>
      </c>
      <c r="J1477" s="43" t="s">
        <v>0</v>
      </c>
      <c r="K1477" s="43" t="s">
        <v>52</v>
      </c>
      <c r="L1477" s="43" t="s">
        <v>53</v>
      </c>
      <c r="M1477" s="43" t="s">
        <v>88</v>
      </c>
      <c r="N1477" s="43" t="s">
        <v>0</v>
      </c>
      <c r="O1477" s="43" t="s">
        <v>0</v>
      </c>
      <c r="P1477" s="43" t="s">
        <v>58</v>
      </c>
      <c r="Q1477" s="43" t="s">
        <v>146</v>
      </c>
      <c r="R1477" s="43" t="s">
        <v>0</v>
      </c>
      <c r="S1477" s="43" t="s">
        <v>106</v>
      </c>
      <c r="T1477" s="43" t="s">
        <v>62</v>
      </c>
      <c r="U1477" s="43" t="s">
        <v>147</v>
      </c>
      <c r="V1477" s="43" t="s">
        <v>0</v>
      </c>
      <c r="W1477" s="43" t="s">
        <v>0</v>
      </c>
      <c r="X1477" s="43" t="s">
        <v>0</v>
      </c>
      <c r="Y1477" s="43" t="s">
        <v>1419</v>
      </c>
      <c r="Z1477" s="43" t="s">
        <v>64</v>
      </c>
      <c r="AA1477" s="43" t="s">
        <v>2115</v>
      </c>
      <c r="AB1477" s="43" t="s">
        <v>0</v>
      </c>
      <c r="AC1477" s="30" t="s">
        <v>4127</v>
      </c>
    </row>
    <row r="1478" spans="1:29">
      <c r="A1478" s="43" t="s">
        <v>4128</v>
      </c>
      <c r="B1478" s="43" t="str">
        <f>IF(ISNUMBER(SEARCH(E1478,A1478)),A1478,IF(OR(E1478="",E1478=""),A1478,A1478&amp;" - "&amp;E1478))</f>
        <v>Grünhorn BC 24/1 A&amp;G - Apple &amp; Gas</v>
      </c>
      <c r="C1478" s="24" t="s">
        <v>1957</v>
      </c>
      <c r="D1478" s="24" t="s">
        <v>1958</v>
      </c>
      <c r="E1478" s="45" t="s">
        <v>4129</v>
      </c>
      <c r="F1478" s="45" t="s">
        <v>144</v>
      </c>
      <c r="G1478" s="46" t="s">
        <v>448</v>
      </c>
      <c r="H1478" s="28">
        <v>1</v>
      </c>
      <c r="I1478" s="43" t="s">
        <v>0</v>
      </c>
      <c r="J1478" s="43" t="s">
        <v>0</v>
      </c>
      <c r="K1478" s="43" t="s">
        <v>52</v>
      </c>
      <c r="L1478" s="43" t="s">
        <v>102</v>
      </c>
      <c r="M1478" s="43" t="s">
        <v>72</v>
      </c>
      <c r="N1478" s="43" t="s">
        <v>71</v>
      </c>
      <c r="O1478" s="43" t="s">
        <v>88</v>
      </c>
      <c r="P1478" s="43" t="s">
        <v>73</v>
      </c>
      <c r="Q1478" s="43" t="s">
        <v>59</v>
      </c>
      <c r="R1478" s="43" t="s">
        <v>58</v>
      </c>
      <c r="S1478" s="43" t="s">
        <v>106</v>
      </c>
      <c r="T1478" s="43" t="s">
        <v>62</v>
      </c>
      <c r="U1478" s="43" t="s">
        <v>123</v>
      </c>
      <c r="V1478" s="43" t="s">
        <v>107</v>
      </c>
      <c r="W1478" s="43" t="s">
        <v>77</v>
      </c>
      <c r="X1478" s="43" t="s">
        <v>79</v>
      </c>
      <c r="Y1478" s="43" t="s">
        <v>1699</v>
      </c>
      <c r="Z1478" s="43" t="s">
        <v>64</v>
      </c>
      <c r="AA1478" s="43" t="s">
        <v>1961</v>
      </c>
      <c r="AB1478" s="43" t="s">
        <v>0</v>
      </c>
      <c r="AC1478" s="24" t="s">
        <v>4130</v>
      </c>
    </row>
    <row r="1479" spans="1:29" s="10" customFormat="1">
      <c r="A1479" s="43" t="s">
        <v>4131</v>
      </c>
      <c r="B1479" s="43" t="str">
        <f>IF(ISNUMBER(SEARCH(E1479,A1479)),A1479,IF(OR(E1479="",E1479=""),A1479,A1479&amp;" - "&amp;E1479))</f>
        <v>IMC PF THC27 Smalls - Purple Flame</v>
      </c>
      <c r="C1479" s="30" t="s">
        <v>646</v>
      </c>
      <c r="D1479" s="30" t="s">
        <v>646</v>
      </c>
      <c r="E1479" s="45" t="s">
        <v>4064</v>
      </c>
      <c r="F1479" s="45" t="s">
        <v>86</v>
      </c>
      <c r="G1479" s="46" t="s">
        <v>33</v>
      </c>
      <c r="H1479" s="35">
        <v>1</v>
      </c>
      <c r="I1479" s="43" t="s">
        <v>0</v>
      </c>
      <c r="J1479" s="43" t="s">
        <v>0</v>
      </c>
      <c r="K1479" s="43" t="s">
        <v>52</v>
      </c>
      <c r="L1479" s="43" t="s">
        <v>1506</v>
      </c>
      <c r="M1479" s="43" t="s">
        <v>88</v>
      </c>
      <c r="N1479" s="43" t="s">
        <v>71</v>
      </c>
      <c r="O1479" s="43" t="s">
        <v>72</v>
      </c>
      <c r="P1479" s="43" t="s">
        <v>75</v>
      </c>
      <c r="Q1479" s="43" t="s">
        <v>73</v>
      </c>
      <c r="R1479" s="43" t="s">
        <v>58</v>
      </c>
      <c r="S1479" s="43" t="s">
        <v>106</v>
      </c>
      <c r="T1479" s="43" t="s">
        <v>62</v>
      </c>
      <c r="U1479" s="43" t="s">
        <v>147</v>
      </c>
      <c r="V1479" s="43" t="s">
        <v>116</v>
      </c>
      <c r="W1479" s="43" t="s">
        <v>77</v>
      </c>
      <c r="X1479" s="43" t="s">
        <v>0</v>
      </c>
      <c r="Y1479" s="43" t="s">
        <v>1354</v>
      </c>
      <c r="Z1479" s="43" t="s">
        <v>64</v>
      </c>
      <c r="AA1479" s="43" t="s">
        <v>646</v>
      </c>
      <c r="AB1479" s="43" t="s">
        <v>0</v>
      </c>
      <c r="AC1479" s="30" t="s">
        <v>4132</v>
      </c>
    </row>
    <row r="1480" spans="1:29">
      <c r="A1480" s="43" t="s">
        <v>4133</v>
      </c>
      <c r="B1480" s="43" t="str">
        <f>IF(ISNUMBER(SEARCH(E1480,A1480)),A1480,IF(OR(E1480="",E1480=""),A1480,A1480&amp;" - "&amp;E1480))</f>
        <v>BC Green 24/1 A&amp;G - Apple &amp; Gas</v>
      </c>
      <c r="C1480" s="24" t="s">
        <v>2522</v>
      </c>
      <c r="D1480" s="24" t="s">
        <v>2523</v>
      </c>
      <c r="E1480" s="45" t="s">
        <v>4129</v>
      </c>
      <c r="F1480" s="45" t="s">
        <v>144</v>
      </c>
      <c r="G1480" s="46" t="s">
        <v>448</v>
      </c>
      <c r="H1480" s="28">
        <v>1</v>
      </c>
      <c r="I1480" s="43" t="s">
        <v>0</v>
      </c>
      <c r="J1480" s="43" t="s">
        <v>0</v>
      </c>
      <c r="K1480" s="43" t="s">
        <v>52</v>
      </c>
      <c r="L1480" s="43" t="s">
        <v>102</v>
      </c>
      <c r="M1480" s="43" t="s">
        <v>72</v>
      </c>
      <c r="N1480" s="43" t="s">
        <v>71</v>
      </c>
      <c r="O1480" s="43" t="s">
        <v>88</v>
      </c>
      <c r="P1480" s="43" t="s">
        <v>73</v>
      </c>
      <c r="Q1480" s="43" t="s">
        <v>59</v>
      </c>
      <c r="R1480" s="43" t="s">
        <v>58</v>
      </c>
      <c r="S1480" s="43" t="s">
        <v>106</v>
      </c>
      <c r="T1480" s="43" t="s">
        <v>62</v>
      </c>
      <c r="U1480" s="43" t="s">
        <v>123</v>
      </c>
      <c r="V1480" s="43" t="s">
        <v>107</v>
      </c>
      <c r="W1480" s="43" t="s">
        <v>77</v>
      </c>
      <c r="X1480" s="43" t="s">
        <v>79</v>
      </c>
      <c r="Y1480" s="43" t="s">
        <v>130</v>
      </c>
      <c r="Z1480" s="43" t="s">
        <v>64</v>
      </c>
      <c r="AA1480" s="43" t="s">
        <v>2523</v>
      </c>
      <c r="AB1480" s="43" t="s">
        <v>0</v>
      </c>
      <c r="AC1480" s="24" t="s">
        <v>4134</v>
      </c>
    </row>
    <row r="1481" spans="1:29">
      <c r="A1481" s="43" t="s">
        <v>4135</v>
      </c>
      <c r="B1481" s="43" t="str">
        <f>IF(ISNUMBER(SEARCH(E1481,A1481)),A1481,IF(OR(E1481="",E1481=""),A1481,A1481&amp;" - "&amp;E1481))</f>
        <v>Canify Cannabis flos 23/1 PT Ku. - Pink Kush</v>
      </c>
      <c r="C1481" s="30" t="s">
        <v>99</v>
      </c>
      <c r="D1481" s="30" t="s">
        <v>100</v>
      </c>
      <c r="E1481" s="45" t="s">
        <v>101</v>
      </c>
      <c r="F1481" s="45" t="s">
        <v>86</v>
      </c>
      <c r="G1481" s="46" t="s">
        <v>452</v>
      </c>
      <c r="H1481" s="35">
        <v>1</v>
      </c>
      <c r="I1481" s="43" t="s">
        <v>0</v>
      </c>
      <c r="J1481" s="43" t="s">
        <v>0</v>
      </c>
      <c r="K1481" s="43" t="s">
        <v>17</v>
      </c>
      <c r="L1481" s="43" t="s">
        <v>102</v>
      </c>
      <c r="M1481" s="43" t="s">
        <v>88</v>
      </c>
      <c r="N1481" s="43" t="s">
        <v>71</v>
      </c>
      <c r="O1481" s="43" t="s">
        <v>121</v>
      </c>
      <c r="P1481" s="43" t="s">
        <v>89</v>
      </c>
      <c r="Q1481" s="43" t="s">
        <v>104</v>
      </c>
      <c r="R1481" s="43" t="s">
        <v>74</v>
      </c>
      <c r="S1481" s="43" t="s">
        <v>106</v>
      </c>
      <c r="T1481" s="43" t="s">
        <v>179</v>
      </c>
      <c r="U1481" s="43" t="s">
        <v>62</v>
      </c>
      <c r="V1481" s="43" t="s">
        <v>107</v>
      </c>
      <c r="W1481" s="43" t="s">
        <v>77</v>
      </c>
      <c r="X1481" s="43" t="s">
        <v>79</v>
      </c>
      <c r="Y1481" s="43" t="s">
        <v>1681</v>
      </c>
      <c r="Z1481" s="43" t="s">
        <v>64</v>
      </c>
      <c r="AA1481" s="43" t="s">
        <v>100</v>
      </c>
      <c r="AB1481" s="43" t="s">
        <v>0</v>
      </c>
      <c r="AC1481" s="36" t="s">
        <v>4136</v>
      </c>
    </row>
    <row r="1482" spans="1:29">
      <c r="A1482" s="43" t="s">
        <v>4137</v>
      </c>
      <c r="B1482" s="43" t="str">
        <f>IF(ISNUMBER(SEARCH(E1482,A1482)),A1482,IF(OR(E1482="",E1482=""),A1482,A1482&amp;" - "&amp;E1482))</f>
        <v>Balancial 22/1 PT Runtz - Runtz OG</v>
      </c>
      <c r="C1482" s="24" t="s">
        <v>4138</v>
      </c>
      <c r="D1482" s="24" t="s">
        <v>4139</v>
      </c>
      <c r="E1482" s="45" t="s">
        <v>1068</v>
      </c>
      <c r="F1482" s="45" t="s">
        <v>86</v>
      </c>
      <c r="G1482" s="46" t="s">
        <v>4126</v>
      </c>
      <c r="H1482" s="28">
        <v>1</v>
      </c>
      <c r="I1482" s="43" t="s">
        <v>0</v>
      </c>
      <c r="J1482" s="43" t="s">
        <v>0</v>
      </c>
      <c r="K1482" s="43" t="s">
        <v>52</v>
      </c>
      <c r="L1482" s="43" t="s">
        <v>102</v>
      </c>
      <c r="M1482" s="43" t="s">
        <v>55</v>
      </c>
      <c r="N1482" s="43" t="s">
        <v>72</v>
      </c>
      <c r="O1482" s="43" t="s">
        <v>0</v>
      </c>
      <c r="P1482" s="43" t="s">
        <v>58</v>
      </c>
      <c r="Q1482" s="43" t="s">
        <v>59</v>
      </c>
      <c r="R1482" s="43" t="s">
        <v>89</v>
      </c>
      <c r="S1482" s="43" t="s">
        <v>106</v>
      </c>
      <c r="T1482" s="43" t="s">
        <v>62</v>
      </c>
      <c r="U1482" s="43" t="s">
        <v>91</v>
      </c>
      <c r="V1482" s="43" t="s">
        <v>173</v>
      </c>
      <c r="W1482" s="43" t="s">
        <v>107</v>
      </c>
      <c r="X1482" s="43" t="s">
        <v>93</v>
      </c>
      <c r="Y1482" s="43" t="s">
        <v>1357</v>
      </c>
      <c r="Z1482" s="43" t="s">
        <v>64</v>
      </c>
      <c r="AA1482" s="43" t="s">
        <v>4139</v>
      </c>
      <c r="AB1482" s="43" t="s">
        <v>0</v>
      </c>
      <c r="AC1482" s="24" t="s">
        <v>4140</v>
      </c>
    </row>
    <row r="1483" spans="1:29">
      <c r="A1483" s="43" t="s">
        <v>4141</v>
      </c>
      <c r="B1483" s="43" t="str">
        <f>IF(ISNUMBER(SEARCH(E1483,A1483)),A1483,IF(OR(E1483="",E1483=""),A1483,A1483&amp;" - "&amp;E1483))</f>
        <v>Balancial 21/1 PT - Purple Dream</v>
      </c>
      <c r="C1483" s="30" t="s">
        <v>4138</v>
      </c>
      <c r="D1483" s="30" t="s">
        <v>4139</v>
      </c>
      <c r="E1483" s="45" t="s">
        <v>4142</v>
      </c>
      <c r="F1483" s="45" t="s">
        <v>86</v>
      </c>
      <c r="G1483" s="46" t="s">
        <v>452</v>
      </c>
      <c r="H1483" s="35">
        <v>1</v>
      </c>
      <c r="I1483" s="43" t="s">
        <v>0</v>
      </c>
      <c r="J1483" s="43" t="s">
        <v>0</v>
      </c>
      <c r="K1483" s="43" t="s">
        <v>52</v>
      </c>
      <c r="L1483" s="43" t="s">
        <v>102</v>
      </c>
      <c r="M1483" s="43" t="s">
        <v>111</v>
      </c>
      <c r="N1483" s="43" t="s">
        <v>88</v>
      </c>
      <c r="O1483" s="43" t="s">
        <v>55</v>
      </c>
      <c r="P1483" s="43" t="s">
        <v>59</v>
      </c>
      <c r="Q1483" s="43" t="s">
        <v>75</v>
      </c>
      <c r="R1483" s="43" t="s">
        <v>104</v>
      </c>
      <c r="S1483" s="43" t="s">
        <v>62</v>
      </c>
      <c r="T1483" s="43" t="s">
        <v>147</v>
      </c>
      <c r="U1483" s="43" t="s">
        <v>192</v>
      </c>
      <c r="V1483" s="43" t="s">
        <v>93</v>
      </c>
      <c r="W1483" s="43" t="s">
        <v>79</v>
      </c>
      <c r="X1483" s="43" t="s">
        <v>116</v>
      </c>
      <c r="Y1483" s="43" t="s">
        <v>1357</v>
      </c>
      <c r="Z1483" s="43" t="s">
        <v>64</v>
      </c>
      <c r="AA1483" s="43" t="s">
        <v>4139</v>
      </c>
      <c r="AB1483" s="43" t="s">
        <v>0</v>
      </c>
      <c r="AC1483" s="30" t="s">
        <v>4143</v>
      </c>
    </row>
    <row r="1484" spans="1:29">
      <c r="A1484" s="43" t="s">
        <v>4144</v>
      </c>
      <c r="B1484" s="43" t="str">
        <f>IF(ISNUMBER(SEARCH(E1484,A1484)),A1484,IF(OR(E1484="",E1484=""),A1484,A1484&amp;" - "&amp;E1484))</f>
        <v>Cannamedical Hybrid Classsic 20/1 - Waffle Cone #2</v>
      </c>
      <c r="C1484" s="24" t="s">
        <v>48</v>
      </c>
      <c r="D1484" s="24" t="s">
        <v>49</v>
      </c>
      <c r="E1484" s="45" t="s">
        <v>4145</v>
      </c>
      <c r="F1484" s="45" t="s">
        <v>86</v>
      </c>
      <c r="G1484" s="46" t="s">
        <v>460</v>
      </c>
      <c r="H1484" s="28">
        <v>1</v>
      </c>
      <c r="I1484" s="43" t="s">
        <v>0</v>
      </c>
      <c r="J1484" s="43" t="s">
        <v>0</v>
      </c>
      <c r="K1484" s="43" t="s">
        <v>17</v>
      </c>
      <c r="L1484" s="43" t="s">
        <v>53</v>
      </c>
      <c r="M1484" s="43" t="s">
        <v>88</v>
      </c>
      <c r="N1484" s="43" t="s">
        <v>72</v>
      </c>
      <c r="O1484" s="43" t="s">
        <v>0</v>
      </c>
      <c r="P1484" s="43" t="s">
        <v>74</v>
      </c>
      <c r="Q1484" s="43" t="s">
        <v>58</v>
      </c>
      <c r="R1484" s="43" t="s">
        <v>57</v>
      </c>
      <c r="S1484" s="43" t="s">
        <v>106</v>
      </c>
      <c r="T1484" s="43" t="s">
        <v>62</v>
      </c>
      <c r="U1484" s="43" t="s">
        <v>147</v>
      </c>
      <c r="V1484" s="43" t="s">
        <v>77</v>
      </c>
      <c r="W1484" s="43" t="s">
        <v>180</v>
      </c>
      <c r="X1484" s="43" t="s">
        <v>107</v>
      </c>
      <c r="Y1484" s="43" t="s">
        <v>1457</v>
      </c>
      <c r="Z1484" s="43" t="s">
        <v>64</v>
      </c>
      <c r="AA1484" s="43" t="s">
        <v>49</v>
      </c>
      <c r="AB1484" s="43" t="s">
        <v>0</v>
      </c>
      <c r="AC1484" s="24" t="s">
        <v>4146</v>
      </c>
    </row>
    <row r="1485" spans="1:29" s="10" customFormat="1">
      <c r="A1485" s="43" t="s">
        <v>4147</v>
      </c>
      <c r="B1485" s="43" t="str">
        <f>IF(ISNUMBER(SEARCH(E1485,A1485)),A1485,IF(OR(E1485="",E1485=""),A1485,A1485&amp;" - "&amp;E1485))</f>
        <v>madrecan 18/1 SHA Minis - Shark Attack</v>
      </c>
      <c r="C1485" s="30" t="s">
        <v>83</v>
      </c>
      <c r="D1485" s="30" t="s">
        <v>84</v>
      </c>
      <c r="E1485" s="45" t="s">
        <v>1155</v>
      </c>
      <c r="F1485" s="45" t="s">
        <v>120</v>
      </c>
      <c r="G1485" s="46" t="s">
        <v>8</v>
      </c>
      <c r="H1485" s="35">
        <v>1</v>
      </c>
      <c r="I1485" s="43" t="s">
        <v>0</v>
      </c>
      <c r="J1485" s="43" t="s">
        <v>0</v>
      </c>
      <c r="K1485" s="43" t="s">
        <v>17</v>
      </c>
      <c r="L1485" s="43" t="s">
        <v>102</v>
      </c>
      <c r="M1485" s="43" t="s">
        <v>72</v>
      </c>
      <c r="N1485" s="43" t="s">
        <v>55</v>
      </c>
      <c r="O1485" s="43" t="s">
        <v>178</v>
      </c>
      <c r="P1485" s="43" t="s">
        <v>74</v>
      </c>
      <c r="Q1485" s="43" t="s">
        <v>75</v>
      </c>
      <c r="R1485" s="43" t="s">
        <v>104</v>
      </c>
      <c r="S1485" s="43" t="s">
        <v>62</v>
      </c>
      <c r="T1485" s="43" t="s">
        <v>164</v>
      </c>
      <c r="U1485" s="43" t="s">
        <v>147</v>
      </c>
      <c r="V1485" s="43" t="s">
        <v>107</v>
      </c>
      <c r="W1485" s="43" t="s">
        <v>116</v>
      </c>
      <c r="X1485" s="43" t="s">
        <v>77</v>
      </c>
      <c r="Y1485" s="43" t="s">
        <v>358</v>
      </c>
      <c r="Z1485" s="43" t="s">
        <v>64</v>
      </c>
      <c r="AA1485" s="43" t="s">
        <v>95</v>
      </c>
      <c r="AB1485" s="43" t="s">
        <v>0</v>
      </c>
      <c r="AC1485" s="30" t="s">
        <v>4148</v>
      </c>
    </row>
    <row r="1486" spans="1:29">
      <c r="A1486" s="43" t="s">
        <v>4149</v>
      </c>
      <c r="B1486" s="43" t="str">
        <f>IF(ISNUMBER(SEARCH(E1486,A1486)),A1486,IF(OR(E1486="",E1486=""),A1486,A1486&amp;" - "&amp;E1486))</f>
        <v>Nimbus Easy 22/1 - Gul of Mexiko</v>
      </c>
      <c r="C1486" s="24" t="s">
        <v>141</v>
      </c>
      <c r="D1486" s="24" t="s">
        <v>142</v>
      </c>
      <c r="E1486" s="45" t="s">
        <v>4150</v>
      </c>
      <c r="F1486" s="45" t="s">
        <v>144</v>
      </c>
      <c r="G1486" s="46" t="s">
        <v>4126</v>
      </c>
      <c r="H1486" s="28">
        <v>1</v>
      </c>
      <c r="I1486" s="43" t="s">
        <v>0</v>
      </c>
      <c r="J1486" s="43" t="s">
        <v>0</v>
      </c>
      <c r="K1486" s="43" t="s">
        <v>52</v>
      </c>
      <c r="L1486" s="43" t="s">
        <v>145</v>
      </c>
      <c r="M1486" s="43" t="s">
        <v>55</v>
      </c>
      <c r="N1486" s="43" t="s">
        <v>88</v>
      </c>
      <c r="O1486" s="43" t="s">
        <v>72</v>
      </c>
      <c r="P1486" s="43" t="s">
        <v>75</v>
      </c>
      <c r="Q1486" s="43" t="s">
        <v>58</v>
      </c>
      <c r="R1486" s="43" t="s">
        <v>0</v>
      </c>
      <c r="S1486" s="43" t="s">
        <v>106</v>
      </c>
      <c r="T1486" s="43" t="s">
        <v>179</v>
      </c>
      <c r="U1486" s="43" t="s">
        <v>76</v>
      </c>
      <c r="V1486" s="43" t="s">
        <v>93</v>
      </c>
      <c r="W1486" s="43" t="s">
        <v>92</v>
      </c>
      <c r="X1486" s="43" t="s">
        <v>107</v>
      </c>
      <c r="Y1486" s="43" t="s">
        <v>213</v>
      </c>
      <c r="Z1486" s="43" t="s">
        <v>64</v>
      </c>
      <c r="AA1486" s="43" t="s">
        <v>149</v>
      </c>
      <c r="AB1486" s="43" t="s">
        <v>0</v>
      </c>
      <c r="AC1486" s="24" t="s">
        <v>4151</v>
      </c>
    </row>
    <row r="1487" spans="1:29">
      <c r="A1487" s="43" t="s">
        <v>4152</v>
      </c>
      <c r="B1487" s="43" t="str">
        <f>IF(ISNUMBER(SEARCH(E1487,A1487)),A1487,IF(OR(E1487="",E1487=""),A1487,A1487&amp;" - "&amp;E1487))</f>
        <v>Grünhorn Cannabisextrakt Hybrid 25:25</v>
      </c>
      <c r="C1487" s="30" t="s">
        <v>2080</v>
      </c>
      <c r="D1487" s="30" t="s">
        <v>2081</v>
      </c>
      <c r="E1487" s="45" t="s">
        <v>0</v>
      </c>
      <c r="F1487" s="45" t="s">
        <v>86</v>
      </c>
      <c r="G1487" s="46" t="s">
        <v>0</v>
      </c>
      <c r="H1487" s="69" t="s">
        <v>0</v>
      </c>
      <c r="I1487" s="44" t="s">
        <v>26</v>
      </c>
      <c r="J1487" s="44" t="s">
        <v>26</v>
      </c>
      <c r="K1487" s="43" t="s">
        <v>1918</v>
      </c>
      <c r="L1487" s="43"/>
      <c r="M1487" s="43" t="s">
        <v>0</v>
      </c>
      <c r="N1487" s="43" t="s">
        <v>0</v>
      </c>
      <c r="O1487" s="43" t="s">
        <v>0</v>
      </c>
      <c r="P1487" s="43" t="s">
        <v>0</v>
      </c>
      <c r="Q1487" s="43" t="s">
        <v>0</v>
      </c>
      <c r="R1487" s="43" t="s">
        <v>0</v>
      </c>
      <c r="S1487" s="43" t="s">
        <v>0</v>
      </c>
      <c r="T1487" s="43" t="s">
        <v>0</v>
      </c>
      <c r="U1487" s="43" t="s">
        <v>0</v>
      </c>
      <c r="V1487" s="43" t="s">
        <v>0</v>
      </c>
      <c r="W1487" s="43" t="s">
        <v>0</v>
      </c>
      <c r="X1487" s="43" t="s">
        <v>0</v>
      </c>
      <c r="Y1487" s="43" t="s">
        <v>2084</v>
      </c>
      <c r="Z1487" s="43" t="s">
        <v>1915</v>
      </c>
      <c r="AA1487" s="43" t="s">
        <v>2081</v>
      </c>
      <c r="AB1487" s="43" t="s">
        <v>0</v>
      </c>
      <c r="AC1487" s="30" t="s">
        <v>4153</v>
      </c>
    </row>
    <row r="1488" spans="1:29">
      <c r="A1488" s="43" t="s">
        <v>4154</v>
      </c>
      <c r="B1488" s="43" t="str">
        <f>IF(ISNUMBER(SEARCH(E1488,A1488)),A1488,IF(OR(E1488="",E1488=""),A1488,A1488&amp;" - "&amp;E1488))</f>
        <v>Grünhorn Cannabisextrakt Hybrid 50:1</v>
      </c>
      <c r="C1488" s="24" t="s">
        <v>2080</v>
      </c>
      <c r="D1488" s="24" t="s">
        <v>2081</v>
      </c>
      <c r="E1488" s="45" t="s">
        <v>0</v>
      </c>
      <c r="F1488" s="45" t="s">
        <v>86</v>
      </c>
      <c r="G1488" s="46" t="s">
        <v>0</v>
      </c>
      <c r="H1488" s="69" t="s">
        <v>0</v>
      </c>
      <c r="I1488" s="44" t="s">
        <v>45</v>
      </c>
      <c r="J1488" s="44" t="s">
        <v>65</v>
      </c>
      <c r="K1488" s="43" t="s">
        <v>1918</v>
      </c>
      <c r="L1488" s="43"/>
      <c r="M1488" s="43" t="s">
        <v>0</v>
      </c>
      <c r="N1488" s="43" t="s">
        <v>0</v>
      </c>
      <c r="O1488" s="43" t="s">
        <v>0</v>
      </c>
      <c r="P1488" s="43" t="s">
        <v>0</v>
      </c>
      <c r="Q1488" s="43" t="s">
        <v>0</v>
      </c>
      <c r="R1488" s="43" t="s">
        <v>0</v>
      </c>
      <c r="S1488" s="43" t="s">
        <v>0</v>
      </c>
      <c r="T1488" s="43" t="s">
        <v>0</v>
      </c>
      <c r="U1488" s="43" t="s">
        <v>0</v>
      </c>
      <c r="V1488" s="43" t="s">
        <v>0</v>
      </c>
      <c r="W1488" s="43" t="s">
        <v>0</v>
      </c>
      <c r="X1488" s="43" t="s">
        <v>0</v>
      </c>
      <c r="Y1488" s="43" t="s">
        <v>2084</v>
      </c>
      <c r="Z1488" s="43" t="s">
        <v>1915</v>
      </c>
      <c r="AA1488" s="43" t="s">
        <v>2081</v>
      </c>
      <c r="AB1488" s="43" t="s">
        <v>0</v>
      </c>
      <c r="AC1488" s="24" t="s">
        <v>4155</v>
      </c>
    </row>
    <row r="1489" spans="1:29">
      <c r="A1489" s="43" t="s">
        <v>4156</v>
      </c>
      <c r="B1489" s="43" t="str">
        <f>IF(ISNUMBER(SEARCH(E1489,A1489)),A1489,IF(OR(E1489="",E1489=""),A1489,A1489&amp;" - "&amp;E1489))</f>
        <v>enua 30/1 STP CA - Strawberry Pavé</v>
      </c>
      <c r="C1489" s="30" t="s">
        <v>650</v>
      </c>
      <c r="D1489" s="30" t="s">
        <v>651</v>
      </c>
      <c r="E1489" s="43" t="s">
        <v>4157</v>
      </c>
      <c r="F1489" s="43" t="s">
        <v>86</v>
      </c>
      <c r="G1489" s="43" t="s">
        <v>4057</v>
      </c>
      <c r="H1489" s="35">
        <v>1</v>
      </c>
      <c r="I1489" s="43" t="s">
        <v>0</v>
      </c>
      <c r="J1489" s="43" t="s">
        <v>0</v>
      </c>
      <c r="K1489" s="43" t="s">
        <v>52</v>
      </c>
      <c r="L1489" s="43" t="s">
        <v>53</v>
      </c>
      <c r="M1489" s="43" t="s">
        <v>54</v>
      </c>
      <c r="N1489" s="43" t="s">
        <v>88</v>
      </c>
      <c r="O1489" s="43" t="s">
        <v>0</v>
      </c>
      <c r="P1489" s="43" t="s">
        <v>75</v>
      </c>
      <c r="Q1489" s="43" t="s">
        <v>112</v>
      </c>
      <c r="R1489" s="43" t="s">
        <v>57</v>
      </c>
      <c r="S1489" s="43" t="s">
        <v>128</v>
      </c>
      <c r="T1489" s="43" t="s">
        <v>61</v>
      </c>
      <c r="U1489" s="43" t="s">
        <v>62</v>
      </c>
      <c r="V1489" s="43" t="s">
        <v>93</v>
      </c>
      <c r="W1489" s="43" t="s">
        <v>107</v>
      </c>
      <c r="X1489" s="43" t="s">
        <v>116</v>
      </c>
      <c r="Y1489" s="43" t="s">
        <v>625</v>
      </c>
      <c r="Z1489" s="43" t="s">
        <v>64</v>
      </c>
      <c r="AA1489" s="43" t="s">
        <v>653</v>
      </c>
      <c r="AB1489" s="43" t="s">
        <v>0</v>
      </c>
      <c r="AC1489" s="30" t="s">
        <v>4158</v>
      </c>
    </row>
    <row r="1490" spans="1:29">
      <c r="A1490" s="43" t="s">
        <v>4159</v>
      </c>
      <c r="B1490" s="43" t="str">
        <f>IF(ISNUMBER(SEARCH(E1490,A1490)),A1490,IF(OR(E1490="",E1490=""),A1490,A1490&amp;" - "&amp;E1490))</f>
        <v>Mediprocan 19/1 - Sour Mango</v>
      </c>
      <c r="C1490" s="24" t="s">
        <v>317</v>
      </c>
      <c r="D1490" s="24" t="s">
        <v>318</v>
      </c>
      <c r="E1490" s="45" t="s">
        <v>1591</v>
      </c>
      <c r="F1490" s="45" t="s">
        <v>69</v>
      </c>
      <c r="G1490" s="46" t="s">
        <v>4160</v>
      </c>
      <c r="H1490" s="28">
        <v>1</v>
      </c>
      <c r="I1490" s="43" t="s">
        <v>0</v>
      </c>
      <c r="J1490" s="43" t="s">
        <v>0</v>
      </c>
      <c r="K1490" s="43" t="s">
        <v>52</v>
      </c>
      <c r="L1490" s="43" t="s">
        <v>102</v>
      </c>
      <c r="M1490" s="43" t="s">
        <v>178</v>
      </c>
      <c r="N1490" s="43" t="s">
        <v>111</v>
      </c>
      <c r="O1490" s="43" t="s">
        <v>88</v>
      </c>
      <c r="P1490" s="43" t="s">
        <v>73</v>
      </c>
      <c r="Q1490" s="43" t="s">
        <v>136</v>
      </c>
      <c r="R1490" s="43" t="s">
        <v>58</v>
      </c>
      <c r="S1490" s="43" t="s">
        <v>106</v>
      </c>
      <c r="T1490" s="43" t="s">
        <v>147</v>
      </c>
      <c r="U1490" s="43" t="s">
        <v>0</v>
      </c>
      <c r="V1490" s="43" t="s">
        <v>107</v>
      </c>
      <c r="W1490" s="43" t="s">
        <v>79</v>
      </c>
      <c r="X1490" s="43" t="s">
        <v>77</v>
      </c>
      <c r="Y1490" s="43" t="s">
        <v>643</v>
      </c>
      <c r="Z1490" s="43" t="s">
        <v>64</v>
      </c>
      <c r="AA1490" s="43" t="s">
        <v>320</v>
      </c>
      <c r="AB1490" s="43" t="s">
        <v>0</v>
      </c>
      <c r="AC1490" s="24" t="s">
        <v>4161</v>
      </c>
    </row>
    <row r="1491" spans="1:29">
      <c r="A1491" s="70" t="s">
        <v>4162</v>
      </c>
      <c r="B1491" s="70" t="str">
        <f>IF(ISNUMBER(SEARCH(E1491,A1491)),A1491,IF(OR(E1491="",E1491=""),A1491,A1491&amp;" - "&amp;E1491))</f>
        <v>enua 27/1 LHZ CA - Lemonade Haze</v>
      </c>
      <c r="C1491" s="30" t="s">
        <v>650</v>
      </c>
      <c r="D1491" s="30" t="s">
        <v>651</v>
      </c>
      <c r="E1491" s="45" t="s">
        <v>4163</v>
      </c>
      <c r="F1491" s="45" t="s">
        <v>144</v>
      </c>
      <c r="G1491" s="46" t="s">
        <v>4164</v>
      </c>
      <c r="H1491" s="35">
        <v>1</v>
      </c>
      <c r="I1491" s="43" t="s">
        <v>0</v>
      </c>
      <c r="J1491" s="43" t="s">
        <v>0</v>
      </c>
      <c r="K1491" s="43" t="s">
        <v>52</v>
      </c>
      <c r="L1491" s="43" t="s">
        <v>53</v>
      </c>
      <c r="M1491" s="43" t="s">
        <v>121</v>
      </c>
      <c r="N1491" s="43" t="s">
        <v>111</v>
      </c>
      <c r="O1491" s="43" t="s">
        <v>54</v>
      </c>
      <c r="P1491" s="43" t="s">
        <v>157</v>
      </c>
      <c r="Q1491" s="43" t="s">
        <v>73</v>
      </c>
      <c r="R1491" s="43" t="s">
        <v>59</v>
      </c>
      <c r="S1491" s="43" t="s">
        <v>61</v>
      </c>
      <c r="T1491" s="43" t="s">
        <v>62</v>
      </c>
      <c r="U1491" s="43" t="s">
        <v>123</v>
      </c>
      <c r="V1491" s="43" t="s">
        <v>93</v>
      </c>
      <c r="W1491" s="43" t="s">
        <v>107</v>
      </c>
      <c r="X1491" s="43" t="s">
        <v>77</v>
      </c>
      <c r="Y1491" s="43" t="s">
        <v>1135</v>
      </c>
      <c r="Z1491" s="43" t="s">
        <v>64</v>
      </c>
      <c r="AA1491" s="43" t="s">
        <v>653</v>
      </c>
      <c r="AB1491" s="43" t="s">
        <v>0</v>
      </c>
      <c r="AC1491" s="30" t="s">
        <v>4165</v>
      </c>
    </row>
    <row r="1492" spans="1:29">
      <c r="A1492" s="43" t="s">
        <v>4166</v>
      </c>
      <c r="B1492" s="43" t="str">
        <f>IF(ISNUMBER(SEARCH(E1492,A1492)),A1492,IF(OR(E1492="",E1492=""),A1492,A1492&amp;" - "&amp;E1492))</f>
        <v>Remexian 27/1 LPP - Lemon Pepper Punch</v>
      </c>
      <c r="C1492" s="24" t="s">
        <v>83</v>
      </c>
      <c r="D1492" s="24" t="s">
        <v>84</v>
      </c>
      <c r="E1492" s="45" t="s">
        <v>3266</v>
      </c>
      <c r="F1492" s="45" t="s">
        <v>69</v>
      </c>
      <c r="G1492" s="46" t="s">
        <v>33</v>
      </c>
      <c r="H1492" s="28">
        <v>1</v>
      </c>
      <c r="I1492" s="43" t="s">
        <v>0</v>
      </c>
      <c r="J1492" s="43" t="s">
        <v>0</v>
      </c>
      <c r="K1492" s="43" t="s">
        <v>52</v>
      </c>
      <c r="L1492" s="43" t="s">
        <v>53</v>
      </c>
      <c r="M1492" s="43" t="s">
        <v>103</v>
      </c>
      <c r="N1492" s="43" t="s">
        <v>55</v>
      </c>
      <c r="O1492" s="43" t="s">
        <v>72</v>
      </c>
      <c r="P1492" s="43" t="s">
        <v>73</v>
      </c>
      <c r="Q1492" s="43" t="s">
        <v>59</v>
      </c>
      <c r="R1492" s="43" t="s">
        <v>75</v>
      </c>
      <c r="S1492" s="43" t="s">
        <v>106</v>
      </c>
      <c r="T1492" s="43" t="s">
        <v>62</v>
      </c>
      <c r="U1492" s="43" t="s">
        <v>123</v>
      </c>
      <c r="V1492" s="43" t="s">
        <v>116</v>
      </c>
      <c r="W1492" s="43" t="s">
        <v>79</v>
      </c>
      <c r="X1492" s="43" t="s">
        <v>138</v>
      </c>
      <c r="Y1492" s="43" t="s">
        <v>1762</v>
      </c>
      <c r="Z1492" s="43" t="s">
        <v>64</v>
      </c>
      <c r="AA1492" s="43" t="s">
        <v>95</v>
      </c>
      <c r="AB1492" s="43" t="s">
        <v>0</v>
      </c>
      <c r="AC1492" s="24" t="s">
        <v>4167</v>
      </c>
    </row>
    <row r="1493" spans="1:29">
      <c r="A1493" s="43" t="s">
        <v>4168</v>
      </c>
      <c r="B1493" s="43" t="str">
        <f>IF(ISNUMBER(SEARCH(E1493,A1493)),A1493,IF(OR(E1493="",E1493=""),A1493,A1493&amp;" - "&amp;E1493))</f>
        <v>Green Karat RO 33/1 - Runtz OG</v>
      </c>
      <c r="C1493" s="30" t="s">
        <v>564</v>
      </c>
      <c r="D1493" s="30" t="s">
        <v>565</v>
      </c>
      <c r="E1493" s="45" t="s">
        <v>1068</v>
      </c>
      <c r="F1493" s="45" t="s">
        <v>86</v>
      </c>
      <c r="G1493" s="46" t="s">
        <v>4169</v>
      </c>
      <c r="H1493" s="35">
        <v>1</v>
      </c>
      <c r="I1493" s="43" t="s">
        <v>0</v>
      </c>
      <c r="J1493" s="43" t="s">
        <v>0</v>
      </c>
      <c r="K1493" s="43" t="s">
        <v>52</v>
      </c>
      <c r="L1493" s="43" t="s">
        <v>53</v>
      </c>
      <c r="M1493" s="43" t="s">
        <v>55</v>
      </c>
      <c r="N1493" s="43" t="s">
        <v>72</v>
      </c>
      <c r="O1493" s="43" t="s">
        <v>0</v>
      </c>
      <c r="P1493" s="43" t="s">
        <v>58</v>
      </c>
      <c r="Q1493" s="43" t="s">
        <v>59</v>
      </c>
      <c r="R1493" s="43" t="s">
        <v>89</v>
      </c>
      <c r="S1493" s="43" t="s">
        <v>106</v>
      </c>
      <c r="T1493" s="43" t="s">
        <v>62</v>
      </c>
      <c r="U1493" s="43" t="s">
        <v>123</v>
      </c>
      <c r="V1493" s="43" t="s">
        <v>173</v>
      </c>
      <c r="W1493" s="43" t="s">
        <v>107</v>
      </c>
      <c r="X1493" s="43" t="s">
        <v>93</v>
      </c>
      <c r="Y1493" s="43" t="s">
        <v>4170</v>
      </c>
      <c r="Z1493" s="43" t="s">
        <v>64</v>
      </c>
      <c r="AA1493" s="43" t="s">
        <v>565</v>
      </c>
      <c r="AB1493" s="43" t="s">
        <v>699</v>
      </c>
      <c r="AC1493" s="30" t="s">
        <v>4171</v>
      </c>
    </row>
    <row r="1494" spans="1:29" s="10" customFormat="1">
      <c r="A1494" s="43" t="s">
        <v>4172</v>
      </c>
      <c r="B1494" s="43" t="str">
        <f>IF(ISNUMBER(SEARCH(E1494,A1494)),A1494,IF(OR(E1494="",E1494=""),A1494,A1494&amp;" - "&amp;E1494))</f>
        <v>NEDCANN AH 22/01 Amnesia #D21 - Amnesia Haze</v>
      </c>
      <c r="C1494" s="24" t="s">
        <v>3537</v>
      </c>
      <c r="D1494" s="24" t="s">
        <v>3538</v>
      </c>
      <c r="E1494" s="45" t="s">
        <v>2774</v>
      </c>
      <c r="F1494" s="45" t="s">
        <v>69</v>
      </c>
      <c r="G1494" s="46" t="s">
        <v>4126</v>
      </c>
      <c r="H1494" s="28">
        <v>1</v>
      </c>
      <c r="I1494" s="43" t="s">
        <v>0</v>
      </c>
      <c r="J1494" s="43" t="s">
        <v>0</v>
      </c>
      <c r="K1494" s="43" t="s">
        <v>52</v>
      </c>
      <c r="L1494" s="43" t="s">
        <v>53</v>
      </c>
      <c r="M1494" s="43" t="s">
        <v>55</v>
      </c>
      <c r="N1494" s="43" t="s">
        <v>178</v>
      </c>
      <c r="O1494" s="43" t="s">
        <v>212</v>
      </c>
      <c r="P1494" s="43" t="s">
        <v>75</v>
      </c>
      <c r="Q1494" s="43" t="s">
        <v>59</v>
      </c>
      <c r="R1494" s="43" t="s">
        <v>0</v>
      </c>
      <c r="S1494" s="43" t="s">
        <v>106</v>
      </c>
      <c r="T1494" s="43" t="s">
        <v>62</v>
      </c>
      <c r="U1494" s="43" t="s">
        <v>91</v>
      </c>
      <c r="V1494" s="43" t="s">
        <v>77</v>
      </c>
      <c r="W1494" s="43" t="s">
        <v>79</v>
      </c>
      <c r="X1494" s="43" t="s">
        <v>457</v>
      </c>
      <c r="Y1494" s="43" t="s">
        <v>268</v>
      </c>
      <c r="Z1494" s="43" t="s">
        <v>64</v>
      </c>
      <c r="AA1494" s="43" t="s">
        <v>3538</v>
      </c>
      <c r="AB1494" s="43" t="s">
        <v>0</v>
      </c>
      <c r="AC1494" s="24" t="s">
        <v>4173</v>
      </c>
    </row>
    <row r="1495" spans="1:29">
      <c r="A1495" s="43" t="s">
        <v>4174</v>
      </c>
      <c r="B1495" s="43" t="str">
        <f>IF(ISNUMBER(SEARCH(E1495,A1495)),A1495,IF(OR(E1495="",E1495=""),A1495,A1495&amp;" - "&amp;E1495))</f>
        <v>NEDCANN SC 21/01 Chemdog #36</v>
      </c>
      <c r="C1495" s="30" t="s">
        <v>3537</v>
      </c>
      <c r="D1495" s="30" t="s">
        <v>3538</v>
      </c>
      <c r="E1495" s="45" t="s">
        <v>2997</v>
      </c>
      <c r="F1495" s="45" t="s">
        <v>177</v>
      </c>
      <c r="G1495" s="46" t="s">
        <v>452</v>
      </c>
      <c r="H1495" s="35">
        <v>1</v>
      </c>
      <c r="I1495" s="43" t="s">
        <v>0</v>
      </c>
      <c r="J1495" s="43" t="s">
        <v>0</v>
      </c>
      <c r="K1495" s="43" t="s">
        <v>52</v>
      </c>
      <c r="L1495" s="43" t="s">
        <v>53</v>
      </c>
      <c r="M1495" s="43" t="s">
        <v>88</v>
      </c>
      <c r="N1495" s="43" t="s">
        <v>72</v>
      </c>
      <c r="O1495" s="43" t="s">
        <v>54</v>
      </c>
      <c r="P1495" s="43" t="s">
        <v>74</v>
      </c>
      <c r="Q1495" s="43" t="s">
        <v>73</v>
      </c>
      <c r="R1495" s="43" t="s">
        <v>59</v>
      </c>
      <c r="S1495" s="43" t="s">
        <v>106</v>
      </c>
      <c r="T1495" s="43" t="s">
        <v>62</v>
      </c>
      <c r="U1495" s="43" t="s">
        <v>147</v>
      </c>
      <c r="V1495" s="43" t="s">
        <v>93</v>
      </c>
      <c r="W1495" s="43" t="s">
        <v>107</v>
      </c>
      <c r="X1495" s="43" t="s">
        <v>173</v>
      </c>
      <c r="Y1495" s="43" t="s">
        <v>307</v>
      </c>
      <c r="Z1495" s="43" t="s">
        <v>64</v>
      </c>
      <c r="AA1495" s="43" t="s">
        <v>3538</v>
      </c>
      <c r="AB1495" s="43" t="s">
        <v>0</v>
      </c>
      <c r="AC1495" s="30" t="s">
        <v>4175</v>
      </c>
    </row>
    <row r="1496" spans="1:29" s="10" customFormat="1">
      <c r="A1496" s="43" t="s">
        <v>4176</v>
      </c>
      <c r="B1496" s="43" t="str">
        <f>IF(ISNUMBER(SEARCH(E1496,A1496)),A1496,IF(OR(E1496="",E1496=""),A1496,A1496&amp;" - "&amp;E1496))</f>
        <v>All Nations 25/1 AKM - Black Marker</v>
      </c>
      <c r="C1496" s="24" t="s">
        <v>564</v>
      </c>
      <c r="D1496" s="24" t="s">
        <v>565</v>
      </c>
      <c r="E1496" s="45" t="s">
        <v>4177</v>
      </c>
      <c r="F1496" s="45" t="s">
        <v>86</v>
      </c>
      <c r="G1496" s="46" t="s">
        <v>26</v>
      </c>
      <c r="H1496" s="28">
        <v>1</v>
      </c>
      <c r="I1496" s="43" t="s">
        <v>0</v>
      </c>
      <c r="J1496" s="43" t="s">
        <v>0</v>
      </c>
      <c r="K1496" s="43" t="s">
        <v>52</v>
      </c>
      <c r="L1496" s="43" t="s">
        <v>53</v>
      </c>
      <c r="M1496" s="43" t="s">
        <v>178</v>
      </c>
      <c r="N1496" s="43" t="s">
        <v>72</v>
      </c>
      <c r="O1496" s="43" t="s">
        <v>54</v>
      </c>
      <c r="P1496" s="43" t="s">
        <v>57</v>
      </c>
      <c r="Q1496" s="43" t="s">
        <v>75</v>
      </c>
      <c r="R1496" s="43" t="s">
        <v>73</v>
      </c>
      <c r="S1496" s="43" t="s">
        <v>106</v>
      </c>
      <c r="T1496" s="43" t="s">
        <v>62</v>
      </c>
      <c r="U1496" s="43" t="s">
        <v>123</v>
      </c>
      <c r="V1496" s="43" t="s">
        <v>93</v>
      </c>
      <c r="W1496" s="43" t="s">
        <v>79</v>
      </c>
      <c r="X1496" s="43" t="s">
        <v>116</v>
      </c>
      <c r="Y1496" s="43" t="s">
        <v>286</v>
      </c>
      <c r="Z1496" s="43" t="s">
        <v>64</v>
      </c>
      <c r="AA1496" s="43" t="s">
        <v>565</v>
      </c>
      <c r="AB1496" s="43" t="s">
        <v>0</v>
      </c>
      <c r="AC1496" s="24" t="s">
        <v>4178</v>
      </c>
    </row>
    <row r="1497" spans="1:29">
      <c r="A1497" s="43" t="s">
        <v>4179</v>
      </c>
      <c r="B1497" s="43" t="str">
        <f>IF(ISNUMBER(SEARCH(E1497,A1497)),A1497,IF(OR(E1497="",E1497=""),A1497,A1497&amp;" - "&amp;E1497))</f>
        <v>bava med 21/1 - Sunset Diesel</v>
      </c>
      <c r="C1497" s="30" t="s">
        <v>4180</v>
      </c>
      <c r="D1497" s="30" t="s">
        <v>4181</v>
      </c>
      <c r="E1497" s="45" t="s">
        <v>4182</v>
      </c>
      <c r="F1497" s="45" t="s">
        <v>69</v>
      </c>
      <c r="G1497" s="46" t="s">
        <v>452</v>
      </c>
      <c r="H1497" s="35">
        <v>1</v>
      </c>
      <c r="I1497" s="43" t="s">
        <v>0</v>
      </c>
      <c r="J1497" s="43" t="s">
        <v>0</v>
      </c>
      <c r="K1497" s="43" t="s">
        <v>52</v>
      </c>
      <c r="L1497" s="43" t="s">
        <v>102</v>
      </c>
      <c r="M1497" s="43" t="s">
        <v>121</v>
      </c>
      <c r="N1497" s="43" t="s">
        <v>88</v>
      </c>
      <c r="O1497" s="43" t="s">
        <v>178</v>
      </c>
      <c r="P1497" s="43" t="s">
        <v>59</v>
      </c>
      <c r="Q1497" s="43" t="s">
        <v>74</v>
      </c>
      <c r="R1497" s="43" t="s">
        <v>75</v>
      </c>
      <c r="S1497" s="43" t="s">
        <v>62</v>
      </c>
      <c r="T1497" s="43" t="s">
        <v>91</v>
      </c>
      <c r="U1497" s="43" t="s">
        <v>147</v>
      </c>
      <c r="V1497" s="43" t="s">
        <v>93</v>
      </c>
      <c r="W1497" s="43" t="s">
        <v>107</v>
      </c>
      <c r="X1497" s="43" t="s">
        <v>79</v>
      </c>
      <c r="Y1497" s="43" t="s">
        <v>4183</v>
      </c>
      <c r="Z1497" s="43" t="s">
        <v>64</v>
      </c>
      <c r="AA1497" s="43" t="s">
        <v>4181</v>
      </c>
      <c r="AB1497" s="43" t="s">
        <v>0</v>
      </c>
      <c r="AC1497" s="30" t="s">
        <v>4184</v>
      </c>
    </row>
    <row r="1498" spans="1:29">
      <c r="A1498" s="43" t="s">
        <v>4185</v>
      </c>
      <c r="B1498" s="43" t="str">
        <f>IF(ISNUMBER(SEARCH(E1498,A1498)),A1498,IF(OR(E1498="",E1498=""),A1498,A1498&amp;" - "&amp;E1498))</f>
        <v>enua 20/1 BNR CA - Blue Nerdz</v>
      </c>
      <c r="C1498" s="24" t="s">
        <v>650</v>
      </c>
      <c r="D1498" s="24" t="s">
        <v>651</v>
      </c>
      <c r="E1498" s="45" t="s">
        <v>4186</v>
      </c>
      <c r="F1498" s="45" t="s">
        <v>86</v>
      </c>
      <c r="G1498" s="46" t="s">
        <v>460</v>
      </c>
      <c r="H1498" s="28">
        <v>1</v>
      </c>
      <c r="I1498" s="43" t="s">
        <v>0</v>
      </c>
      <c r="J1498" s="43" t="s">
        <v>0</v>
      </c>
      <c r="K1498" s="43" t="s">
        <v>52</v>
      </c>
      <c r="L1498" s="43" t="s">
        <v>53</v>
      </c>
      <c r="M1498" s="43" t="s">
        <v>72</v>
      </c>
      <c r="N1498" s="43" t="s">
        <v>54</v>
      </c>
      <c r="O1498" s="43" t="s">
        <v>0</v>
      </c>
      <c r="P1498" s="43" t="s">
        <v>59</v>
      </c>
      <c r="Q1498" s="43" t="s">
        <v>104</v>
      </c>
      <c r="R1498" s="43" t="s">
        <v>89</v>
      </c>
      <c r="S1498" s="43" t="s">
        <v>128</v>
      </c>
      <c r="T1498" s="43" t="s">
        <v>106</v>
      </c>
      <c r="U1498" s="43" t="s">
        <v>62</v>
      </c>
      <c r="V1498" s="43" t="s">
        <v>116</v>
      </c>
      <c r="W1498" s="43" t="s">
        <v>93</v>
      </c>
      <c r="X1498" s="43" t="s">
        <v>138</v>
      </c>
      <c r="Y1498" s="43" t="s">
        <v>3510</v>
      </c>
      <c r="Z1498" s="43" t="s">
        <v>64</v>
      </c>
      <c r="AA1498" s="43" t="s">
        <v>653</v>
      </c>
      <c r="AB1498" s="43" t="s">
        <v>0</v>
      </c>
      <c r="AC1498" s="24" t="s">
        <v>4187</v>
      </c>
    </row>
    <row r="1499" spans="1:29" s="10" customFormat="1">
      <c r="A1499" s="43" t="s">
        <v>4179</v>
      </c>
      <c r="B1499" s="43" t="str">
        <f>IF(ISNUMBER(SEARCH(E1499,A1499)),A1499,IF(OR(E1499="",E1499=""),A1499,A1499&amp;" - "&amp;E1499))</f>
        <v>bava med 21/1 - Original Blitz</v>
      </c>
      <c r="C1499" s="30" t="s">
        <v>4180</v>
      </c>
      <c r="D1499" s="30" t="s">
        <v>4181</v>
      </c>
      <c r="E1499" s="45" t="s">
        <v>4188</v>
      </c>
      <c r="F1499" s="45" t="s">
        <v>177</v>
      </c>
      <c r="G1499" s="46" t="s">
        <v>452</v>
      </c>
      <c r="H1499" s="35">
        <v>1</v>
      </c>
      <c r="I1499" s="43" t="s">
        <v>0</v>
      </c>
      <c r="J1499" s="43" t="s">
        <v>0</v>
      </c>
      <c r="K1499" s="43" t="s">
        <v>52</v>
      </c>
      <c r="L1499" s="43" t="s">
        <v>102</v>
      </c>
      <c r="M1499" s="43" t="s">
        <v>54</v>
      </c>
      <c r="N1499" s="43" t="s">
        <v>72</v>
      </c>
      <c r="O1499" s="43" t="s">
        <v>88</v>
      </c>
      <c r="P1499" s="43" t="s">
        <v>57</v>
      </c>
      <c r="Q1499" s="43" t="s">
        <v>75</v>
      </c>
      <c r="R1499" s="43" t="s">
        <v>59</v>
      </c>
      <c r="S1499" s="43" t="s">
        <v>106</v>
      </c>
      <c r="T1499" s="43" t="s">
        <v>62</v>
      </c>
      <c r="U1499" s="43" t="s">
        <v>192</v>
      </c>
      <c r="V1499" s="43" t="s">
        <v>93</v>
      </c>
      <c r="W1499" s="43" t="s">
        <v>79</v>
      </c>
      <c r="X1499" s="43" t="s">
        <v>107</v>
      </c>
      <c r="Y1499" s="43" t="s">
        <v>248</v>
      </c>
      <c r="Z1499" s="43" t="s">
        <v>64</v>
      </c>
      <c r="AA1499" s="43" t="s">
        <v>4181</v>
      </c>
      <c r="AB1499" s="43" t="s">
        <v>0</v>
      </c>
      <c r="AC1499" s="30" t="s">
        <v>4189</v>
      </c>
    </row>
    <row r="1500" spans="1:29">
      <c r="A1500" s="43" t="s">
        <v>4179</v>
      </c>
      <c r="B1500" s="43" t="str">
        <f>IF(ISNUMBER(SEARCH(E1500,A1500)),A1500,IF(OR(E1500="",E1500=""),A1500,A1500&amp;" - "&amp;E1500))</f>
        <v>bava med 21/1 - Platinum Dosi-Dos</v>
      </c>
      <c r="C1500" s="24" t="s">
        <v>4180</v>
      </c>
      <c r="D1500" s="24" t="s">
        <v>4181</v>
      </c>
      <c r="E1500" s="45" t="s">
        <v>4190</v>
      </c>
      <c r="F1500" s="45" t="s">
        <v>177</v>
      </c>
      <c r="G1500" s="46" t="s">
        <v>452</v>
      </c>
      <c r="H1500" s="28">
        <v>1</v>
      </c>
      <c r="I1500" s="43" t="s">
        <v>0</v>
      </c>
      <c r="J1500" s="43" t="s">
        <v>0</v>
      </c>
      <c r="K1500" s="43" t="s">
        <v>52</v>
      </c>
      <c r="L1500" s="43" t="s">
        <v>102</v>
      </c>
      <c r="M1500" s="43" t="s">
        <v>54</v>
      </c>
      <c r="N1500" s="43" t="s">
        <v>88</v>
      </c>
      <c r="O1500" s="43" t="s">
        <v>72</v>
      </c>
      <c r="P1500" s="43" t="s">
        <v>75</v>
      </c>
      <c r="Q1500" s="43" t="s">
        <v>59</v>
      </c>
      <c r="R1500" s="43" t="s">
        <v>73</v>
      </c>
      <c r="S1500" s="43" t="s">
        <v>128</v>
      </c>
      <c r="T1500" s="43" t="s">
        <v>106</v>
      </c>
      <c r="U1500" s="43" t="s">
        <v>62</v>
      </c>
      <c r="V1500" s="43" t="s">
        <v>93</v>
      </c>
      <c r="W1500" s="43" t="s">
        <v>79</v>
      </c>
      <c r="X1500" s="43" t="s">
        <v>77</v>
      </c>
      <c r="Y1500" s="43" t="s">
        <v>4191</v>
      </c>
      <c r="Z1500" s="43" t="s">
        <v>64</v>
      </c>
      <c r="AA1500" s="43" t="s">
        <v>4181</v>
      </c>
      <c r="AB1500" s="43" t="s">
        <v>0</v>
      </c>
      <c r="AC1500" s="24" t="s">
        <v>4192</v>
      </c>
    </row>
    <row r="1501" spans="1:29">
      <c r="A1501" s="43" t="s">
        <v>4179</v>
      </c>
      <c r="B1501" s="43" t="str">
        <f>IF(ISNUMBER(SEARCH(E1501,A1501)),A1501,IF(OR(E1501="",E1501=""),A1501,A1501&amp;" - "&amp;E1501))</f>
        <v>bava med 21/1 - Skywalker Kush</v>
      </c>
      <c r="C1501" s="30" t="s">
        <v>4180</v>
      </c>
      <c r="D1501" s="30" t="s">
        <v>4181</v>
      </c>
      <c r="E1501" s="45" t="s">
        <v>4193</v>
      </c>
      <c r="F1501" s="45" t="s">
        <v>120</v>
      </c>
      <c r="G1501" s="46" t="s">
        <v>452</v>
      </c>
      <c r="H1501" s="35">
        <v>1</v>
      </c>
      <c r="I1501" s="43" t="s">
        <v>0</v>
      </c>
      <c r="J1501" s="43" t="s">
        <v>0</v>
      </c>
      <c r="K1501" s="43" t="s">
        <v>52</v>
      </c>
      <c r="L1501" s="43" t="s">
        <v>102</v>
      </c>
      <c r="M1501" s="43" t="s">
        <v>88</v>
      </c>
      <c r="N1501" s="43" t="s">
        <v>72</v>
      </c>
      <c r="O1501" s="43" t="s">
        <v>0</v>
      </c>
      <c r="P1501" s="43" t="s">
        <v>146</v>
      </c>
      <c r="Q1501" s="43" t="s">
        <v>75</v>
      </c>
      <c r="R1501" s="43" t="s">
        <v>59</v>
      </c>
      <c r="S1501" s="43" t="s">
        <v>106</v>
      </c>
      <c r="T1501" s="43" t="s">
        <v>62</v>
      </c>
      <c r="U1501" s="43" t="s">
        <v>147</v>
      </c>
      <c r="V1501" s="43" t="s">
        <v>79</v>
      </c>
      <c r="W1501" s="43" t="s">
        <v>107</v>
      </c>
      <c r="X1501" s="43" t="s">
        <v>77</v>
      </c>
      <c r="Y1501" s="43" t="s">
        <v>4191</v>
      </c>
      <c r="Z1501" s="43" t="s">
        <v>64</v>
      </c>
      <c r="AA1501" s="43" t="s">
        <v>4181</v>
      </c>
      <c r="AB1501" s="43" t="s">
        <v>0</v>
      </c>
      <c r="AC1501" s="30" t="s">
        <v>4194</v>
      </c>
    </row>
    <row r="1502" spans="1:29" s="10" customFormat="1">
      <c r="A1502" s="43" t="s">
        <v>4195</v>
      </c>
      <c r="B1502" s="43" t="str">
        <f>IF(ISNUMBER(SEARCH(E1502,A1502)),A1502,IF(OR(E1502="",E1502=""),A1502,A1502&amp;" - "&amp;E1502))</f>
        <v>bava med 25/1 - Berry Blitz</v>
      </c>
      <c r="C1502" s="24" t="s">
        <v>4180</v>
      </c>
      <c r="D1502" s="24" t="s">
        <v>4181</v>
      </c>
      <c r="E1502" s="45" t="s">
        <v>4196</v>
      </c>
      <c r="F1502" s="45" t="s">
        <v>177</v>
      </c>
      <c r="G1502" s="46" t="s">
        <v>26</v>
      </c>
      <c r="H1502" s="28">
        <v>1</v>
      </c>
      <c r="I1502" s="43" t="s">
        <v>0</v>
      </c>
      <c r="J1502" s="43" t="s">
        <v>0</v>
      </c>
      <c r="K1502" s="43" t="s">
        <v>52</v>
      </c>
      <c r="L1502" s="43" t="s">
        <v>102</v>
      </c>
      <c r="M1502" s="43" t="s">
        <v>88</v>
      </c>
      <c r="N1502" s="43" t="s">
        <v>72</v>
      </c>
      <c r="O1502" s="43" t="s">
        <v>0</v>
      </c>
      <c r="P1502" s="43" t="s">
        <v>75</v>
      </c>
      <c r="Q1502" s="43" t="s">
        <v>73</v>
      </c>
      <c r="R1502" s="43" t="s">
        <v>58</v>
      </c>
      <c r="S1502" s="43" t="s">
        <v>106</v>
      </c>
      <c r="T1502" s="43" t="s">
        <v>62</v>
      </c>
      <c r="U1502" s="43" t="s">
        <v>192</v>
      </c>
      <c r="V1502" s="43" t="s">
        <v>93</v>
      </c>
      <c r="W1502" s="43" t="s">
        <v>79</v>
      </c>
      <c r="X1502" s="43" t="s">
        <v>107</v>
      </c>
      <c r="Y1502" s="43" t="s">
        <v>3220</v>
      </c>
      <c r="Z1502" s="43" t="s">
        <v>64</v>
      </c>
      <c r="AA1502" s="43" t="s">
        <v>4181</v>
      </c>
      <c r="AB1502" s="43" t="s">
        <v>0</v>
      </c>
      <c r="AC1502" s="24" t="s">
        <v>4197</v>
      </c>
    </row>
    <row r="1503" spans="1:29">
      <c r="A1503" s="43" t="s">
        <v>4179</v>
      </c>
      <c r="B1503" s="43" t="str">
        <f>IF(ISNUMBER(SEARCH(E1503,A1503)),A1503,IF(OR(E1503="",E1503=""),A1503,A1503&amp;" - "&amp;E1503))</f>
        <v>bava med 21/1 - Zesty Punch</v>
      </c>
      <c r="C1503" s="30" t="s">
        <v>4180</v>
      </c>
      <c r="D1503" s="30" t="s">
        <v>4181</v>
      </c>
      <c r="E1503" s="45" t="s">
        <v>4198</v>
      </c>
      <c r="F1503" s="45" t="s">
        <v>177</v>
      </c>
      <c r="G1503" s="46" t="s">
        <v>452</v>
      </c>
      <c r="H1503" s="35">
        <v>1</v>
      </c>
      <c r="I1503" s="43" t="s">
        <v>0</v>
      </c>
      <c r="J1503" s="43" t="s">
        <v>0</v>
      </c>
      <c r="K1503" s="43" t="s">
        <v>52</v>
      </c>
      <c r="L1503" s="43" t="s">
        <v>102</v>
      </c>
      <c r="M1503" s="43" t="s">
        <v>54</v>
      </c>
      <c r="N1503" s="43" t="s">
        <v>88</v>
      </c>
      <c r="O1503" s="43" t="s">
        <v>72</v>
      </c>
      <c r="P1503" s="43" t="s">
        <v>59</v>
      </c>
      <c r="Q1503" s="43" t="s">
        <v>74</v>
      </c>
      <c r="R1503" s="43" t="s">
        <v>75</v>
      </c>
      <c r="S1503" s="43" t="s">
        <v>62</v>
      </c>
      <c r="T1503" s="43" t="s">
        <v>91</v>
      </c>
      <c r="U1503" s="43" t="s">
        <v>147</v>
      </c>
      <c r="V1503" s="43" t="s">
        <v>93</v>
      </c>
      <c r="W1503" s="43" t="s">
        <v>116</v>
      </c>
      <c r="X1503" s="43" t="s">
        <v>79</v>
      </c>
      <c r="Y1503" s="43" t="s">
        <v>4199</v>
      </c>
      <c r="Z1503" s="43" t="s">
        <v>64</v>
      </c>
      <c r="AA1503" s="43" t="s">
        <v>4181</v>
      </c>
      <c r="AB1503" s="43" t="s">
        <v>0</v>
      </c>
      <c r="AC1503" s="30" t="s">
        <v>4200</v>
      </c>
    </row>
    <row r="1504" spans="1:29">
      <c r="A1504" s="43" t="s">
        <v>4201</v>
      </c>
      <c r="B1504" s="43" t="str">
        <f>IF(ISNUMBER(SEARCH(E1504,A1504)),A1504,IF(OR(E1504="",E1504=""),A1504,A1504&amp;" - "&amp;E1504))</f>
        <v>bava med 21/1 GEL-PI - Gelato Pie</v>
      </c>
      <c r="C1504" s="24" t="s">
        <v>4180</v>
      </c>
      <c r="D1504" s="24" t="s">
        <v>4181</v>
      </c>
      <c r="E1504" s="45" t="s">
        <v>4202</v>
      </c>
      <c r="F1504" s="45" t="s">
        <v>86</v>
      </c>
      <c r="G1504" s="46" t="s">
        <v>452</v>
      </c>
      <c r="H1504" s="28">
        <v>1</v>
      </c>
      <c r="I1504" s="43" t="s">
        <v>0</v>
      </c>
      <c r="J1504" s="43" t="s">
        <v>0</v>
      </c>
      <c r="K1504" s="43" t="s">
        <v>52</v>
      </c>
      <c r="L1504" s="43" t="s">
        <v>102</v>
      </c>
      <c r="M1504" s="43" t="s">
        <v>72</v>
      </c>
      <c r="N1504" s="43" t="s">
        <v>54</v>
      </c>
      <c r="O1504" s="43" t="s">
        <v>88</v>
      </c>
      <c r="P1504" s="43" t="s">
        <v>59</v>
      </c>
      <c r="Q1504" s="43" t="s">
        <v>89</v>
      </c>
      <c r="R1504" s="43" t="s">
        <v>58</v>
      </c>
      <c r="S1504" s="43" t="s">
        <v>106</v>
      </c>
      <c r="T1504" s="43" t="s">
        <v>62</v>
      </c>
      <c r="U1504" s="43" t="s">
        <v>91</v>
      </c>
      <c r="V1504" s="43" t="s">
        <v>165</v>
      </c>
      <c r="W1504" s="43" t="s">
        <v>129</v>
      </c>
      <c r="X1504" s="43" t="s">
        <v>77</v>
      </c>
      <c r="Y1504" s="43" t="s">
        <v>322</v>
      </c>
      <c r="Z1504" s="43" t="s">
        <v>64</v>
      </c>
      <c r="AA1504" s="43" t="s">
        <v>4181</v>
      </c>
      <c r="AB1504" s="43" t="s">
        <v>0</v>
      </c>
      <c r="AC1504" s="24" t="s">
        <v>4203</v>
      </c>
    </row>
    <row r="1505" spans="1:29">
      <c r="A1505" s="43" t="s">
        <v>4204</v>
      </c>
      <c r="B1505" s="43" t="str">
        <f>IF(ISNUMBER(SEARCH(E1505,A1505)),A1505,IF(OR(E1505="",E1505=""),A1505,A1505&amp;" - "&amp;E1505))</f>
        <v>bava med 21/1 BLU-SK - Blue Skittlz</v>
      </c>
      <c r="C1505" s="30" t="s">
        <v>4180</v>
      </c>
      <c r="D1505" s="30" t="s">
        <v>4181</v>
      </c>
      <c r="E1505" s="45" t="s">
        <v>4205</v>
      </c>
      <c r="F1505" s="45" t="s">
        <v>177</v>
      </c>
      <c r="G1505" s="46" t="s">
        <v>452</v>
      </c>
      <c r="H1505" s="35">
        <v>1</v>
      </c>
      <c r="I1505" s="43" t="s">
        <v>0</v>
      </c>
      <c r="J1505" s="43" t="s">
        <v>0</v>
      </c>
      <c r="K1505" s="43" t="s">
        <v>52</v>
      </c>
      <c r="L1505" s="43" t="s">
        <v>102</v>
      </c>
      <c r="M1505" s="43" t="s">
        <v>55</v>
      </c>
      <c r="N1505" s="43" t="s">
        <v>54</v>
      </c>
      <c r="O1505" s="43" t="s">
        <v>88</v>
      </c>
      <c r="P1505" s="43" t="s">
        <v>112</v>
      </c>
      <c r="Q1505" s="43" t="s">
        <v>89</v>
      </c>
      <c r="R1505" s="43" t="s">
        <v>75</v>
      </c>
      <c r="S1505" s="43" t="s">
        <v>128</v>
      </c>
      <c r="T1505" s="43" t="s">
        <v>106</v>
      </c>
      <c r="U1505" s="43" t="s">
        <v>62</v>
      </c>
      <c r="V1505" s="43" t="s">
        <v>292</v>
      </c>
      <c r="W1505" s="43" t="s">
        <v>107</v>
      </c>
      <c r="X1505" s="43" t="s">
        <v>173</v>
      </c>
      <c r="Y1505" s="43" t="s">
        <v>4206</v>
      </c>
      <c r="Z1505" s="43" t="s">
        <v>64</v>
      </c>
      <c r="AA1505" s="43" t="s">
        <v>4181</v>
      </c>
      <c r="AB1505" s="43" t="s">
        <v>0</v>
      </c>
      <c r="AC1505" s="30" t="s">
        <v>4207</v>
      </c>
    </row>
    <row r="1506" spans="1:29">
      <c r="A1506" s="43" t="s">
        <v>4208</v>
      </c>
      <c r="B1506" s="43" t="str">
        <f>IF(ISNUMBER(SEARCH(E1506,A1506)),A1506,IF(OR(E1506="",E1506=""),A1506,A1506&amp;" - "&amp;E1506))</f>
        <v>bava med 24/1 - MAC 1</v>
      </c>
      <c r="C1506" s="24" t="s">
        <v>4180</v>
      </c>
      <c r="D1506" s="24" t="s">
        <v>4181</v>
      </c>
      <c r="E1506" s="45" t="s">
        <v>661</v>
      </c>
      <c r="F1506" s="45" t="s">
        <v>177</v>
      </c>
      <c r="G1506" s="46" t="s">
        <v>448</v>
      </c>
      <c r="H1506" s="28">
        <v>1</v>
      </c>
      <c r="I1506" s="43" t="s">
        <v>0</v>
      </c>
      <c r="J1506" s="43" t="s">
        <v>0</v>
      </c>
      <c r="K1506" s="43" t="s">
        <v>52</v>
      </c>
      <c r="L1506" s="43" t="s">
        <v>102</v>
      </c>
      <c r="M1506" s="43" t="s">
        <v>71</v>
      </c>
      <c r="N1506" s="43" t="s">
        <v>178</v>
      </c>
      <c r="O1506" s="43" t="s">
        <v>72</v>
      </c>
      <c r="P1506" s="43" t="s">
        <v>75</v>
      </c>
      <c r="Q1506" s="43" t="s">
        <v>74</v>
      </c>
      <c r="R1506" s="43" t="s">
        <v>57</v>
      </c>
      <c r="S1506" s="43" t="s">
        <v>106</v>
      </c>
      <c r="T1506" s="43" t="s">
        <v>62</v>
      </c>
      <c r="U1506" s="43" t="s">
        <v>192</v>
      </c>
      <c r="V1506" s="43" t="s">
        <v>77</v>
      </c>
      <c r="W1506" s="43" t="s">
        <v>79</v>
      </c>
      <c r="X1506" s="43" t="s">
        <v>173</v>
      </c>
      <c r="Y1506" s="43" t="s">
        <v>3942</v>
      </c>
      <c r="Z1506" s="43" t="s">
        <v>64</v>
      </c>
      <c r="AA1506" s="43" t="s">
        <v>4181</v>
      </c>
      <c r="AB1506" s="43" t="s">
        <v>0</v>
      </c>
      <c r="AC1506" s="24" t="s">
        <v>4209</v>
      </c>
    </row>
    <row r="1507" spans="1:29">
      <c r="A1507" s="43" t="s">
        <v>4210</v>
      </c>
      <c r="B1507" s="43" t="str">
        <f>IF(ISNUMBER(SEARCH(E1507,A1507)),A1507,IF(OR(E1507="",E1507=""),A1507,A1507&amp;" - "&amp;E1507))</f>
        <v>bava med 21/1 PIA-EX - Pineapple Express</v>
      </c>
      <c r="C1507" s="30" t="s">
        <v>4180</v>
      </c>
      <c r="D1507" s="30" t="s">
        <v>4181</v>
      </c>
      <c r="E1507" s="45" t="s">
        <v>4020</v>
      </c>
      <c r="F1507" s="45" t="s">
        <v>144</v>
      </c>
      <c r="G1507" s="46" t="s">
        <v>452</v>
      </c>
      <c r="H1507" s="35">
        <v>1</v>
      </c>
      <c r="I1507" s="43" t="s">
        <v>0</v>
      </c>
      <c r="J1507" s="43" t="s">
        <v>0</v>
      </c>
      <c r="K1507" s="43" t="s">
        <v>52</v>
      </c>
      <c r="L1507" s="43" t="s">
        <v>102</v>
      </c>
      <c r="M1507" s="43" t="s">
        <v>55</v>
      </c>
      <c r="N1507" s="43" t="s">
        <v>72</v>
      </c>
      <c r="O1507" s="43" t="s">
        <v>88</v>
      </c>
      <c r="P1507" s="43" t="s">
        <v>59</v>
      </c>
      <c r="Q1507" s="43" t="s">
        <v>75</v>
      </c>
      <c r="R1507" s="43" t="s">
        <v>74</v>
      </c>
      <c r="S1507" s="43" t="s">
        <v>106</v>
      </c>
      <c r="T1507" s="43" t="s">
        <v>62</v>
      </c>
      <c r="U1507" s="43" t="s">
        <v>105</v>
      </c>
      <c r="V1507" s="43" t="s">
        <v>180</v>
      </c>
      <c r="W1507" s="43" t="s">
        <v>129</v>
      </c>
      <c r="X1507" s="43" t="s">
        <v>107</v>
      </c>
      <c r="Y1507" s="43" t="s">
        <v>413</v>
      </c>
      <c r="Z1507" s="43" t="s">
        <v>64</v>
      </c>
      <c r="AA1507" s="43" t="s">
        <v>4181</v>
      </c>
      <c r="AB1507" s="43" t="s">
        <v>0</v>
      </c>
      <c r="AC1507" s="30" t="s">
        <v>4211</v>
      </c>
    </row>
    <row r="1508" spans="1:29">
      <c r="A1508" s="43" t="s">
        <v>4212</v>
      </c>
      <c r="B1508" s="43" t="str">
        <f>IF(ISNUMBER(SEARCH(E1508,A1508)),A1508,IF(OR(E1508="",E1508=""),A1508,A1508&amp;" - "&amp;E1508))</f>
        <v>Remexian 30/1 MYW - Mystic Wonder</v>
      </c>
      <c r="C1508" s="24" t="s">
        <v>83</v>
      </c>
      <c r="D1508" s="24" t="s">
        <v>84</v>
      </c>
      <c r="E1508" s="45" t="s">
        <v>3251</v>
      </c>
      <c r="F1508" s="45" t="s">
        <v>177</v>
      </c>
      <c r="G1508" s="46" t="s">
        <v>4057</v>
      </c>
      <c r="H1508" s="28">
        <v>1</v>
      </c>
      <c r="I1508" s="43" t="s">
        <v>0</v>
      </c>
      <c r="J1508" s="43" t="s">
        <v>0</v>
      </c>
      <c r="K1508" s="43" t="s">
        <v>52</v>
      </c>
      <c r="L1508" s="43" t="s">
        <v>102</v>
      </c>
      <c r="M1508" s="43" t="s">
        <v>121</v>
      </c>
      <c r="N1508" s="43" t="s">
        <v>72</v>
      </c>
      <c r="O1508" s="43" t="s">
        <v>0</v>
      </c>
      <c r="P1508" s="43" t="s">
        <v>59</v>
      </c>
      <c r="Q1508" s="43" t="s">
        <v>74</v>
      </c>
      <c r="R1508" s="43" t="s">
        <v>75</v>
      </c>
      <c r="S1508" s="43" t="s">
        <v>106</v>
      </c>
      <c r="T1508" s="43" t="s">
        <v>62</v>
      </c>
      <c r="U1508" s="43" t="s">
        <v>147</v>
      </c>
      <c r="V1508" s="43" t="s">
        <v>107</v>
      </c>
      <c r="W1508" s="43" t="s">
        <v>116</v>
      </c>
      <c r="X1508" s="43" t="s">
        <v>93</v>
      </c>
      <c r="Y1508" s="43" t="s">
        <v>130</v>
      </c>
      <c r="Z1508" s="43" t="s">
        <v>64</v>
      </c>
      <c r="AA1508" s="43" t="s">
        <v>95</v>
      </c>
      <c r="AB1508" s="43" t="s">
        <v>0</v>
      </c>
      <c r="AC1508" s="24" t="s">
        <v>4213</v>
      </c>
    </row>
    <row r="1509" spans="1:29">
      <c r="A1509" s="43" t="s">
        <v>4214</v>
      </c>
      <c r="B1509" s="43" t="str">
        <f>IF(ISNUMBER(SEARCH(E1509,A1509)),A1509,IF(OR(E1509="",E1509=""),A1509,A1509&amp;" - "&amp;E1509))</f>
        <v>enua 30/1 LHZ CA - Lemonade Haze</v>
      </c>
      <c r="C1509" s="30" t="s">
        <v>650</v>
      </c>
      <c r="D1509" s="30" t="s">
        <v>651</v>
      </c>
      <c r="E1509" s="45" t="s">
        <v>4163</v>
      </c>
      <c r="F1509" s="45" t="s">
        <v>144</v>
      </c>
      <c r="G1509" s="46" t="s">
        <v>4057</v>
      </c>
      <c r="H1509" s="35">
        <v>1</v>
      </c>
      <c r="I1509" s="43" t="s">
        <v>0</v>
      </c>
      <c r="J1509" s="43" t="s">
        <v>0</v>
      </c>
      <c r="K1509" s="43" t="s">
        <v>52</v>
      </c>
      <c r="L1509" s="43" t="s">
        <v>53</v>
      </c>
      <c r="M1509" s="43" t="s">
        <v>121</v>
      </c>
      <c r="N1509" s="43" t="s">
        <v>111</v>
      </c>
      <c r="O1509" s="43" t="s">
        <v>54</v>
      </c>
      <c r="P1509" s="43" t="s">
        <v>157</v>
      </c>
      <c r="Q1509" s="43" t="s">
        <v>73</v>
      </c>
      <c r="R1509" s="43" t="s">
        <v>59</v>
      </c>
      <c r="S1509" s="43" t="s">
        <v>61</v>
      </c>
      <c r="T1509" s="43" t="s">
        <v>62</v>
      </c>
      <c r="U1509" s="43" t="s">
        <v>123</v>
      </c>
      <c r="V1509" s="43" t="s">
        <v>93</v>
      </c>
      <c r="W1509" s="43" t="s">
        <v>107</v>
      </c>
      <c r="X1509" s="43" t="s">
        <v>77</v>
      </c>
      <c r="Y1509" s="43" t="s">
        <v>1430</v>
      </c>
      <c r="Z1509" s="43" t="s">
        <v>64</v>
      </c>
      <c r="AA1509" s="43" t="s">
        <v>653</v>
      </c>
      <c r="AB1509" s="43" t="s">
        <v>0</v>
      </c>
      <c r="AC1509" s="30" t="s">
        <v>4215</v>
      </c>
    </row>
    <row r="1510" spans="1:29">
      <c r="A1510" s="43" t="s">
        <v>4216</v>
      </c>
      <c r="B1510" s="43" t="str">
        <f>IF(ISNUMBER(SEARCH(E1510,A1510)),A1510,IF(OR(E1510="",E1510=""),A1510,A1510&amp;" - "&amp;E1510))</f>
        <v>enua 27/1 STP CA - Strawberry Pavé</v>
      </c>
      <c r="C1510" s="24" t="s">
        <v>650</v>
      </c>
      <c r="D1510" s="24" t="s">
        <v>651</v>
      </c>
      <c r="E1510" s="45" t="s">
        <v>4157</v>
      </c>
      <c r="F1510" s="45" t="s">
        <v>86</v>
      </c>
      <c r="G1510" s="46" t="s">
        <v>33</v>
      </c>
      <c r="H1510" s="28">
        <v>1</v>
      </c>
      <c r="I1510" s="43" t="s">
        <v>0</v>
      </c>
      <c r="J1510" s="43" t="s">
        <v>0</v>
      </c>
      <c r="K1510" s="43" t="s">
        <v>52</v>
      </c>
      <c r="L1510" s="43" t="s">
        <v>53</v>
      </c>
      <c r="M1510" s="43" t="s">
        <v>54</v>
      </c>
      <c r="N1510" s="43" t="s">
        <v>88</v>
      </c>
      <c r="O1510" s="43" t="s">
        <v>0</v>
      </c>
      <c r="P1510" s="43" t="s">
        <v>75</v>
      </c>
      <c r="Q1510" s="43" t="s">
        <v>112</v>
      </c>
      <c r="R1510" s="43" t="s">
        <v>57</v>
      </c>
      <c r="S1510" s="43" t="s">
        <v>128</v>
      </c>
      <c r="T1510" s="43" t="s">
        <v>61</v>
      </c>
      <c r="U1510" s="43" t="s">
        <v>62</v>
      </c>
      <c r="V1510" s="43" t="s">
        <v>93</v>
      </c>
      <c r="W1510" s="43" t="s">
        <v>107</v>
      </c>
      <c r="X1510" s="43" t="s">
        <v>116</v>
      </c>
      <c r="Y1510" s="43" t="s">
        <v>4217</v>
      </c>
      <c r="Z1510" s="43" t="s">
        <v>64</v>
      </c>
      <c r="AA1510" s="43" t="s">
        <v>653</v>
      </c>
      <c r="AB1510" s="43" t="s">
        <v>0</v>
      </c>
      <c r="AC1510" s="24" t="s">
        <v>4218</v>
      </c>
    </row>
    <row r="1511" spans="1:29" s="10" customFormat="1">
      <c r="A1511" s="43" t="s">
        <v>4219</v>
      </c>
      <c r="B1511" s="43" t="str">
        <f>IF(ISNUMBER(SEARCH(E1511,A1511)),A1511,IF(OR(E1511="",E1511=""),A1511,A1511&amp;" - "&amp;E1511))</f>
        <v>Materia GH 29/1 - Grape Haze</v>
      </c>
      <c r="C1511" s="30" t="s">
        <v>3071</v>
      </c>
      <c r="D1511" s="30" t="s">
        <v>3072</v>
      </c>
      <c r="E1511" s="45" t="s">
        <v>1417</v>
      </c>
      <c r="F1511" s="45" t="s">
        <v>144</v>
      </c>
      <c r="G1511" s="46" t="s">
        <v>4057</v>
      </c>
      <c r="H1511" s="35">
        <v>1</v>
      </c>
      <c r="I1511" s="43" t="s">
        <v>0</v>
      </c>
      <c r="J1511" s="43" t="s">
        <v>0</v>
      </c>
      <c r="K1511" s="43" t="s">
        <v>52</v>
      </c>
      <c r="L1511" s="43" t="s">
        <v>53</v>
      </c>
      <c r="M1511" s="43" t="s">
        <v>71</v>
      </c>
      <c r="N1511" s="43" t="s">
        <v>88</v>
      </c>
      <c r="O1511" s="43" t="s">
        <v>55</v>
      </c>
      <c r="P1511" s="43" t="s">
        <v>75</v>
      </c>
      <c r="Q1511" s="43" t="s">
        <v>157</v>
      </c>
      <c r="R1511" s="43" t="s">
        <v>74</v>
      </c>
      <c r="S1511" s="43" t="s">
        <v>90</v>
      </c>
      <c r="T1511" s="43" t="s">
        <v>128</v>
      </c>
      <c r="U1511" s="43" t="s">
        <v>105</v>
      </c>
      <c r="V1511" s="43" t="s">
        <v>77</v>
      </c>
      <c r="W1511" s="43" t="s">
        <v>79</v>
      </c>
      <c r="X1511" s="43" t="s">
        <v>107</v>
      </c>
      <c r="Y1511" s="43" t="s">
        <v>4220</v>
      </c>
      <c r="Z1511" s="43" t="s">
        <v>64</v>
      </c>
      <c r="AA1511" s="43" t="s">
        <v>3072</v>
      </c>
      <c r="AB1511" s="43" t="s">
        <v>0</v>
      </c>
      <c r="AC1511" s="30" t="s">
        <v>4221</v>
      </c>
    </row>
    <row r="1512" spans="1:29">
      <c r="A1512" s="43" t="s">
        <v>4222</v>
      </c>
      <c r="B1512" s="43" t="str">
        <f>IF(ISNUMBER(SEARCH(E1512,A1512)),A1512,IF(OR(E1512="",E1512=""),A1512,A1512&amp;" - "&amp;E1512))</f>
        <v>enua 25/1 PMMA - Permanent Marker</v>
      </c>
      <c r="C1512" s="24" t="s">
        <v>650</v>
      </c>
      <c r="D1512" s="24" t="s">
        <v>651</v>
      </c>
      <c r="E1512" s="45" t="s">
        <v>327</v>
      </c>
      <c r="F1512" s="45" t="s">
        <v>120</v>
      </c>
      <c r="G1512" s="46" t="s">
        <v>26</v>
      </c>
      <c r="H1512" s="28">
        <v>1</v>
      </c>
      <c r="I1512" s="43" t="s">
        <v>0</v>
      </c>
      <c r="J1512" s="43" t="s">
        <v>0</v>
      </c>
      <c r="K1512" s="43" t="s">
        <v>52</v>
      </c>
      <c r="L1512" s="43" t="s">
        <v>527</v>
      </c>
      <c r="M1512" s="43" t="s">
        <v>54</v>
      </c>
      <c r="N1512" s="43" t="s">
        <v>111</v>
      </c>
      <c r="O1512" s="43" t="s">
        <v>71</v>
      </c>
      <c r="P1512" s="43" t="s">
        <v>104</v>
      </c>
      <c r="Q1512" s="43" t="s">
        <v>89</v>
      </c>
      <c r="R1512" s="43" t="s">
        <v>0</v>
      </c>
      <c r="S1512" s="43" t="s">
        <v>106</v>
      </c>
      <c r="T1512" s="43" t="s">
        <v>62</v>
      </c>
      <c r="U1512" s="43" t="s">
        <v>123</v>
      </c>
      <c r="V1512" s="43" t="s">
        <v>116</v>
      </c>
      <c r="W1512" s="43" t="s">
        <v>173</v>
      </c>
      <c r="X1512" s="43" t="s">
        <v>107</v>
      </c>
      <c r="Y1512" s="43" t="s">
        <v>555</v>
      </c>
      <c r="Z1512" s="43" t="s">
        <v>64</v>
      </c>
      <c r="AA1512" s="43" t="s">
        <v>653</v>
      </c>
      <c r="AB1512" s="43" t="s">
        <v>0</v>
      </c>
      <c r="AC1512" s="24" t="s">
        <v>4223</v>
      </c>
    </row>
    <row r="1513" spans="1:29">
      <c r="A1513" s="43" t="s">
        <v>4224</v>
      </c>
      <c r="B1513" s="43" t="str">
        <f>IF(ISNUMBER(SEARCH(E1513,A1513)),A1513,IF(OR(E1513="",E1513=""),A1513,A1513&amp;" - "&amp;E1513))</f>
        <v>Demecan MC Light Drop - Bomb Popz</v>
      </c>
      <c r="C1513" s="30" t="s">
        <v>484</v>
      </c>
      <c r="D1513" s="30" t="s">
        <v>485</v>
      </c>
      <c r="E1513" s="45" t="s">
        <v>4225</v>
      </c>
      <c r="F1513" s="45" t="s">
        <v>144</v>
      </c>
      <c r="G1513" s="46" t="s">
        <v>4038</v>
      </c>
      <c r="H1513" s="35">
        <v>1</v>
      </c>
      <c r="I1513" s="43" t="s">
        <v>0</v>
      </c>
      <c r="J1513" s="43" t="s">
        <v>0</v>
      </c>
      <c r="K1513" s="43" t="s">
        <v>52</v>
      </c>
      <c r="L1513" s="43" t="s">
        <v>53</v>
      </c>
      <c r="M1513" s="43" t="s">
        <v>54</v>
      </c>
      <c r="N1513" s="43" t="s">
        <v>178</v>
      </c>
      <c r="O1513" s="43" t="s">
        <v>88</v>
      </c>
      <c r="P1513" s="43" t="s">
        <v>57</v>
      </c>
      <c r="Q1513" s="43" t="s">
        <v>58</v>
      </c>
      <c r="R1513" s="43" t="s">
        <v>0</v>
      </c>
      <c r="S1513" s="43" t="s">
        <v>106</v>
      </c>
      <c r="T1513" s="43" t="s">
        <v>62</v>
      </c>
      <c r="U1513" s="43" t="s">
        <v>123</v>
      </c>
      <c r="V1513" s="43" t="s">
        <v>129</v>
      </c>
      <c r="W1513" s="43" t="s">
        <v>77</v>
      </c>
      <c r="X1513" s="43" t="s">
        <v>79</v>
      </c>
      <c r="Y1513" s="43" t="s">
        <v>322</v>
      </c>
      <c r="Z1513" s="43" t="s">
        <v>64</v>
      </c>
      <c r="AA1513" s="43" t="s">
        <v>485</v>
      </c>
      <c r="AB1513" s="43" t="s">
        <v>0</v>
      </c>
      <c r="AC1513" s="30" t="s">
        <v>4226</v>
      </c>
    </row>
    <row r="1514" spans="1:29">
      <c r="A1514" s="43" t="s">
        <v>4227</v>
      </c>
      <c r="B1514" s="43" t="str">
        <f>IF(ISNUMBER(SEARCH(E1514,A1514)),A1514,IF(OR(E1514="",E1514=""),A1514,A1514&amp;" - "&amp;E1514))</f>
        <v>enua 27/1 SBD CA - Strawberry Diesel</v>
      </c>
      <c r="C1514" s="24" t="s">
        <v>650</v>
      </c>
      <c r="D1514" s="24" t="s">
        <v>651</v>
      </c>
      <c r="E1514" s="45" t="s">
        <v>1529</v>
      </c>
      <c r="F1514" s="45" t="s">
        <v>144</v>
      </c>
      <c r="G1514" s="46" t="s">
        <v>33</v>
      </c>
      <c r="H1514" s="28">
        <v>1</v>
      </c>
      <c r="I1514" s="43" t="s">
        <v>0</v>
      </c>
      <c r="J1514" s="43" t="s">
        <v>0</v>
      </c>
      <c r="K1514" s="43" t="s">
        <v>52</v>
      </c>
      <c r="L1514" s="43" t="s">
        <v>53</v>
      </c>
      <c r="M1514" s="43" t="s">
        <v>88</v>
      </c>
      <c r="N1514" s="43" t="s">
        <v>71</v>
      </c>
      <c r="O1514" s="43" t="s">
        <v>156</v>
      </c>
      <c r="P1514" s="43" t="s">
        <v>75</v>
      </c>
      <c r="Q1514" s="43" t="s">
        <v>73</v>
      </c>
      <c r="R1514" s="43" t="s">
        <v>89</v>
      </c>
      <c r="S1514" s="43" t="s">
        <v>61</v>
      </c>
      <c r="T1514" s="43" t="s">
        <v>164</v>
      </c>
      <c r="U1514" s="43" t="s">
        <v>123</v>
      </c>
      <c r="V1514" s="43" t="s">
        <v>173</v>
      </c>
      <c r="W1514" s="43" t="s">
        <v>77</v>
      </c>
      <c r="X1514" s="43" t="s">
        <v>79</v>
      </c>
      <c r="Y1514" s="43" t="s">
        <v>124</v>
      </c>
      <c r="Z1514" s="43" t="s">
        <v>64</v>
      </c>
      <c r="AA1514" s="43" t="s">
        <v>653</v>
      </c>
      <c r="AB1514" s="43" t="s">
        <v>0</v>
      </c>
      <c r="AC1514" s="24" t="s">
        <v>4228</v>
      </c>
    </row>
    <row r="1515" spans="1:29">
      <c r="A1515" s="43" t="s">
        <v>4229</v>
      </c>
      <c r="B1515" s="47" t="str">
        <f>IF(ISNUMBER(SEARCH(E1515,A1515)),A1515,IF(OR(E1515="",E1515=""),A1515,A1515&amp;" - "&amp;E1515))</f>
        <v>Canify Cannabis flos 25/1 PRT Ku. Strawberry Banana Smalls</v>
      </c>
      <c r="C1515" s="30" t="s">
        <v>99</v>
      </c>
      <c r="D1515" s="30" t="s">
        <v>100</v>
      </c>
      <c r="E1515" s="45" t="s">
        <v>196</v>
      </c>
      <c r="F1515" s="45" t="s">
        <v>86</v>
      </c>
      <c r="G1515" s="46" t="s">
        <v>4086</v>
      </c>
      <c r="H1515" s="35">
        <v>1</v>
      </c>
      <c r="I1515" s="43" t="s">
        <v>0</v>
      </c>
      <c r="J1515" s="43" t="s">
        <v>0</v>
      </c>
      <c r="K1515" s="43" t="s">
        <v>52</v>
      </c>
      <c r="L1515" s="43" t="s">
        <v>102</v>
      </c>
      <c r="M1515" s="43" t="s">
        <v>71</v>
      </c>
      <c r="N1515" s="43" t="s">
        <v>72</v>
      </c>
      <c r="O1515" s="43" t="s">
        <v>103</v>
      </c>
      <c r="P1515" s="43" t="s">
        <v>89</v>
      </c>
      <c r="Q1515" s="43" t="s">
        <v>58</v>
      </c>
      <c r="R1515" s="43" t="s">
        <v>0</v>
      </c>
      <c r="S1515" s="43" t="s">
        <v>128</v>
      </c>
      <c r="T1515" s="43" t="s">
        <v>61</v>
      </c>
      <c r="U1515" s="43" t="s">
        <v>62</v>
      </c>
      <c r="V1515" s="43" t="s">
        <v>77</v>
      </c>
      <c r="W1515" s="43" t="s">
        <v>79</v>
      </c>
      <c r="X1515" s="43" t="s">
        <v>173</v>
      </c>
      <c r="Y1515" s="43" t="s">
        <v>4230</v>
      </c>
      <c r="Z1515" s="43" t="s">
        <v>64</v>
      </c>
      <c r="AA1515" s="43" t="s">
        <v>100</v>
      </c>
      <c r="AB1515" s="43" t="s">
        <v>194</v>
      </c>
      <c r="AC1515" s="30" t="s">
        <v>4231</v>
      </c>
    </row>
    <row r="1516" spans="1:29">
      <c r="A1516" s="43" t="s">
        <v>4232</v>
      </c>
      <c r="B1516" s="47" t="str">
        <f>IF(ISNUMBER(SEARCH(E1516,A1516)),A1516,IF(OR(E1516="",E1516=""),A1516,A1516&amp;" - "&amp;E1516))</f>
        <v>Demecan Strong Drop 24:01 - RS11</v>
      </c>
      <c r="C1516" s="24" t="s">
        <v>484</v>
      </c>
      <c r="D1516" s="24" t="s">
        <v>485</v>
      </c>
      <c r="E1516" s="45" t="s">
        <v>4233</v>
      </c>
      <c r="F1516" s="45" t="s">
        <v>86</v>
      </c>
      <c r="G1516" s="46" t="s">
        <v>448</v>
      </c>
      <c r="H1516" s="28">
        <v>1</v>
      </c>
      <c r="I1516" s="43" t="s">
        <v>0</v>
      </c>
      <c r="J1516" s="43" t="s">
        <v>0</v>
      </c>
      <c r="K1516" s="43" t="s">
        <v>52</v>
      </c>
      <c r="L1516" s="43" t="s">
        <v>53</v>
      </c>
      <c r="M1516" s="43" t="s">
        <v>111</v>
      </c>
      <c r="N1516" s="43" t="s">
        <v>71</v>
      </c>
      <c r="O1516" s="43" t="s">
        <v>54</v>
      </c>
      <c r="P1516" s="43" t="s">
        <v>75</v>
      </c>
      <c r="Q1516" s="43" t="s">
        <v>104</v>
      </c>
      <c r="R1516" s="43" t="s">
        <v>73</v>
      </c>
      <c r="S1516" s="43" t="s">
        <v>106</v>
      </c>
      <c r="T1516" s="43" t="s">
        <v>62</v>
      </c>
      <c r="U1516" s="43" t="s">
        <v>123</v>
      </c>
      <c r="V1516" s="43" t="s">
        <v>93</v>
      </c>
      <c r="W1516" s="43" t="s">
        <v>79</v>
      </c>
      <c r="X1516" s="43" t="s">
        <v>77</v>
      </c>
      <c r="Y1516" s="43" t="s">
        <v>80</v>
      </c>
      <c r="Z1516" s="43" t="s">
        <v>64</v>
      </c>
      <c r="AA1516" s="43" t="s">
        <v>485</v>
      </c>
      <c r="AB1516" s="43" t="s">
        <v>0</v>
      </c>
      <c r="AC1516" s="24" t="s">
        <v>4234</v>
      </c>
    </row>
    <row r="1517" spans="1:29">
      <c r="A1517" s="43" t="s">
        <v>4235</v>
      </c>
      <c r="B1517" s="47" t="str">
        <f>IF(ISNUMBER(SEARCH(E1517,A1517)),A1517,IF(OR(E1517="",E1517=""),A1517,A1517&amp;" - "&amp;E1517))</f>
        <v>Rua Hihiko 30/1 - Grape Haze</v>
      </c>
      <c r="C1517" s="30" t="s">
        <v>141</v>
      </c>
      <c r="D1517" s="30" t="s">
        <v>142</v>
      </c>
      <c r="E1517" s="45" t="s">
        <v>1417</v>
      </c>
      <c r="F1517" s="45" t="s">
        <v>144</v>
      </c>
      <c r="G1517" s="46" t="s">
        <v>4057</v>
      </c>
      <c r="H1517" s="35">
        <v>1</v>
      </c>
      <c r="I1517" s="43" t="s">
        <v>0</v>
      </c>
      <c r="J1517" s="43" t="s">
        <v>0</v>
      </c>
      <c r="K1517" s="43" t="s">
        <v>52</v>
      </c>
      <c r="L1517" s="43" t="s">
        <v>1418</v>
      </c>
      <c r="M1517" s="43" t="s">
        <v>71</v>
      </c>
      <c r="N1517" s="43" t="s">
        <v>88</v>
      </c>
      <c r="O1517" s="43" t="s">
        <v>55</v>
      </c>
      <c r="P1517" s="43" t="s">
        <v>75</v>
      </c>
      <c r="Q1517" s="43" t="s">
        <v>157</v>
      </c>
      <c r="R1517" s="43" t="s">
        <v>74</v>
      </c>
      <c r="S1517" s="43" t="s">
        <v>90</v>
      </c>
      <c r="T1517" s="43" t="s">
        <v>147</v>
      </c>
      <c r="U1517" s="43" t="s">
        <v>493</v>
      </c>
      <c r="V1517" s="43" t="s">
        <v>77</v>
      </c>
      <c r="W1517" s="43" t="s">
        <v>79</v>
      </c>
      <c r="X1517" s="43" t="s">
        <v>107</v>
      </c>
      <c r="Y1517" s="43" t="s">
        <v>344</v>
      </c>
      <c r="Z1517" s="43" t="s">
        <v>64</v>
      </c>
      <c r="AA1517" s="43" t="s">
        <v>149</v>
      </c>
      <c r="AB1517" s="43" t="s">
        <v>0</v>
      </c>
      <c r="AC1517" s="30" t="s">
        <v>4236</v>
      </c>
    </row>
    <row r="1518" spans="1:29">
      <c r="A1518" s="43" t="s">
        <v>4237</v>
      </c>
      <c r="B1518" s="47" t="str">
        <f>IF(ISNUMBER(SEARCH(E1518,A1518)),A1518,IF(OR(E1518="",E1518=""),A1518,A1518&amp;" - "&amp;E1518))</f>
        <v>Cannamedical Indica Light BC - Purple Punch</v>
      </c>
      <c r="C1518" s="24" t="s">
        <v>48</v>
      </c>
      <c r="D1518" s="24" t="s">
        <v>49</v>
      </c>
      <c r="E1518" s="45" t="s">
        <v>2754</v>
      </c>
      <c r="F1518" s="45" t="s">
        <v>120</v>
      </c>
      <c r="G1518" s="46" t="s">
        <v>4038</v>
      </c>
      <c r="H1518" s="28">
        <v>1</v>
      </c>
      <c r="I1518" s="43" t="s">
        <v>0</v>
      </c>
      <c r="J1518" s="43" t="s">
        <v>0</v>
      </c>
      <c r="K1518" s="43" t="s">
        <v>52</v>
      </c>
      <c r="L1518" s="43" t="s">
        <v>145</v>
      </c>
      <c r="M1518" s="43" t="s">
        <v>72</v>
      </c>
      <c r="N1518" s="43" t="s">
        <v>121</v>
      </c>
      <c r="O1518" s="43" t="s">
        <v>0</v>
      </c>
      <c r="P1518" s="43" t="s">
        <v>157</v>
      </c>
      <c r="Q1518" s="43" t="s">
        <v>57</v>
      </c>
      <c r="R1518" s="43" t="s">
        <v>58</v>
      </c>
      <c r="S1518" s="43" t="s">
        <v>106</v>
      </c>
      <c r="T1518" s="43" t="s">
        <v>62</v>
      </c>
      <c r="U1518" s="43" t="s">
        <v>192</v>
      </c>
      <c r="V1518" s="43" t="s">
        <v>79</v>
      </c>
      <c r="W1518" s="43" t="s">
        <v>129</v>
      </c>
      <c r="X1518" s="43" t="s">
        <v>180</v>
      </c>
      <c r="Y1518" s="43" t="s">
        <v>1175</v>
      </c>
      <c r="Z1518" s="43" t="s">
        <v>64</v>
      </c>
      <c r="AA1518" s="43" t="s">
        <v>49</v>
      </c>
      <c r="AB1518" s="43" t="s">
        <v>0</v>
      </c>
      <c r="AC1518" s="24" t="s">
        <v>4238</v>
      </c>
    </row>
    <row r="1519" spans="1:29">
      <c r="A1519" s="43" t="s">
        <v>4239</v>
      </c>
      <c r="B1519" s="47" t="str">
        <f>IF(ISNUMBER(SEARCH(E1519,A1519)),A1519,IF(OR(E1519="",E1519=""),A1519,A1519&amp;" - "&amp;E1519))</f>
        <v>bava med 21/1 LEG-LA LLY - Legendary Larry</v>
      </c>
      <c r="C1519" s="30" t="s">
        <v>4180</v>
      </c>
      <c r="D1519" s="30" t="s">
        <v>4181</v>
      </c>
      <c r="E1519" s="45" t="s">
        <v>746</v>
      </c>
      <c r="F1519" s="45" t="s">
        <v>120</v>
      </c>
      <c r="G1519" s="46" t="s">
        <v>452</v>
      </c>
      <c r="H1519" s="35">
        <v>1</v>
      </c>
      <c r="I1519" s="43" t="s">
        <v>0</v>
      </c>
      <c r="J1519" s="43" t="s">
        <v>0</v>
      </c>
      <c r="K1519" s="43" t="s">
        <v>52</v>
      </c>
      <c r="L1519" s="43" t="s">
        <v>53</v>
      </c>
      <c r="M1519" s="43" t="s">
        <v>72</v>
      </c>
      <c r="N1519" s="43" t="s">
        <v>0</v>
      </c>
      <c r="O1519" s="43" t="s">
        <v>0</v>
      </c>
      <c r="P1519" s="43" t="s">
        <v>59</v>
      </c>
      <c r="Q1519" s="43" t="s">
        <v>75</v>
      </c>
      <c r="R1519" s="43" t="s">
        <v>74</v>
      </c>
      <c r="S1519" s="43" t="s">
        <v>106</v>
      </c>
      <c r="T1519" s="43" t="s">
        <v>123</v>
      </c>
      <c r="U1519" s="43" t="s">
        <v>192</v>
      </c>
      <c r="V1519" s="43" t="s">
        <v>165</v>
      </c>
      <c r="W1519" s="43" t="s">
        <v>107</v>
      </c>
      <c r="X1519" s="43" t="s">
        <v>116</v>
      </c>
      <c r="Y1519" s="43" t="s">
        <v>4240</v>
      </c>
      <c r="Z1519" s="43" t="s">
        <v>64</v>
      </c>
      <c r="AA1519" s="43" t="s">
        <v>4181</v>
      </c>
      <c r="AB1519" s="43" t="s">
        <v>0</v>
      </c>
      <c r="AC1519" s="30" t="s">
        <v>4241</v>
      </c>
    </row>
    <row r="1520" spans="1:29">
      <c r="A1520" s="43" t="s">
        <v>4242</v>
      </c>
      <c r="B1520" s="47" t="str">
        <f>IF(ISNUMBER(SEARCH(E1520,A1520)),A1520,IF(OR(E1520="",E1520=""),A1520,A1520&amp;" - "&amp;E1520))</f>
        <v>CannabiStada 20/1 SEN  Sensistar - Sensi Star</v>
      </c>
      <c r="C1520" s="24" t="s">
        <v>478</v>
      </c>
      <c r="D1520" s="24" t="s">
        <v>479</v>
      </c>
      <c r="E1520" s="45" t="s">
        <v>615</v>
      </c>
      <c r="F1520" s="45" t="s">
        <v>177</v>
      </c>
      <c r="G1520" s="46" t="s">
        <v>460</v>
      </c>
      <c r="H1520" s="28">
        <v>1</v>
      </c>
      <c r="I1520" s="43" t="s">
        <v>0</v>
      </c>
      <c r="J1520" s="43" t="s">
        <v>0</v>
      </c>
      <c r="K1520" s="43" t="s">
        <v>52</v>
      </c>
      <c r="L1520" s="43" t="s">
        <v>53</v>
      </c>
      <c r="M1520" s="43" t="s">
        <v>121</v>
      </c>
      <c r="N1520" s="43" t="s">
        <v>212</v>
      </c>
      <c r="O1520" s="43" t="s">
        <v>103</v>
      </c>
      <c r="P1520" s="43" t="s">
        <v>157</v>
      </c>
      <c r="Q1520" s="43" t="s">
        <v>59</v>
      </c>
      <c r="R1520" s="43" t="s">
        <v>74</v>
      </c>
      <c r="S1520" s="43" t="s">
        <v>90</v>
      </c>
      <c r="T1520" s="43" t="s">
        <v>105</v>
      </c>
      <c r="U1520" s="43" t="s">
        <v>147</v>
      </c>
      <c r="V1520" s="43" t="s">
        <v>107</v>
      </c>
      <c r="W1520" s="43" t="s">
        <v>77</v>
      </c>
      <c r="X1520" s="43" t="s">
        <v>116</v>
      </c>
      <c r="Y1520" s="43" t="s">
        <v>1288</v>
      </c>
      <c r="Z1520" s="43" t="s">
        <v>64</v>
      </c>
      <c r="AA1520" s="43" t="s">
        <v>481</v>
      </c>
      <c r="AB1520" s="43" t="s">
        <v>0</v>
      </c>
      <c r="AC1520" s="24" t="s">
        <v>4243</v>
      </c>
    </row>
    <row r="1521" spans="1:29">
      <c r="A1521" s="43" t="s">
        <v>2705</v>
      </c>
      <c r="B1521" s="47" t="str">
        <f>IF(ISNUMBER(SEARCH(E1521,A1521)),A1521,IF(OR(E1521="",E1521=""),A1521,A1521&amp;" - "&amp;E1521))</f>
        <v>Cannamedical Hybrid classic - Exodus Cheese</v>
      </c>
      <c r="C1521" s="30" t="s">
        <v>48</v>
      </c>
      <c r="D1521" s="30" t="s">
        <v>49</v>
      </c>
      <c r="E1521" s="45" t="s">
        <v>1631</v>
      </c>
      <c r="F1521" s="45" t="s">
        <v>86</v>
      </c>
      <c r="G1521" s="46" t="s">
        <v>460</v>
      </c>
      <c r="H1521" s="35">
        <v>1</v>
      </c>
      <c r="I1521" s="43" t="s">
        <v>0</v>
      </c>
      <c r="J1521" s="43" t="s">
        <v>0</v>
      </c>
      <c r="K1521" s="43" t="s">
        <v>17</v>
      </c>
      <c r="L1521" s="43" t="s">
        <v>630</v>
      </c>
      <c r="M1521" s="43" t="s">
        <v>72</v>
      </c>
      <c r="N1521" s="43" t="s">
        <v>54</v>
      </c>
      <c r="O1521" s="43" t="s">
        <v>178</v>
      </c>
      <c r="P1521" s="43" t="s">
        <v>59</v>
      </c>
      <c r="Q1521" s="43" t="s">
        <v>89</v>
      </c>
      <c r="R1521" s="43" t="s">
        <v>58</v>
      </c>
      <c r="S1521" s="43" t="s">
        <v>128</v>
      </c>
      <c r="T1521" s="43" t="s">
        <v>106</v>
      </c>
      <c r="U1521" s="43" t="s">
        <v>179</v>
      </c>
      <c r="V1521" s="43" t="s">
        <v>77</v>
      </c>
      <c r="W1521" s="43" t="s">
        <v>79</v>
      </c>
      <c r="X1521" s="43" t="s">
        <v>107</v>
      </c>
      <c r="Y1521" s="43" t="s">
        <v>437</v>
      </c>
      <c r="Z1521" s="43" t="s">
        <v>64</v>
      </c>
      <c r="AA1521" s="43" t="s">
        <v>49</v>
      </c>
      <c r="AB1521" s="43" t="s">
        <v>0</v>
      </c>
      <c r="AC1521" s="30" t="s">
        <v>4244</v>
      </c>
    </row>
    <row r="1522" spans="1:29">
      <c r="A1522" s="24" t="s">
        <v>4245</v>
      </c>
      <c r="B1522" s="24" t="str">
        <f>IF(ISNUMBER(SEARCH(E1522,A1522)),A1522,IF(OR(E1522="",E1522=""),A1522,A1522&amp;" - "&amp;E1522))</f>
        <v>Huala 20/1 CA ALM - Alien Mints</v>
      </c>
      <c r="C1522" s="24" t="s">
        <v>463</v>
      </c>
      <c r="D1522" s="24" t="s">
        <v>464</v>
      </c>
      <c r="E1522" s="41" t="s">
        <v>1845</v>
      </c>
      <c r="F1522" s="41" t="s">
        <v>177</v>
      </c>
      <c r="G1522" s="27" t="s">
        <v>4160</v>
      </c>
      <c r="H1522" s="28">
        <v>1</v>
      </c>
      <c r="I1522" s="24" t="s">
        <v>0</v>
      </c>
      <c r="J1522" s="24" t="s">
        <v>0</v>
      </c>
      <c r="K1522" s="24" t="s">
        <v>52</v>
      </c>
      <c r="L1522" s="24" t="s">
        <v>53</v>
      </c>
      <c r="M1522" s="24" t="s">
        <v>111</v>
      </c>
      <c r="N1522" s="24" t="s">
        <v>88</v>
      </c>
      <c r="O1522" s="24" t="s">
        <v>72</v>
      </c>
      <c r="P1522" s="24" t="s">
        <v>146</v>
      </c>
      <c r="Q1522" s="24" t="s">
        <v>89</v>
      </c>
      <c r="R1522" s="24" t="s">
        <v>112</v>
      </c>
      <c r="S1522" s="24" t="s">
        <v>61</v>
      </c>
      <c r="T1522" s="24" t="s">
        <v>62</v>
      </c>
      <c r="U1522" s="24" t="s">
        <v>164</v>
      </c>
      <c r="V1522" s="24" t="s">
        <v>107</v>
      </c>
      <c r="W1522" s="24" t="s">
        <v>77</v>
      </c>
      <c r="X1522" s="24" t="s">
        <v>116</v>
      </c>
      <c r="Y1522" s="24" t="s">
        <v>1175</v>
      </c>
      <c r="Z1522" s="24" t="s">
        <v>64</v>
      </c>
      <c r="AA1522" s="24" t="s">
        <v>468</v>
      </c>
      <c r="AB1522" s="24" t="s">
        <v>0</v>
      </c>
      <c r="AC1522" s="24" t="s">
        <v>4246</v>
      </c>
    </row>
    <row r="1523" spans="1:29">
      <c r="A1523" s="30" t="s">
        <v>4247</v>
      </c>
      <c r="B1523" s="30" t="str">
        <f>IF(ISNUMBER(SEARCH(E1523,A1523)),A1523,IF(OR(E1523="",E1523=""),A1523,A1523&amp;" - "&amp;E1523))</f>
        <v>aleph water 4/8 - Amnesia Balanced</v>
      </c>
      <c r="C1523" s="30" t="s">
        <v>725</v>
      </c>
      <c r="D1523" s="30" t="s">
        <v>726</v>
      </c>
      <c r="E1523" s="40" t="s">
        <v>1659</v>
      </c>
      <c r="F1523" s="40" t="s">
        <v>86</v>
      </c>
      <c r="G1523" s="34" t="s">
        <v>38</v>
      </c>
      <c r="H1523" s="35">
        <v>9</v>
      </c>
      <c r="I1523" s="30" t="s">
        <v>0</v>
      </c>
      <c r="J1523" s="30" t="s">
        <v>0</v>
      </c>
      <c r="K1523" s="30" t="s">
        <v>52</v>
      </c>
      <c r="L1523" s="30" t="s">
        <v>102</v>
      </c>
      <c r="M1523" s="30" t="s">
        <v>111</v>
      </c>
      <c r="N1523" s="30" t="s">
        <v>72</v>
      </c>
      <c r="O1523" s="30" t="s">
        <v>55</v>
      </c>
      <c r="P1523" s="30" t="s">
        <v>59</v>
      </c>
      <c r="Q1523" s="30" t="s">
        <v>157</v>
      </c>
      <c r="R1523" s="30" t="s">
        <v>74</v>
      </c>
      <c r="S1523" s="30" t="s">
        <v>90</v>
      </c>
      <c r="T1523" s="30" t="s">
        <v>106</v>
      </c>
      <c r="U1523" s="30" t="s">
        <v>115</v>
      </c>
      <c r="V1523" s="30" t="s">
        <v>107</v>
      </c>
      <c r="W1523" s="30" t="s">
        <v>79</v>
      </c>
      <c r="X1523" s="30" t="s">
        <v>173</v>
      </c>
      <c r="Y1523" s="30" t="s">
        <v>130</v>
      </c>
      <c r="Z1523" s="30" t="s">
        <v>64</v>
      </c>
      <c r="AA1523" s="30" t="s">
        <v>726</v>
      </c>
      <c r="AB1523" s="30" t="s">
        <v>0</v>
      </c>
      <c r="AC1523" s="30" t="s">
        <v>4248</v>
      </c>
    </row>
    <row r="1524" spans="1:29">
      <c r="A1524" s="24" t="s">
        <v>4249</v>
      </c>
      <c r="B1524" s="24" t="str">
        <f>IF(ISNUMBER(SEARCH(E1524,A1524)),A1524,IF(OR(E1524="",E1524=""),A1524,A1524&amp;" - "&amp;E1524))</f>
        <v>Huala 22/1 CA BTR - Black Triangle</v>
      </c>
      <c r="C1524" s="24" t="s">
        <v>463</v>
      </c>
      <c r="D1524" s="24" t="s">
        <v>464</v>
      </c>
      <c r="E1524" s="41" t="s">
        <v>688</v>
      </c>
      <c r="F1524" s="41" t="s">
        <v>86</v>
      </c>
      <c r="G1524" s="27" t="s">
        <v>436</v>
      </c>
      <c r="H1524" s="28">
        <v>1</v>
      </c>
      <c r="I1524" s="24" t="s">
        <v>0</v>
      </c>
      <c r="J1524" s="24" t="s">
        <v>0</v>
      </c>
      <c r="K1524" s="24" t="s">
        <v>52</v>
      </c>
      <c r="L1524" s="24" t="s">
        <v>53</v>
      </c>
      <c r="M1524" s="24" t="s">
        <v>121</v>
      </c>
      <c r="N1524" s="24" t="s">
        <v>88</v>
      </c>
      <c r="O1524" s="24" t="s">
        <v>72</v>
      </c>
      <c r="P1524" s="24" t="s">
        <v>146</v>
      </c>
      <c r="Q1524" s="24" t="s">
        <v>74</v>
      </c>
      <c r="R1524" s="24" t="s">
        <v>59</v>
      </c>
      <c r="S1524" s="24" t="s">
        <v>106</v>
      </c>
      <c r="T1524" s="24" t="s">
        <v>62</v>
      </c>
      <c r="U1524" s="24" t="s">
        <v>147</v>
      </c>
      <c r="V1524" s="24" t="s">
        <v>173</v>
      </c>
      <c r="W1524" s="24" t="s">
        <v>77</v>
      </c>
      <c r="X1524" s="24" t="s">
        <v>79</v>
      </c>
      <c r="Y1524" s="24" t="s">
        <v>188</v>
      </c>
      <c r="Z1524" s="24" t="s">
        <v>64</v>
      </c>
      <c r="AA1524" s="24" t="s">
        <v>468</v>
      </c>
      <c r="AB1524" s="24" t="s">
        <v>0</v>
      </c>
      <c r="AC1524" s="24" t="s">
        <v>4250</v>
      </c>
    </row>
    <row r="1525" spans="1:29">
      <c r="A1525" s="30" t="s">
        <v>4251</v>
      </c>
      <c r="B1525" s="30" t="str">
        <f>IF(ISNUMBER(SEARCH(E1525,A1525)),A1525,IF(OR(E1525="",E1525=""),A1525,A1525&amp;" - "&amp;E1525))</f>
        <v>Remexian 30/1 MTL WCK - Wes’ Coast Kush</v>
      </c>
      <c r="C1525" s="30" t="s">
        <v>83</v>
      </c>
      <c r="D1525" s="30" t="s">
        <v>84</v>
      </c>
      <c r="E1525" s="31" t="s">
        <v>3431</v>
      </c>
      <c r="F1525" s="40" t="s">
        <v>177</v>
      </c>
      <c r="G1525" s="34" t="s">
        <v>4057</v>
      </c>
      <c r="H1525" s="35">
        <v>1</v>
      </c>
      <c r="I1525" s="30" t="s">
        <v>0</v>
      </c>
      <c r="J1525" s="30" t="s">
        <v>0</v>
      </c>
      <c r="K1525" s="30" t="s">
        <v>52</v>
      </c>
      <c r="L1525" s="30" t="s">
        <v>53</v>
      </c>
      <c r="M1525" s="30" t="s">
        <v>72</v>
      </c>
      <c r="N1525" s="30" t="s">
        <v>0</v>
      </c>
      <c r="O1525" s="30" t="s">
        <v>0</v>
      </c>
      <c r="P1525" s="30" t="s">
        <v>59</v>
      </c>
      <c r="Q1525" s="30" t="s">
        <v>74</v>
      </c>
      <c r="R1525" s="30" t="s">
        <v>89</v>
      </c>
      <c r="S1525" s="30" t="s">
        <v>106</v>
      </c>
      <c r="T1525" s="30" t="s">
        <v>62</v>
      </c>
      <c r="U1525" s="30" t="s">
        <v>123</v>
      </c>
      <c r="V1525" s="30" t="s">
        <v>107</v>
      </c>
      <c r="W1525" s="30" t="s">
        <v>77</v>
      </c>
      <c r="X1525" s="30" t="s">
        <v>116</v>
      </c>
      <c r="Y1525" s="30" t="s">
        <v>204</v>
      </c>
      <c r="Z1525" s="30" t="s">
        <v>64</v>
      </c>
      <c r="AA1525" s="30" t="s">
        <v>95</v>
      </c>
      <c r="AB1525" s="30" t="s">
        <v>0</v>
      </c>
      <c r="AC1525" s="30" t="s">
        <v>4252</v>
      </c>
    </row>
    <row r="1526" spans="1:29">
      <c r="A1526" s="24" t="s">
        <v>4253</v>
      </c>
      <c r="B1526" s="24" t="str">
        <f>IF(ISNUMBER(SEARCH(E1526,A1526)),A1526,IF(OR(E1526="",E1526=""),A1526,A1526&amp;" - "&amp;E1526))</f>
        <v>enua 30/1 8BK CA - 8 Ball Kush</v>
      </c>
      <c r="C1526" s="24" t="s">
        <v>141</v>
      </c>
      <c r="D1526" s="24" t="s">
        <v>142</v>
      </c>
      <c r="E1526" s="41" t="s">
        <v>1802</v>
      </c>
      <c r="F1526" s="41" t="s">
        <v>177</v>
      </c>
      <c r="G1526" s="27" t="s">
        <v>4057</v>
      </c>
      <c r="H1526" s="28">
        <v>1</v>
      </c>
      <c r="I1526" s="24" t="s">
        <v>0</v>
      </c>
      <c r="J1526" s="24" t="s">
        <v>0</v>
      </c>
      <c r="K1526" s="24" t="s">
        <v>52</v>
      </c>
      <c r="L1526" s="24" t="s">
        <v>53</v>
      </c>
      <c r="M1526" s="24" t="s">
        <v>178</v>
      </c>
      <c r="N1526" s="24" t="s">
        <v>72</v>
      </c>
      <c r="O1526" s="24" t="s">
        <v>103</v>
      </c>
      <c r="P1526" s="24" t="s">
        <v>112</v>
      </c>
      <c r="Q1526" s="24" t="s">
        <v>146</v>
      </c>
      <c r="R1526" s="24" t="s">
        <v>59</v>
      </c>
      <c r="S1526" s="24" t="s">
        <v>106</v>
      </c>
      <c r="T1526" s="24" t="s">
        <v>62</v>
      </c>
      <c r="U1526" s="24" t="s">
        <v>123</v>
      </c>
      <c r="V1526" s="24" t="s">
        <v>77</v>
      </c>
      <c r="W1526" s="24" t="s">
        <v>0</v>
      </c>
      <c r="X1526" s="24" t="s">
        <v>0</v>
      </c>
      <c r="Y1526" s="24" t="s">
        <v>449</v>
      </c>
      <c r="Z1526" s="24" t="s">
        <v>64</v>
      </c>
      <c r="AA1526" s="24" t="s">
        <v>149</v>
      </c>
      <c r="AB1526" s="24" t="s">
        <v>0</v>
      </c>
      <c r="AC1526" s="24" t="s">
        <v>4254</v>
      </c>
    </row>
    <row r="1527" spans="1:29">
      <c r="A1527" s="30" t="s">
        <v>4255</v>
      </c>
      <c r="B1527" s="30" t="str">
        <f>IF(ISNUMBER(SEARCH(E1527,A1527)),A1527,IF(OR(E1527="",E1527=""),A1527,A1527&amp;" - "&amp;E1527))</f>
        <v>Remexian 30/1 MTL LAB - LA Brunch</v>
      </c>
      <c r="C1527" s="30" t="s">
        <v>83</v>
      </c>
      <c r="D1527" s="30" t="s">
        <v>84</v>
      </c>
      <c r="E1527" s="40" t="s">
        <v>4256</v>
      </c>
      <c r="F1527" s="40" t="s">
        <v>177</v>
      </c>
      <c r="G1527" s="34" t="s">
        <v>4057</v>
      </c>
      <c r="H1527" s="35">
        <v>1</v>
      </c>
      <c r="I1527" s="30" t="s">
        <v>0</v>
      </c>
      <c r="J1527" s="30" t="s">
        <v>0</v>
      </c>
      <c r="K1527" s="30" t="s">
        <v>52</v>
      </c>
      <c r="L1527" s="30" t="s">
        <v>53</v>
      </c>
      <c r="M1527" s="30" t="s">
        <v>178</v>
      </c>
      <c r="N1527" s="30" t="s">
        <v>54</v>
      </c>
      <c r="O1527" s="30" t="s">
        <v>72</v>
      </c>
      <c r="P1527" s="30" t="s">
        <v>74</v>
      </c>
      <c r="Q1527" s="30" t="s">
        <v>59</v>
      </c>
      <c r="R1527" s="30" t="s">
        <v>58</v>
      </c>
      <c r="S1527" s="30" t="s">
        <v>106</v>
      </c>
      <c r="T1527" s="30" t="s">
        <v>62</v>
      </c>
      <c r="U1527" s="30" t="s">
        <v>123</v>
      </c>
      <c r="V1527" s="30" t="s">
        <v>79</v>
      </c>
      <c r="W1527" s="30" t="s">
        <v>77</v>
      </c>
      <c r="X1527" s="30" t="s">
        <v>0</v>
      </c>
      <c r="Y1527" s="30" t="s">
        <v>204</v>
      </c>
      <c r="Z1527" s="30" t="s">
        <v>64</v>
      </c>
      <c r="AA1527" s="30" t="s">
        <v>95</v>
      </c>
      <c r="AB1527" s="30" t="s">
        <v>0</v>
      </c>
      <c r="AC1527" s="30" t="s">
        <v>4257</v>
      </c>
    </row>
    <row r="1528" spans="1:29">
      <c r="A1528" s="24" t="s">
        <v>4258</v>
      </c>
      <c r="B1528" s="24" t="str">
        <f>IF(ISNUMBER(SEARCH(E1528,A1528)),A1528,IF(OR(E1528="",E1528=""),A1528,A1528&amp;" - "&amp;E1528))</f>
        <v>Remexian 24/1 TEN BAN - Banjo</v>
      </c>
      <c r="C1528" s="24" t="s">
        <v>83</v>
      </c>
      <c r="D1528" s="24" t="s">
        <v>84</v>
      </c>
      <c r="E1528" s="41" t="s">
        <v>3686</v>
      </c>
      <c r="F1528" s="41" t="s">
        <v>86</v>
      </c>
      <c r="G1528" s="27" t="s">
        <v>448</v>
      </c>
      <c r="H1528" s="28">
        <v>1</v>
      </c>
      <c r="I1528" s="24" t="s">
        <v>0</v>
      </c>
      <c r="J1528" s="24" t="s">
        <v>0</v>
      </c>
      <c r="K1528" s="24" t="s">
        <v>52</v>
      </c>
      <c r="L1528" s="24" t="s">
        <v>53</v>
      </c>
      <c r="M1528" s="24" t="s">
        <v>72</v>
      </c>
      <c r="N1528" s="24" t="s">
        <v>88</v>
      </c>
      <c r="O1528" s="24" t="s">
        <v>0</v>
      </c>
      <c r="P1528" s="24" t="s">
        <v>89</v>
      </c>
      <c r="Q1528" s="24" t="s">
        <v>58</v>
      </c>
      <c r="R1528" s="24" t="s">
        <v>186</v>
      </c>
      <c r="S1528" s="24" t="s">
        <v>128</v>
      </c>
      <c r="T1528" s="24" t="s">
        <v>106</v>
      </c>
      <c r="U1528" s="24" t="s">
        <v>179</v>
      </c>
      <c r="V1528" s="24" t="s">
        <v>116</v>
      </c>
      <c r="W1528" s="24" t="s">
        <v>79</v>
      </c>
      <c r="X1528" s="24" t="s">
        <v>107</v>
      </c>
      <c r="Y1528" s="24" t="s">
        <v>314</v>
      </c>
      <c r="Z1528" s="24" t="s">
        <v>64</v>
      </c>
      <c r="AA1528" s="24" t="s">
        <v>95</v>
      </c>
      <c r="AB1528" s="24" t="s">
        <v>0</v>
      </c>
      <c r="AC1528" s="24" t="s">
        <v>4259</v>
      </c>
    </row>
    <row r="1529" spans="1:29">
      <c r="A1529" s="30" t="s">
        <v>4260</v>
      </c>
      <c r="B1529" s="30" t="str">
        <f>IF(ISNUMBER(SEARCH(E1529,A1529)),A1529,IF(OR(E1529="",E1529=""),A1529,A1529&amp;" - "&amp;E1529))</f>
        <v>Mediprocan African Ruby 26/1 - Gorilla Glue</v>
      </c>
      <c r="C1529" s="30" t="s">
        <v>317</v>
      </c>
      <c r="D1529" s="30" t="s">
        <v>318</v>
      </c>
      <c r="E1529" s="40" t="s">
        <v>363</v>
      </c>
      <c r="F1529" s="40" t="s">
        <v>86</v>
      </c>
      <c r="G1529" s="34" t="s">
        <v>4086</v>
      </c>
      <c r="H1529" s="35">
        <v>1</v>
      </c>
      <c r="I1529" s="30" t="s">
        <v>0</v>
      </c>
      <c r="J1529" s="30" t="s">
        <v>0</v>
      </c>
      <c r="K1529" s="30" t="s">
        <v>17</v>
      </c>
      <c r="L1529" s="30" t="s">
        <v>497</v>
      </c>
      <c r="M1529" s="30" t="s">
        <v>121</v>
      </c>
      <c r="N1529" s="30" t="s">
        <v>72</v>
      </c>
      <c r="O1529" s="30" t="s">
        <v>103</v>
      </c>
      <c r="P1529" s="30" t="s">
        <v>59</v>
      </c>
      <c r="Q1529" s="30" t="s">
        <v>146</v>
      </c>
      <c r="R1529" s="30" t="s">
        <v>74</v>
      </c>
      <c r="S1529" s="30" t="s">
        <v>106</v>
      </c>
      <c r="T1529" s="30" t="s">
        <v>62</v>
      </c>
      <c r="U1529" s="30" t="s">
        <v>192</v>
      </c>
      <c r="V1529" s="30" t="s">
        <v>107</v>
      </c>
      <c r="W1529" s="30" t="s">
        <v>77</v>
      </c>
      <c r="X1529" s="30" t="s">
        <v>1242</v>
      </c>
      <c r="Y1529" s="30" t="s">
        <v>2230</v>
      </c>
      <c r="Z1529" s="30" t="s">
        <v>64</v>
      </c>
      <c r="AA1529" s="30" t="s">
        <v>320</v>
      </c>
      <c r="AB1529" s="30" t="s">
        <v>0</v>
      </c>
      <c r="AC1529" s="30" t="s">
        <v>4261</v>
      </c>
    </row>
    <row r="1530" spans="1:29">
      <c r="A1530" s="24" t="s">
        <v>4262</v>
      </c>
      <c r="B1530" s="24" t="str">
        <f>IF(ISNUMBER(SEARCH(E1530,A1530)),A1530,IF(OR(E1530="",E1530=""),A1530,A1530&amp;" - "&amp;E1530))</f>
        <v>Buuo 15/1 SC - Strawberry Cloud</v>
      </c>
      <c r="C1530" s="24" t="s">
        <v>641</v>
      </c>
      <c r="D1530" s="24" t="s">
        <v>642</v>
      </c>
      <c r="E1530" s="24" t="s">
        <v>4263</v>
      </c>
      <c r="F1530" s="24" t="s">
        <v>86</v>
      </c>
      <c r="G1530" s="24" t="s">
        <v>20</v>
      </c>
      <c r="H1530" s="28">
        <v>1</v>
      </c>
      <c r="I1530" s="24" t="s">
        <v>0</v>
      </c>
      <c r="J1530" s="24" t="s">
        <v>0</v>
      </c>
      <c r="K1530" s="24" t="s">
        <v>52</v>
      </c>
      <c r="L1530" s="24" t="s">
        <v>53</v>
      </c>
      <c r="M1530" s="24" t="s">
        <v>72</v>
      </c>
      <c r="N1530" s="24" t="s">
        <v>88</v>
      </c>
      <c r="O1530" s="24" t="s">
        <v>0</v>
      </c>
      <c r="P1530" s="24" t="s">
        <v>75</v>
      </c>
      <c r="Q1530" s="24" t="s">
        <v>89</v>
      </c>
      <c r="R1530" s="24" t="s">
        <v>58</v>
      </c>
      <c r="S1530" s="24" t="s">
        <v>106</v>
      </c>
      <c r="T1530" s="24" t="s">
        <v>62</v>
      </c>
      <c r="U1530" s="24" t="s">
        <v>123</v>
      </c>
      <c r="V1530" s="24" t="s">
        <v>93</v>
      </c>
      <c r="W1530" s="24" t="s">
        <v>180</v>
      </c>
      <c r="X1530" s="24" t="s">
        <v>208</v>
      </c>
      <c r="Y1530" s="24" t="s">
        <v>410</v>
      </c>
      <c r="Z1530" s="24" t="s">
        <v>64</v>
      </c>
      <c r="AA1530" s="24" t="s">
        <v>642</v>
      </c>
      <c r="AB1530" s="24" t="s">
        <v>0</v>
      </c>
      <c r="AC1530" s="24" t="s">
        <v>4264</v>
      </c>
    </row>
    <row r="1531" spans="1:29">
      <c r="A1531" s="30" t="s">
        <v>4265</v>
      </c>
      <c r="B1531" s="30" t="str">
        <f>IF(ISNUMBER(SEARCH(E1531,A1531)),A1531,IF(OR(E1531="",E1531=""),A1531,A1531&amp;" - "&amp;E1531))</f>
        <v>Buuo 20/1 CDLC - Chem de la Chem</v>
      </c>
      <c r="C1531" s="30" t="s">
        <v>641</v>
      </c>
      <c r="D1531" s="30" t="s">
        <v>642</v>
      </c>
      <c r="E1531" s="40" t="s">
        <v>1151</v>
      </c>
      <c r="F1531" s="40" t="s">
        <v>144</v>
      </c>
      <c r="G1531" s="34" t="s">
        <v>460</v>
      </c>
      <c r="H1531" s="35">
        <v>1</v>
      </c>
      <c r="I1531" s="30" t="s">
        <v>0</v>
      </c>
      <c r="J1531" s="30" t="s">
        <v>0</v>
      </c>
      <c r="K1531" s="30" t="s">
        <v>52</v>
      </c>
      <c r="L1531" s="30" t="s">
        <v>102</v>
      </c>
      <c r="M1531" s="30" t="s">
        <v>72</v>
      </c>
      <c r="N1531" s="30" t="s">
        <v>111</v>
      </c>
      <c r="O1531" s="30" t="s">
        <v>55</v>
      </c>
      <c r="P1531" s="30" t="s">
        <v>146</v>
      </c>
      <c r="Q1531" s="30" t="s">
        <v>75</v>
      </c>
      <c r="R1531" s="30" t="s">
        <v>59</v>
      </c>
      <c r="S1531" s="30" t="s">
        <v>62</v>
      </c>
      <c r="T1531" s="30" t="s">
        <v>147</v>
      </c>
      <c r="U1531" s="30" t="s">
        <v>493</v>
      </c>
      <c r="V1531" s="30" t="s">
        <v>77</v>
      </c>
      <c r="W1531" s="30" t="s">
        <v>79</v>
      </c>
      <c r="X1531" s="30" t="s">
        <v>107</v>
      </c>
      <c r="Y1531" s="30" t="s">
        <v>410</v>
      </c>
      <c r="Z1531" s="30" t="s">
        <v>64</v>
      </c>
      <c r="AA1531" s="30" t="s">
        <v>642</v>
      </c>
      <c r="AB1531" s="30" t="s">
        <v>0</v>
      </c>
      <c r="AC1531" s="30" t="s">
        <v>4266</v>
      </c>
    </row>
    <row r="1532" spans="1:29">
      <c r="A1532" s="24" t="s">
        <v>4267</v>
      </c>
      <c r="B1532" s="24" t="str">
        <f>IF(ISNUMBER(SEARCH(E1532,A1532)),A1532,IF(OR(E1532="",E1532=""),A1532,A1532&amp;" - "&amp;E1532))</f>
        <v>IMC Craft SUS THC26 Super Sativa - Tangelo Boost</v>
      </c>
      <c r="C1532" s="24" t="s">
        <v>646</v>
      </c>
      <c r="D1532" s="24" t="s">
        <v>646</v>
      </c>
      <c r="E1532" s="41" t="s">
        <v>789</v>
      </c>
      <c r="F1532" s="41" t="s">
        <v>144</v>
      </c>
      <c r="G1532" s="27" t="s">
        <v>4086</v>
      </c>
      <c r="H1532" s="28">
        <v>1</v>
      </c>
      <c r="I1532" s="24" t="s">
        <v>0</v>
      </c>
      <c r="J1532" s="24" t="s">
        <v>0</v>
      </c>
      <c r="K1532" s="24" t="s">
        <v>52</v>
      </c>
      <c r="L1532" s="24" t="s">
        <v>53</v>
      </c>
      <c r="M1532" s="24" t="s">
        <v>72</v>
      </c>
      <c r="N1532" s="24" t="s">
        <v>88</v>
      </c>
      <c r="O1532" s="24" t="s">
        <v>0</v>
      </c>
      <c r="P1532" s="24" t="s">
        <v>89</v>
      </c>
      <c r="Q1532" s="24" t="s">
        <v>58</v>
      </c>
      <c r="R1532" s="24" t="s">
        <v>186</v>
      </c>
      <c r="S1532" s="24" t="s">
        <v>106</v>
      </c>
      <c r="T1532" s="24" t="s">
        <v>62</v>
      </c>
      <c r="U1532" s="24" t="s">
        <v>147</v>
      </c>
      <c r="V1532" s="24" t="s">
        <v>116</v>
      </c>
      <c r="W1532" s="24" t="s">
        <v>79</v>
      </c>
      <c r="X1532" s="24" t="s">
        <v>107</v>
      </c>
      <c r="Y1532" s="24" t="s">
        <v>755</v>
      </c>
      <c r="Z1532" s="24" t="s">
        <v>64</v>
      </c>
      <c r="AA1532" s="24" t="s">
        <v>646</v>
      </c>
      <c r="AB1532" s="24" t="s">
        <v>0</v>
      </c>
      <c r="AC1532" s="24" t="s">
        <v>4268</v>
      </c>
    </row>
    <row r="1533" spans="1:29">
      <c r="A1533" s="30" t="s">
        <v>4269</v>
      </c>
      <c r="B1533" s="30" t="str">
        <f>IF(ISNUMBER(SEARCH(E1533,A1533)),A1533,IF(OR(E1533="",E1533=""),A1533,A1533&amp;" - "&amp;E1533))</f>
        <v>Social Choice 18/1 MPS ZKI - Zkittlez</v>
      </c>
      <c r="C1533" s="30" t="s">
        <v>83</v>
      </c>
      <c r="D1533" s="30" t="s">
        <v>84</v>
      </c>
      <c r="E1533" s="40" t="s">
        <v>2485</v>
      </c>
      <c r="F1533" s="40" t="s">
        <v>86</v>
      </c>
      <c r="G1533" s="34" t="s">
        <v>8</v>
      </c>
      <c r="H1533" s="35">
        <v>1</v>
      </c>
      <c r="I1533" s="30" t="s">
        <v>0</v>
      </c>
      <c r="J1533" s="30" t="s">
        <v>0</v>
      </c>
      <c r="K1533" s="30" t="s">
        <v>52</v>
      </c>
      <c r="L1533" s="30" t="s">
        <v>102</v>
      </c>
      <c r="M1533" s="30" t="s">
        <v>111</v>
      </c>
      <c r="N1533" s="30" t="s">
        <v>72</v>
      </c>
      <c r="O1533" s="30" t="s">
        <v>88</v>
      </c>
      <c r="P1533" s="30" t="s">
        <v>58</v>
      </c>
      <c r="Q1533" s="30" t="s">
        <v>89</v>
      </c>
      <c r="R1533" s="30" t="s">
        <v>75</v>
      </c>
      <c r="S1533" s="30" t="s">
        <v>106</v>
      </c>
      <c r="T1533" s="30" t="s">
        <v>123</v>
      </c>
      <c r="U1533" s="30" t="s">
        <v>224</v>
      </c>
      <c r="V1533" s="30" t="s">
        <v>173</v>
      </c>
      <c r="W1533" s="30" t="s">
        <v>92</v>
      </c>
      <c r="X1533" s="30" t="s">
        <v>107</v>
      </c>
      <c r="Y1533" s="30" t="s">
        <v>377</v>
      </c>
      <c r="Z1533" s="30" t="s">
        <v>64</v>
      </c>
      <c r="AA1533" s="30" t="s">
        <v>95</v>
      </c>
      <c r="AB1533" s="30" t="s">
        <v>0</v>
      </c>
      <c r="AC1533" s="30" t="s">
        <v>4270</v>
      </c>
    </row>
    <row r="1534" spans="1:29">
      <c r="A1534" s="24" t="s">
        <v>4271</v>
      </c>
      <c r="B1534" s="24" t="str">
        <f>IF(ISNUMBER(SEARCH(E1534,A1534)),A1534,IF(OR(E1534="",E1534=""),A1534,A1534&amp;" - "&amp;E1534))</f>
        <v>Demecan SC Low Drop Creamy Kees - Creamy Kee's No.5</v>
      </c>
      <c r="C1534" s="24" t="s">
        <v>484</v>
      </c>
      <c r="D1534" s="24" t="s">
        <v>485</v>
      </c>
      <c r="E1534" s="41" t="s">
        <v>2490</v>
      </c>
      <c r="F1534" s="41" t="s">
        <v>86</v>
      </c>
      <c r="G1534" s="27" t="s">
        <v>8</v>
      </c>
      <c r="H1534" s="28">
        <v>1</v>
      </c>
      <c r="I1534" s="24" t="s">
        <v>0</v>
      </c>
      <c r="J1534" s="24" t="s">
        <v>0</v>
      </c>
      <c r="K1534" s="24" t="s">
        <v>17</v>
      </c>
      <c r="L1534" s="24" t="s">
        <v>497</v>
      </c>
      <c r="M1534" s="24" t="s">
        <v>121</v>
      </c>
      <c r="N1534" s="24" t="s">
        <v>72</v>
      </c>
      <c r="O1534" s="24" t="s">
        <v>0</v>
      </c>
      <c r="P1534" s="24" t="s">
        <v>89</v>
      </c>
      <c r="Q1534" s="24" t="s">
        <v>59</v>
      </c>
      <c r="R1534" s="24" t="s">
        <v>113</v>
      </c>
      <c r="S1534" s="24" t="s">
        <v>128</v>
      </c>
      <c r="T1534" s="24" t="s">
        <v>62</v>
      </c>
      <c r="U1534" s="24" t="s">
        <v>60</v>
      </c>
      <c r="V1534" s="24" t="s">
        <v>165</v>
      </c>
      <c r="W1534" s="24" t="s">
        <v>107</v>
      </c>
      <c r="X1534" s="24" t="s">
        <v>116</v>
      </c>
      <c r="Y1534" s="24" t="s">
        <v>1087</v>
      </c>
      <c r="Z1534" s="24" t="s">
        <v>64</v>
      </c>
      <c r="AA1534" s="24" t="s">
        <v>485</v>
      </c>
      <c r="AB1534" s="24" t="s">
        <v>0</v>
      </c>
      <c r="AC1534" s="24" t="s">
        <v>4272</v>
      </c>
    </row>
    <row r="1535" spans="1:29">
      <c r="A1535" s="30" t="s">
        <v>4273</v>
      </c>
      <c r="B1535" s="30" t="str">
        <f>IF(ISNUMBER(SEARCH(E1535,A1535)),A1535,IF(OR(E1535="",E1535=""),A1535,A1535&amp;" - "&amp;E1535))</f>
        <v>Cannamedical Hybrid Forte DK 24/1 - Ghost Train Haze</v>
      </c>
      <c r="C1535" s="30" t="s">
        <v>48</v>
      </c>
      <c r="D1535" s="30" t="s">
        <v>49</v>
      </c>
      <c r="E1535" s="40" t="s">
        <v>343</v>
      </c>
      <c r="F1535" s="40" t="s">
        <v>144</v>
      </c>
      <c r="G1535" s="34" t="s">
        <v>448</v>
      </c>
      <c r="H1535" s="35">
        <v>1</v>
      </c>
      <c r="I1535" s="30" t="s">
        <v>0</v>
      </c>
      <c r="J1535" s="30" t="s">
        <v>0</v>
      </c>
      <c r="K1535" s="30" t="s">
        <v>17</v>
      </c>
      <c r="L1535" s="30" t="s">
        <v>87</v>
      </c>
      <c r="M1535" s="30" t="s">
        <v>55</v>
      </c>
      <c r="N1535" s="30" t="s">
        <v>111</v>
      </c>
      <c r="O1535" s="30" t="s">
        <v>178</v>
      </c>
      <c r="P1535" s="30" t="s">
        <v>75</v>
      </c>
      <c r="Q1535" s="30" t="s">
        <v>59</v>
      </c>
      <c r="R1535" s="30" t="s">
        <v>146</v>
      </c>
      <c r="S1535" s="30" t="s">
        <v>128</v>
      </c>
      <c r="T1535" s="30" t="s">
        <v>106</v>
      </c>
      <c r="U1535" s="30" t="s">
        <v>62</v>
      </c>
      <c r="V1535" s="30" t="s">
        <v>107</v>
      </c>
      <c r="W1535" s="30" t="s">
        <v>77</v>
      </c>
      <c r="X1535" s="30" t="s">
        <v>79</v>
      </c>
      <c r="Y1535" s="30" t="s">
        <v>338</v>
      </c>
      <c r="Z1535" s="30" t="s">
        <v>64</v>
      </c>
      <c r="AA1535" s="30" t="s">
        <v>49</v>
      </c>
      <c r="AB1535" s="30" t="s">
        <v>0</v>
      </c>
      <c r="AC1535" s="30" t="s">
        <v>4274</v>
      </c>
    </row>
    <row r="1536" spans="1:29">
      <c r="A1536" s="24" t="s">
        <v>4275</v>
      </c>
      <c r="B1536" s="24" t="str">
        <f>IF(ISNUMBER(SEARCH(E1536,A1536)),A1536,IF(OR(E1536="",E1536=""),A1536,A1536&amp;" - "&amp;E1536))</f>
        <v>Cannamedical Indica Forte - Dank Wafers</v>
      </c>
      <c r="C1536" s="24" t="s">
        <v>48</v>
      </c>
      <c r="D1536" s="24" t="s">
        <v>49</v>
      </c>
      <c r="E1536" s="41" t="s">
        <v>1733</v>
      </c>
      <c r="F1536" s="41" t="s">
        <v>86</v>
      </c>
      <c r="G1536" s="27" t="s">
        <v>448</v>
      </c>
      <c r="H1536" s="28">
        <v>1</v>
      </c>
      <c r="I1536" s="24" t="s">
        <v>0</v>
      </c>
      <c r="J1536" s="24" t="s">
        <v>0</v>
      </c>
      <c r="K1536" s="24" t="s">
        <v>52</v>
      </c>
      <c r="L1536" s="24" t="s">
        <v>497</v>
      </c>
      <c r="M1536" s="24" t="s">
        <v>54</v>
      </c>
      <c r="N1536" s="24" t="s">
        <v>178</v>
      </c>
      <c r="O1536" s="24" t="s">
        <v>72</v>
      </c>
      <c r="P1536" s="24" t="s">
        <v>157</v>
      </c>
      <c r="Q1536" s="24" t="s">
        <v>75</v>
      </c>
      <c r="R1536" s="24" t="s">
        <v>146</v>
      </c>
      <c r="S1536" s="24" t="s">
        <v>106</v>
      </c>
      <c r="T1536" s="24" t="s">
        <v>62</v>
      </c>
      <c r="U1536" s="24" t="s">
        <v>123</v>
      </c>
      <c r="V1536" s="24" t="s">
        <v>77</v>
      </c>
      <c r="W1536" s="24" t="s">
        <v>107</v>
      </c>
      <c r="X1536" s="24" t="s">
        <v>116</v>
      </c>
      <c r="Y1536" s="24" t="s">
        <v>2230</v>
      </c>
      <c r="Z1536" s="24" t="s">
        <v>64</v>
      </c>
      <c r="AA1536" s="24" t="s">
        <v>49</v>
      </c>
      <c r="AB1536" s="24" t="s">
        <v>0</v>
      </c>
      <c r="AC1536" s="24" t="s">
        <v>4276</v>
      </c>
    </row>
    <row r="1537" spans="1:29">
      <c r="A1537" s="30" t="s">
        <v>4277</v>
      </c>
      <c r="B1537" s="30" t="str">
        <f>IF(ISNUMBER(SEARCH(E1537,A1537)),A1537,IF(OR(E1537="",E1537=""),A1537,A1537&amp;" - "&amp;E1537))</f>
        <v>Cannamedical CM 28/1 PO - Platinum Oranges</v>
      </c>
      <c r="C1537" s="30" t="s">
        <v>48</v>
      </c>
      <c r="D1537" s="30" t="s">
        <v>49</v>
      </c>
      <c r="E1537" s="40" t="s">
        <v>2692</v>
      </c>
      <c r="F1537" s="40" t="s">
        <v>86</v>
      </c>
      <c r="G1537" s="34" t="s">
        <v>4164</v>
      </c>
      <c r="H1537" s="35">
        <v>1</v>
      </c>
      <c r="I1537" s="30" t="s">
        <v>0</v>
      </c>
      <c r="J1537" s="30" t="s">
        <v>0</v>
      </c>
      <c r="K1537" s="30" t="s">
        <v>52</v>
      </c>
      <c r="L1537" s="30" t="s">
        <v>53</v>
      </c>
      <c r="M1537" s="30" t="s">
        <v>71</v>
      </c>
      <c r="N1537" s="30" t="s">
        <v>111</v>
      </c>
      <c r="O1537" s="30" t="s">
        <v>72</v>
      </c>
      <c r="P1537" s="30" t="s">
        <v>75</v>
      </c>
      <c r="Q1537" s="30" t="s">
        <v>89</v>
      </c>
      <c r="R1537" s="30" t="s">
        <v>58</v>
      </c>
      <c r="S1537" s="30" t="s">
        <v>106</v>
      </c>
      <c r="T1537" s="30" t="s">
        <v>62</v>
      </c>
      <c r="U1537" s="30" t="s">
        <v>493</v>
      </c>
      <c r="V1537" s="30" t="s">
        <v>77</v>
      </c>
      <c r="W1537" s="30" t="s">
        <v>107</v>
      </c>
      <c r="X1537" s="30" t="s">
        <v>711</v>
      </c>
      <c r="Y1537" s="30" t="s">
        <v>539</v>
      </c>
      <c r="Z1537" s="30" t="s">
        <v>64</v>
      </c>
      <c r="AA1537" s="30" t="s">
        <v>49</v>
      </c>
      <c r="AB1537" s="30" t="s">
        <v>0</v>
      </c>
      <c r="AC1537" s="30" t="s">
        <v>4278</v>
      </c>
    </row>
    <row r="1538" spans="1:29">
      <c r="A1538" s="24" t="s">
        <v>4279</v>
      </c>
      <c r="B1538" s="24" t="str">
        <f>IF(ISNUMBER(SEARCH(E1538,A1538)),A1538,IF(OR(E1538="",E1538=""),A1538,A1538&amp;" - "&amp;E1538))</f>
        <v>Remexian 30/1 T8C DEB - Death Bubba Kush</v>
      </c>
      <c r="C1538" s="24" t="s">
        <v>83</v>
      </c>
      <c r="D1538" s="24" t="s">
        <v>84</v>
      </c>
      <c r="E1538" s="41" t="s">
        <v>3247</v>
      </c>
      <c r="F1538" s="41" t="s">
        <v>144</v>
      </c>
      <c r="G1538" s="27" t="s">
        <v>4057</v>
      </c>
      <c r="H1538" s="28">
        <v>1</v>
      </c>
      <c r="I1538" s="24" t="s">
        <v>0</v>
      </c>
      <c r="J1538" s="24" t="s">
        <v>0</v>
      </c>
      <c r="K1538" s="24" t="s">
        <v>52</v>
      </c>
      <c r="L1538" s="24" t="s">
        <v>53</v>
      </c>
      <c r="M1538" s="24" t="s">
        <v>0</v>
      </c>
      <c r="N1538" s="24" t="s">
        <v>0</v>
      </c>
      <c r="O1538" s="24" t="s">
        <v>0</v>
      </c>
      <c r="P1538" s="24" t="s">
        <v>146</v>
      </c>
      <c r="Q1538" s="24" t="s">
        <v>75</v>
      </c>
      <c r="R1538" s="24" t="s">
        <v>74</v>
      </c>
      <c r="S1538" s="24" t="s">
        <v>106</v>
      </c>
      <c r="T1538" s="24" t="s">
        <v>62</v>
      </c>
      <c r="U1538" s="24" t="s">
        <v>147</v>
      </c>
      <c r="V1538" s="24" t="s">
        <v>107</v>
      </c>
      <c r="W1538" s="24" t="s">
        <v>116</v>
      </c>
      <c r="X1538" s="24" t="s">
        <v>93</v>
      </c>
      <c r="Y1538" s="24" t="s">
        <v>1152</v>
      </c>
      <c r="Z1538" s="24" t="s">
        <v>64</v>
      </c>
      <c r="AA1538" s="24" t="s">
        <v>95</v>
      </c>
      <c r="AB1538" s="24" t="s">
        <v>0</v>
      </c>
      <c r="AC1538" s="24" t="s">
        <v>4280</v>
      </c>
    </row>
    <row r="1539" spans="1:29">
      <c r="A1539" s="30" t="s">
        <v>4281</v>
      </c>
      <c r="B1539" s="30" t="str">
        <f>IF(ISNUMBER(SEARCH(E1539,A1539)),A1539,IF(OR(E1539="",E1539=""),A1539,A1539&amp;" - "&amp;E1539))</f>
        <v>Remexian 21/1 TEN BAN - Banjo</v>
      </c>
      <c r="C1539" s="30" t="s">
        <v>83</v>
      </c>
      <c r="D1539" s="30" t="s">
        <v>84</v>
      </c>
      <c r="E1539" s="40" t="s">
        <v>3686</v>
      </c>
      <c r="F1539" s="40" t="s">
        <v>86</v>
      </c>
      <c r="G1539" s="34" t="s">
        <v>452</v>
      </c>
      <c r="H1539" s="35">
        <v>1</v>
      </c>
      <c r="I1539" s="30" t="s">
        <v>0</v>
      </c>
      <c r="J1539" s="30" t="s">
        <v>0</v>
      </c>
      <c r="K1539" s="30" t="s">
        <v>52</v>
      </c>
      <c r="L1539" s="30" t="s">
        <v>53</v>
      </c>
      <c r="M1539" s="30" t="s">
        <v>72</v>
      </c>
      <c r="N1539" s="30" t="s">
        <v>88</v>
      </c>
      <c r="O1539" s="30" t="s">
        <v>0</v>
      </c>
      <c r="P1539" s="30" t="s">
        <v>89</v>
      </c>
      <c r="Q1539" s="30" t="s">
        <v>58</v>
      </c>
      <c r="R1539" s="30" t="s">
        <v>186</v>
      </c>
      <c r="S1539" s="30" t="s">
        <v>128</v>
      </c>
      <c r="T1539" s="30" t="s">
        <v>106</v>
      </c>
      <c r="U1539" s="30" t="s">
        <v>179</v>
      </c>
      <c r="V1539" s="30" t="s">
        <v>116</v>
      </c>
      <c r="W1539" s="30" t="s">
        <v>79</v>
      </c>
      <c r="X1539" s="30" t="s">
        <v>107</v>
      </c>
      <c r="Y1539" s="30" t="s">
        <v>230</v>
      </c>
      <c r="Z1539" s="30" t="s">
        <v>64</v>
      </c>
      <c r="AA1539" s="30" t="s">
        <v>95</v>
      </c>
      <c r="AB1539" s="30" t="s">
        <v>0</v>
      </c>
      <c r="AC1539" s="30" t="s">
        <v>4282</v>
      </c>
    </row>
    <row r="1540" spans="1:29">
      <c r="A1540" s="24" t="s">
        <v>4283</v>
      </c>
      <c r="B1540" s="24" t="str">
        <f>IF(ISNUMBER(SEARCH(E1540,A1540)),A1540,IF(OR(E1540="",E1540=""),A1540,A1540&amp;" - "&amp;E1540))</f>
        <v>Remexian 30/1 SIU GG4 - Gorilla Glue</v>
      </c>
      <c r="C1540" s="24" t="s">
        <v>83</v>
      </c>
      <c r="D1540" s="24" t="s">
        <v>84</v>
      </c>
      <c r="E1540" s="41" t="s">
        <v>363</v>
      </c>
      <c r="F1540" s="41" t="s">
        <v>177</v>
      </c>
      <c r="G1540" s="27" t="s">
        <v>4057</v>
      </c>
      <c r="H1540" s="28">
        <v>1</v>
      </c>
      <c r="I1540" s="24" t="s">
        <v>0</v>
      </c>
      <c r="J1540" s="24" t="s">
        <v>0</v>
      </c>
      <c r="K1540" s="24" t="s">
        <v>52</v>
      </c>
      <c r="L1540" s="24" t="s">
        <v>630</v>
      </c>
      <c r="M1540" s="24" t="s">
        <v>121</v>
      </c>
      <c r="N1540" s="24" t="s">
        <v>72</v>
      </c>
      <c r="O1540" s="24" t="s">
        <v>103</v>
      </c>
      <c r="P1540" s="24" t="s">
        <v>59</v>
      </c>
      <c r="Q1540" s="24" t="s">
        <v>146</v>
      </c>
      <c r="R1540" s="24" t="s">
        <v>74</v>
      </c>
      <c r="S1540" s="24" t="s">
        <v>106</v>
      </c>
      <c r="T1540" s="24" t="s">
        <v>147</v>
      </c>
      <c r="U1540" s="24" t="s">
        <v>224</v>
      </c>
      <c r="V1540" s="24" t="s">
        <v>107</v>
      </c>
      <c r="W1540" s="24" t="s">
        <v>77</v>
      </c>
      <c r="X1540" s="24" t="s">
        <v>1242</v>
      </c>
      <c r="Y1540" s="24" t="s">
        <v>124</v>
      </c>
      <c r="Z1540" s="24" t="s">
        <v>64</v>
      </c>
      <c r="AA1540" s="24" t="s">
        <v>95</v>
      </c>
      <c r="AB1540" s="24" t="s">
        <v>0</v>
      </c>
      <c r="AC1540" s="24" t="s">
        <v>4284</v>
      </c>
    </row>
    <row r="1541" spans="1:29">
      <c r="A1541" s="30" t="s">
        <v>4285</v>
      </c>
      <c r="B1541" s="30" t="str">
        <f>IF(ISNUMBER(SEARCH(E1541,A1541)),A1541,IF(OR(E1541="",E1541=""),A1541,A1541&amp;" - "&amp;E1541))</f>
        <v>Barongo 27/1 Banjo - Tangelo Boost</v>
      </c>
      <c r="C1541" s="30" t="s">
        <v>641</v>
      </c>
      <c r="D1541" s="30" t="s">
        <v>642</v>
      </c>
      <c r="E1541" s="40" t="s">
        <v>789</v>
      </c>
      <c r="F1541" s="40" t="s">
        <v>144</v>
      </c>
      <c r="G1541" s="34" t="s">
        <v>33</v>
      </c>
      <c r="H1541" s="35">
        <v>1</v>
      </c>
      <c r="I1541" s="30" t="s">
        <v>0</v>
      </c>
      <c r="J1541" s="30" t="s">
        <v>0</v>
      </c>
      <c r="K1541" s="30" t="s">
        <v>52</v>
      </c>
      <c r="L1541" s="30" t="s">
        <v>53</v>
      </c>
      <c r="M1541" s="30" t="s">
        <v>72</v>
      </c>
      <c r="N1541" s="30" t="s">
        <v>88</v>
      </c>
      <c r="O1541" s="30" t="s">
        <v>0</v>
      </c>
      <c r="P1541" s="30" t="s">
        <v>89</v>
      </c>
      <c r="Q1541" s="30" t="s">
        <v>58</v>
      </c>
      <c r="R1541" s="30" t="s">
        <v>186</v>
      </c>
      <c r="S1541" s="30" t="s">
        <v>128</v>
      </c>
      <c r="T1541" s="30" t="s">
        <v>106</v>
      </c>
      <c r="U1541" s="30" t="s">
        <v>105</v>
      </c>
      <c r="V1541" s="30" t="s">
        <v>116</v>
      </c>
      <c r="W1541" s="30" t="s">
        <v>79</v>
      </c>
      <c r="X1541" s="30" t="s">
        <v>107</v>
      </c>
      <c r="Y1541" s="30" t="s">
        <v>4286</v>
      </c>
      <c r="Z1541" s="30" t="s">
        <v>64</v>
      </c>
      <c r="AA1541" s="30" t="s">
        <v>642</v>
      </c>
      <c r="AB1541" s="30" t="s">
        <v>0</v>
      </c>
      <c r="AC1541" s="30" t="s">
        <v>4287</v>
      </c>
    </row>
    <row r="1542" spans="1:29">
      <c r="A1542" s="24" t="s">
        <v>4288</v>
      </c>
      <c r="B1542" s="24" t="str">
        <f>IF(ISNUMBER(SEARCH(E1542,A1542)),A1542,IF(OR(E1542="",E1542=""),A1542,A1542&amp;" - "&amp;E1542))</f>
        <v>Remexian 27/1 HEG - Helios Gold</v>
      </c>
      <c r="C1542" s="24" t="s">
        <v>83</v>
      </c>
      <c r="D1542" s="24" t="s">
        <v>84</v>
      </c>
      <c r="E1542" s="41" t="s">
        <v>3317</v>
      </c>
      <c r="F1542" s="41" t="s">
        <v>177</v>
      </c>
      <c r="G1542" s="27" t="s">
        <v>33</v>
      </c>
      <c r="H1542" s="28">
        <v>1</v>
      </c>
      <c r="I1542" s="24" t="s">
        <v>0</v>
      </c>
      <c r="J1542" s="24" t="s">
        <v>0</v>
      </c>
      <c r="K1542" s="24" t="s">
        <v>52</v>
      </c>
      <c r="L1542" s="24" t="s">
        <v>53</v>
      </c>
      <c r="M1542" s="24" t="s">
        <v>72</v>
      </c>
      <c r="N1542" s="24" t="s">
        <v>88</v>
      </c>
      <c r="O1542" s="24" t="s">
        <v>0</v>
      </c>
      <c r="P1542" s="24" t="s">
        <v>58</v>
      </c>
      <c r="Q1542" s="24" t="s">
        <v>89</v>
      </c>
      <c r="R1542" s="24" t="s">
        <v>75</v>
      </c>
      <c r="S1542" s="24" t="s">
        <v>128</v>
      </c>
      <c r="T1542" s="24" t="s">
        <v>106</v>
      </c>
      <c r="U1542" s="24" t="s">
        <v>62</v>
      </c>
      <c r="V1542" s="24" t="s">
        <v>116</v>
      </c>
      <c r="W1542" s="24" t="s">
        <v>107</v>
      </c>
      <c r="X1542" s="24" t="s">
        <v>77</v>
      </c>
      <c r="Y1542" s="24" t="s">
        <v>1135</v>
      </c>
      <c r="Z1542" s="24" t="s">
        <v>64</v>
      </c>
      <c r="AA1542" s="24" t="s">
        <v>95</v>
      </c>
      <c r="AB1542" s="24" t="s">
        <v>0</v>
      </c>
      <c r="AC1542" s="24" t="s">
        <v>4289</v>
      </c>
    </row>
    <row r="1543" spans="1:29">
      <c r="A1543" s="30" t="s">
        <v>4290</v>
      </c>
      <c r="B1543" s="30" t="str">
        <f>IF(ISNUMBER(SEARCH(E1543,A1543)),A1543,IF(OR(E1543="",E1543=""),A1543,A1543&amp;" - "&amp;E1543))</f>
        <v>Social Choice 18/1 AUR SAT - Jet Fuel Gelato x White Mac</v>
      </c>
      <c r="C1543" s="30" t="s">
        <v>83</v>
      </c>
      <c r="D1543" s="30" t="s">
        <v>84</v>
      </c>
      <c r="E1543" s="40" t="s">
        <v>4291</v>
      </c>
      <c r="F1543" s="40" t="s">
        <v>86</v>
      </c>
      <c r="G1543" s="34" t="s">
        <v>8</v>
      </c>
      <c r="H1543" s="35">
        <v>1</v>
      </c>
      <c r="I1543" s="30" t="s">
        <v>0</v>
      </c>
      <c r="J1543" s="30" t="s">
        <v>0</v>
      </c>
      <c r="K1543" s="30" t="s">
        <v>52</v>
      </c>
      <c r="L1543" s="30" t="s">
        <v>53</v>
      </c>
      <c r="M1543" s="30" t="s">
        <v>178</v>
      </c>
      <c r="N1543" s="30" t="s">
        <v>111</v>
      </c>
      <c r="O1543" s="30" t="s">
        <v>54</v>
      </c>
      <c r="P1543" s="30" t="s">
        <v>59</v>
      </c>
      <c r="Q1543" s="30" t="s">
        <v>146</v>
      </c>
      <c r="R1543" s="30" t="s">
        <v>57</v>
      </c>
      <c r="S1543" s="30" t="s">
        <v>106</v>
      </c>
      <c r="T1543" s="30" t="s">
        <v>62</v>
      </c>
      <c r="U1543" s="30" t="s">
        <v>192</v>
      </c>
      <c r="V1543" s="30" t="s">
        <v>79</v>
      </c>
      <c r="W1543" s="30" t="s">
        <v>93</v>
      </c>
      <c r="X1543" s="30" t="s">
        <v>116</v>
      </c>
      <c r="Y1543" s="30" t="s">
        <v>2004</v>
      </c>
      <c r="Z1543" s="30" t="s">
        <v>64</v>
      </c>
      <c r="AA1543" s="30" t="s">
        <v>95</v>
      </c>
      <c r="AB1543" s="30" t="s">
        <v>0</v>
      </c>
      <c r="AC1543" s="30" t="s">
        <v>4292</v>
      </c>
    </row>
    <row r="1544" spans="1:29">
      <c r="A1544" s="24" t="s">
        <v>4293</v>
      </c>
      <c r="B1544" s="24" t="str">
        <f>IF(ISNUMBER(SEARCH(E1544,A1544)),A1544,IF(OR(E1544="",E1544=""),A1544,A1544&amp;" - "&amp;E1544))</f>
        <v>Remexian 27/1 GJY BAG - Banana Gas</v>
      </c>
      <c r="C1544" s="24" t="s">
        <v>83</v>
      </c>
      <c r="D1544" s="24" t="s">
        <v>84</v>
      </c>
      <c r="E1544" s="41" t="s">
        <v>1407</v>
      </c>
      <c r="F1544" s="41" t="s">
        <v>86</v>
      </c>
      <c r="G1544" s="27" t="s">
        <v>33</v>
      </c>
      <c r="H1544" s="28">
        <v>1</v>
      </c>
      <c r="I1544" s="24" t="s">
        <v>0</v>
      </c>
      <c r="J1544" s="24" t="s">
        <v>0</v>
      </c>
      <c r="K1544" s="24" t="s">
        <v>52</v>
      </c>
      <c r="L1544" s="24" t="s">
        <v>53</v>
      </c>
      <c r="M1544" s="24" t="s">
        <v>72</v>
      </c>
      <c r="N1544" s="24" t="s">
        <v>121</v>
      </c>
      <c r="O1544" s="24" t="s">
        <v>0</v>
      </c>
      <c r="P1544" s="24" t="s">
        <v>58</v>
      </c>
      <c r="Q1544" s="24" t="s">
        <v>89</v>
      </c>
      <c r="R1544" s="24" t="s">
        <v>73</v>
      </c>
      <c r="S1544" s="24" t="s">
        <v>179</v>
      </c>
      <c r="T1544" s="24" t="s">
        <v>61</v>
      </c>
      <c r="U1544" s="24" t="s">
        <v>76</v>
      </c>
      <c r="V1544" s="24" t="s">
        <v>116</v>
      </c>
      <c r="W1544" s="24" t="s">
        <v>107</v>
      </c>
      <c r="X1544" s="24" t="s">
        <v>93</v>
      </c>
      <c r="Y1544" s="24" t="s">
        <v>293</v>
      </c>
      <c r="Z1544" s="24" t="s">
        <v>64</v>
      </c>
      <c r="AA1544" s="24" t="s">
        <v>95</v>
      </c>
      <c r="AB1544" s="24" t="s">
        <v>0</v>
      </c>
      <c r="AC1544" s="24" t="s">
        <v>4294</v>
      </c>
    </row>
    <row r="1545" spans="1:29">
      <c r="A1545" s="30" t="s">
        <v>4295</v>
      </c>
      <c r="B1545" s="30" t="str">
        <f>IF(ISNUMBER(SEARCH(E1545,A1545)),A1545,IF(OR(E1545="",E1545=""),A1545,A1545&amp;" - "&amp;E1545))</f>
        <v>Bathera 26/1 PP - Polar Pop</v>
      </c>
      <c r="C1545" s="30" t="s">
        <v>153</v>
      </c>
      <c r="D1545" s="30" t="s">
        <v>154</v>
      </c>
      <c r="E1545" s="40" t="s">
        <v>1600</v>
      </c>
      <c r="F1545" s="40" t="s">
        <v>144</v>
      </c>
      <c r="G1545" s="34" t="s">
        <v>4086</v>
      </c>
      <c r="H1545" s="35">
        <v>1</v>
      </c>
      <c r="I1545" s="30" t="s">
        <v>0</v>
      </c>
      <c r="J1545" s="30" t="s">
        <v>0</v>
      </c>
      <c r="K1545" s="30" t="s">
        <v>52</v>
      </c>
      <c r="L1545" s="30" t="s">
        <v>102</v>
      </c>
      <c r="M1545" s="30" t="s">
        <v>72</v>
      </c>
      <c r="N1545" s="30" t="s">
        <v>54</v>
      </c>
      <c r="O1545" s="30" t="s">
        <v>88</v>
      </c>
      <c r="P1545" s="30" t="s">
        <v>74</v>
      </c>
      <c r="Q1545" s="30" t="s">
        <v>89</v>
      </c>
      <c r="R1545" s="30" t="s">
        <v>112</v>
      </c>
      <c r="S1545" s="30" t="s">
        <v>128</v>
      </c>
      <c r="T1545" s="30" t="s">
        <v>61</v>
      </c>
      <c r="U1545" s="30" t="s">
        <v>62</v>
      </c>
      <c r="V1545" s="30" t="s">
        <v>79</v>
      </c>
      <c r="W1545" s="30" t="s">
        <v>107</v>
      </c>
      <c r="X1545" s="30" t="s">
        <v>77</v>
      </c>
      <c r="Y1545" s="30" t="s">
        <v>278</v>
      </c>
      <c r="Z1545" s="30" t="s">
        <v>64</v>
      </c>
      <c r="AA1545" s="30" t="s">
        <v>154</v>
      </c>
      <c r="AB1545" s="30" t="s">
        <v>160</v>
      </c>
      <c r="AC1545" s="30" t="s">
        <v>4296</v>
      </c>
    </row>
    <row r="1546" spans="1:29">
      <c r="A1546" s="24" t="s">
        <v>4297</v>
      </c>
      <c r="B1546" s="24" t="str">
        <f>IF(ISNUMBER(SEARCH(E1546,A1546)),A1546,IF(OR(E1546="",E1546=""),A1546,A1546&amp;" - "&amp;E1546))</f>
        <v>NICE 22/1 PM - Punchple Mintz</v>
      </c>
      <c r="C1546" s="24" t="s">
        <v>996</v>
      </c>
      <c r="D1546" s="24" t="s">
        <v>997</v>
      </c>
      <c r="E1546" s="41" t="s">
        <v>4298</v>
      </c>
      <c r="F1546" s="41" t="s">
        <v>144</v>
      </c>
      <c r="G1546" s="27" t="s">
        <v>4126</v>
      </c>
      <c r="H1546" s="28">
        <v>1</v>
      </c>
      <c r="I1546" s="24" t="s">
        <v>0</v>
      </c>
      <c r="J1546" s="24" t="s">
        <v>0</v>
      </c>
      <c r="K1546" s="24" t="s">
        <v>52</v>
      </c>
      <c r="L1546" s="24" t="s">
        <v>102</v>
      </c>
      <c r="M1546" s="24" t="s">
        <v>71</v>
      </c>
      <c r="N1546" s="24" t="s">
        <v>72</v>
      </c>
      <c r="O1546" s="24" t="s">
        <v>88</v>
      </c>
      <c r="P1546" s="24" t="s">
        <v>75</v>
      </c>
      <c r="Q1546" s="24" t="s">
        <v>112</v>
      </c>
      <c r="R1546" s="24" t="s">
        <v>89</v>
      </c>
      <c r="S1546" s="24" t="s">
        <v>106</v>
      </c>
      <c r="T1546" s="24" t="s">
        <v>62</v>
      </c>
      <c r="U1546" s="24" t="s">
        <v>123</v>
      </c>
      <c r="V1546" s="24" t="s">
        <v>79</v>
      </c>
      <c r="W1546" s="24" t="s">
        <v>93</v>
      </c>
      <c r="X1546" s="24" t="s">
        <v>173</v>
      </c>
      <c r="Y1546" s="24" t="s">
        <v>307</v>
      </c>
      <c r="Z1546" s="24" t="s">
        <v>64</v>
      </c>
      <c r="AA1546" s="24" t="s">
        <v>997</v>
      </c>
      <c r="AB1546" s="24" t="s">
        <v>0</v>
      </c>
      <c r="AC1546" s="24" t="s">
        <v>4299</v>
      </c>
    </row>
    <row r="1547" spans="1:29">
      <c r="A1547" s="30" t="s">
        <v>1286</v>
      </c>
      <c r="B1547" s="30" t="str">
        <f>IF(ISNUMBER(SEARCH(E1547,A1547)),A1547,IF(OR(E1547="",E1547=""),A1547,A1547&amp;" - "&amp;E1547))</f>
        <v>Cannamedical CM 28/1 - Sour Pie</v>
      </c>
      <c r="C1547" s="30" t="s">
        <v>48</v>
      </c>
      <c r="D1547" s="30" t="s">
        <v>49</v>
      </c>
      <c r="E1547" s="40" t="s">
        <v>4300</v>
      </c>
      <c r="F1547" s="40" t="s">
        <v>86</v>
      </c>
      <c r="G1547" s="34" t="s">
        <v>4164</v>
      </c>
      <c r="H1547" s="35">
        <v>1</v>
      </c>
      <c r="I1547" s="30" t="s">
        <v>0</v>
      </c>
      <c r="J1547" s="30" t="s">
        <v>0</v>
      </c>
      <c r="K1547" s="30" t="s">
        <v>52</v>
      </c>
      <c r="L1547" s="30" t="s">
        <v>53</v>
      </c>
      <c r="M1547" s="30" t="s">
        <v>54</v>
      </c>
      <c r="N1547" s="30" t="s">
        <v>72</v>
      </c>
      <c r="O1547" s="30" t="s">
        <v>178</v>
      </c>
      <c r="P1547" s="30" t="s">
        <v>59</v>
      </c>
      <c r="Q1547" s="30" t="s">
        <v>74</v>
      </c>
      <c r="R1547" s="30" t="s">
        <v>73</v>
      </c>
      <c r="S1547" s="30" t="s">
        <v>90</v>
      </c>
      <c r="T1547" s="30" t="s">
        <v>62</v>
      </c>
      <c r="U1547" s="30" t="s">
        <v>147</v>
      </c>
      <c r="V1547" s="30" t="s">
        <v>79</v>
      </c>
      <c r="W1547" s="30" t="s">
        <v>77</v>
      </c>
      <c r="X1547" s="30" t="s">
        <v>0</v>
      </c>
      <c r="Y1547" s="30" t="s">
        <v>391</v>
      </c>
      <c r="Z1547" s="30" t="s">
        <v>64</v>
      </c>
      <c r="AA1547" s="30" t="s">
        <v>49</v>
      </c>
      <c r="AB1547" s="30" t="s">
        <v>0</v>
      </c>
      <c r="AC1547" s="30" t="s">
        <v>4301</v>
      </c>
    </row>
    <row r="1548" spans="1:29">
      <c r="A1548" s="24" t="s">
        <v>4302</v>
      </c>
      <c r="B1548" s="24" t="str">
        <f>IF(ISNUMBER(SEARCH(E1548,A1548)),A1548,IF(OR(E1548="",E1548=""),A1548,A1548&amp;" - "&amp;E1548))</f>
        <v>Mediprocan African Ruby 22/1 - Gorilla Glue</v>
      </c>
      <c r="C1548" s="24" t="s">
        <v>317</v>
      </c>
      <c r="D1548" s="24" t="s">
        <v>318</v>
      </c>
      <c r="E1548" s="41" t="s">
        <v>363</v>
      </c>
      <c r="F1548" s="41" t="s">
        <v>86</v>
      </c>
      <c r="G1548" s="27" t="s">
        <v>4126</v>
      </c>
      <c r="H1548" s="28">
        <v>1</v>
      </c>
      <c r="I1548" s="24" t="s">
        <v>0</v>
      </c>
      <c r="J1548" s="24" t="s">
        <v>0</v>
      </c>
      <c r="K1548" s="24" t="s">
        <v>17</v>
      </c>
      <c r="L1548" s="24" t="s">
        <v>497</v>
      </c>
      <c r="M1548" s="24" t="s">
        <v>121</v>
      </c>
      <c r="N1548" s="24" t="s">
        <v>72</v>
      </c>
      <c r="O1548" s="24" t="s">
        <v>103</v>
      </c>
      <c r="P1548" s="24" t="s">
        <v>59</v>
      </c>
      <c r="Q1548" s="24" t="s">
        <v>146</v>
      </c>
      <c r="R1548" s="24" t="s">
        <v>74</v>
      </c>
      <c r="S1548" s="24" t="s">
        <v>106</v>
      </c>
      <c r="T1548" s="24" t="s">
        <v>62</v>
      </c>
      <c r="U1548" s="24" t="s">
        <v>192</v>
      </c>
      <c r="V1548" s="24" t="s">
        <v>107</v>
      </c>
      <c r="W1548" s="24" t="s">
        <v>77</v>
      </c>
      <c r="X1548" s="24" t="s">
        <v>1242</v>
      </c>
      <c r="Y1548" s="24" t="s">
        <v>268</v>
      </c>
      <c r="Z1548" s="24" t="s">
        <v>64</v>
      </c>
      <c r="AA1548" s="24" t="s">
        <v>320</v>
      </c>
      <c r="AB1548" s="24" t="s">
        <v>0</v>
      </c>
      <c r="AC1548" s="24" t="s">
        <v>4303</v>
      </c>
    </row>
    <row r="1549" spans="1:29">
      <c r="A1549" s="30" t="s">
        <v>4304</v>
      </c>
      <c r="B1549" s="30" t="str">
        <f>IF(ISNUMBER(SEARCH(E1549,A1549)),A1549,IF(OR(E1549="",E1549=""),A1549,A1549&amp;" - "&amp;E1549))</f>
        <v>All Nations PE 21/1 - Pineapple Express</v>
      </c>
      <c r="C1549" s="30" t="s">
        <v>564</v>
      </c>
      <c r="D1549" s="30" t="s">
        <v>565</v>
      </c>
      <c r="E1549" s="40" t="s">
        <v>4020</v>
      </c>
      <c r="F1549" s="40" t="s">
        <v>144</v>
      </c>
      <c r="G1549" s="34" t="s">
        <v>452</v>
      </c>
      <c r="H1549" s="35">
        <v>1</v>
      </c>
      <c r="I1549" s="30" t="s">
        <v>0</v>
      </c>
      <c r="J1549" s="30" t="s">
        <v>0</v>
      </c>
      <c r="K1549" s="30" t="s">
        <v>52</v>
      </c>
      <c r="L1549" s="30" t="s">
        <v>53</v>
      </c>
      <c r="M1549" s="30" t="s">
        <v>55</v>
      </c>
      <c r="N1549" s="30" t="s">
        <v>72</v>
      </c>
      <c r="O1549" s="30" t="s">
        <v>88</v>
      </c>
      <c r="P1549" s="30" t="s">
        <v>59</v>
      </c>
      <c r="Q1549" s="30" t="s">
        <v>75</v>
      </c>
      <c r="R1549" s="30" t="s">
        <v>74</v>
      </c>
      <c r="S1549" s="30" t="s">
        <v>106</v>
      </c>
      <c r="T1549" s="30" t="s">
        <v>62</v>
      </c>
      <c r="U1549" s="30" t="s">
        <v>123</v>
      </c>
      <c r="V1549" s="30" t="s">
        <v>180</v>
      </c>
      <c r="W1549" s="30" t="s">
        <v>129</v>
      </c>
      <c r="X1549" s="30" t="s">
        <v>107</v>
      </c>
      <c r="Y1549" s="30" t="s">
        <v>4305</v>
      </c>
      <c r="Z1549" s="30" t="s">
        <v>64</v>
      </c>
      <c r="AA1549" s="30" t="s">
        <v>565</v>
      </c>
      <c r="AB1549" s="30" t="s">
        <v>0</v>
      </c>
      <c r="AC1549" s="30" t="s">
        <v>4306</v>
      </c>
    </row>
    <row r="1550" spans="1:29">
      <c r="A1550" s="30" t="s">
        <v>1714</v>
      </c>
      <c r="B1550" s="30" t="str">
        <f>IF(ISNUMBER(SEARCH(E1550,A1550)),A1550,IF(OR(E1550="",E1550=""),A1550,A1550&amp;" - "&amp;E1550))</f>
        <v>RE:CANNIS 16/1 Sativa  - Alaska</v>
      </c>
      <c r="C1550" s="30" t="s">
        <v>628</v>
      </c>
      <c r="D1550" s="30" t="s">
        <v>629</v>
      </c>
      <c r="E1550" s="30" t="s">
        <v>3751</v>
      </c>
      <c r="F1550" s="45" t="s">
        <v>144</v>
      </c>
      <c r="G1550" s="34">
        <v>16</v>
      </c>
      <c r="H1550" s="35">
        <v>1</v>
      </c>
      <c r="I1550" s="30"/>
      <c r="J1550" s="30"/>
      <c r="K1550" s="30" t="s">
        <v>52</v>
      </c>
      <c r="L1550" s="30"/>
      <c r="M1550" s="30"/>
      <c r="N1550" s="30"/>
      <c r="O1550" s="30"/>
      <c r="P1550" s="30"/>
      <c r="Q1550" s="30"/>
      <c r="R1550" s="30"/>
      <c r="S1550" s="30" t="s">
        <v>192</v>
      </c>
      <c r="T1550" s="30" t="s">
        <v>56</v>
      </c>
      <c r="U1550" s="30" t="s">
        <v>56</v>
      </c>
      <c r="V1550" s="30"/>
      <c r="W1550" s="30"/>
      <c r="X1550" s="30"/>
      <c r="Y1550" s="30"/>
      <c r="Z1550" s="30" t="s">
        <v>64</v>
      </c>
      <c r="AA1550" s="30" t="s">
        <v>632</v>
      </c>
      <c r="AB1550" s="30" t="s">
        <v>56</v>
      </c>
      <c r="AC1550" s="30"/>
    </row>
    <row r="1551" spans="1:29">
      <c r="A1551" s="24" t="s">
        <v>4307</v>
      </c>
      <c r="B1551" s="24" t="str">
        <f>IF(ISNUMBER(SEARCH(E1551,A1551)),A1551,IF(OR(E1551="",E1551=""),A1551,A1551&amp;" - "&amp;E1551))</f>
        <v xml:space="preserve">Crazy Rntz [Cannamedical Indica Classic 18/1 ] </v>
      </c>
      <c r="C1551" s="24" t="s">
        <v>48</v>
      </c>
      <c r="D1551" s="24" t="s">
        <v>49</v>
      </c>
      <c r="E1551" s="41" t="s">
        <v>50</v>
      </c>
      <c r="F1551" s="24" t="s">
        <v>56</v>
      </c>
      <c r="G1551" s="27">
        <v>18</v>
      </c>
      <c r="H1551" s="28">
        <v>1</v>
      </c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 t="s">
        <v>64</v>
      </c>
      <c r="AA1551" s="24" t="s">
        <v>49</v>
      </c>
      <c r="AB1551" s="24"/>
      <c r="AC1551" s="24"/>
    </row>
    <row r="1552" spans="1:29">
      <c r="A1552" s="30" t="s">
        <v>4308</v>
      </c>
      <c r="B1552" s="30" t="str">
        <f>IF(ISNUMBER(SEARCH(E1552,A1552)),A1552,IF(OR(E1552="",E1552=""),A1552,A1552&amp;" - "&amp;E1552))</f>
        <v>Legendary Larry [Cannamedical Indica forte NG]</v>
      </c>
      <c r="C1552" s="30" t="s">
        <v>48</v>
      </c>
      <c r="D1552" s="30" t="s">
        <v>49</v>
      </c>
      <c r="E1552" s="40" t="s">
        <v>746</v>
      </c>
      <c r="F1552" s="30" t="s">
        <v>56</v>
      </c>
      <c r="G1552" s="34"/>
      <c r="H1552" s="35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 t="s">
        <v>64</v>
      </c>
      <c r="AA1552" s="30" t="s">
        <v>49</v>
      </c>
      <c r="AB1552" s="30"/>
      <c r="AC1552" s="30"/>
    </row>
    <row r="1553" spans="1:29">
      <c r="A1553" s="24" t="s">
        <v>4309</v>
      </c>
      <c r="B1553" s="24" t="str">
        <f>IF(ISNUMBER(SEARCH(E1553,A1553)),A1553,IF(OR(E1553="",E1553=""),A1553,A1553&amp;" - "&amp;E1553))</f>
        <v>Cannabis flos 18/1  LS</v>
      </c>
      <c r="C1553" s="24" t="s">
        <v>99</v>
      </c>
      <c r="D1553" s="24" t="s">
        <v>100</v>
      </c>
      <c r="E1553" s="41"/>
      <c r="F1553" s="24" t="s">
        <v>56</v>
      </c>
      <c r="G1553" s="27">
        <v>18</v>
      </c>
      <c r="H1553" s="28">
        <v>1</v>
      </c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 t="s">
        <v>64</v>
      </c>
      <c r="AA1553" s="24" t="s">
        <v>100</v>
      </c>
      <c r="AB1553" s="24"/>
      <c r="AC1553" s="24"/>
    </row>
    <row r="1554" spans="1:29">
      <c r="A1554" s="71" t="s">
        <v>4310</v>
      </c>
      <c r="B1554" s="30" t="str">
        <f>IF(ISNUMBER(SEARCH(E1554,A1554)),A1554,IF(OR(E1554="",E1554=""),A1554,A1554&amp;" - "&amp;E1554))</f>
        <v>Demecan Core Sunset 21/1 - Maui Wowie</v>
      </c>
      <c r="C1554" s="30" t="s">
        <v>484</v>
      </c>
      <c r="D1554" s="30" t="s">
        <v>485</v>
      </c>
      <c r="E1554" s="40" t="s">
        <v>4311</v>
      </c>
      <c r="F1554" s="40"/>
      <c r="G1554" s="34"/>
      <c r="H1554" s="35"/>
      <c r="I1554" s="30"/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 t="s">
        <v>485</v>
      </c>
      <c r="AB1554" s="30"/>
      <c r="AC1554" s="30"/>
    </row>
    <row r="1555" spans="1:29">
      <c r="A1555" s="38" t="s">
        <v>4312</v>
      </c>
      <c r="B1555" s="24" t="str">
        <f>IF(ISNUMBER(SEARCH(E1555,A1555)),A1555,IF(OR(E1555="",E1555=""),A1555,A1555&amp;" - "&amp;E1555))</f>
        <v>Weeco 18/1 - White Widow</v>
      </c>
      <c r="C1555" s="24" t="s">
        <v>905</v>
      </c>
      <c r="D1555" s="24" t="s">
        <v>906</v>
      </c>
      <c r="E1555" s="41" t="s">
        <v>251</v>
      </c>
      <c r="F1555" s="24" t="s">
        <v>56</v>
      </c>
      <c r="G1555" s="27">
        <v>18</v>
      </c>
      <c r="H1555" s="28">
        <v>1</v>
      </c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 t="s">
        <v>64</v>
      </c>
      <c r="AA1555" s="24" t="s">
        <v>906</v>
      </c>
      <c r="AB1555" s="24"/>
      <c r="AC1555" s="24"/>
    </row>
    <row r="1556" spans="1:29">
      <c r="A1556" s="30" t="s">
        <v>4313</v>
      </c>
      <c r="B1556" s="30" t="str">
        <f>IF(ISNUMBER(SEARCH(E1556,A1556)),A1556,IF(OR(E1556="",E1556=""),A1556,A1556&amp;" - "&amp;E1556))</f>
        <v>Cannamedical Hybrid - Classic NM Blueberry</v>
      </c>
      <c r="C1556" s="30" t="s">
        <v>48</v>
      </c>
      <c r="D1556" s="30" t="s">
        <v>49</v>
      </c>
      <c r="E1556" s="40"/>
      <c r="F1556" s="30" t="s">
        <v>56</v>
      </c>
      <c r="G1556" s="34"/>
      <c r="H1556" s="35"/>
      <c r="I1556" s="30"/>
      <c r="J1556" s="30"/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 t="s">
        <v>64</v>
      </c>
      <c r="AA1556" s="30" t="s">
        <v>49</v>
      </c>
      <c r="AB1556" s="30"/>
      <c r="AC1556" s="30"/>
    </row>
    <row r="1557" spans="1:29">
      <c r="A1557" s="24" t="s">
        <v>4314</v>
      </c>
      <c r="B1557" s="24" t="str">
        <f>IF(ISNUMBER(SEARCH(E1557,A1557)),A1557,IF(OR(E1557="",E1557=""),A1557,A1557&amp;" - "&amp;E1557))</f>
        <v>Collini-Medflower 24:01 - Black Amber</v>
      </c>
      <c r="C1557" s="24" t="s">
        <v>484</v>
      </c>
      <c r="D1557" s="24" t="s">
        <v>485</v>
      </c>
      <c r="E1557" s="41" t="s">
        <v>1181</v>
      </c>
      <c r="F1557" s="24" t="s">
        <v>56</v>
      </c>
      <c r="G1557" s="27">
        <v>24</v>
      </c>
      <c r="H1557" s="28">
        <v>1</v>
      </c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 t="s">
        <v>64</v>
      </c>
      <c r="AA1557" s="24" t="s">
        <v>485</v>
      </c>
      <c r="AB1557" s="24"/>
      <c r="AC1557" s="24"/>
    </row>
    <row r="1558" spans="1:29">
      <c r="A1558" s="30" t="s">
        <v>4315</v>
      </c>
      <c r="B1558" s="30" t="str">
        <f>IF(ISNUMBER(SEARCH(E1558,A1558)),A1558,IF(OR(E1558="",E1558=""),A1558,A1558&amp;" - "&amp;E1558))</f>
        <v>Cannabis Flos MV RNTZ</v>
      </c>
      <c r="C1558" s="30" t="s">
        <v>564</v>
      </c>
      <c r="D1558" s="30" t="s">
        <v>565</v>
      </c>
      <c r="E1558" s="40"/>
      <c r="F1558" s="30" t="s">
        <v>56</v>
      </c>
      <c r="G1558" s="34"/>
      <c r="H1558" s="35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 t="s">
        <v>64</v>
      </c>
      <c r="AA1558" s="30" t="s">
        <v>565</v>
      </c>
      <c r="AB1558" s="30"/>
      <c r="AC1558" s="30"/>
    </row>
    <row r="1559" spans="1:29">
      <c r="A1559" s="24" t="s">
        <v>4316</v>
      </c>
      <c r="B1559" s="24" t="str">
        <f>IF(ISNUMBER(SEARCH(E1559,A1559)),A1559,IF(OR(E1559="",E1559=""),A1559,A1559&amp;" - "&amp;E1559))</f>
        <v>madrecan 21/1 MAC MINIS</v>
      </c>
      <c r="C1559" s="24" t="s">
        <v>83</v>
      </c>
      <c r="D1559" s="24" t="s">
        <v>84</v>
      </c>
      <c r="E1559" s="41"/>
      <c r="F1559" s="24" t="s">
        <v>56</v>
      </c>
      <c r="G1559" s="27">
        <v>21</v>
      </c>
      <c r="H1559" s="28">
        <v>1</v>
      </c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 t="s">
        <v>64</v>
      </c>
      <c r="AA1559" s="24" t="s">
        <v>95</v>
      </c>
      <c r="AB1559" s="24"/>
      <c r="AC1559" s="24"/>
    </row>
    <row r="1560" spans="1:29">
      <c r="A1560" s="30" t="s">
        <v>4317</v>
      </c>
      <c r="B1560" s="30" t="str">
        <f>IF(ISNUMBER(SEARCH(E1560,A1560)),A1560,IF(OR(E1560="",E1560=""),A1560,A1560&amp;" - "&amp;E1560))</f>
        <v>madrecan 21/1 PUC MINIS</v>
      </c>
      <c r="C1560" s="30" t="s">
        <v>83</v>
      </c>
      <c r="D1560" s="30" t="s">
        <v>84</v>
      </c>
      <c r="E1560" s="40"/>
      <c r="F1560" s="30" t="s">
        <v>56</v>
      </c>
      <c r="G1560" s="34">
        <v>21</v>
      </c>
      <c r="H1560" s="35">
        <v>1</v>
      </c>
      <c r="I1560" s="30"/>
      <c r="J1560" s="30"/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 t="s">
        <v>64</v>
      </c>
      <c r="AA1560" s="30" t="s">
        <v>95</v>
      </c>
      <c r="AB1560" s="30"/>
      <c r="AC1560" s="30"/>
    </row>
    <row r="1561" spans="1:29">
      <c r="A1561" s="24" t="s">
        <v>4318</v>
      </c>
      <c r="B1561" s="24" t="str">
        <f>IF(ISNUMBER(SEARCH(E1561,A1561)),A1561,IF(OR(E1561="",E1561=""),A1561,A1561&amp;" - "&amp;E1561))</f>
        <v xml:space="preserve">madrecan 21/1 RCH MINIS </v>
      </c>
      <c r="C1561" s="24" t="s">
        <v>83</v>
      </c>
      <c r="D1561" s="24" t="s">
        <v>84</v>
      </c>
      <c r="E1561" s="41"/>
      <c r="F1561" s="24" t="s">
        <v>56</v>
      </c>
      <c r="G1561" s="27">
        <v>21</v>
      </c>
      <c r="H1561" s="28">
        <v>1</v>
      </c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 t="s">
        <v>64</v>
      </c>
      <c r="AA1561" s="24" t="s">
        <v>95</v>
      </c>
      <c r="AB1561" s="24"/>
      <c r="AC1561" s="24"/>
    </row>
    <row r="1562" spans="1:29">
      <c r="A1562" s="30" t="s">
        <v>4319</v>
      </c>
      <c r="B1562" s="30" t="str">
        <f>IF(ISNUMBER(SEARCH(E1562,A1562)),A1562,IF(OR(E1562="",E1562=""),A1562,A1562&amp;" - "&amp;E1562))</f>
        <v>madrecan 21/1 SKY MINIS</v>
      </c>
      <c r="C1562" s="30" t="s">
        <v>83</v>
      </c>
      <c r="D1562" s="30" t="s">
        <v>84</v>
      </c>
      <c r="E1562" s="40"/>
      <c r="F1562" s="30" t="s">
        <v>56</v>
      </c>
      <c r="G1562" s="34">
        <v>21</v>
      </c>
      <c r="H1562" s="35">
        <v>1</v>
      </c>
      <c r="I1562" s="30"/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 t="s">
        <v>64</v>
      </c>
      <c r="AA1562" s="30" t="s">
        <v>95</v>
      </c>
      <c r="AB1562" s="30"/>
      <c r="AC1562" s="30"/>
    </row>
    <row r="1563" spans="1:29">
      <c r="A1563" s="44" t="s">
        <v>4320</v>
      </c>
      <c r="B1563" s="44" t="s">
        <v>4321</v>
      </c>
      <c r="C1563" s="24" t="s">
        <v>83</v>
      </c>
      <c r="D1563" s="24" t="s">
        <v>84</v>
      </c>
      <c r="E1563" s="45" t="s">
        <v>1001</v>
      </c>
      <c r="F1563" s="43" t="s">
        <v>120</v>
      </c>
      <c r="G1563" s="46">
        <v>21</v>
      </c>
      <c r="H1563" s="28">
        <v>1</v>
      </c>
      <c r="I1563" s="43"/>
      <c r="J1563" s="43"/>
      <c r="K1563" s="43" t="s">
        <v>17</v>
      </c>
      <c r="L1563" s="43" t="s">
        <v>102</v>
      </c>
      <c r="M1563" s="43" t="s">
        <v>88</v>
      </c>
      <c r="N1563" s="43" t="s">
        <v>103</v>
      </c>
      <c r="O1563" s="43" t="s">
        <v>72</v>
      </c>
      <c r="P1563" s="43" t="s">
        <v>157</v>
      </c>
      <c r="Q1563" s="43" t="s">
        <v>146</v>
      </c>
      <c r="R1563" s="43" t="s">
        <v>74</v>
      </c>
      <c r="S1563" s="43" t="s">
        <v>62</v>
      </c>
      <c r="T1563" s="43" t="s">
        <v>164</v>
      </c>
      <c r="U1563" s="43" t="s">
        <v>56</v>
      </c>
      <c r="V1563" s="43" t="s">
        <v>92</v>
      </c>
      <c r="W1563" s="43" t="s">
        <v>77</v>
      </c>
      <c r="X1563" s="43" t="s">
        <v>165</v>
      </c>
      <c r="Y1563" s="43" t="s">
        <v>1002</v>
      </c>
      <c r="Z1563" s="43" t="s">
        <v>64</v>
      </c>
      <c r="AA1563" s="43" t="s">
        <v>95</v>
      </c>
      <c r="AB1563" s="43" t="s">
        <v>56</v>
      </c>
      <c r="AC1563" s="24"/>
    </row>
    <row r="1564" spans="1:29">
      <c r="A1564" s="44" t="s">
        <v>4322</v>
      </c>
      <c r="B1564" s="44" t="s">
        <v>4323</v>
      </c>
      <c r="C1564" s="24" t="s">
        <v>83</v>
      </c>
      <c r="D1564" s="24" t="s">
        <v>84</v>
      </c>
      <c r="E1564" s="45" t="s">
        <v>1191</v>
      </c>
      <c r="F1564" s="43" t="s">
        <v>177</v>
      </c>
      <c r="G1564" s="46">
        <v>18</v>
      </c>
      <c r="H1564" s="28">
        <v>1</v>
      </c>
      <c r="I1564" s="43"/>
      <c r="J1564" s="43"/>
      <c r="K1564" s="43" t="s">
        <v>17</v>
      </c>
      <c r="L1564" s="43" t="s">
        <v>102</v>
      </c>
      <c r="M1564" s="43" t="s">
        <v>103</v>
      </c>
      <c r="N1564" s="43" t="s">
        <v>72</v>
      </c>
      <c r="O1564" s="43" t="s">
        <v>56</v>
      </c>
      <c r="P1564" s="43" t="s">
        <v>73</v>
      </c>
      <c r="Q1564" s="43" t="s">
        <v>74</v>
      </c>
      <c r="R1564" s="43" t="s">
        <v>59</v>
      </c>
      <c r="S1564" s="43" t="s">
        <v>147</v>
      </c>
      <c r="T1564" s="43" t="s">
        <v>123</v>
      </c>
      <c r="U1564" s="43" t="s">
        <v>106</v>
      </c>
      <c r="V1564" s="43" t="s">
        <v>92</v>
      </c>
      <c r="W1564" s="43" t="s">
        <v>77</v>
      </c>
      <c r="X1564" s="43" t="s">
        <v>107</v>
      </c>
      <c r="Y1564" s="43" t="s">
        <v>1192</v>
      </c>
      <c r="Z1564" s="43" t="s">
        <v>64</v>
      </c>
      <c r="AA1564" s="43" t="s">
        <v>95</v>
      </c>
      <c r="AB1564" s="43"/>
      <c r="AC1564" s="24"/>
    </row>
    <row r="1565" spans="1:29">
      <c r="A1565" s="30" t="s">
        <v>4324</v>
      </c>
      <c r="B1565" s="30" t="str">
        <f>IF(ISNUMBER(SEARCH(E1565,A1565)),A1565,IF(OR(E1565="",E1565=""),A1565,A1565&amp;" - "&amp;E1565))</f>
        <v>Peace Naturals Northbound 25/1 - Garlic Breath</v>
      </c>
      <c r="C1565" s="30" t="s">
        <v>811</v>
      </c>
      <c r="D1565" s="30" t="s">
        <v>812</v>
      </c>
      <c r="E1565" s="40"/>
      <c r="F1565" s="40"/>
      <c r="G1565" s="34">
        <v>25</v>
      </c>
      <c r="H1565" s="35">
        <v>1</v>
      </c>
      <c r="I1565" s="30"/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 t="s">
        <v>64</v>
      </c>
      <c r="AA1565" s="30" t="s">
        <v>812</v>
      </c>
      <c r="AB1565" s="30"/>
      <c r="AC1565" s="30"/>
    </row>
    <row r="1566" spans="1:29">
      <c r="A1566" s="24" t="s">
        <v>4325</v>
      </c>
      <c r="B1566" s="24" t="str">
        <f>IF(ISNUMBER(SEARCH(E1566,A1566)),A1566,IF(OR(E1566="",E1566=""),A1566,A1566&amp;" - "&amp;E1566))</f>
        <v>101 C-Extrakt - Big Bud X AK47</v>
      </c>
      <c r="C1566" s="24" t="s">
        <v>2296</v>
      </c>
      <c r="D1566" s="24" t="s">
        <v>2297</v>
      </c>
      <c r="E1566" s="41"/>
      <c r="F1566" s="41"/>
      <c r="G1566" s="27"/>
      <c r="H1566" s="28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 t="s">
        <v>1915</v>
      </c>
      <c r="AA1566" s="24" t="s">
        <v>2298</v>
      </c>
      <c r="AB1566" s="24"/>
      <c r="AC1566" s="24"/>
    </row>
    <row r="1567" spans="1:29">
      <c r="A1567" s="30" t="s">
        <v>4326</v>
      </c>
      <c r="B1567" s="30" t="str">
        <f>IF(ISNUMBER(SEARCH(E1567,A1567)),A1567,IF(OR(E1567="",E1567=""),A1567,A1567&amp;" - "&amp;E1567))</f>
        <v>Aurora THC/CBD 1 - LA Confidentional x Cannatonic</v>
      </c>
      <c r="C1567" s="30" t="s">
        <v>511</v>
      </c>
      <c r="D1567" s="30" t="s">
        <v>512</v>
      </c>
      <c r="E1567" s="40"/>
      <c r="F1567" s="30" t="s">
        <v>56</v>
      </c>
      <c r="G1567" s="34"/>
      <c r="H1567" s="35"/>
      <c r="I1567" s="30">
        <v>0</v>
      </c>
      <c r="J1567" s="30">
        <v>0</v>
      </c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 t="s">
        <v>1915</v>
      </c>
      <c r="AA1567" s="30" t="s">
        <v>512</v>
      </c>
      <c r="AB1567" s="30"/>
      <c r="AC1567" s="30"/>
    </row>
    <row r="1568" spans="1:29">
      <c r="A1568" s="24" t="s">
        <v>4327</v>
      </c>
      <c r="B1568" s="24" t="str">
        <f>IF(ISNUMBER(SEARCH(E1568,A1568)),A1568,IF(OR(E1568="",E1568=""),A1568,A1568&amp;" - "&amp;E1568))</f>
        <v>CannabisStada 25/1 - Northern Lights</v>
      </c>
      <c r="C1568" s="24" t="s">
        <v>478</v>
      </c>
      <c r="D1568" s="24" t="s">
        <v>479</v>
      </c>
      <c r="E1568" s="41"/>
      <c r="F1568" s="24" t="s">
        <v>56</v>
      </c>
      <c r="G1568" s="27"/>
      <c r="H1568" s="28"/>
      <c r="I1568" s="24">
        <v>0</v>
      </c>
      <c r="J1568" s="24">
        <v>0</v>
      </c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 t="s">
        <v>1915</v>
      </c>
      <c r="AA1568" s="24" t="s">
        <v>481</v>
      </c>
      <c r="AB1568" s="24"/>
      <c r="AC1568" s="24"/>
    </row>
    <row r="1569" spans="1:29">
      <c r="A1569" s="30" t="s">
        <v>4328</v>
      </c>
      <c r="B1569" s="30" t="str">
        <f>IF(ISNUMBER(SEARCH(E1569,A1569)),A1569,IF(OR(E1569="",E1569=""),A1569,A1569&amp;" - "&amp;E1569))</f>
        <v>Cannab MPL 900/900MG EXT 30</v>
      </c>
      <c r="C1569" s="30" t="s">
        <v>478</v>
      </c>
      <c r="D1569" s="30" t="s">
        <v>479</v>
      </c>
      <c r="E1569" s="40"/>
      <c r="F1569" s="30" t="s">
        <v>56</v>
      </c>
      <c r="G1569" s="34"/>
      <c r="H1569" s="35"/>
      <c r="I1569" s="30">
        <v>0</v>
      </c>
      <c r="J1569" s="30">
        <v>0</v>
      </c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 t="s">
        <v>1915</v>
      </c>
      <c r="AA1569" s="30" t="s">
        <v>481</v>
      </c>
      <c r="AB1569" s="30"/>
      <c r="AC1569" s="30"/>
    </row>
    <row r="1570" spans="1:29">
      <c r="A1570" s="24" t="s">
        <v>4329</v>
      </c>
      <c r="B1570" s="24" t="str">
        <f>IF(ISNUMBER(SEARCH(E1570,A1570)),A1570,IF(OR(E1570="",E1570=""),A1570,A1570&amp;" - "&amp;E1570))</f>
        <v>MPL 30/750MG EXT</v>
      </c>
      <c r="C1570" s="24" t="s">
        <v>478</v>
      </c>
      <c r="D1570" s="24" t="s">
        <v>479</v>
      </c>
      <c r="E1570" s="41"/>
      <c r="F1570" s="24" t="s">
        <v>56</v>
      </c>
      <c r="G1570" s="27"/>
      <c r="H1570" s="28"/>
      <c r="I1570" s="24" t="s">
        <v>4057</v>
      </c>
      <c r="J1570" s="24">
        <v>750</v>
      </c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 t="s">
        <v>1915</v>
      </c>
      <c r="AA1570" s="24" t="s">
        <v>481</v>
      </c>
      <c r="AB1570" s="24"/>
      <c r="AC1570" s="24"/>
    </row>
    <row r="1571" spans="1:29">
      <c r="A1571" s="30" t="s">
        <v>4330</v>
      </c>
      <c r="B1571" s="30" t="str">
        <f>IF(ISNUMBER(SEARCH(E1571,A1571)),A1571,IF(OR(E1571="",E1571=""),A1571,A1571&amp;" - "&amp;E1571))</f>
        <v>Cannabisextrakt Avextra THC 10% E 250ML</v>
      </c>
      <c r="C1571" s="30" t="s">
        <v>2001</v>
      </c>
      <c r="D1571" s="30" t="s">
        <v>2002</v>
      </c>
      <c r="E1571" s="40"/>
      <c r="F1571" s="30" t="s">
        <v>56</v>
      </c>
      <c r="G1571" s="34"/>
      <c r="H1571" s="35"/>
      <c r="I1571" s="30">
        <v>0</v>
      </c>
      <c r="J1571" s="30">
        <v>0</v>
      </c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 t="s">
        <v>1915</v>
      </c>
      <c r="AA1571" s="30" t="s">
        <v>2002</v>
      </c>
      <c r="AB1571" s="30"/>
      <c r="AC1571" s="30"/>
    </row>
    <row r="1572" spans="1:29">
      <c r="A1572" s="24" t="s">
        <v>4331</v>
      </c>
      <c r="B1572" s="24" t="str">
        <f>IF(ISNUMBER(SEARCH(E1572,A1572)),A1572,IF(OR(E1572="",E1572=""),A1572,A1572&amp;" - "&amp;E1572))</f>
        <v>Cannabistada MPL 1500/750mg</v>
      </c>
      <c r="C1572" s="24" t="s">
        <v>478</v>
      </c>
      <c r="D1572" s="24" t="s">
        <v>479</v>
      </c>
      <c r="E1572" s="41"/>
      <c r="F1572" s="24" t="s">
        <v>56</v>
      </c>
      <c r="G1572" s="27"/>
      <c r="H1572" s="28"/>
      <c r="I1572" s="24">
        <v>0</v>
      </c>
      <c r="J1572" s="24">
        <v>0</v>
      </c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 t="s">
        <v>1915</v>
      </c>
      <c r="AA1572" s="24" t="s">
        <v>481</v>
      </c>
      <c r="AB1572" s="24"/>
      <c r="AC1572" s="24"/>
    </row>
    <row r="1573" spans="1:29">
      <c r="A1573" s="30" t="s">
        <v>4332</v>
      </c>
      <c r="B1573" s="30" t="str">
        <f>IF(ISNUMBER(SEARCH(E1573,A1573)),A1573,IF(OR(E1573="",E1573=""),A1573,A1573&amp;" - "&amp;E1573))</f>
        <v>Cannabistada MPL 30/750mg</v>
      </c>
      <c r="C1573" s="30" t="s">
        <v>478</v>
      </c>
      <c r="D1573" s="30" t="s">
        <v>479</v>
      </c>
      <c r="E1573" s="40"/>
      <c r="F1573" s="30" t="s">
        <v>56</v>
      </c>
      <c r="G1573" s="34"/>
      <c r="H1573" s="35"/>
      <c r="I1573" s="30">
        <v>0</v>
      </c>
      <c r="J1573" s="30">
        <v>0</v>
      </c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 t="s">
        <v>1915</v>
      </c>
      <c r="AA1573" s="30" t="s">
        <v>481</v>
      </c>
      <c r="AB1573" s="30"/>
      <c r="AC1573" s="30"/>
    </row>
    <row r="1574" spans="1:29">
      <c r="A1574" s="24" t="s">
        <v>4333</v>
      </c>
      <c r="B1574" s="24" t="str">
        <f>IF(ISNUMBER(SEARCH(E1574,A1574)),A1574,IF(OR(E1574="",E1574=""),A1574,A1574&amp;" - "&amp;E1574))</f>
        <v>Cannabistada MPL STADA 300/300mg</v>
      </c>
      <c r="C1574" s="24" t="s">
        <v>478</v>
      </c>
      <c r="D1574" s="24" t="s">
        <v>479</v>
      </c>
      <c r="E1574" s="41"/>
      <c r="F1574" s="24" t="s">
        <v>56</v>
      </c>
      <c r="G1574" s="27"/>
      <c r="H1574" s="28"/>
      <c r="I1574" s="24">
        <v>0</v>
      </c>
      <c r="J1574" s="24">
        <v>0</v>
      </c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 t="s">
        <v>1915</v>
      </c>
      <c r="AA1574" s="24" t="s">
        <v>481</v>
      </c>
      <c r="AB1574" s="24"/>
      <c r="AC1574" s="24"/>
    </row>
    <row r="1575" spans="1:29">
      <c r="A1575" s="30" t="s">
        <v>4334</v>
      </c>
      <c r="B1575" s="30" t="str">
        <f>IF(ISNUMBER(SEARCH(E1575,A1575)),A1575,IF(OR(E1575="",E1575=""),A1575,A1575&amp;" - "&amp;E1575))</f>
        <v>Cannabistada MPL 750/30mg</v>
      </c>
      <c r="C1575" s="30" t="s">
        <v>478</v>
      </c>
      <c r="D1575" s="30" t="s">
        <v>479</v>
      </c>
      <c r="E1575" s="40"/>
      <c r="F1575" s="30" t="s">
        <v>56</v>
      </c>
      <c r="G1575" s="34"/>
      <c r="H1575" s="35"/>
      <c r="I1575" s="30">
        <v>0</v>
      </c>
      <c r="J1575" s="30">
        <v>0</v>
      </c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 t="s">
        <v>1915</v>
      </c>
      <c r="AA1575" s="30" t="s">
        <v>481</v>
      </c>
      <c r="AB1575" s="30"/>
      <c r="AC1575" s="30"/>
    </row>
    <row r="1576" spans="1:29">
      <c r="A1576" s="24" t="s">
        <v>4335</v>
      </c>
      <c r="B1576" s="24" t="str">
        <f>IF(ISNUMBER(SEARCH(E1576,A1576)),A1576,IF(OR(E1576="",E1576=""),A1576,A1576&amp;" - "&amp;E1576))</f>
        <v>CannaXan 771</v>
      </c>
      <c r="C1576" s="24" t="s">
        <v>2140</v>
      </c>
      <c r="D1576" s="24" t="s">
        <v>2141</v>
      </c>
      <c r="E1576" s="41"/>
      <c r="F1576" s="24" t="s">
        <v>56</v>
      </c>
      <c r="G1576" s="27"/>
      <c r="H1576" s="28"/>
      <c r="I1576" s="24">
        <v>0</v>
      </c>
      <c r="J1576" s="24">
        <v>0</v>
      </c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 t="s">
        <v>1915</v>
      </c>
      <c r="AA1576" s="24" t="s">
        <v>2142</v>
      </c>
      <c r="AB1576" s="24"/>
      <c r="AC1576" s="24"/>
    </row>
    <row r="1577" spans="1:29">
      <c r="A1577" s="44" t="s">
        <v>4336</v>
      </c>
      <c r="B1577" s="44" t="s">
        <v>4336</v>
      </c>
      <c r="C1577" s="30" t="s">
        <v>4337</v>
      </c>
      <c r="D1577" s="30" t="s">
        <v>4338</v>
      </c>
      <c r="E1577" s="45"/>
      <c r="F1577" s="45"/>
      <c r="G1577" s="46"/>
      <c r="H1577" s="69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3"/>
      <c r="U1577" s="43"/>
      <c r="V1577" s="43"/>
      <c r="W1577" s="43"/>
      <c r="X1577" s="43"/>
      <c r="Y1577" s="43"/>
      <c r="Z1577" s="43"/>
      <c r="AA1577" s="43"/>
      <c r="AB1577" s="43"/>
      <c r="AC1577" s="30"/>
    </row>
    <row r="1578" spans="1:29">
      <c r="A1578" s="24" t="s">
        <v>4339</v>
      </c>
      <c r="B1578" s="24" t="str">
        <f>IF(ISNUMBER(SEARCH(E1578,A1578)),A1578,IF(OR(E1578="",E1578=""),A1578,A1578&amp;" - "&amp;E1578))</f>
        <v>Cannamedical Extrakt 25/25</v>
      </c>
      <c r="C1578" s="24" t="s">
        <v>48</v>
      </c>
      <c r="D1578" s="24" t="s">
        <v>49</v>
      </c>
      <c r="E1578" s="41"/>
      <c r="F1578" s="24" t="s">
        <v>56</v>
      </c>
      <c r="G1578" s="27"/>
      <c r="H1578" s="28"/>
      <c r="I1578" s="24">
        <v>25</v>
      </c>
      <c r="J1578" s="24">
        <v>25</v>
      </c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 t="s">
        <v>1915</v>
      </c>
      <c r="AA1578" s="24" t="s">
        <v>49</v>
      </c>
      <c r="AB1578" s="24"/>
      <c r="AC1578" s="24"/>
    </row>
    <row r="1579" spans="1:29">
      <c r="A1579" s="30" t="s">
        <v>4340</v>
      </c>
      <c r="B1579" s="30" t="str">
        <f>IF(ISNUMBER(SEARCH(E1579,A1579)),A1579,IF(OR(E1579="",E1579=""),A1579,A1579&amp;" - "&amp;E1579))</f>
        <v>Cannaflos Extrakt THC dominant</v>
      </c>
      <c r="C1579" s="30" t="s">
        <v>4341</v>
      </c>
      <c r="D1579" s="30" t="s">
        <v>4342</v>
      </c>
      <c r="E1579" s="40"/>
      <c r="F1579" s="30" t="s">
        <v>56</v>
      </c>
      <c r="G1579" s="34"/>
      <c r="H1579" s="35"/>
      <c r="I1579" s="30">
        <v>0</v>
      </c>
      <c r="J1579" s="30">
        <v>0</v>
      </c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 t="s">
        <v>1915</v>
      </c>
      <c r="AA1579" s="30"/>
      <c r="AB1579" s="30"/>
      <c r="AC1579" s="30"/>
    </row>
    <row r="1580" spans="1:29">
      <c r="A1580" s="24" t="s">
        <v>4343</v>
      </c>
      <c r="B1580" s="24" t="str">
        <f>IF(ISNUMBER(SEARCH(E1580,A1580)),A1580,IF(OR(E1580="",E1580=""),A1580,A1580&amp;" - "&amp;E1580))</f>
        <v>Cannab MPL 300/3000MG EXT</v>
      </c>
      <c r="C1580" s="24" t="s">
        <v>478</v>
      </c>
      <c r="D1580" s="24" t="s">
        <v>479</v>
      </c>
      <c r="E1580" s="41"/>
      <c r="F1580" s="24" t="s">
        <v>56</v>
      </c>
      <c r="G1580" s="27"/>
      <c r="H1580" s="28"/>
      <c r="I1580" s="24">
        <v>0</v>
      </c>
      <c r="J1580" s="24">
        <v>0</v>
      </c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 t="s">
        <v>1915</v>
      </c>
      <c r="AA1580" s="24" t="s">
        <v>481</v>
      </c>
      <c r="AB1580" s="24"/>
      <c r="AC1580" s="24"/>
    </row>
    <row r="1581" spans="1:29">
      <c r="A1581" s="30" t="s">
        <v>4344</v>
      </c>
      <c r="B1581" s="30" t="str">
        <f>IF(ISNUMBER(SEARCH(E1581,A1581)),A1581,IF(OR(E1581="",E1581=""),A1581,A1581&amp;" - "&amp;E1581))</f>
        <v>Rosin Avaay RG</v>
      </c>
      <c r="C1581" s="30" t="s">
        <v>569</v>
      </c>
      <c r="D1581" s="30" t="s">
        <v>570</v>
      </c>
      <c r="E1581" s="40"/>
      <c r="F1581" s="30" t="s">
        <v>56</v>
      </c>
      <c r="G1581" s="34"/>
      <c r="H1581" s="35"/>
      <c r="I1581" s="30">
        <v>0</v>
      </c>
      <c r="J1581" s="30">
        <v>0</v>
      </c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 t="s">
        <v>4345</v>
      </c>
      <c r="AA1581" s="30" t="s">
        <v>572</v>
      </c>
      <c r="AB1581" s="30"/>
      <c r="AC1581" s="30"/>
    </row>
    <row r="1582" spans="1:29">
      <c r="A1582" s="24" t="s">
        <v>4346</v>
      </c>
      <c r="B1582" s="24" t="str">
        <f>IF(ISNUMBER(SEARCH(E1582,A1582)),A1582,IF(OR(E1582="",E1582=""),A1582,A1582&amp;" - "&amp;E1582))</f>
        <v>Demecan One Concentrate Bubba Kush</v>
      </c>
      <c r="C1582" s="24" t="s">
        <v>484</v>
      </c>
      <c r="D1582" s="24" t="s">
        <v>485</v>
      </c>
      <c r="E1582" s="24" t="s">
        <v>1823</v>
      </c>
      <c r="F1582" s="24" t="s">
        <v>177</v>
      </c>
      <c r="G1582" s="27"/>
      <c r="H1582" s="28"/>
      <c r="I1582" s="24">
        <v>833</v>
      </c>
      <c r="J1582" s="44" t="s">
        <v>65</v>
      </c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 t="s">
        <v>4345</v>
      </c>
      <c r="AA1582" s="24" t="s">
        <v>485</v>
      </c>
      <c r="AB1582" s="24"/>
      <c r="AC1582" s="24"/>
    </row>
    <row r="1583" spans="1:29">
      <c r="A1583" s="30" t="s">
        <v>4347</v>
      </c>
      <c r="B1583" s="30" t="str">
        <f>IF(ISNUMBER(SEARCH(E1583,A1583)),A1583,IF(OR(E1583="",E1583=""),A1583,A1583&amp;" - "&amp;E1583))</f>
        <v>Rosin Avaay SCG 83 %</v>
      </c>
      <c r="C1583" s="30" t="s">
        <v>569</v>
      </c>
      <c r="D1583" s="30" t="s">
        <v>570</v>
      </c>
      <c r="E1583" s="40"/>
      <c r="F1583" s="30" t="s">
        <v>56</v>
      </c>
      <c r="G1583" s="34"/>
      <c r="H1583" s="35"/>
      <c r="I1583" s="30">
        <v>0</v>
      </c>
      <c r="J1583" s="30">
        <v>0</v>
      </c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 t="s">
        <v>4345</v>
      </c>
      <c r="AA1583" s="30" t="s">
        <v>572</v>
      </c>
      <c r="AB1583" s="30"/>
      <c r="AC1583" s="30"/>
    </row>
    <row r="1584" spans="1:29">
      <c r="A1584" s="48" t="s">
        <v>4348</v>
      </c>
      <c r="B1584" s="60" t="str">
        <f>IF(ISNUMBER(SEARCH(E1584,A1584)),A1584,IF(OR(E1584="",E1584=""),A1584,A1584&amp;" - "&amp;E1584))</f>
        <v>Remexian 27/1 BAG - Banana Gas</v>
      </c>
      <c r="C1584" s="30" t="s">
        <v>83</v>
      </c>
      <c r="D1584" s="30" t="s">
        <v>84</v>
      </c>
      <c r="E1584" s="45" t="s">
        <v>1407</v>
      </c>
      <c r="F1584" s="45"/>
      <c r="G1584" s="46"/>
      <c r="H1584" s="46"/>
      <c r="I1584" s="43"/>
      <c r="J1584" s="43" t="s">
        <v>0</v>
      </c>
      <c r="K1584" s="43"/>
      <c r="L1584" s="43"/>
      <c r="M1584" s="43"/>
      <c r="N1584" s="43"/>
      <c r="O1584" s="43"/>
      <c r="P1584" s="43"/>
      <c r="Q1584" s="43"/>
      <c r="R1584" s="43"/>
      <c r="S1584" s="43"/>
      <c r="T1584" s="43"/>
      <c r="U1584" s="43"/>
      <c r="V1584" s="43"/>
      <c r="W1584" s="43"/>
      <c r="X1584" s="43"/>
      <c r="Y1584" s="43"/>
      <c r="Z1584" s="43"/>
      <c r="AA1584" s="30" t="s">
        <v>95</v>
      </c>
      <c r="AB1584" s="43"/>
      <c r="AC1584" s="30"/>
    </row>
    <row r="1585" spans="1:29">
      <c r="A1585" s="50" t="s">
        <v>4349</v>
      </c>
      <c r="B1585" s="60" t="str">
        <f>IF(ISNUMBER(SEARCH(E1585,A1585)),A1585,IF(OR(E1585="",E1585=""),A1585,A1585&amp;" - "&amp;E1585))</f>
        <v>Demecan Low Drop 16/1 - Creamy Kees</v>
      </c>
      <c r="C1585" s="24" t="s">
        <v>484</v>
      </c>
      <c r="D1585" s="24" t="s">
        <v>485</v>
      </c>
      <c r="E1585" s="45"/>
      <c r="F1585" s="45"/>
      <c r="G1585" s="46"/>
      <c r="H1585" s="46"/>
      <c r="I1585" s="43"/>
      <c r="J1585" s="43" t="s">
        <v>0</v>
      </c>
      <c r="K1585" s="43"/>
      <c r="L1585" s="43"/>
      <c r="M1585" s="43"/>
      <c r="N1585" s="43"/>
      <c r="O1585" s="43"/>
      <c r="P1585" s="43"/>
      <c r="Q1585" s="43"/>
      <c r="R1585" s="43"/>
      <c r="S1585" s="43"/>
      <c r="T1585" s="43"/>
      <c r="U1585" s="43"/>
      <c r="V1585" s="43"/>
      <c r="W1585" s="43"/>
      <c r="X1585" s="43"/>
      <c r="Y1585" s="43"/>
      <c r="Z1585" s="43"/>
      <c r="AA1585" s="43" t="s">
        <v>485</v>
      </c>
      <c r="AB1585" s="43"/>
      <c r="AC1585" s="24"/>
    </row>
    <row r="1586" spans="1:29">
      <c r="A1586" s="50" t="s">
        <v>4350</v>
      </c>
      <c r="B1586" s="60" t="str">
        <f>IF(ISNUMBER(SEARCH(E1586,A1586)),A1586,IF(OR(E1586="",E1586=""),A1586,A1586&amp;" - "&amp;E1586))</f>
        <v xml:space="preserve">Madrecan 21/1 PUC - Punch Cake </v>
      </c>
      <c r="C1586" s="30" t="s">
        <v>83</v>
      </c>
      <c r="D1586" s="30" t="s">
        <v>84</v>
      </c>
      <c r="E1586" s="45"/>
      <c r="F1586" s="45"/>
      <c r="G1586" s="46"/>
      <c r="H1586" s="46"/>
      <c r="I1586" s="43"/>
      <c r="J1586" s="43" t="s">
        <v>0</v>
      </c>
      <c r="K1586" s="43"/>
      <c r="L1586" s="43"/>
      <c r="M1586" s="43"/>
      <c r="N1586" s="43"/>
      <c r="O1586" s="43"/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3"/>
      <c r="AA1586" s="72" t="s">
        <v>95</v>
      </c>
      <c r="AB1586" s="43"/>
      <c r="AC1586" s="30"/>
    </row>
    <row r="1587" spans="1:29">
      <c r="A1587" s="48" t="s">
        <v>4351</v>
      </c>
      <c r="B1587" s="60" t="str">
        <f>IF(ISNUMBER(SEARCH(E1587,A1587)),A1587,IF(OR(E1587="",E1587=""),A1587,A1587&amp;" - "&amp;E1587))</f>
        <v>Remexian 21/1 TAN - Banjo</v>
      </c>
      <c r="C1587" s="24" t="s">
        <v>83</v>
      </c>
      <c r="D1587" s="24" t="s">
        <v>84</v>
      </c>
      <c r="E1587" s="41" t="s">
        <v>3686</v>
      </c>
      <c r="F1587" s="45"/>
      <c r="G1587" s="46"/>
      <c r="H1587" s="46"/>
      <c r="I1587" s="43"/>
      <c r="J1587" s="43" t="s">
        <v>0</v>
      </c>
      <c r="K1587" s="43"/>
      <c r="L1587" s="43"/>
      <c r="M1587" s="43"/>
      <c r="N1587" s="43"/>
      <c r="O1587" s="43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3"/>
      <c r="AA1587" s="24" t="s">
        <v>95</v>
      </c>
      <c r="AB1587" s="43"/>
      <c r="AC1587" s="24"/>
    </row>
    <row r="1588" spans="1:29">
      <c r="A1588" s="50" t="s">
        <v>4352</v>
      </c>
      <c r="B1588" s="60" t="str">
        <f>IF(ISNUMBER(SEARCH(E1588,A1588)),A1588,IF(OR(E1588="",E1588=""),A1588,A1588&amp;" - "&amp;E1588))</f>
        <v>Remexian Balanced CNF MCC 10/15 - Mango Cheese</v>
      </c>
      <c r="C1588" s="30" t="s">
        <v>83</v>
      </c>
      <c r="D1588" s="30" t="s">
        <v>84</v>
      </c>
      <c r="E1588" s="45" t="s">
        <v>3661</v>
      </c>
      <c r="F1588" s="45" t="s">
        <v>86</v>
      </c>
      <c r="G1588" s="34">
        <v>10</v>
      </c>
      <c r="H1588" s="69" t="s">
        <v>20</v>
      </c>
      <c r="I1588" s="43" t="s">
        <v>0</v>
      </c>
      <c r="J1588" s="43" t="s">
        <v>0</v>
      </c>
      <c r="K1588" s="43" t="s">
        <v>52</v>
      </c>
      <c r="L1588" s="43" t="s">
        <v>53</v>
      </c>
      <c r="M1588" s="43" t="s">
        <v>88</v>
      </c>
      <c r="N1588" s="43" t="s">
        <v>0</v>
      </c>
      <c r="O1588" s="43" t="s">
        <v>0</v>
      </c>
      <c r="P1588" s="43" t="s">
        <v>75</v>
      </c>
      <c r="Q1588" s="43" t="s">
        <v>136</v>
      </c>
      <c r="R1588" s="43" t="s">
        <v>58</v>
      </c>
      <c r="S1588" s="43" t="s">
        <v>128</v>
      </c>
      <c r="T1588" s="43" t="s">
        <v>62</v>
      </c>
      <c r="U1588" s="43" t="s">
        <v>192</v>
      </c>
      <c r="V1588" s="43" t="s">
        <v>79</v>
      </c>
      <c r="W1588" s="43" t="s">
        <v>93</v>
      </c>
      <c r="X1588" s="43" t="s">
        <v>107</v>
      </c>
      <c r="Y1588" s="43"/>
      <c r="Z1588" s="43" t="s">
        <v>64</v>
      </c>
      <c r="AA1588" s="43" t="s">
        <v>95</v>
      </c>
      <c r="AB1588" s="43" t="s">
        <v>0</v>
      </c>
      <c r="AC1588" s="30"/>
    </row>
    <row r="1589" spans="1:29">
      <c r="A1589" s="60" t="s">
        <v>4353</v>
      </c>
      <c r="B1589" s="60" t="s">
        <v>4354</v>
      </c>
      <c r="C1589" s="24" t="s">
        <v>83</v>
      </c>
      <c r="D1589" s="24" t="s">
        <v>84</v>
      </c>
      <c r="E1589" s="41" t="s">
        <v>273</v>
      </c>
      <c r="F1589" s="41" t="s">
        <v>177</v>
      </c>
      <c r="G1589" s="27" t="s">
        <v>33</v>
      </c>
      <c r="H1589" s="28" t="s">
        <v>65</v>
      </c>
      <c r="I1589" s="24" t="s">
        <v>0</v>
      </c>
      <c r="J1589" s="24" t="s">
        <v>0</v>
      </c>
      <c r="K1589" s="24" t="s">
        <v>52</v>
      </c>
      <c r="L1589" s="24" t="s">
        <v>53</v>
      </c>
      <c r="M1589" s="24" t="s">
        <v>156</v>
      </c>
      <c r="N1589" s="24" t="s">
        <v>88</v>
      </c>
      <c r="O1589" s="24" t="s">
        <v>71</v>
      </c>
      <c r="P1589" s="24" t="s">
        <v>89</v>
      </c>
      <c r="Q1589" s="24" t="s">
        <v>112</v>
      </c>
      <c r="R1589" s="24" t="s">
        <v>57</v>
      </c>
      <c r="S1589" s="24" t="s">
        <v>128</v>
      </c>
      <c r="T1589" s="24" t="s">
        <v>62</v>
      </c>
      <c r="U1589" s="24" t="s">
        <v>123</v>
      </c>
      <c r="V1589" s="24" t="s">
        <v>77</v>
      </c>
      <c r="W1589" s="24" t="s">
        <v>79</v>
      </c>
      <c r="X1589" s="24" t="s">
        <v>457</v>
      </c>
      <c r="Y1589" s="24" t="s">
        <v>240</v>
      </c>
      <c r="Z1589" s="24" t="s">
        <v>64</v>
      </c>
      <c r="AA1589" s="24" t="s">
        <v>95</v>
      </c>
      <c r="AB1589" s="24" t="s">
        <v>0</v>
      </c>
      <c r="AC1589" s="24" t="s">
        <v>4355</v>
      </c>
    </row>
    <row r="1590" spans="1:29">
      <c r="A1590" s="60" t="s">
        <v>4356</v>
      </c>
      <c r="B1590" s="60" t="s">
        <v>4357</v>
      </c>
      <c r="C1590" s="30" t="s">
        <v>99</v>
      </c>
      <c r="D1590" s="30" t="s">
        <v>100</v>
      </c>
      <c r="E1590" s="40" t="s">
        <v>101</v>
      </c>
      <c r="F1590" s="40" t="s">
        <v>86</v>
      </c>
      <c r="G1590" s="34" t="s">
        <v>436</v>
      </c>
      <c r="H1590" s="35">
        <v>1</v>
      </c>
      <c r="I1590" s="30" t="s">
        <v>0</v>
      </c>
      <c r="J1590" s="30" t="s">
        <v>0</v>
      </c>
      <c r="K1590" s="30" t="s">
        <v>17</v>
      </c>
      <c r="L1590" s="30" t="s">
        <v>53</v>
      </c>
      <c r="M1590" s="30" t="s">
        <v>88</v>
      </c>
      <c r="N1590" s="30" t="s">
        <v>71</v>
      </c>
      <c r="O1590" s="30" t="s">
        <v>121</v>
      </c>
      <c r="P1590" s="30" t="s">
        <v>89</v>
      </c>
      <c r="Q1590" s="30" t="s">
        <v>104</v>
      </c>
      <c r="R1590" s="30" t="s">
        <v>74</v>
      </c>
      <c r="S1590" s="30" t="s">
        <v>106</v>
      </c>
      <c r="T1590" s="30" t="s">
        <v>179</v>
      </c>
      <c r="U1590" s="30" t="s">
        <v>62</v>
      </c>
      <c r="V1590" s="30" t="s">
        <v>107</v>
      </c>
      <c r="W1590" s="30" t="s">
        <v>77</v>
      </c>
      <c r="X1590" s="30" t="s">
        <v>79</v>
      </c>
      <c r="Y1590" s="30" t="s">
        <v>1454</v>
      </c>
      <c r="Z1590" s="30" t="s">
        <v>64</v>
      </c>
      <c r="AA1590" s="30" t="s">
        <v>100</v>
      </c>
      <c r="AB1590" s="30" t="s">
        <v>0</v>
      </c>
      <c r="AC1590" s="30" t="s">
        <v>4358</v>
      </c>
    </row>
    <row r="1591" spans="1:29">
      <c r="A1591" s="60" t="s">
        <v>4359</v>
      </c>
      <c r="B1591" s="60" t="s">
        <v>4360</v>
      </c>
      <c r="C1591" s="24" t="s">
        <v>741</v>
      </c>
      <c r="D1591" s="24" t="s">
        <v>742</v>
      </c>
      <c r="E1591" s="41" t="s">
        <v>3938</v>
      </c>
      <c r="F1591" s="41" t="s">
        <v>120</v>
      </c>
      <c r="G1591" s="27" t="s">
        <v>4164</v>
      </c>
      <c r="H1591" s="28" t="s">
        <v>65</v>
      </c>
      <c r="I1591" s="24" t="s">
        <v>0</v>
      </c>
      <c r="J1591" s="24" t="s">
        <v>0</v>
      </c>
      <c r="K1591" s="24" t="s">
        <v>52</v>
      </c>
      <c r="L1591" s="24" t="s">
        <v>53</v>
      </c>
      <c r="M1591" s="24" t="s">
        <v>88</v>
      </c>
      <c r="N1591" s="24" t="s">
        <v>72</v>
      </c>
      <c r="O1591" s="24" t="s">
        <v>0</v>
      </c>
      <c r="P1591" s="24" t="s">
        <v>89</v>
      </c>
      <c r="Q1591" s="24" t="s">
        <v>104</v>
      </c>
      <c r="R1591" s="24" t="s">
        <v>59</v>
      </c>
      <c r="S1591" s="24" t="s">
        <v>106</v>
      </c>
      <c r="T1591" s="24" t="s">
        <v>76</v>
      </c>
      <c r="U1591" s="24" t="s">
        <v>62</v>
      </c>
      <c r="V1591" s="24" t="s">
        <v>107</v>
      </c>
      <c r="W1591" s="24" t="s">
        <v>138</v>
      </c>
      <c r="X1591" s="24" t="s">
        <v>116</v>
      </c>
      <c r="Y1591" s="24" t="s">
        <v>790</v>
      </c>
      <c r="Z1591" s="24" t="s">
        <v>64</v>
      </c>
      <c r="AA1591" s="24" t="s">
        <v>742</v>
      </c>
      <c r="AB1591" s="24" t="s">
        <v>979</v>
      </c>
      <c r="AC1591" s="24" t="s">
        <v>4361</v>
      </c>
    </row>
    <row r="1592" spans="1:29">
      <c r="A1592" s="60" t="s">
        <v>4362</v>
      </c>
      <c r="B1592" s="60" t="s">
        <v>4363</v>
      </c>
      <c r="C1592" s="30" t="s">
        <v>569</v>
      </c>
      <c r="D1592" s="30" t="s">
        <v>570</v>
      </c>
      <c r="E1592" s="40" t="s">
        <v>800</v>
      </c>
      <c r="F1592" s="40" t="s">
        <v>69</v>
      </c>
      <c r="G1592" s="34" t="s">
        <v>4160</v>
      </c>
      <c r="H1592" s="35">
        <v>1</v>
      </c>
      <c r="I1592" s="30" t="s">
        <v>0</v>
      </c>
      <c r="J1592" s="30" t="s">
        <v>0</v>
      </c>
      <c r="K1592" s="30" t="s">
        <v>52</v>
      </c>
      <c r="L1592" s="30" t="s">
        <v>53</v>
      </c>
      <c r="M1592" s="30" t="s">
        <v>55</v>
      </c>
      <c r="N1592" s="30" t="s">
        <v>71</v>
      </c>
      <c r="O1592" s="30" t="s">
        <v>72</v>
      </c>
      <c r="P1592" s="30" t="s">
        <v>75</v>
      </c>
      <c r="Q1592" s="30" t="s">
        <v>58</v>
      </c>
      <c r="R1592" s="30" t="s">
        <v>0</v>
      </c>
      <c r="S1592" s="30" t="s">
        <v>128</v>
      </c>
      <c r="T1592" s="30" t="s">
        <v>106</v>
      </c>
      <c r="U1592" s="30" t="s">
        <v>62</v>
      </c>
      <c r="V1592" s="30" t="s">
        <v>77</v>
      </c>
      <c r="W1592" s="30" t="s">
        <v>173</v>
      </c>
      <c r="X1592" s="30" t="s">
        <v>711</v>
      </c>
      <c r="Y1592" s="30" t="s">
        <v>2532</v>
      </c>
      <c r="Z1592" s="30" t="s">
        <v>64</v>
      </c>
      <c r="AA1592" s="30" t="s">
        <v>572</v>
      </c>
      <c r="AB1592" s="30" t="s">
        <v>802</v>
      </c>
      <c r="AC1592" s="30" t="s">
        <v>4364</v>
      </c>
    </row>
    <row r="1593" spans="1:29">
      <c r="A1593" s="60" t="s">
        <v>4365</v>
      </c>
      <c r="B1593" s="60" t="s">
        <v>4366</v>
      </c>
      <c r="C1593" s="24" t="s">
        <v>569</v>
      </c>
      <c r="D1593" s="24" t="s">
        <v>570</v>
      </c>
      <c r="E1593" s="41" t="s">
        <v>3794</v>
      </c>
      <c r="F1593" s="41" t="s">
        <v>144</v>
      </c>
      <c r="G1593" s="27" t="s">
        <v>4164</v>
      </c>
      <c r="H1593" s="28" t="s">
        <v>65</v>
      </c>
      <c r="I1593" s="24" t="s">
        <v>0</v>
      </c>
      <c r="J1593" s="24" t="s">
        <v>0</v>
      </c>
      <c r="K1593" s="24" t="s">
        <v>52</v>
      </c>
      <c r="L1593" s="24" t="s">
        <v>53</v>
      </c>
      <c r="M1593" s="24" t="s">
        <v>72</v>
      </c>
      <c r="N1593" s="24" t="s">
        <v>54</v>
      </c>
      <c r="O1593" s="24" t="s">
        <v>71</v>
      </c>
      <c r="P1593" s="24" t="s">
        <v>59</v>
      </c>
      <c r="Q1593" s="24" t="s">
        <v>74</v>
      </c>
      <c r="R1593" s="24" t="s">
        <v>75</v>
      </c>
      <c r="S1593" s="24" t="s">
        <v>106</v>
      </c>
      <c r="T1593" s="24" t="s">
        <v>62</v>
      </c>
      <c r="U1593" s="24" t="s">
        <v>123</v>
      </c>
      <c r="V1593" s="24" t="s">
        <v>77</v>
      </c>
      <c r="W1593" s="24" t="s">
        <v>79</v>
      </c>
      <c r="X1593" s="24" t="s">
        <v>711</v>
      </c>
      <c r="Y1593" s="24" t="s">
        <v>983</v>
      </c>
      <c r="Z1593" s="24" t="s">
        <v>64</v>
      </c>
      <c r="AA1593" s="24" t="s">
        <v>572</v>
      </c>
      <c r="AB1593" s="24" t="s">
        <v>802</v>
      </c>
      <c r="AC1593" s="24" t="s">
        <v>4367</v>
      </c>
    </row>
    <row r="1594" spans="1:29">
      <c r="A1594" s="60" t="s">
        <v>4368</v>
      </c>
      <c r="B1594" s="60" t="s">
        <v>4369</v>
      </c>
      <c r="C1594" s="30" t="s">
        <v>564</v>
      </c>
      <c r="D1594" s="30" t="s">
        <v>565</v>
      </c>
      <c r="E1594" s="40" t="s">
        <v>1380</v>
      </c>
      <c r="F1594" s="40" t="s">
        <v>177</v>
      </c>
      <c r="G1594" s="34" t="s">
        <v>452</v>
      </c>
      <c r="H1594" s="35" t="s">
        <v>65</v>
      </c>
      <c r="I1594" s="30" t="s">
        <v>0</v>
      </c>
      <c r="J1594" s="30" t="s">
        <v>0</v>
      </c>
      <c r="K1594" s="30" t="s">
        <v>52</v>
      </c>
      <c r="L1594" s="30" t="s">
        <v>53</v>
      </c>
      <c r="M1594" s="30" t="s">
        <v>72</v>
      </c>
      <c r="N1594" s="30" t="s">
        <v>103</v>
      </c>
      <c r="O1594" s="30" t="s">
        <v>55</v>
      </c>
      <c r="P1594" s="30" t="s">
        <v>73</v>
      </c>
      <c r="Q1594" s="30" t="s">
        <v>74</v>
      </c>
      <c r="R1594" s="30" t="s">
        <v>75</v>
      </c>
      <c r="S1594" s="30" t="s">
        <v>106</v>
      </c>
      <c r="T1594" s="30" t="s">
        <v>76</v>
      </c>
      <c r="U1594" s="30" t="s">
        <v>62</v>
      </c>
      <c r="V1594" s="30" t="s">
        <v>173</v>
      </c>
      <c r="W1594" s="30" t="s">
        <v>79</v>
      </c>
      <c r="X1594" s="30" t="s">
        <v>77</v>
      </c>
      <c r="Y1594" s="30" t="s">
        <v>1036</v>
      </c>
      <c r="Z1594" s="30" t="s">
        <v>64</v>
      </c>
      <c r="AA1594" s="30" t="s">
        <v>565</v>
      </c>
      <c r="AB1594" s="30" t="s">
        <v>0</v>
      </c>
      <c r="AC1594" s="30" t="s">
        <v>4370</v>
      </c>
    </row>
    <row r="1595" spans="1:29">
      <c r="A1595" s="60" t="s">
        <v>4371</v>
      </c>
      <c r="B1595" s="60" t="s">
        <v>4372</v>
      </c>
      <c r="C1595" s="24" t="s">
        <v>564</v>
      </c>
      <c r="D1595" s="24" t="s">
        <v>565</v>
      </c>
      <c r="E1595" s="41" t="s">
        <v>1422</v>
      </c>
      <c r="F1595" s="41" t="s">
        <v>177</v>
      </c>
      <c r="G1595" s="27" t="s">
        <v>436</v>
      </c>
      <c r="H1595" s="28" t="s">
        <v>65</v>
      </c>
      <c r="I1595" s="24" t="s">
        <v>0</v>
      </c>
      <c r="J1595" s="24" t="s">
        <v>0</v>
      </c>
      <c r="K1595" s="24" t="s">
        <v>52</v>
      </c>
      <c r="L1595" s="24" t="s">
        <v>53</v>
      </c>
      <c r="M1595" s="24" t="s">
        <v>72</v>
      </c>
      <c r="N1595" s="24" t="s">
        <v>88</v>
      </c>
      <c r="O1595" s="24" t="s">
        <v>71</v>
      </c>
      <c r="P1595" s="24" t="s">
        <v>59</v>
      </c>
      <c r="Q1595" s="24" t="s">
        <v>74</v>
      </c>
      <c r="R1595" s="24" t="s">
        <v>73</v>
      </c>
      <c r="S1595" s="24" t="s">
        <v>106</v>
      </c>
      <c r="T1595" s="24" t="s">
        <v>62</v>
      </c>
      <c r="U1595" s="24" t="s">
        <v>147</v>
      </c>
      <c r="V1595" s="24" t="s">
        <v>79</v>
      </c>
      <c r="W1595" s="24" t="s">
        <v>116</v>
      </c>
      <c r="X1595" s="24" t="s">
        <v>77</v>
      </c>
      <c r="Y1595" s="24" t="s">
        <v>130</v>
      </c>
      <c r="Z1595" s="24" t="s">
        <v>64</v>
      </c>
      <c r="AA1595" s="24" t="s">
        <v>565</v>
      </c>
      <c r="AB1595" s="24" t="s">
        <v>0</v>
      </c>
      <c r="AC1595" s="37" t="s">
        <v>4373</v>
      </c>
    </row>
    <row r="1596" spans="1:29">
      <c r="A1596" s="60" t="s">
        <v>4374</v>
      </c>
      <c r="B1596" s="60" t="s">
        <v>4375</v>
      </c>
      <c r="C1596" s="30" t="s">
        <v>99</v>
      </c>
      <c r="D1596" s="30" t="s">
        <v>100</v>
      </c>
      <c r="E1596" s="40" t="s">
        <v>2997</v>
      </c>
      <c r="F1596" s="40" t="s">
        <v>177</v>
      </c>
      <c r="G1596" s="34" t="s">
        <v>460</v>
      </c>
      <c r="H1596" s="35">
        <v>1</v>
      </c>
      <c r="I1596" s="30" t="s">
        <v>0</v>
      </c>
      <c r="J1596" s="30" t="s">
        <v>0</v>
      </c>
      <c r="K1596" s="30" t="s">
        <v>52</v>
      </c>
      <c r="L1596" s="30" t="s">
        <v>53</v>
      </c>
      <c r="M1596" s="30" t="s">
        <v>88</v>
      </c>
      <c r="N1596" s="30" t="s">
        <v>72</v>
      </c>
      <c r="O1596" s="30" t="s">
        <v>54</v>
      </c>
      <c r="P1596" s="30" t="s">
        <v>74</v>
      </c>
      <c r="Q1596" s="30" t="s">
        <v>73</v>
      </c>
      <c r="R1596" s="30" t="s">
        <v>59</v>
      </c>
      <c r="S1596" s="30" t="s">
        <v>106</v>
      </c>
      <c r="T1596" s="30" t="s">
        <v>62</v>
      </c>
      <c r="U1596" s="30" t="s">
        <v>147</v>
      </c>
      <c r="V1596" s="30" t="s">
        <v>93</v>
      </c>
      <c r="W1596" s="30" t="s">
        <v>107</v>
      </c>
      <c r="X1596" s="30" t="s">
        <v>173</v>
      </c>
      <c r="Y1596" s="30" t="s">
        <v>314</v>
      </c>
      <c r="Z1596" s="30" t="s">
        <v>64</v>
      </c>
      <c r="AA1596" s="30" t="s">
        <v>100</v>
      </c>
      <c r="AB1596" s="30" t="s">
        <v>0</v>
      </c>
      <c r="AC1596" s="30" t="s">
        <v>4376</v>
      </c>
    </row>
    <row r="1597" spans="1:29">
      <c r="A1597" s="60" t="s">
        <v>4377</v>
      </c>
      <c r="B1597" s="60" t="s">
        <v>4378</v>
      </c>
      <c r="C1597" s="24" t="s">
        <v>911</v>
      </c>
      <c r="D1597" s="24" t="s">
        <v>912</v>
      </c>
      <c r="E1597" s="41" t="s">
        <v>4379</v>
      </c>
      <c r="F1597" s="41" t="s">
        <v>86</v>
      </c>
      <c r="G1597" s="27" t="s">
        <v>448</v>
      </c>
      <c r="H1597" s="28">
        <v>1</v>
      </c>
      <c r="I1597" s="24" t="s">
        <v>0</v>
      </c>
      <c r="J1597" s="24" t="s">
        <v>0</v>
      </c>
      <c r="K1597" s="24" t="s">
        <v>52</v>
      </c>
      <c r="L1597" s="24" t="s">
        <v>53</v>
      </c>
      <c r="M1597" s="24" t="s">
        <v>178</v>
      </c>
      <c r="N1597" s="24" t="s">
        <v>71</v>
      </c>
      <c r="O1597" s="24" t="s">
        <v>72</v>
      </c>
      <c r="P1597" s="24" t="s">
        <v>89</v>
      </c>
      <c r="Q1597" s="24" t="s">
        <v>58</v>
      </c>
      <c r="R1597" s="24" t="s">
        <v>104</v>
      </c>
      <c r="S1597" s="24" t="s">
        <v>106</v>
      </c>
      <c r="T1597" s="24" t="s">
        <v>62</v>
      </c>
      <c r="U1597" s="24" t="s">
        <v>123</v>
      </c>
      <c r="V1597" s="24" t="s">
        <v>138</v>
      </c>
      <c r="W1597" s="24" t="s">
        <v>79</v>
      </c>
      <c r="X1597" s="24" t="s">
        <v>173</v>
      </c>
      <c r="Y1597" s="24" t="s">
        <v>424</v>
      </c>
      <c r="Z1597" s="24" t="s">
        <v>64</v>
      </c>
      <c r="AA1597" s="24" t="s">
        <v>912</v>
      </c>
      <c r="AB1597" s="24" t="s">
        <v>0</v>
      </c>
      <c r="AC1597" s="24" t="s">
        <v>4380</v>
      </c>
    </row>
    <row r="1598" spans="1:29">
      <c r="A1598" s="60" t="s">
        <v>4381</v>
      </c>
      <c r="B1598" s="60" t="s">
        <v>4382</v>
      </c>
      <c r="C1598" s="30" t="s">
        <v>83</v>
      </c>
      <c r="D1598" s="30" t="s">
        <v>84</v>
      </c>
      <c r="E1598" s="40" t="s">
        <v>4383</v>
      </c>
      <c r="F1598" s="40" t="s">
        <v>144</v>
      </c>
      <c r="G1598" s="34" t="s">
        <v>448</v>
      </c>
      <c r="H1598" s="35">
        <v>1</v>
      </c>
      <c r="I1598" s="30" t="s">
        <v>0</v>
      </c>
      <c r="J1598" s="30" t="s">
        <v>0</v>
      </c>
      <c r="K1598" s="30" t="s">
        <v>52</v>
      </c>
      <c r="L1598" s="30" t="s">
        <v>53</v>
      </c>
      <c r="M1598" s="30" t="s">
        <v>71</v>
      </c>
      <c r="N1598" s="30" t="s">
        <v>178</v>
      </c>
      <c r="O1598" s="30" t="s">
        <v>54</v>
      </c>
      <c r="P1598" s="30" t="s">
        <v>75</v>
      </c>
      <c r="Q1598" s="30" t="s">
        <v>58</v>
      </c>
      <c r="R1598" s="30" t="s">
        <v>104</v>
      </c>
      <c r="S1598" s="30" t="s">
        <v>106</v>
      </c>
      <c r="T1598" s="30" t="s">
        <v>62</v>
      </c>
      <c r="U1598" s="30" t="s">
        <v>192</v>
      </c>
      <c r="V1598" s="30" t="s">
        <v>79</v>
      </c>
      <c r="W1598" s="30" t="s">
        <v>173</v>
      </c>
      <c r="X1598" s="30" t="s">
        <v>77</v>
      </c>
      <c r="Y1598" s="30" t="s">
        <v>3442</v>
      </c>
      <c r="Z1598" s="30" t="s">
        <v>64</v>
      </c>
      <c r="AA1598" s="30" t="s">
        <v>95</v>
      </c>
      <c r="AB1598" s="30" t="s">
        <v>0</v>
      </c>
      <c r="AC1598" s="30" t="s">
        <v>4384</v>
      </c>
    </row>
    <row r="1599" spans="1:29">
      <c r="A1599" s="60" t="s">
        <v>4385</v>
      </c>
      <c r="B1599" s="60" t="s">
        <v>4386</v>
      </c>
      <c r="C1599" s="24" t="s">
        <v>564</v>
      </c>
      <c r="D1599" s="24" t="s">
        <v>565</v>
      </c>
      <c r="E1599" s="41" t="s">
        <v>4387</v>
      </c>
      <c r="F1599" s="41" t="s">
        <v>86</v>
      </c>
      <c r="G1599" s="27" t="s">
        <v>26</v>
      </c>
      <c r="H1599" s="28">
        <v>1</v>
      </c>
      <c r="I1599" s="24" t="s">
        <v>0</v>
      </c>
      <c r="J1599" s="24" t="s">
        <v>0</v>
      </c>
      <c r="K1599" s="24" t="s">
        <v>52</v>
      </c>
      <c r="L1599" s="24" t="s">
        <v>53</v>
      </c>
      <c r="M1599" s="24" t="s">
        <v>54</v>
      </c>
      <c r="N1599" s="24" t="s">
        <v>72</v>
      </c>
      <c r="O1599" s="24" t="s">
        <v>88</v>
      </c>
      <c r="P1599" s="24" t="s">
        <v>58</v>
      </c>
      <c r="Q1599" s="24" t="s">
        <v>89</v>
      </c>
      <c r="R1599" s="24" t="s">
        <v>0</v>
      </c>
      <c r="S1599" s="24" t="s">
        <v>106</v>
      </c>
      <c r="T1599" s="24" t="s">
        <v>62</v>
      </c>
      <c r="U1599" s="24" t="s">
        <v>147</v>
      </c>
      <c r="V1599" s="24" t="s">
        <v>173</v>
      </c>
      <c r="W1599" s="24" t="s">
        <v>107</v>
      </c>
      <c r="X1599" s="24" t="s">
        <v>116</v>
      </c>
      <c r="Y1599" s="24" t="s">
        <v>768</v>
      </c>
      <c r="Z1599" s="24" t="s">
        <v>64</v>
      </c>
      <c r="AA1599" s="24" t="s">
        <v>565</v>
      </c>
      <c r="AB1599" s="24" t="s">
        <v>0</v>
      </c>
      <c r="AC1599" s="24" t="s">
        <v>4388</v>
      </c>
    </row>
    <row r="1600" spans="1:29">
      <c r="A1600" s="60" t="s">
        <v>4389</v>
      </c>
      <c r="B1600" s="60" t="s">
        <v>4390</v>
      </c>
      <c r="C1600" s="30" t="s">
        <v>569</v>
      </c>
      <c r="D1600" s="30" t="s">
        <v>570</v>
      </c>
      <c r="E1600" s="40" t="s">
        <v>4391</v>
      </c>
      <c r="F1600" s="40" t="s">
        <v>69</v>
      </c>
      <c r="G1600" s="34" t="s">
        <v>4086</v>
      </c>
      <c r="H1600" s="35">
        <v>1</v>
      </c>
      <c r="I1600" s="30" t="s">
        <v>0</v>
      </c>
      <c r="J1600" s="30" t="s">
        <v>0</v>
      </c>
      <c r="K1600" s="30" t="s">
        <v>17</v>
      </c>
      <c r="L1600" s="30" t="s">
        <v>53</v>
      </c>
      <c r="M1600" s="30" t="s">
        <v>72</v>
      </c>
      <c r="N1600" s="30" t="s">
        <v>55</v>
      </c>
      <c r="O1600" s="30" t="s">
        <v>54</v>
      </c>
      <c r="P1600" s="30" t="s">
        <v>89</v>
      </c>
      <c r="Q1600" s="30" t="s">
        <v>75</v>
      </c>
      <c r="R1600" s="30" t="s">
        <v>104</v>
      </c>
      <c r="S1600" s="30" t="s">
        <v>90</v>
      </c>
      <c r="T1600" s="30" t="s">
        <v>106</v>
      </c>
      <c r="U1600" s="30" t="s">
        <v>62</v>
      </c>
      <c r="V1600" s="30" t="s">
        <v>180</v>
      </c>
      <c r="W1600" s="30" t="s">
        <v>208</v>
      </c>
      <c r="X1600" s="30" t="s">
        <v>79</v>
      </c>
      <c r="Y1600" s="30" t="s">
        <v>2894</v>
      </c>
      <c r="Z1600" s="30" t="s">
        <v>64</v>
      </c>
      <c r="AA1600" s="30" t="s">
        <v>572</v>
      </c>
      <c r="AB1600" s="30" t="s">
        <v>1252</v>
      </c>
      <c r="AC1600" s="30" t="s">
        <v>4392</v>
      </c>
    </row>
    <row r="1601" spans="1:29">
      <c r="A1601" s="60" t="s">
        <v>4393</v>
      </c>
      <c r="B1601" s="60" t="s">
        <v>4393</v>
      </c>
      <c r="C1601" s="24" t="s">
        <v>564</v>
      </c>
      <c r="D1601" s="24" t="s">
        <v>565</v>
      </c>
      <c r="E1601" s="41" t="s">
        <v>4394</v>
      </c>
      <c r="F1601" s="41" t="s">
        <v>69</v>
      </c>
      <c r="G1601" s="27" t="s">
        <v>443</v>
      </c>
      <c r="H1601" s="28">
        <v>1</v>
      </c>
      <c r="I1601" s="24" t="s">
        <v>0</v>
      </c>
      <c r="J1601" s="24" t="s">
        <v>0</v>
      </c>
      <c r="K1601" s="24" t="s">
        <v>52</v>
      </c>
      <c r="L1601" s="24" t="s">
        <v>53</v>
      </c>
      <c r="M1601" s="24" t="s">
        <v>178</v>
      </c>
      <c r="N1601" s="24" t="s">
        <v>72</v>
      </c>
      <c r="O1601" s="24" t="s">
        <v>0</v>
      </c>
      <c r="P1601" s="24" t="s">
        <v>59</v>
      </c>
      <c r="Q1601" s="24" t="s">
        <v>75</v>
      </c>
      <c r="R1601" s="24" t="s">
        <v>58</v>
      </c>
      <c r="S1601" s="24" t="s">
        <v>106</v>
      </c>
      <c r="T1601" s="24" t="s">
        <v>62</v>
      </c>
      <c r="U1601" s="24" t="s">
        <v>123</v>
      </c>
      <c r="V1601" s="24" t="s">
        <v>180</v>
      </c>
      <c r="W1601" s="24" t="s">
        <v>208</v>
      </c>
      <c r="X1601" s="24" t="s">
        <v>79</v>
      </c>
      <c r="Y1601" s="24" t="s">
        <v>1687</v>
      </c>
      <c r="Z1601" s="24" t="s">
        <v>64</v>
      </c>
      <c r="AA1601" s="24" t="s">
        <v>565</v>
      </c>
      <c r="AB1601" s="24" t="s">
        <v>0</v>
      </c>
      <c r="AC1601" s="24" t="s">
        <v>4395</v>
      </c>
    </row>
    <row r="1602" spans="1:29">
      <c r="A1602" s="60" t="s">
        <v>4396</v>
      </c>
      <c r="B1602" s="60" t="s">
        <v>4397</v>
      </c>
      <c r="C1602" s="30" t="s">
        <v>83</v>
      </c>
      <c r="D1602" s="30" t="s">
        <v>84</v>
      </c>
      <c r="E1602" s="40" t="s">
        <v>1181</v>
      </c>
      <c r="F1602" s="40" t="s">
        <v>86</v>
      </c>
      <c r="G1602" s="34" t="s">
        <v>448</v>
      </c>
      <c r="H1602" s="35" t="s">
        <v>65</v>
      </c>
      <c r="I1602" s="30" t="s">
        <v>0</v>
      </c>
      <c r="J1602" s="30" t="s">
        <v>0</v>
      </c>
      <c r="K1602" s="30" t="s">
        <v>52</v>
      </c>
      <c r="L1602" s="30" t="s">
        <v>53</v>
      </c>
      <c r="M1602" s="30" t="s">
        <v>88</v>
      </c>
      <c r="N1602" s="30" t="s">
        <v>72</v>
      </c>
      <c r="O1602" s="30" t="s">
        <v>0</v>
      </c>
      <c r="P1602" s="30" t="s">
        <v>136</v>
      </c>
      <c r="Q1602" s="30" t="s">
        <v>73</v>
      </c>
      <c r="R1602" s="30" t="s">
        <v>89</v>
      </c>
      <c r="S1602" s="30" t="s">
        <v>128</v>
      </c>
      <c r="T1602" s="30" t="s">
        <v>106</v>
      </c>
      <c r="U1602" s="30" t="s">
        <v>123</v>
      </c>
      <c r="V1602" s="30" t="s">
        <v>79</v>
      </c>
      <c r="W1602" s="30" t="s">
        <v>93</v>
      </c>
      <c r="X1602" s="59" t="s">
        <v>4398</v>
      </c>
      <c r="Y1602" s="30" t="s">
        <v>130</v>
      </c>
      <c r="Z1602" s="30" t="s">
        <v>64</v>
      </c>
      <c r="AA1602" s="30" t="s">
        <v>95</v>
      </c>
      <c r="AB1602" s="30" t="s">
        <v>0</v>
      </c>
      <c r="AC1602" s="30" t="s">
        <v>4399</v>
      </c>
    </row>
    <row r="1603" spans="1:29">
      <c r="A1603" s="60" t="s">
        <v>4400</v>
      </c>
      <c r="B1603" s="60" t="s">
        <v>4401</v>
      </c>
      <c r="C1603" s="24" t="s">
        <v>83</v>
      </c>
      <c r="D1603" s="24" t="s">
        <v>84</v>
      </c>
      <c r="E1603" s="41" t="s">
        <v>2815</v>
      </c>
      <c r="F1603" s="41" t="s">
        <v>86</v>
      </c>
      <c r="G1603" s="27" t="s">
        <v>448</v>
      </c>
      <c r="H1603" s="28" t="s">
        <v>65</v>
      </c>
      <c r="I1603" s="24" t="s">
        <v>0</v>
      </c>
      <c r="J1603" s="24" t="s">
        <v>0</v>
      </c>
      <c r="K1603" s="24" t="s">
        <v>52</v>
      </c>
      <c r="L1603" s="24" t="s">
        <v>53</v>
      </c>
      <c r="M1603" s="24" t="s">
        <v>54</v>
      </c>
      <c r="N1603" s="24" t="s">
        <v>111</v>
      </c>
      <c r="O1603" s="24" t="s">
        <v>88</v>
      </c>
      <c r="P1603" s="24" t="s">
        <v>59</v>
      </c>
      <c r="Q1603" s="24" t="s">
        <v>74</v>
      </c>
      <c r="R1603" s="24" t="s">
        <v>75</v>
      </c>
      <c r="S1603" s="24" t="s">
        <v>106</v>
      </c>
      <c r="T1603" s="24" t="s">
        <v>147</v>
      </c>
      <c r="U1603" s="24" t="s">
        <v>466</v>
      </c>
      <c r="V1603" s="24" t="s">
        <v>93</v>
      </c>
      <c r="W1603" s="24" t="s">
        <v>107</v>
      </c>
      <c r="X1603" s="24" t="s">
        <v>79</v>
      </c>
      <c r="Y1603" s="24" t="s">
        <v>1762</v>
      </c>
      <c r="Z1603" s="24" t="s">
        <v>64</v>
      </c>
      <c r="AA1603" s="24" t="s">
        <v>95</v>
      </c>
      <c r="AB1603" s="24" t="s">
        <v>0</v>
      </c>
      <c r="AC1603" s="24" t="s">
        <v>4402</v>
      </c>
    </row>
    <row r="1604" spans="1:29">
      <c r="A1604" s="60" t="s">
        <v>4403</v>
      </c>
      <c r="B1604" s="60" t="s">
        <v>4404</v>
      </c>
      <c r="C1604" s="30" t="s">
        <v>911</v>
      </c>
      <c r="D1604" s="30" t="s">
        <v>912</v>
      </c>
      <c r="E1604" s="40" t="s">
        <v>3683</v>
      </c>
      <c r="F1604" s="40" t="s">
        <v>86</v>
      </c>
      <c r="G1604" s="34" t="s">
        <v>4126</v>
      </c>
      <c r="H1604" s="35" t="s">
        <v>65</v>
      </c>
      <c r="I1604" s="30" t="s">
        <v>0</v>
      </c>
      <c r="J1604" s="30" t="s">
        <v>0</v>
      </c>
      <c r="K1604" s="30" t="s">
        <v>52</v>
      </c>
      <c r="L1604" s="30" t="s">
        <v>53</v>
      </c>
      <c r="M1604" s="30" t="s">
        <v>178</v>
      </c>
      <c r="N1604" s="30" t="s">
        <v>54</v>
      </c>
      <c r="O1604" s="30" t="s">
        <v>111</v>
      </c>
      <c r="P1604" s="30" t="s">
        <v>57</v>
      </c>
      <c r="Q1604" s="30" t="s">
        <v>74</v>
      </c>
      <c r="R1604" s="30" t="s">
        <v>59</v>
      </c>
      <c r="S1604" s="30" t="s">
        <v>106</v>
      </c>
      <c r="T1604" s="30" t="s">
        <v>62</v>
      </c>
      <c r="U1604" s="30" t="s">
        <v>147</v>
      </c>
      <c r="V1604" s="30" t="s">
        <v>93</v>
      </c>
      <c r="W1604" s="30" t="s">
        <v>77</v>
      </c>
      <c r="X1604" s="30" t="s">
        <v>180</v>
      </c>
      <c r="Y1604" s="30" t="s">
        <v>437</v>
      </c>
      <c r="Z1604" s="30" t="s">
        <v>64</v>
      </c>
      <c r="AA1604" s="30" t="s">
        <v>912</v>
      </c>
      <c r="AB1604" s="30" t="s">
        <v>0</v>
      </c>
      <c r="AC1604" s="30" t="s">
        <v>4405</v>
      </c>
    </row>
    <row r="1605" spans="1:29">
      <c r="A1605" s="60" t="s">
        <v>4406</v>
      </c>
      <c r="B1605" s="60" t="s">
        <v>4407</v>
      </c>
      <c r="C1605" s="24" t="s">
        <v>83</v>
      </c>
      <c r="D1605" s="24" t="s">
        <v>84</v>
      </c>
      <c r="E1605" s="41" t="s">
        <v>251</v>
      </c>
      <c r="F1605" s="41" t="s">
        <v>86</v>
      </c>
      <c r="G1605" s="27" t="s">
        <v>40</v>
      </c>
      <c r="H1605" s="28">
        <v>1</v>
      </c>
      <c r="I1605" s="24" t="s">
        <v>0</v>
      </c>
      <c r="J1605" s="24" t="s">
        <v>0</v>
      </c>
      <c r="K1605" s="24" t="s">
        <v>52</v>
      </c>
      <c r="L1605" s="24" t="s">
        <v>87</v>
      </c>
      <c r="M1605" s="24" t="s">
        <v>54</v>
      </c>
      <c r="N1605" s="24" t="s">
        <v>55</v>
      </c>
      <c r="O1605" s="24" t="s">
        <v>178</v>
      </c>
      <c r="P1605" s="24" t="s">
        <v>113</v>
      </c>
      <c r="Q1605" s="24" t="s">
        <v>59</v>
      </c>
      <c r="R1605" s="24" t="s">
        <v>74</v>
      </c>
      <c r="S1605" s="24" t="s">
        <v>106</v>
      </c>
      <c r="T1605" s="24" t="s">
        <v>62</v>
      </c>
      <c r="U1605" s="24" t="s">
        <v>147</v>
      </c>
      <c r="V1605" s="24" t="s">
        <v>107</v>
      </c>
      <c r="W1605" s="24" t="s">
        <v>77</v>
      </c>
      <c r="X1605" s="24" t="s">
        <v>457</v>
      </c>
      <c r="Y1605" s="24" t="s">
        <v>4408</v>
      </c>
      <c r="Z1605" s="24" t="s">
        <v>64</v>
      </c>
      <c r="AA1605" s="24" t="s">
        <v>95</v>
      </c>
      <c r="AB1605" s="24" t="s">
        <v>0</v>
      </c>
      <c r="AC1605" s="24" t="s">
        <v>4409</v>
      </c>
    </row>
    <row r="1606" spans="1:29">
      <c r="A1606" s="60" t="s">
        <v>4410</v>
      </c>
      <c r="B1606" s="60" t="s">
        <v>4411</v>
      </c>
      <c r="C1606" s="30" t="s">
        <v>564</v>
      </c>
      <c r="D1606" s="30" t="s">
        <v>565</v>
      </c>
      <c r="E1606" s="40" t="s">
        <v>1859</v>
      </c>
      <c r="F1606" s="40" t="s">
        <v>177</v>
      </c>
      <c r="G1606" s="34" t="s">
        <v>448</v>
      </c>
      <c r="H1606" s="35" t="s">
        <v>65</v>
      </c>
      <c r="I1606" s="30" t="s">
        <v>0</v>
      </c>
      <c r="J1606" s="30" t="s">
        <v>0</v>
      </c>
      <c r="K1606" s="30" t="s">
        <v>52</v>
      </c>
      <c r="L1606" s="30" t="s">
        <v>145</v>
      </c>
      <c r="M1606" s="30" t="s">
        <v>54</v>
      </c>
      <c r="N1606" s="30" t="s">
        <v>88</v>
      </c>
      <c r="O1606" s="30" t="s">
        <v>72</v>
      </c>
      <c r="P1606" s="30" t="s">
        <v>58</v>
      </c>
      <c r="Q1606" s="30" t="s">
        <v>89</v>
      </c>
      <c r="R1606" s="30" t="s">
        <v>0</v>
      </c>
      <c r="S1606" s="30" t="s">
        <v>106</v>
      </c>
      <c r="T1606" s="30" t="s">
        <v>147</v>
      </c>
      <c r="U1606" s="30" t="s">
        <v>0</v>
      </c>
      <c r="V1606" s="30" t="s">
        <v>93</v>
      </c>
      <c r="W1606" s="30" t="s">
        <v>107</v>
      </c>
      <c r="X1606" s="30" t="s">
        <v>79</v>
      </c>
      <c r="Y1606" s="30" t="s">
        <v>2894</v>
      </c>
      <c r="Z1606" s="30" t="s">
        <v>64</v>
      </c>
      <c r="AA1606" s="30" t="s">
        <v>565</v>
      </c>
      <c r="AB1606" s="30" t="s">
        <v>0</v>
      </c>
      <c r="AC1606" s="30" t="s">
        <v>4412</v>
      </c>
    </row>
    <row r="1607" spans="1:29">
      <c r="A1607" s="60" t="s">
        <v>4413</v>
      </c>
      <c r="B1607" s="60" t="s">
        <v>4414</v>
      </c>
      <c r="C1607" s="24" t="s">
        <v>83</v>
      </c>
      <c r="D1607" s="24" t="s">
        <v>84</v>
      </c>
      <c r="E1607" s="41" t="s">
        <v>1214</v>
      </c>
      <c r="F1607" s="41" t="s">
        <v>177</v>
      </c>
      <c r="G1607" s="27" t="s">
        <v>33</v>
      </c>
      <c r="H1607" s="28" t="s">
        <v>65</v>
      </c>
      <c r="I1607" s="24" t="s">
        <v>0</v>
      </c>
      <c r="J1607" s="24" t="s">
        <v>0</v>
      </c>
      <c r="K1607" s="24" t="s">
        <v>52</v>
      </c>
      <c r="L1607" s="24" t="s">
        <v>53</v>
      </c>
      <c r="M1607" s="24" t="s">
        <v>121</v>
      </c>
      <c r="N1607" s="24" t="s">
        <v>72</v>
      </c>
      <c r="O1607" s="24" t="s">
        <v>103</v>
      </c>
      <c r="P1607" s="24" t="s">
        <v>89</v>
      </c>
      <c r="Q1607" s="24" t="s">
        <v>57</v>
      </c>
      <c r="R1607" s="24" t="s">
        <v>0</v>
      </c>
      <c r="S1607" s="24" t="s">
        <v>106</v>
      </c>
      <c r="T1607" s="24" t="s">
        <v>147</v>
      </c>
      <c r="U1607" s="24" t="s">
        <v>0</v>
      </c>
      <c r="V1607" s="24" t="s">
        <v>107</v>
      </c>
      <c r="W1607" s="24" t="s">
        <v>77</v>
      </c>
      <c r="X1607" s="24" t="s">
        <v>173</v>
      </c>
      <c r="Y1607" s="24" t="s">
        <v>1036</v>
      </c>
      <c r="Z1607" s="24" t="s">
        <v>64</v>
      </c>
      <c r="AA1607" s="24" t="s">
        <v>95</v>
      </c>
      <c r="AB1607" s="24" t="s">
        <v>0</v>
      </c>
      <c r="AC1607" s="24" t="s">
        <v>4415</v>
      </c>
    </row>
    <row r="1608" spans="1:29">
      <c r="A1608" s="60" t="s">
        <v>4416</v>
      </c>
      <c r="B1608" s="60" t="s">
        <v>4417</v>
      </c>
      <c r="C1608" s="30" t="s">
        <v>2296</v>
      </c>
      <c r="D1608" s="30" t="s">
        <v>2297</v>
      </c>
      <c r="E1608" s="40" t="s">
        <v>4418</v>
      </c>
      <c r="F1608" s="40" t="s">
        <v>177</v>
      </c>
      <c r="G1608" s="34" t="s">
        <v>436</v>
      </c>
      <c r="H1608" s="35">
        <v>1</v>
      </c>
      <c r="I1608" s="30" t="s">
        <v>0</v>
      </c>
      <c r="J1608" s="30" t="s">
        <v>0</v>
      </c>
      <c r="K1608" s="30" t="s">
        <v>52</v>
      </c>
      <c r="L1608" s="30" t="s">
        <v>53</v>
      </c>
      <c r="M1608" s="30" t="s">
        <v>72</v>
      </c>
      <c r="N1608" s="30" t="s">
        <v>88</v>
      </c>
      <c r="O1608" s="30" t="s">
        <v>0</v>
      </c>
      <c r="P1608" s="30" t="s">
        <v>112</v>
      </c>
      <c r="Q1608" s="30" t="s">
        <v>57</v>
      </c>
      <c r="R1608" s="30" t="s">
        <v>89</v>
      </c>
      <c r="S1608" s="30" t="s">
        <v>128</v>
      </c>
      <c r="T1608" s="30" t="s">
        <v>106</v>
      </c>
      <c r="U1608" s="30" t="s">
        <v>62</v>
      </c>
      <c r="V1608" s="30" t="s">
        <v>173</v>
      </c>
      <c r="W1608" s="30" t="s">
        <v>79</v>
      </c>
      <c r="X1608" s="30" t="s">
        <v>180</v>
      </c>
      <c r="Y1608" s="30" t="s">
        <v>213</v>
      </c>
      <c r="Z1608" s="30" t="s">
        <v>64</v>
      </c>
      <c r="AA1608" s="30" t="s">
        <v>2298</v>
      </c>
      <c r="AB1608" s="30" t="s">
        <v>0</v>
      </c>
      <c r="AC1608" s="30" t="s">
        <v>4419</v>
      </c>
    </row>
    <row r="1609" spans="1:29">
      <c r="A1609" s="60" t="s">
        <v>4420</v>
      </c>
      <c r="B1609" s="60" t="s">
        <v>4421</v>
      </c>
      <c r="C1609" s="24" t="s">
        <v>48</v>
      </c>
      <c r="D1609" s="24" t="s">
        <v>49</v>
      </c>
      <c r="E1609" s="41" t="s">
        <v>1740</v>
      </c>
      <c r="F1609" s="41" t="s">
        <v>144</v>
      </c>
      <c r="G1609" s="27" t="s">
        <v>4086</v>
      </c>
      <c r="H1609" s="28" t="s">
        <v>65</v>
      </c>
      <c r="I1609" s="24" t="s">
        <v>0</v>
      </c>
      <c r="J1609" s="24" t="s">
        <v>0</v>
      </c>
      <c r="K1609" s="24" t="s">
        <v>52</v>
      </c>
      <c r="L1609" s="24" t="s">
        <v>53</v>
      </c>
      <c r="M1609" s="24" t="s">
        <v>111</v>
      </c>
      <c r="N1609" s="24" t="s">
        <v>55</v>
      </c>
      <c r="O1609" s="24" t="s">
        <v>72</v>
      </c>
      <c r="P1609" s="24" t="s">
        <v>73</v>
      </c>
      <c r="Q1609" s="24" t="s">
        <v>59</v>
      </c>
      <c r="R1609" s="24" t="s">
        <v>112</v>
      </c>
      <c r="S1609" s="24" t="s">
        <v>106</v>
      </c>
      <c r="T1609" s="24" t="s">
        <v>62</v>
      </c>
      <c r="U1609" s="24" t="s">
        <v>164</v>
      </c>
      <c r="V1609" s="24" t="s">
        <v>173</v>
      </c>
      <c r="W1609" s="24" t="s">
        <v>0</v>
      </c>
      <c r="X1609" s="24" t="s">
        <v>0</v>
      </c>
      <c r="Y1609" s="24" t="s">
        <v>159</v>
      </c>
      <c r="Z1609" s="24" t="s">
        <v>64</v>
      </c>
      <c r="AA1609" s="24" t="s">
        <v>49</v>
      </c>
      <c r="AB1609" s="24" t="s">
        <v>0</v>
      </c>
      <c r="AC1609" s="24" t="s">
        <v>4422</v>
      </c>
    </row>
    <row r="1610" spans="1:29">
      <c r="A1610" s="60" t="s">
        <v>4423</v>
      </c>
      <c r="B1610" s="60" t="s">
        <v>4424</v>
      </c>
      <c r="C1610" s="30" t="s">
        <v>641</v>
      </c>
      <c r="D1610" s="30" t="s">
        <v>642</v>
      </c>
      <c r="E1610" s="40" t="s">
        <v>4425</v>
      </c>
      <c r="F1610" s="40" t="s">
        <v>177</v>
      </c>
      <c r="G1610" s="34" t="s">
        <v>4086</v>
      </c>
      <c r="H1610" s="35">
        <v>1</v>
      </c>
      <c r="I1610" s="30" t="s">
        <v>0</v>
      </c>
      <c r="J1610" s="30" t="s">
        <v>0</v>
      </c>
      <c r="K1610" s="30" t="s">
        <v>52</v>
      </c>
      <c r="L1610" s="30" t="s">
        <v>53</v>
      </c>
      <c r="M1610" s="30" t="s">
        <v>72</v>
      </c>
      <c r="N1610" s="30" t="s">
        <v>0</v>
      </c>
      <c r="O1610" s="30" t="s">
        <v>0</v>
      </c>
      <c r="P1610" s="30" t="s">
        <v>73</v>
      </c>
      <c r="Q1610" s="30" t="s">
        <v>58</v>
      </c>
      <c r="R1610" s="30" t="s">
        <v>75</v>
      </c>
      <c r="S1610" s="30" t="s">
        <v>106</v>
      </c>
      <c r="T1610" s="30" t="s">
        <v>62</v>
      </c>
      <c r="U1610" s="30" t="s">
        <v>123</v>
      </c>
      <c r="V1610" s="30" t="s">
        <v>107</v>
      </c>
      <c r="W1610" s="30" t="s">
        <v>79</v>
      </c>
      <c r="X1610" s="30" t="s">
        <v>173</v>
      </c>
      <c r="Y1610" s="30" t="s">
        <v>148</v>
      </c>
      <c r="Z1610" s="30" t="s">
        <v>64</v>
      </c>
      <c r="AA1610" s="30" t="s">
        <v>642</v>
      </c>
      <c r="AB1610" s="30" t="s">
        <v>0</v>
      </c>
      <c r="AC1610" s="30" t="s">
        <v>4426</v>
      </c>
    </row>
    <row r="1611" spans="1:29">
      <c r="A1611" s="60" t="s">
        <v>4427</v>
      </c>
      <c r="B1611" s="60" t="s">
        <v>4428</v>
      </c>
      <c r="C1611" s="24" t="s">
        <v>569</v>
      </c>
      <c r="D1611" s="24" t="s">
        <v>570</v>
      </c>
      <c r="E1611" s="41" t="s">
        <v>4429</v>
      </c>
      <c r="F1611" s="41" t="s">
        <v>177</v>
      </c>
      <c r="G1611" s="27" t="s">
        <v>4086</v>
      </c>
      <c r="H1611" s="28">
        <v>1</v>
      </c>
      <c r="I1611" s="24" t="s">
        <v>0</v>
      </c>
      <c r="J1611" s="24" t="s">
        <v>0</v>
      </c>
      <c r="K1611" s="24" t="s">
        <v>52</v>
      </c>
      <c r="L1611" s="24" t="s">
        <v>202</v>
      </c>
      <c r="M1611" s="24" t="s">
        <v>72</v>
      </c>
      <c r="N1611" s="24" t="s">
        <v>0</v>
      </c>
      <c r="O1611" s="24" t="s">
        <v>0</v>
      </c>
      <c r="P1611" s="24" t="s">
        <v>75</v>
      </c>
      <c r="Q1611" s="24" t="s">
        <v>58</v>
      </c>
      <c r="R1611" s="24" t="s">
        <v>89</v>
      </c>
      <c r="S1611" s="24" t="s">
        <v>106</v>
      </c>
      <c r="T1611" s="24" t="s">
        <v>105</v>
      </c>
      <c r="U1611" s="24" t="s">
        <v>147</v>
      </c>
      <c r="V1611" s="24" t="s">
        <v>77</v>
      </c>
      <c r="W1611" s="24" t="s">
        <v>129</v>
      </c>
      <c r="X1611" s="24" t="s">
        <v>93</v>
      </c>
      <c r="Y1611" s="24" t="s">
        <v>307</v>
      </c>
      <c r="Z1611" s="24" t="s">
        <v>64</v>
      </c>
      <c r="AA1611" s="24" t="s">
        <v>572</v>
      </c>
      <c r="AB1611" s="24" t="s">
        <v>4430</v>
      </c>
      <c r="AC1611" s="24" t="s">
        <v>4431</v>
      </c>
    </row>
    <row r="1612" spans="1:29">
      <c r="A1612" s="60" t="s">
        <v>4432</v>
      </c>
      <c r="B1612" s="60" t="s">
        <v>4432</v>
      </c>
      <c r="C1612" s="30" t="s">
        <v>641</v>
      </c>
      <c r="D1612" s="30" t="s">
        <v>642</v>
      </c>
      <c r="E1612" s="40" t="s">
        <v>4433</v>
      </c>
      <c r="F1612" s="40" t="s">
        <v>86</v>
      </c>
      <c r="G1612" s="34" t="s">
        <v>4086</v>
      </c>
      <c r="H1612" s="35">
        <v>1</v>
      </c>
      <c r="I1612" s="30" t="s">
        <v>0</v>
      </c>
      <c r="J1612" s="30" t="s">
        <v>0</v>
      </c>
      <c r="K1612" s="30" t="s">
        <v>52</v>
      </c>
      <c r="L1612" s="30" t="s">
        <v>53</v>
      </c>
      <c r="M1612" s="30" t="s">
        <v>54</v>
      </c>
      <c r="N1612" s="30" t="s">
        <v>55</v>
      </c>
      <c r="O1612" s="30" t="s">
        <v>72</v>
      </c>
      <c r="P1612" s="30" t="s">
        <v>0</v>
      </c>
      <c r="Q1612" s="30" t="s">
        <v>0</v>
      </c>
      <c r="R1612" s="30" t="s">
        <v>0</v>
      </c>
      <c r="S1612" s="30" t="s">
        <v>106</v>
      </c>
      <c r="T1612" s="30" t="s">
        <v>62</v>
      </c>
      <c r="U1612" s="30" t="s">
        <v>123</v>
      </c>
      <c r="V1612" s="30" t="s">
        <v>93</v>
      </c>
      <c r="W1612" s="30" t="s">
        <v>79</v>
      </c>
      <c r="X1612" s="30" t="s">
        <v>77</v>
      </c>
      <c r="Y1612" s="30" t="s">
        <v>1730</v>
      </c>
      <c r="Z1612" s="30" t="s">
        <v>64</v>
      </c>
      <c r="AA1612" s="30" t="s">
        <v>642</v>
      </c>
      <c r="AB1612" s="30" t="s">
        <v>0</v>
      </c>
      <c r="AC1612" s="30" t="s">
        <v>4434</v>
      </c>
    </row>
    <row r="1613" spans="1:29">
      <c r="A1613" s="60" t="s">
        <v>4435</v>
      </c>
      <c r="B1613" s="60" t="s">
        <v>4436</v>
      </c>
      <c r="C1613" s="24" t="s">
        <v>996</v>
      </c>
      <c r="D1613" s="24" t="s">
        <v>997</v>
      </c>
      <c r="E1613" s="41" t="s">
        <v>4437</v>
      </c>
      <c r="F1613" s="41" t="s">
        <v>86</v>
      </c>
      <c r="G1613" s="27" t="s">
        <v>448</v>
      </c>
      <c r="H1613" s="28">
        <v>1</v>
      </c>
      <c r="I1613" s="24" t="s">
        <v>0</v>
      </c>
      <c r="J1613" s="24" t="s">
        <v>0</v>
      </c>
      <c r="K1613" s="24" t="s">
        <v>52</v>
      </c>
      <c r="L1613" s="24" t="s">
        <v>102</v>
      </c>
      <c r="M1613" s="24" t="s">
        <v>111</v>
      </c>
      <c r="N1613" s="24" t="s">
        <v>54</v>
      </c>
      <c r="O1613" s="24" t="s">
        <v>72</v>
      </c>
      <c r="P1613" s="24" t="s">
        <v>104</v>
      </c>
      <c r="Q1613" s="24" t="s">
        <v>74</v>
      </c>
      <c r="R1613" s="24" t="s">
        <v>75</v>
      </c>
      <c r="S1613" s="24" t="s">
        <v>106</v>
      </c>
      <c r="T1613" s="24" t="s">
        <v>62</v>
      </c>
      <c r="U1613" s="24" t="s">
        <v>91</v>
      </c>
      <c r="V1613" s="24" t="s">
        <v>79</v>
      </c>
      <c r="W1613" s="24" t="s">
        <v>107</v>
      </c>
      <c r="X1613" s="24" t="s">
        <v>77</v>
      </c>
      <c r="Y1613" s="24" t="s">
        <v>4438</v>
      </c>
      <c r="Z1613" s="24" t="s">
        <v>64</v>
      </c>
      <c r="AA1613" s="24" t="s">
        <v>997</v>
      </c>
      <c r="AB1613" s="24" t="s">
        <v>0</v>
      </c>
      <c r="AC1613" s="24" t="s">
        <v>4439</v>
      </c>
    </row>
    <row r="1614" spans="1:29">
      <c r="A1614" s="60" t="s">
        <v>4440</v>
      </c>
      <c r="B1614" s="60" t="s">
        <v>4441</v>
      </c>
      <c r="C1614" s="30" t="s">
        <v>996</v>
      </c>
      <c r="D1614" s="30" t="s">
        <v>997</v>
      </c>
      <c r="E1614" s="40" t="s">
        <v>4437</v>
      </c>
      <c r="F1614" s="40" t="s">
        <v>86</v>
      </c>
      <c r="G1614" s="34" t="s">
        <v>4164</v>
      </c>
      <c r="H1614" s="35">
        <v>1</v>
      </c>
      <c r="I1614" s="30" t="s">
        <v>0</v>
      </c>
      <c r="J1614" s="30" t="s">
        <v>0</v>
      </c>
      <c r="K1614" s="30" t="s">
        <v>52</v>
      </c>
      <c r="L1614" s="30" t="s">
        <v>102</v>
      </c>
      <c r="M1614" s="30" t="s">
        <v>111</v>
      </c>
      <c r="N1614" s="30" t="s">
        <v>54</v>
      </c>
      <c r="O1614" s="30" t="s">
        <v>72</v>
      </c>
      <c r="P1614" s="30" t="s">
        <v>104</v>
      </c>
      <c r="Q1614" s="30" t="s">
        <v>74</v>
      </c>
      <c r="R1614" s="30" t="s">
        <v>75</v>
      </c>
      <c r="S1614" s="30" t="s">
        <v>106</v>
      </c>
      <c r="T1614" s="30" t="s">
        <v>62</v>
      </c>
      <c r="U1614" s="30" t="s">
        <v>91</v>
      </c>
      <c r="V1614" s="30" t="s">
        <v>79</v>
      </c>
      <c r="W1614" s="30" t="s">
        <v>107</v>
      </c>
      <c r="X1614" s="30" t="s">
        <v>77</v>
      </c>
      <c r="Y1614" s="30" t="s">
        <v>4438</v>
      </c>
      <c r="Z1614" s="30" t="s">
        <v>64</v>
      </c>
      <c r="AA1614" s="30" t="s">
        <v>997</v>
      </c>
      <c r="AB1614" s="30" t="s">
        <v>0</v>
      </c>
      <c r="AC1614" s="30" t="s">
        <v>4442</v>
      </c>
    </row>
    <row r="1615" spans="1:29">
      <c r="A1615" s="60" t="s">
        <v>4443</v>
      </c>
      <c r="B1615" s="60" t="s">
        <v>4444</v>
      </c>
      <c r="C1615" s="24" t="s">
        <v>650</v>
      </c>
      <c r="D1615" s="24" t="s">
        <v>651</v>
      </c>
      <c r="E1615" s="41" t="s">
        <v>4445</v>
      </c>
      <c r="F1615" s="41" t="s">
        <v>86</v>
      </c>
      <c r="G1615" s="27" t="s">
        <v>448</v>
      </c>
      <c r="H1615" s="28">
        <v>1</v>
      </c>
      <c r="I1615" s="24" t="s">
        <v>0</v>
      </c>
      <c r="J1615" s="24" t="s">
        <v>0</v>
      </c>
      <c r="K1615" s="24" t="s">
        <v>52</v>
      </c>
      <c r="L1615" s="24" t="s">
        <v>53</v>
      </c>
      <c r="M1615" s="24" t="s">
        <v>111</v>
      </c>
      <c r="N1615" s="24" t="s">
        <v>71</v>
      </c>
      <c r="O1615" s="24" t="s">
        <v>54</v>
      </c>
      <c r="P1615" s="24" t="s">
        <v>75</v>
      </c>
      <c r="Q1615" s="24" t="s">
        <v>104</v>
      </c>
      <c r="R1615" s="24" t="s">
        <v>73</v>
      </c>
      <c r="S1615" s="24" t="s">
        <v>106</v>
      </c>
      <c r="T1615" s="24" t="s">
        <v>62</v>
      </c>
      <c r="U1615" s="24" t="s">
        <v>123</v>
      </c>
      <c r="V1615" s="24" t="s">
        <v>93</v>
      </c>
      <c r="W1615" s="24" t="s">
        <v>79</v>
      </c>
      <c r="X1615" s="24" t="s">
        <v>77</v>
      </c>
      <c r="Y1615" s="24" t="s">
        <v>4446</v>
      </c>
      <c r="Z1615" s="24" t="s">
        <v>64</v>
      </c>
      <c r="AA1615" s="24" t="s">
        <v>653</v>
      </c>
      <c r="AB1615" s="24" t="s">
        <v>0</v>
      </c>
      <c r="AC1615" s="24" t="s">
        <v>4447</v>
      </c>
    </row>
    <row r="1616" spans="1:29">
      <c r="A1616" s="60" t="s">
        <v>4448</v>
      </c>
      <c r="B1616" s="60" t="s">
        <v>4449</v>
      </c>
      <c r="C1616" s="30" t="s">
        <v>996</v>
      </c>
      <c r="D1616" s="30" t="s">
        <v>997</v>
      </c>
      <c r="E1616" s="40" t="s">
        <v>4450</v>
      </c>
      <c r="F1616" s="40" t="s">
        <v>144</v>
      </c>
      <c r="G1616" s="34" t="s">
        <v>26</v>
      </c>
      <c r="H1616" s="35">
        <v>1</v>
      </c>
      <c r="I1616" s="30" t="s">
        <v>0</v>
      </c>
      <c r="J1616" s="30" t="s">
        <v>0</v>
      </c>
      <c r="K1616" s="30" t="s">
        <v>52</v>
      </c>
      <c r="L1616" s="30" t="s">
        <v>102</v>
      </c>
      <c r="M1616" s="30" t="s">
        <v>54</v>
      </c>
      <c r="N1616" s="30" t="s">
        <v>88</v>
      </c>
      <c r="O1616" s="30" t="s">
        <v>72</v>
      </c>
      <c r="P1616" s="30" t="s">
        <v>74</v>
      </c>
      <c r="Q1616" s="30" t="s">
        <v>75</v>
      </c>
      <c r="R1616" s="30" t="s">
        <v>89</v>
      </c>
      <c r="S1616" s="30" t="s">
        <v>106</v>
      </c>
      <c r="T1616" s="30" t="s">
        <v>62</v>
      </c>
      <c r="U1616" s="30" t="s">
        <v>147</v>
      </c>
      <c r="V1616" s="30" t="s">
        <v>77</v>
      </c>
      <c r="W1616" s="30" t="s">
        <v>107</v>
      </c>
      <c r="X1616" s="30" t="s">
        <v>79</v>
      </c>
      <c r="Y1616" s="30" t="s">
        <v>1274</v>
      </c>
      <c r="Z1616" s="30" t="s">
        <v>64</v>
      </c>
      <c r="AA1616" s="30" t="s">
        <v>997</v>
      </c>
      <c r="AB1616" s="30" t="s">
        <v>0</v>
      </c>
      <c r="AC1616" s="30" t="s">
        <v>4451</v>
      </c>
    </row>
    <row r="1617" spans="1:29">
      <c r="A1617" s="60" t="s">
        <v>4452</v>
      </c>
      <c r="B1617" s="60" t="str">
        <f>IF(ISNUMBER(SEARCH(E1617,A1617)),A1617,IF(OR(E1617="",E1617=""),A1617,A1617&amp;" - "&amp;E1617))</f>
        <v>CNBS VV 32/1 - Varnish Vapor</v>
      </c>
      <c r="C1617" s="24" t="s">
        <v>822</v>
      </c>
      <c r="D1617" s="24" t="s">
        <v>823</v>
      </c>
      <c r="E1617" s="41" t="s">
        <v>1057</v>
      </c>
      <c r="F1617" s="41" t="s">
        <v>86</v>
      </c>
      <c r="G1617" s="27" t="s">
        <v>4453</v>
      </c>
      <c r="H1617" s="27">
        <v>1</v>
      </c>
      <c r="I1617" s="24" t="s">
        <v>0</v>
      </c>
      <c r="J1617" s="24" t="s">
        <v>0</v>
      </c>
      <c r="K1617" s="24" t="s">
        <v>52</v>
      </c>
      <c r="L1617" s="24" t="s">
        <v>53</v>
      </c>
      <c r="M1617" s="24" t="s">
        <v>72</v>
      </c>
      <c r="N1617" s="24" t="s">
        <v>111</v>
      </c>
      <c r="O1617" s="24" t="s">
        <v>0</v>
      </c>
      <c r="P1617" s="24" t="s">
        <v>59</v>
      </c>
      <c r="Q1617" s="24" t="s">
        <v>89</v>
      </c>
      <c r="R1617" s="24" t="s">
        <v>58</v>
      </c>
      <c r="S1617" s="24" t="s">
        <v>106</v>
      </c>
      <c r="T1617" s="24" t="s">
        <v>62</v>
      </c>
      <c r="U1617" s="24" t="s">
        <v>147</v>
      </c>
      <c r="V1617" s="24" t="s">
        <v>93</v>
      </c>
      <c r="W1617" s="24" t="s">
        <v>180</v>
      </c>
      <c r="X1617" s="24" t="s">
        <v>79</v>
      </c>
      <c r="Y1617" s="24" t="s">
        <v>331</v>
      </c>
      <c r="Z1617" s="24" t="s">
        <v>64</v>
      </c>
      <c r="AA1617" s="24" t="s">
        <v>826</v>
      </c>
      <c r="AB1617" s="24" t="s">
        <v>0</v>
      </c>
      <c r="AC1617" s="24" t="s">
        <v>4454</v>
      </c>
    </row>
    <row r="1618" spans="1:29">
      <c r="A1618" s="60" t="s">
        <v>4455</v>
      </c>
      <c r="B1618" s="60" t="str">
        <f>IF(ISNUMBER(SEARCH(E1618,A1618)),A1618,IF(OR(E1618="",E1618=""),A1618,A1618&amp;" - "&amp;E1618))</f>
        <v>Remexian 24/1 CBM FUI - Future Island</v>
      </c>
      <c r="C1618" s="30" t="s">
        <v>83</v>
      </c>
      <c r="D1618" s="30" t="s">
        <v>84</v>
      </c>
      <c r="E1618" s="40" t="s">
        <v>4456</v>
      </c>
      <c r="F1618" s="40" t="s">
        <v>144</v>
      </c>
      <c r="G1618" s="34" t="s">
        <v>33</v>
      </c>
      <c r="H1618" s="34" t="s">
        <v>65</v>
      </c>
      <c r="I1618" s="30" t="s">
        <v>0</v>
      </c>
      <c r="J1618" s="30" t="s">
        <v>0</v>
      </c>
      <c r="K1618" s="30" t="s">
        <v>52</v>
      </c>
      <c r="L1618" s="30" t="s">
        <v>53</v>
      </c>
      <c r="M1618" s="30" t="s">
        <v>55</v>
      </c>
      <c r="N1618" s="30" t="s">
        <v>111</v>
      </c>
      <c r="O1618" s="30" t="s">
        <v>54</v>
      </c>
      <c r="P1618" s="30" t="s">
        <v>104</v>
      </c>
      <c r="Q1618" s="30" t="s">
        <v>74</v>
      </c>
      <c r="R1618" s="30" t="s">
        <v>186</v>
      </c>
      <c r="S1618" s="30" t="s">
        <v>106</v>
      </c>
      <c r="T1618" s="30" t="s">
        <v>147</v>
      </c>
      <c r="U1618" s="30" t="s">
        <v>192</v>
      </c>
      <c r="V1618" s="30" t="s">
        <v>79</v>
      </c>
      <c r="W1618" s="30" t="s">
        <v>93</v>
      </c>
      <c r="X1618" s="30" t="s">
        <v>107</v>
      </c>
      <c r="Y1618" s="30" t="s">
        <v>268</v>
      </c>
      <c r="Z1618" s="30" t="s">
        <v>64</v>
      </c>
      <c r="AA1618" s="30" t="s">
        <v>95</v>
      </c>
      <c r="AB1618" s="30" t="s">
        <v>0</v>
      </c>
      <c r="AC1618" s="30" t="s">
        <v>4457</v>
      </c>
    </row>
    <row r="1619" spans="1:29">
      <c r="A1619" s="60" t="s">
        <v>4458</v>
      </c>
      <c r="B1619" s="48" t="s">
        <v>4459</v>
      </c>
      <c r="C1619" s="23" t="s">
        <v>613</v>
      </c>
      <c r="D1619" s="24" t="s">
        <v>614</v>
      </c>
      <c r="E1619" s="41"/>
      <c r="F1619" s="41"/>
      <c r="G1619" s="27"/>
      <c r="H1619" s="28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 t="s">
        <v>1915</v>
      </c>
      <c r="AA1619" s="57" t="s">
        <v>614</v>
      </c>
      <c r="AB1619" s="24"/>
      <c r="AC1619" s="24"/>
    </row>
    <row r="1620" spans="1:29">
      <c r="A1620" s="60" t="s">
        <v>4460</v>
      </c>
      <c r="B1620" s="50" t="s">
        <v>4461</v>
      </c>
      <c r="C1620" s="24" t="s">
        <v>99</v>
      </c>
      <c r="D1620" s="24" t="s">
        <v>100</v>
      </c>
      <c r="E1620" s="41" t="s">
        <v>4462</v>
      </c>
      <c r="F1620" s="41"/>
      <c r="G1620" s="27"/>
      <c r="H1620" s="28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 t="s">
        <v>64</v>
      </c>
      <c r="AA1620" s="57" t="s">
        <v>100</v>
      </c>
      <c r="AB1620" s="24"/>
      <c r="AC1620" s="24"/>
    </row>
    <row r="1621" spans="1:29">
      <c r="A1621" s="60" t="s">
        <v>4463</v>
      </c>
      <c r="B1621" s="60" t="str">
        <f>IF(ISNUMBER(SEARCH(E1621,A1621)),A1621,IF(OR(E1621="",E1621=""),A1621,A1621&amp;" - "&amp;E1621))</f>
        <v>Remexian 27/1 ADV PMK - Peppermint Kush</v>
      </c>
      <c r="C1621" s="30" t="s">
        <v>83</v>
      </c>
      <c r="D1621" s="30" t="s">
        <v>84</v>
      </c>
      <c r="E1621" s="40" t="s">
        <v>4464</v>
      </c>
      <c r="F1621" s="40" t="s">
        <v>177</v>
      </c>
      <c r="G1621" s="34" t="s">
        <v>33</v>
      </c>
      <c r="H1621" s="35" t="s">
        <v>65</v>
      </c>
      <c r="I1621" s="30" t="s">
        <v>0</v>
      </c>
      <c r="J1621" s="30" t="s">
        <v>0</v>
      </c>
      <c r="K1621" s="30" t="s">
        <v>52</v>
      </c>
      <c r="L1621" s="30" t="s">
        <v>53</v>
      </c>
      <c r="M1621" s="30" t="s">
        <v>72</v>
      </c>
      <c r="N1621" s="30" t="s">
        <v>88</v>
      </c>
      <c r="O1621" s="30" t="s">
        <v>0</v>
      </c>
      <c r="P1621" s="30" t="s">
        <v>113</v>
      </c>
      <c r="Q1621" s="30" t="s">
        <v>157</v>
      </c>
      <c r="R1621" s="30" t="s">
        <v>74</v>
      </c>
      <c r="S1621" s="30" t="s">
        <v>106</v>
      </c>
      <c r="T1621" s="30" t="s">
        <v>147</v>
      </c>
      <c r="U1621" s="30" t="s">
        <v>192</v>
      </c>
      <c r="V1621" s="30" t="s">
        <v>173</v>
      </c>
      <c r="W1621" s="30" t="s">
        <v>93</v>
      </c>
      <c r="X1621" s="30" t="s">
        <v>116</v>
      </c>
      <c r="Y1621" s="30" t="s">
        <v>1036</v>
      </c>
      <c r="Z1621" s="30" t="s">
        <v>64</v>
      </c>
      <c r="AA1621" s="30" t="s">
        <v>95</v>
      </c>
      <c r="AB1621" s="30" t="s">
        <v>0</v>
      </c>
      <c r="AC1621" s="30" t="s">
        <v>4465</v>
      </c>
    </row>
    <row r="1622" spans="1:29">
      <c r="A1622" s="60" t="s">
        <v>4466</v>
      </c>
      <c r="B1622" s="60" t="str">
        <f>IF(ISNUMBER(SEARCH(E1622,A1622)),A1622,IF(OR(E1622="",E1622=""),A1622,A1622&amp;" - "&amp;E1622))</f>
        <v>avaay 27/1 MIM - Midnight Mimosa</v>
      </c>
      <c r="C1622" s="24" t="s">
        <v>569</v>
      </c>
      <c r="D1622" s="24" t="s">
        <v>570</v>
      </c>
      <c r="E1622" s="41" t="s">
        <v>3496</v>
      </c>
      <c r="F1622" s="41" t="s">
        <v>177</v>
      </c>
      <c r="G1622" s="27" t="s">
        <v>33</v>
      </c>
      <c r="H1622" s="28" t="s">
        <v>65</v>
      </c>
      <c r="I1622" s="24" t="s">
        <v>0</v>
      </c>
      <c r="J1622" s="24" t="s">
        <v>0</v>
      </c>
      <c r="K1622" s="24" t="s">
        <v>52</v>
      </c>
      <c r="L1622" s="24" t="s">
        <v>53</v>
      </c>
      <c r="M1622" s="24" t="s">
        <v>178</v>
      </c>
      <c r="N1622" s="24" t="s">
        <v>54</v>
      </c>
      <c r="O1622" s="24" t="s">
        <v>88</v>
      </c>
      <c r="P1622" s="24" t="s">
        <v>74</v>
      </c>
      <c r="Q1622" s="24" t="s">
        <v>59</v>
      </c>
      <c r="R1622" s="24" t="s">
        <v>89</v>
      </c>
      <c r="S1622" s="24" t="s">
        <v>106</v>
      </c>
      <c r="T1622" s="24" t="s">
        <v>62</v>
      </c>
      <c r="U1622" s="24" t="s">
        <v>114</v>
      </c>
      <c r="V1622" s="24" t="s">
        <v>116</v>
      </c>
      <c r="W1622" s="24" t="s">
        <v>93</v>
      </c>
      <c r="X1622" s="24" t="s">
        <v>79</v>
      </c>
      <c r="Y1622" s="24" t="s">
        <v>539</v>
      </c>
      <c r="Z1622" s="24" t="s">
        <v>64</v>
      </c>
      <c r="AA1622" s="24" t="s">
        <v>572</v>
      </c>
      <c r="AB1622" s="24" t="s">
        <v>1252</v>
      </c>
      <c r="AC1622" s="24" t="s">
        <v>4467</v>
      </c>
    </row>
    <row r="1623" spans="1:29">
      <c r="A1623" s="60" t="s">
        <v>4468</v>
      </c>
      <c r="B1623" s="60" t="str">
        <f>IF(ISNUMBER(SEARCH(E1623,A1623)),A1623,IF(OR(E1623="",E1623=""),A1623,A1623&amp;" - "&amp;E1623))</f>
        <v>Remexian 30/1 JOI OKC - Orange Kush Cake</v>
      </c>
      <c r="C1623" s="30" t="s">
        <v>83</v>
      </c>
      <c r="D1623" s="30" t="s">
        <v>84</v>
      </c>
      <c r="E1623" s="40" t="s">
        <v>785</v>
      </c>
      <c r="F1623" s="40" t="s">
        <v>86</v>
      </c>
      <c r="G1623" s="34" t="s">
        <v>4057</v>
      </c>
      <c r="H1623" s="35" t="s">
        <v>65</v>
      </c>
      <c r="I1623" s="30" t="s">
        <v>0</v>
      </c>
      <c r="J1623" s="30" t="s">
        <v>0</v>
      </c>
      <c r="K1623" s="30" t="s">
        <v>52</v>
      </c>
      <c r="L1623" s="30" t="s">
        <v>53</v>
      </c>
      <c r="M1623" s="30" t="s">
        <v>71</v>
      </c>
      <c r="N1623" s="30" t="s">
        <v>111</v>
      </c>
      <c r="O1623" s="30" t="s">
        <v>55</v>
      </c>
      <c r="P1623" s="30" t="s">
        <v>73</v>
      </c>
      <c r="Q1623" s="30" t="s">
        <v>58</v>
      </c>
      <c r="R1623" s="30" t="s">
        <v>75</v>
      </c>
      <c r="S1623" s="30" t="s">
        <v>62</v>
      </c>
      <c r="T1623" s="30" t="s">
        <v>147</v>
      </c>
      <c r="U1623" s="30" t="s">
        <v>203</v>
      </c>
      <c r="V1623" s="30" t="s">
        <v>107</v>
      </c>
      <c r="W1623" s="30" t="s">
        <v>292</v>
      </c>
      <c r="X1623" s="30" t="s">
        <v>79</v>
      </c>
      <c r="Y1623" s="30" t="s">
        <v>1762</v>
      </c>
      <c r="Z1623" s="30" t="s">
        <v>64</v>
      </c>
      <c r="AA1623" s="30" t="s">
        <v>95</v>
      </c>
      <c r="AB1623" s="30" t="s">
        <v>0</v>
      </c>
      <c r="AC1623" s="30" t="s">
        <v>4469</v>
      </c>
    </row>
    <row r="1624" spans="1:29">
      <c r="A1624" s="60" t="s">
        <v>4470</v>
      </c>
      <c r="B1624" s="60" t="str">
        <f>IF(ISNUMBER(SEARCH(E1624,A1624)),A1624,IF(OR(E1624="",E1624=""),A1624,A1624&amp;" - "&amp;E1624))</f>
        <v>Canify Cannabis flos 8/9 LS KU. - Basotho Even</v>
      </c>
      <c r="C1624" s="24" t="s">
        <v>99</v>
      </c>
      <c r="D1624" s="24" t="s">
        <v>100</v>
      </c>
      <c r="E1624" s="41" t="s">
        <v>4471</v>
      </c>
      <c r="F1624" s="41" t="s">
        <v>86</v>
      </c>
      <c r="G1624" s="27" t="s">
        <v>4034</v>
      </c>
      <c r="H1624" s="28" t="s">
        <v>10</v>
      </c>
      <c r="I1624" s="24" t="s">
        <v>0</v>
      </c>
      <c r="J1624" s="24" t="s">
        <v>0</v>
      </c>
      <c r="K1624" s="24" t="s">
        <v>52</v>
      </c>
      <c r="L1624" s="24" t="s">
        <v>53</v>
      </c>
      <c r="M1624" s="24" t="s">
        <v>72</v>
      </c>
      <c r="N1624" s="24" t="s">
        <v>71</v>
      </c>
      <c r="O1624" s="24" t="s">
        <v>111</v>
      </c>
      <c r="P1624" s="24" t="s">
        <v>0</v>
      </c>
      <c r="Q1624" s="24" t="s">
        <v>0</v>
      </c>
      <c r="R1624" s="24" t="s">
        <v>0</v>
      </c>
      <c r="S1624" s="24" t="s">
        <v>128</v>
      </c>
      <c r="T1624" s="24" t="s">
        <v>106</v>
      </c>
      <c r="U1624" s="24" t="s">
        <v>62</v>
      </c>
      <c r="V1624" s="24" t="s">
        <v>107</v>
      </c>
      <c r="W1624" s="24" t="s">
        <v>77</v>
      </c>
      <c r="X1624" s="24" t="s">
        <v>173</v>
      </c>
      <c r="Y1624" s="24" t="s">
        <v>335</v>
      </c>
      <c r="Z1624" s="24" t="s">
        <v>64</v>
      </c>
      <c r="AA1624" s="24" t="s">
        <v>100</v>
      </c>
      <c r="AB1624" s="24" t="s">
        <v>0</v>
      </c>
      <c r="AC1624" s="24" t="s">
        <v>4472</v>
      </c>
    </row>
    <row r="1625" spans="1:29">
      <c r="A1625" s="60" t="s">
        <v>4473</v>
      </c>
      <c r="B1625" s="60" t="str">
        <f>IF(ISNUMBER(SEARCH(E1625,A1625)),A1625,IF(OR(E1625="",E1625=""),A1625,A1625&amp;" - "&amp;E1625))</f>
        <v>Remexian 33/1 VCC GWA - G Wagon</v>
      </c>
      <c r="C1625" s="30" t="s">
        <v>83</v>
      </c>
      <c r="D1625" s="30" t="s">
        <v>84</v>
      </c>
      <c r="E1625" s="40" t="s">
        <v>4474</v>
      </c>
      <c r="F1625" s="40" t="s">
        <v>120</v>
      </c>
      <c r="G1625" s="34" t="s">
        <v>4453</v>
      </c>
      <c r="H1625" s="34">
        <v>1</v>
      </c>
      <c r="I1625" s="30" t="s">
        <v>0</v>
      </c>
      <c r="J1625" s="30" t="s">
        <v>0</v>
      </c>
      <c r="K1625" s="30" t="s">
        <v>52</v>
      </c>
      <c r="L1625" s="30" t="s">
        <v>53</v>
      </c>
      <c r="M1625" s="30" t="s">
        <v>111</v>
      </c>
      <c r="N1625" s="30" t="s">
        <v>72</v>
      </c>
      <c r="O1625" s="30" t="s">
        <v>0</v>
      </c>
      <c r="P1625" s="30" t="s">
        <v>59</v>
      </c>
      <c r="Q1625" s="30" t="s">
        <v>89</v>
      </c>
      <c r="R1625" s="30" t="s">
        <v>75</v>
      </c>
      <c r="S1625" s="30" t="s">
        <v>106</v>
      </c>
      <c r="T1625" s="30" t="s">
        <v>493</v>
      </c>
      <c r="U1625" s="30" t="s">
        <v>782</v>
      </c>
      <c r="V1625" s="30" t="s">
        <v>77</v>
      </c>
      <c r="W1625" s="30" t="s">
        <v>107</v>
      </c>
      <c r="X1625" s="30" t="s">
        <v>116</v>
      </c>
      <c r="Y1625" s="30" t="s">
        <v>833</v>
      </c>
      <c r="Z1625" s="30" t="s">
        <v>64</v>
      </c>
      <c r="AA1625" s="30" t="s">
        <v>95</v>
      </c>
      <c r="AB1625" s="30" t="s">
        <v>0</v>
      </c>
      <c r="AC1625" s="30" t="s">
        <v>4475</v>
      </c>
    </row>
    <row r="1626" spans="1:29">
      <c r="A1626" s="60" t="s">
        <v>4476</v>
      </c>
      <c r="B1626" s="60" t="str">
        <f>IF(ISNUMBER(SEARCH(E1626,A1626)),A1626,IF(OR(E1626="",E1626=""),A1626,A1626&amp;" - "&amp;E1626))</f>
        <v>Cannamedical Indica classic DK - Lemon Krash</v>
      </c>
      <c r="C1626" s="24" t="s">
        <v>48</v>
      </c>
      <c r="D1626" s="24" t="s">
        <v>49</v>
      </c>
      <c r="E1626" s="41" t="s">
        <v>4477</v>
      </c>
      <c r="F1626" s="41" t="s">
        <v>177</v>
      </c>
      <c r="G1626" s="27" t="s">
        <v>4160</v>
      </c>
      <c r="H1626" s="27">
        <v>1</v>
      </c>
      <c r="I1626" s="24" t="s">
        <v>0</v>
      </c>
      <c r="J1626" s="24" t="s">
        <v>0</v>
      </c>
      <c r="K1626" s="24" t="s">
        <v>17</v>
      </c>
      <c r="L1626" s="24" t="s">
        <v>87</v>
      </c>
      <c r="M1626" s="24" t="s">
        <v>88</v>
      </c>
      <c r="N1626" s="24" t="s">
        <v>72</v>
      </c>
      <c r="O1626" s="24" t="s">
        <v>0</v>
      </c>
      <c r="P1626" s="24" t="s">
        <v>104</v>
      </c>
      <c r="Q1626" s="24" t="s">
        <v>75</v>
      </c>
      <c r="R1626" s="24" t="s">
        <v>113</v>
      </c>
      <c r="S1626" s="24" t="s">
        <v>62</v>
      </c>
      <c r="T1626" s="24" t="s">
        <v>164</v>
      </c>
      <c r="U1626" s="24" t="s">
        <v>123</v>
      </c>
      <c r="V1626" s="24" t="s">
        <v>107</v>
      </c>
      <c r="W1626" s="24" t="s">
        <v>173</v>
      </c>
      <c r="X1626" s="24" t="s">
        <v>77</v>
      </c>
      <c r="Y1626" s="24" t="s">
        <v>1837</v>
      </c>
      <c r="Z1626" s="24" t="s">
        <v>64</v>
      </c>
      <c r="AA1626" s="24" t="s">
        <v>49</v>
      </c>
      <c r="AB1626" s="24" t="s">
        <v>0</v>
      </c>
      <c r="AC1626" s="24" t="s">
        <v>4478</v>
      </c>
    </row>
    <row r="1627" spans="1:29">
      <c r="A1627" s="60" t="s">
        <v>4479</v>
      </c>
      <c r="B1627" s="60" t="str">
        <f>IF(ISNUMBER(SEARCH(E1627,A1627)),A1627,IF(OR(E1627="",E1627=""),A1627,A1627&amp;" - "&amp;E1627))</f>
        <v>Cannamedical Hybrid Classic DK - Lemon Skunk</v>
      </c>
      <c r="C1627" s="30" t="s">
        <v>48</v>
      </c>
      <c r="D1627" s="30" t="s">
        <v>49</v>
      </c>
      <c r="E1627" s="40" t="s">
        <v>2595</v>
      </c>
      <c r="F1627" s="40" t="s">
        <v>69</v>
      </c>
      <c r="G1627" s="34" t="s">
        <v>460</v>
      </c>
      <c r="H1627" s="34">
        <v>1</v>
      </c>
      <c r="I1627" s="30" t="s">
        <v>0</v>
      </c>
      <c r="J1627" s="30" t="s">
        <v>0</v>
      </c>
      <c r="K1627" s="30" t="s">
        <v>17</v>
      </c>
      <c r="L1627" s="30" t="s">
        <v>53</v>
      </c>
      <c r="M1627" s="30" t="s">
        <v>55</v>
      </c>
      <c r="N1627" s="30" t="s">
        <v>71</v>
      </c>
      <c r="O1627" s="30" t="s">
        <v>178</v>
      </c>
      <c r="P1627" s="30" t="s">
        <v>75</v>
      </c>
      <c r="Q1627" s="30" t="s">
        <v>0</v>
      </c>
      <c r="R1627" s="30" t="s">
        <v>0</v>
      </c>
      <c r="S1627" s="30" t="s">
        <v>62</v>
      </c>
      <c r="T1627" s="30" t="s">
        <v>4480</v>
      </c>
      <c r="U1627" s="30" t="s">
        <v>147</v>
      </c>
      <c r="V1627" s="30" t="s">
        <v>77</v>
      </c>
      <c r="W1627" s="30" t="s">
        <v>79</v>
      </c>
      <c r="X1627" s="30" t="s">
        <v>173</v>
      </c>
      <c r="Y1627" s="30" t="s">
        <v>3510</v>
      </c>
      <c r="Z1627" s="30" t="s">
        <v>64</v>
      </c>
      <c r="AA1627" s="30" t="s">
        <v>49</v>
      </c>
      <c r="AB1627" s="30" t="s">
        <v>0</v>
      </c>
      <c r="AC1627" s="30" t="s">
        <v>4481</v>
      </c>
    </row>
    <row r="1628" spans="1:29">
      <c r="A1628" s="60" t="s">
        <v>4482</v>
      </c>
      <c r="B1628" s="60" t="str">
        <f>IF(ISNUMBER(SEARCH(E1628,A1628)),A1628,IF(OR(E1628="",E1628=""),A1628,A1628&amp;" - "&amp;E1628))</f>
        <v>madrecan 24/1 GDY - Granddaddy OG</v>
      </c>
      <c r="C1628" s="24" t="s">
        <v>83</v>
      </c>
      <c r="D1628" s="24" t="s">
        <v>84</v>
      </c>
      <c r="E1628" s="41" t="s">
        <v>163</v>
      </c>
      <c r="F1628" s="41" t="s">
        <v>120</v>
      </c>
      <c r="G1628" s="27" t="s">
        <v>448</v>
      </c>
      <c r="H1628" s="27">
        <v>1</v>
      </c>
      <c r="I1628" s="24" t="s">
        <v>0</v>
      </c>
      <c r="J1628" s="24" t="s">
        <v>0</v>
      </c>
      <c r="K1628" s="24" t="s">
        <v>17</v>
      </c>
      <c r="L1628" s="24" t="s">
        <v>102</v>
      </c>
      <c r="M1628" s="24" t="s">
        <v>103</v>
      </c>
      <c r="N1628" s="24" t="s">
        <v>88</v>
      </c>
      <c r="O1628" s="24" t="s">
        <v>72</v>
      </c>
      <c r="P1628" s="24" t="s">
        <v>89</v>
      </c>
      <c r="Q1628" s="24" t="s">
        <v>146</v>
      </c>
      <c r="R1628" s="24" t="s">
        <v>74</v>
      </c>
      <c r="S1628" s="24" t="s">
        <v>61</v>
      </c>
      <c r="T1628" s="24" t="s">
        <v>62</v>
      </c>
      <c r="U1628" s="24" t="s">
        <v>430</v>
      </c>
      <c r="V1628" s="24" t="s">
        <v>92</v>
      </c>
      <c r="W1628" s="24" t="s">
        <v>129</v>
      </c>
      <c r="X1628" s="24" t="s">
        <v>165</v>
      </c>
      <c r="Y1628" s="24" t="s">
        <v>4483</v>
      </c>
      <c r="Z1628" s="24" t="s">
        <v>64</v>
      </c>
      <c r="AA1628" s="24" t="s">
        <v>95</v>
      </c>
      <c r="AB1628" s="24" t="s">
        <v>0</v>
      </c>
      <c r="AC1628" s="24" t="s">
        <v>4484</v>
      </c>
    </row>
    <row r="1629" spans="1:29">
      <c r="A1629" s="60" t="s">
        <v>4485</v>
      </c>
      <c r="B1629" s="60" t="str">
        <f>IF(ISNUMBER(SEARCH(E1629,A1629)),A1629,IF(OR(E1629="",E1629=""),A1629,A1629&amp;" - "&amp;E1629))</f>
        <v>Canify Cannabis flos 22/1 BB - Big Buddha</v>
      </c>
      <c r="C1629" s="30" t="s">
        <v>99</v>
      </c>
      <c r="D1629" s="30" t="s">
        <v>100</v>
      </c>
      <c r="E1629" s="40" t="s">
        <v>184</v>
      </c>
      <c r="F1629" s="40" t="s">
        <v>177</v>
      </c>
      <c r="G1629" s="34" t="s">
        <v>4126</v>
      </c>
      <c r="H1629" s="34">
        <v>1</v>
      </c>
      <c r="I1629" s="30" t="s">
        <v>0</v>
      </c>
      <c r="J1629" s="30" t="s">
        <v>0</v>
      </c>
      <c r="K1629" s="30" t="s">
        <v>52</v>
      </c>
      <c r="L1629" s="30" t="s">
        <v>185</v>
      </c>
      <c r="M1629" s="30" t="s">
        <v>121</v>
      </c>
      <c r="N1629" s="30" t="s">
        <v>103</v>
      </c>
      <c r="O1629" s="30" t="s">
        <v>71</v>
      </c>
      <c r="P1629" s="30" t="s">
        <v>186</v>
      </c>
      <c r="Q1629" s="30" t="s">
        <v>74</v>
      </c>
      <c r="R1629" s="30" t="s">
        <v>0</v>
      </c>
      <c r="S1629" s="30" t="s">
        <v>90</v>
      </c>
      <c r="T1629" s="30" t="s">
        <v>128</v>
      </c>
      <c r="U1629" s="30" t="s">
        <v>106</v>
      </c>
      <c r="V1629" s="30" t="s">
        <v>107</v>
      </c>
      <c r="W1629" s="30" t="s">
        <v>93</v>
      </c>
      <c r="X1629" s="30" t="s">
        <v>116</v>
      </c>
      <c r="Y1629" s="30" t="s">
        <v>262</v>
      </c>
      <c r="Z1629" s="30" t="s">
        <v>64</v>
      </c>
      <c r="AA1629" s="30" t="s">
        <v>100</v>
      </c>
      <c r="AB1629" s="30" t="s">
        <v>0</v>
      </c>
      <c r="AC1629" s="30" t="s">
        <v>4486</v>
      </c>
    </row>
    <row r="1630" spans="1:29">
      <c r="A1630" s="60" t="s">
        <v>4487</v>
      </c>
      <c r="B1630" s="60" t="str">
        <f>IF(ISNUMBER(SEARCH(E1630,A1630)),A1630,IF(OR(E1630="",E1630=""),A1630,A1630&amp;" - "&amp;E1630))</f>
        <v>J.R. Strain GP 31/1 - Gastro Pop</v>
      </c>
      <c r="C1630" s="24" t="s">
        <v>564</v>
      </c>
      <c r="D1630" s="24" t="s">
        <v>565</v>
      </c>
      <c r="E1630" s="41" t="s">
        <v>1564</v>
      </c>
      <c r="F1630" s="41" t="s">
        <v>86</v>
      </c>
      <c r="G1630" s="27" t="s">
        <v>4488</v>
      </c>
      <c r="H1630" s="27">
        <v>1</v>
      </c>
      <c r="I1630" s="24" t="s">
        <v>0</v>
      </c>
      <c r="J1630" s="24" t="s">
        <v>0</v>
      </c>
      <c r="K1630" s="24" t="s">
        <v>52</v>
      </c>
      <c r="L1630" s="24" t="s">
        <v>53</v>
      </c>
      <c r="M1630" s="24" t="s">
        <v>156</v>
      </c>
      <c r="N1630" s="24" t="s">
        <v>103</v>
      </c>
      <c r="O1630" s="24" t="s">
        <v>0</v>
      </c>
      <c r="P1630" s="24" t="s">
        <v>58</v>
      </c>
      <c r="Q1630" s="24" t="s">
        <v>89</v>
      </c>
      <c r="R1630" s="24" t="s">
        <v>59</v>
      </c>
      <c r="S1630" s="24" t="s">
        <v>106</v>
      </c>
      <c r="T1630" s="24" t="s">
        <v>62</v>
      </c>
      <c r="U1630" s="24" t="s">
        <v>123</v>
      </c>
      <c r="V1630" s="24" t="s">
        <v>77</v>
      </c>
      <c r="W1630" s="24" t="s">
        <v>107</v>
      </c>
      <c r="X1630" s="24" t="s">
        <v>173</v>
      </c>
      <c r="Y1630" s="24" t="s">
        <v>1787</v>
      </c>
      <c r="Z1630" s="24" t="s">
        <v>64</v>
      </c>
      <c r="AA1630" s="24" t="s">
        <v>565</v>
      </c>
      <c r="AB1630" s="24" t="s">
        <v>0</v>
      </c>
      <c r="AC1630" s="24" t="s">
        <v>4489</v>
      </c>
    </row>
    <row r="1631" spans="1:29">
      <c r="A1631" s="60" t="s">
        <v>4490</v>
      </c>
      <c r="B1631" s="60" t="str">
        <f>IF(ISNUMBER(SEARCH(E1631,A1631)),A1631,IF(OR(E1631="",E1631=""),A1631,A1631&amp;" - "&amp;E1631))</f>
        <v>J.R. Strain 27/1 - Sudz</v>
      </c>
      <c r="C1631" s="30" t="s">
        <v>564</v>
      </c>
      <c r="D1631" s="30" t="s">
        <v>565</v>
      </c>
      <c r="E1631" s="40" t="s">
        <v>4491</v>
      </c>
      <c r="F1631" s="40" t="s">
        <v>177</v>
      </c>
      <c r="G1631" s="34" t="s">
        <v>33</v>
      </c>
      <c r="H1631" s="34">
        <v>1</v>
      </c>
      <c r="I1631" s="30" t="s">
        <v>0</v>
      </c>
      <c r="J1631" s="30" t="s">
        <v>0</v>
      </c>
      <c r="K1631" s="30" t="s">
        <v>52</v>
      </c>
      <c r="L1631" s="30" t="s">
        <v>53</v>
      </c>
      <c r="M1631" s="30" t="s">
        <v>71</v>
      </c>
      <c r="N1631" s="30" t="s">
        <v>72</v>
      </c>
      <c r="O1631" s="30" t="s">
        <v>54</v>
      </c>
      <c r="P1631" s="30" t="s">
        <v>89</v>
      </c>
      <c r="Q1631" s="30" t="s">
        <v>112</v>
      </c>
      <c r="R1631" s="30" t="s">
        <v>75</v>
      </c>
      <c r="S1631" s="30" t="s">
        <v>106</v>
      </c>
      <c r="T1631" s="30" t="s">
        <v>62</v>
      </c>
      <c r="U1631" s="30" t="s">
        <v>123</v>
      </c>
      <c r="V1631" s="30" t="s">
        <v>79</v>
      </c>
      <c r="W1631" s="30" t="s">
        <v>173</v>
      </c>
      <c r="X1631" s="30" t="s">
        <v>93</v>
      </c>
      <c r="Y1631" s="30" t="s">
        <v>870</v>
      </c>
      <c r="Z1631" s="30" t="s">
        <v>64</v>
      </c>
      <c r="AA1631" s="30" t="s">
        <v>565</v>
      </c>
      <c r="AB1631" s="30" t="s">
        <v>0</v>
      </c>
      <c r="AC1631" s="30" t="s">
        <v>4492</v>
      </c>
    </row>
    <row r="1632" spans="1:29">
      <c r="A1632" s="60" t="s">
        <v>4493</v>
      </c>
      <c r="B1632" s="60" t="str">
        <f>IF(ISNUMBER(SEARCH(E1632,A1632)),A1632,IF(OR(E1632="",E1632=""),A1632,A1632&amp;" - "&amp;E1632))</f>
        <v>enua 25/1 J31 CA - Jokerz #31</v>
      </c>
      <c r="C1632" s="24" t="s">
        <v>650</v>
      </c>
      <c r="D1632" s="24" t="s">
        <v>651</v>
      </c>
      <c r="E1632" s="24" t="s">
        <v>4494</v>
      </c>
      <c r="F1632" s="24" t="s">
        <v>177</v>
      </c>
      <c r="G1632" s="24" t="s">
        <v>26</v>
      </c>
      <c r="H1632" s="24" t="s">
        <v>65</v>
      </c>
      <c r="I1632" s="24" t="s">
        <v>0</v>
      </c>
      <c r="J1632" s="24" t="s">
        <v>0</v>
      </c>
      <c r="K1632" s="24" t="s">
        <v>52</v>
      </c>
      <c r="L1632" s="24" t="s">
        <v>102</v>
      </c>
      <c r="M1632" s="24" t="s">
        <v>72</v>
      </c>
      <c r="N1632" s="24" t="s">
        <v>54</v>
      </c>
      <c r="O1632" s="24" t="s">
        <v>88</v>
      </c>
      <c r="P1632" s="24" t="s">
        <v>59</v>
      </c>
      <c r="Q1632" s="24" t="s">
        <v>74</v>
      </c>
      <c r="R1632" s="24" t="s">
        <v>73</v>
      </c>
      <c r="S1632" s="24" t="s">
        <v>106</v>
      </c>
      <c r="T1632" s="24" t="s">
        <v>62</v>
      </c>
      <c r="U1632" s="24" t="s">
        <v>123</v>
      </c>
      <c r="V1632" s="24" t="s">
        <v>116</v>
      </c>
      <c r="W1632" s="24" t="s">
        <v>107</v>
      </c>
      <c r="X1632" s="24" t="s">
        <v>77</v>
      </c>
      <c r="Y1632" s="24" t="s">
        <v>4495</v>
      </c>
      <c r="Z1632" s="24" t="s">
        <v>64</v>
      </c>
      <c r="AA1632" s="24" t="s">
        <v>653</v>
      </c>
      <c r="AB1632" s="24" t="s">
        <v>0</v>
      </c>
      <c r="AC1632" s="24" t="s">
        <v>4496</v>
      </c>
    </row>
    <row r="1633" spans="1:29">
      <c r="A1633" s="60" t="s">
        <v>4497</v>
      </c>
      <c r="B1633" s="60" t="str">
        <f>IF(ISNUMBER(SEARCH(E1633,A1633)),A1633,IF(OR(E1633="",E1633=""),A1633,A1633&amp;" - "&amp;E1633))</f>
        <v>Canopy JH 19/1 - Jack Haze</v>
      </c>
      <c r="C1633" s="30" t="s">
        <v>547</v>
      </c>
      <c r="D1633" s="30" t="s">
        <v>548</v>
      </c>
      <c r="E1633" s="40" t="s">
        <v>4498</v>
      </c>
      <c r="F1633" s="40" t="s">
        <v>86</v>
      </c>
      <c r="G1633" s="34" t="s">
        <v>4160</v>
      </c>
      <c r="H1633" s="34">
        <v>1</v>
      </c>
      <c r="I1633" s="30" t="s">
        <v>0</v>
      </c>
      <c r="J1633" s="30" t="s">
        <v>0</v>
      </c>
      <c r="K1633" s="30" t="s">
        <v>52</v>
      </c>
      <c r="L1633" s="30" t="s">
        <v>53</v>
      </c>
      <c r="M1633" s="30" t="s">
        <v>88</v>
      </c>
      <c r="N1633" s="30" t="s">
        <v>178</v>
      </c>
      <c r="O1633" s="30" t="s">
        <v>55</v>
      </c>
      <c r="P1633" s="30" t="s">
        <v>59</v>
      </c>
      <c r="Q1633" s="30" t="s">
        <v>113</v>
      </c>
      <c r="R1633" s="30" t="s">
        <v>74</v>
      </c>
      <c r="S1633" s="30" t="s">
        <v>90</v>
      </c>
      <c r="T1633" s="30" t="s">
        <v>62</v>
      </c>
      <c r="U1633" s="30" t="s">
        <v>192</v>
      </c>
      <c r="V1633" s="30" t="s">
        <v>92</v>
      </c>
      <c r="W1633" s="30" t="s">
        <v>129</v>
      </c>
      <c r="X1633" s="30" t="s">
        <v>138</v>
      </c>
      <c r="Y1633" s="30" t="s">
        <v>367</v>
      </c>
      <c r="Z1633" s="30" t="s">
        <v>64</v>
      </c>
      <c r="AA1633" s="30" t="s">
        <v>551</v>
      </c>
      <c r="AB1633" s="30" t="s">
        <v>0</v>
      </c>
      <c r="AC1633" s="30" t="s">
        <v>4499</v>
      </c>
    </row>
    <row r="1634" spans="1:29">
      <c r="A1634" s="60" t="s">
        <v>4500</v>
      </c>
      <c r="B1634" s="60" t="str">
        <f>IF(ISNUMBER(SEARCH(E1634,A1634)),A1634,IF(OR(E1634="",E1634=""),A1634,A1634&amp;" - "&amp;E1634))</f>
        <v>ZOIKS 31/1 LK - OG Lime Kush</v>
      </c>
      <c r="C1634" s="24" t="s">
        <v>569</v>
      </c>
      <c r="D1634" s="24" t="s">
        <v>570</v>
      </c>
      <c r="E1634" s="41" t="s">
        <v>4391</v>
      </c>
      <c r="F1634" s="41" t="s">
        <v>69</v>
      </c>
      <c r="G1634" s="27" t="s">
        <v>4488</v>
      </c>
      <c r="H1634" s="27">
        <v>1</v>
      </c>
      <c r="I1634" s="24" t="s">
        <v>0</v>
      </c>
      <c r="J1634" s="24" t="s">
        <v>0</v>
      </c>
      <c r="K1634" s="24" t="s">
        <v>17</v>
      </c>
      <c r="L1634" s="24" t="s">
        <v>53</v>
      </c>
      <c r="M1634" s="24" t="s">
        <v>72</v>
      </c>
      <c r="N1634" s="24" t="s">
        <v>55</v>
      </c>
      <c r="O1634" s="24" t="s">
        <v>54</v>
      </c>
      <c r="P1634" s="24" t="s">
        <v>89</v>
      </c>
      <c r="Q1634" s="24" t="s">
        <v>75</v>
      </c>
      <c r="R1634" s="24" t="s">
        <v>104</v>
      </c>
      <c r="S1634" s="24" t="s">
        <v>90</v>
      </c>
      <c r="T1634" s="24" t="s">
        <v>106</v>
      </c>
      <c r="U1634" s="24" t="s">
        <v>62</v>
      </c>
      <c r="V1634" s="24" t="s">
        <v>180</v>
      </c>
      <c r="W1634" s="24" t="s">
        <v>208</v>
      </c>
      <c r="X1634" s="24" t="s">
        <v>79</v>
      </c>
      <c r="Y1634" s="24" t="s">
        <v>4501</v>
      </c>
      <c r="Z1634" s="24" t="s">
        <v>64</v>
      </c>
      <c r="AA1634" s="24" t="s">
        <v>572</v>
      </c>
      <c r="AB1634" s="24" t="s">
        <v>1252</v>
      </c>
      <c r="AC1634" s="24" t="s">
        <v>4502</v>
      </c>
    </row>
    <row r="1635" spans="1:29">
      <c r="A1635" s="60" t="s">
        <v>4503</v>
      </c>
      <c r="B1635" s="60" t="str">
        <f>IF(ISNUMBER(SEARCH(E1635,A1635)),A1635,IF(OR(E1635="",E1635=""),A1635,A1635&amp;" - "&amp;E1635))</f>
        <v>420 Compound 27/1 CA BER - Berlin Berries</v>
      </c>
      <c r="C1635" s="30" t="s">
        <v>463</v>
      </c>
      <c r="D1635" s="30" t="s">
        <v>464</v>
      </c>
      <c r="E1635" s="40" t="s">
        <v>4504</v>
      </c>
      <c r="F1635" s="40" t="s">
        <v>120</v>
      </c>
      <c r="G1635" s="34" t="s">
        <v>4086</v>
      </c>
      <c r="H1635" s="34">
        <v>1</v>
      </c>
      <c r="I1635" s="30" t="s">
        <v>0</v>
      </c>
      <c r="J1635" s="30" t="s">
        <v>0</v>
      </c>
      <c r="K1635" s="30" t="s">
        <v>52</v>
      </c>
      <c r="L1635" s="30" t="s">
        <v>53</v>
      </c>
      <c r="M1635" s="30" t="s">
        <v>72</v>
      </c>
      <c r="N1635" s="30" t="s">
        <v>71</v>
      </c>
      <c r="O1635" s="30" t="s">
        <v>0</v>
      </c>
      <c r="P1635" s="30" t="s">
        <v>58</v>
      </c>
      <c r="Q1635" s="30" t="s">
        <v>74</v>
      </c>
      <c r="R1635" s="30" t="s">
        <v>0</v>
      </c>
      <c r="S1635" s="30" t="s">
        <v>106</v>
      </c>
      <c r="T1635" s="30" t="s">
        <v>62</v>
      </c>
      <c r="U1635" s="30" t="s">
        <v>123</v>
      </c>
      <c r="V1635" s="30" t="s">
        <v>77</v>
      </c>
      <c r="W1635" s="30" t="s">
        <v>138</v>
      </c>
      <c r="X1635" s="30" t="s">
        <v>180</v>
      </c>
      <c r="Y1635" s="30" t="s">
        <v>400</v>
      </c>
      <c r="Z1635" s="30" t="s">
        <v>64</v>
      </c>
      <c r="AA1635" s="30" t="s">
        <v>468</v>
      </c>
      <c r="AB1635" s="30" t="s">
        <v>0</v>
      </c>
      <c r="AC1635" s="30" t="s">
        <v>4505</v>
      </c>
    </row>
    <row r="1636" spans="1:29">
      <c r="A1636" s="60" t="s">
        <v>4506</v>
      </c>
      <c r="B1636" s="60" t="str">
        <f>IF(ISNUMBER(SEARCH(E1636,A1636)),A1636,IF(OR(E1636="",E1636=""),A1636,A1636&amp;" - "&amp;E1636))</f>
        <v>Patagonia 30/1 - Aconcagua+ Haze Breath</v>
      </c>
      <c r="C1636" s="24" t="s">
        <v>564</v>
      </c>
      <c r="D1636" s="24" t="s">
        <v>565</v>
      </c>
      <c r="E1636" s="41" t="s">
        <v>4507</v>
      </c>
      <c r="F1636" s="41" t="s">
        <v>86</v>
      </c>
      <c r="G1636" s="27" t="s">
        <v>4057</v>
      </c>
      <c r="H1636" s="27">
        <v>1</v>
      </c>
      <c r="I1636" s="24" t="s">
        <v>0</v>
      </c>
      <c r="J1636" s="24" t="s">
        <v>0</v>
      </c>
      <c r="K1636" s="24" t="s">
        <v>52</v>
      </c>
      <c r="L1636" s="24" t="s">
        <v>53</v>
      </c>
      <c r="M1636" s="24" t="s">
        <v>72</v>
      </c>
      <c r="N1636" s="24" t="s">
        <v>71</v>
      </c>
      <c r="O1636" s="24" t="s">
        <v>54</v>
      </c>
      <c r="P1636" s="24" t="s">
        <v>73</v>
      </c>
      <c r="Q1636" s="24" t="s">
        <v>59</v>
      </c>
      <c r="R1636" s="24" t="s">
        <v>0</v>
      </c>
      <c r="S1636" s="24" t="s">
        <v>106</v>
      </c>
      <c r="T1636" s="24" t="s">
        <v>62</v>
      </c>
      <c r="U1636" s="24" t="s">
        <v>164</v>
      </c>
      <c r="V1636" s="24" t="s">
        <v>79</v>
      </c>
      <c r="W1636" s="24" t="s">
        <v>107</v>
      </c>
      <c r="X1636" s="24" t="s">
        <v>116</v>
      </c>
      <c r="Y1636" s="24" t="s">
        <v>80</v>
      </c>
      <c r="Z1636" s="24" t="s">
        <v>64</v>
      </c>
      <c r="AA1636" s="24" t="s">
        <v>565</v>
      </c>
      <c r="AB1636" s="24" t="s">
        <v>0</v>
      </c>
      <c r="AC1636" s="24" t="s">
        <v>4508</v>
      </c>
    </row>
    <row r="1637" spans="1:29">
      <c r="A1637" s="60" t="s">
        <v>4509</v>
      </c>
      <c r="B1637" s="60" t="str">
        <f>IF(ISNUMBER(SEARCH(E1637,A1637)),A1637,IF(OR(E1637="",E1637=""),A1637,A1637&amp;" - "&amp;E1637))</f>
        <v>J.R. Strain GT 25/1 - Garlic Truffle</v>
      </c>
      <c r="C1637" s="30" t="s">
        <v>564</v>
      </c>
      <c r="D1637" s="30" t="s">
        <v>565</v>
      </c>
      <c r="E1637" s="40" t="s">
        <v>4510</v>
      </c>
      <c r="F1637" s="40" t="s">
        <v>120</v>
      </c>
      <c r="G1637" s="34" t="s">
        <v>26</v>
      </c>
      <c r="H1637" s="34">
        <v>1</v>
      </c>
      <c r="I1637" s="30" t="s">
        <v>0</v>
      </c>
      <c r="J1637" s="30" t="s">
        <v>0</v>
      </c>
      <c r="K1637" s="30" t="s">
        <v>52</v>
      </c>
      <c r="L1637" s="30" t="s">
        <v>53</v>
      </c>
      <c r="M1637" s="30" t="s">
        <v>121</v>
      </c>
      <c r="N1637" s="30" t="s">
        <v>72</v>
      </c>
      <c r="O1637" s="30" t="s">
        <v>0</v>
      </c>
      <c r="P1637" s="30" t="s">
        <v>75</v>
      </c>
      <c r="Q1637" s="30" t="s">
        <v>104</v>
      </c>
      <c r="R1637" s="30" t="s">
        <v>0</v>
      </c>
      <c r="S1637" s="30" t="s">
        <v>106</v>
      </c>
      <c r="T1637" s="30" t="s">
        <v>62</v>
      </c>
      <c r="U1637" s="30" t="s">
        <v>147</v>
      </c>
      <c r="V1637" s="30" t="s">
        <v>107</v>
      </c>
      <c r="W1637" s="30" t="s">
        <v>116</v>
      </c>
      <c r="X1637" s="30" t="s">
        <v>138</v>
      </c>
      <c r="Y1637" s="30" t="s">
        <v>1152</v>
      </c>
      <c r="Z1637" s="30" t="s">
        <v>64</v>
      </c>
      <c r="AA1637" s="30" t="s">
        <v>565</v>
      </c>
      <c r="AB1637" s="30" t="s">
        <v>0</v>
      </c>
      <c r="AC1637" s="30" t="s">
        <v>4511</v>
      </c>
    </row>
    <row r="1638" spans="1:29">
      <c r="A1638" s="60" t="s">
        <v>4512</v>
      </c>
      <c r="B1638" s="60" t="str">
        <f>IF(ISNUMBER(SEARCH(E1638,A1638)),A1638,IF(OR(E1638="",E1638=""),A1638,A1638&amp;" - "&amp;E1638))</f>
        <v>THC AKUT 22 RS11 - Rainbow Sherbert 11</v>
      </c>
      <c r="C1638" s="23" t="s">
        <v>153</v>
      </c>
      <c r="D1638" s="25" t="s">
        <v>154</v>
      </c>
      <c r="E1638" s="64" t="s">
        <v>4445</v>
      </c>
      <c r="F1638" s="41" t="s">
        <v>177</v>
      </c>
      <c r="G1638" s="27" t="s">
        <v>4126</v>
      </c>
      <c r="H1638" s="27">
        <v>1</v>
      </c>
      <c r="I1638" s="24" t="s">
        <v>0</v>
      </c>
      <c r="J1638" s="24" t="s">
        <v>0</v>
      </c>
      <c r="K1638" s="24" t="s">
        <v>52</v>
      </c>
      <c r="L1638" s="24" t="s">
        <v>53</v>
      </c>
      <c r="M1638" s="24" t="s">
        <v>111</v>
      </c>
      <c r="N1638" s="24" t="s">
        <v>71</v>
      </c>
      <c r="O1638" s="24" t="s">
        <v>54</v>
      </c>
      <c r="P1638" s="24" t="s">
        <v>75</v>
      </c>
      <c r="Q1638" s="24" t="s">
        <v>104</v>
      </c>
      <c r="R1638" s="24" t="s">
        <v>73</v>
      </c>
      <c r="S1638" s="24" t="s">
        <v>106</v>
      </c>
      <c r="T1638" s="24" t="s">
        <v>62</v>
      </c>
      <c r="U1638" s="24" t="s">
        <v>147</v>
      </c>
      <c r="V1638" s="24" t="s">
        <v>93</v>
      </c>
      <c r="W1638" s="24" t="s">
        <v>79</v>
      </c>
      <c r="X1638" s="24" t="s">
        <v>77</v>
      </c>
      <c r="Y1638" s="24" t="s">
        <v>335</v>
      </c>
      <c r="Z1638" s="24" t="s">
        <v>64</v>
      </c>
      <c r="AA1638" s="24" t="s">
        <v>154</v>
      </c>
      <c r="AB1638" s="24" t="s">
        <v>0</v>
      </c>
      <c r="AC1638" s="24" t="s">
        <v>4513</v>
      </c>
    </row>
    <row r="1639" spans="1:29">
      <c r="A1639" s="60" t="s">
        <v>4514</v>
      </c>
      <c r="B1639" s="60" t="str">
        <f>IF(ISNUMBER(SEARCH(E1639,A1639)),A1639,IF(OR(E1639="",E1639=""),A1639,A1639&amp;" - "&amp;E1639))</f>
        <v>madrecan 24/1 MDR - MAC Driver</v>
      </c>
      <c r="C1639" s="30" t="s">
        <v>83</v>
      </c>
      <c r="D1639" s="30" t="s">
        <v>84</v>
      </c>
      <c r="E1639" s="40" t="s">
        <v>1811</v>
      </c>
      <c r="F1639" s="40" t="s">
        <v>86</v>
      </c>
      <c r="G1639" s="34" t="s">
        <v>448</v>
      </c>
      <c r="H1639" s="34">
        <v>1</v>
      </c>
      <c r="I1639" s="30" t="s">
        <v>0</v>
      </c>
      <c r="J1639" s="30" t="s">
        <v>0</v>
      </c>
      <c r="K1639" s="30" t="s">
        <v>17</v>
      </c>
      <c r="L1639" s="30" t="s">
        <v>102</v>
      </c>
      <c r="M1639" s="30" t="s">
        <v>121</v>
      </c>
      <c r="N1639" s="30" t="s">
        <v>71</v>
      </c>
      <c r="O1639" s="30" t="s">
        <v>72</v>
      </c>
      <c r="P1639" s="30" t="s">
        <v>73</v>
      </c>
      <c r="Q1639" s="30" t="s">
        <v>89</v>
      </c>
      <c r="R1639" s="30" t="s">
        <v>75</v>
      </c>
      <c r="S1639" s="30" t="s">
        <v>90</v>
      </c>
      <c r="T1639" s="30" t="s">
        <v>106</v>
      </c>
      <c r="U1639" s="30" t="s">
        <v>62</v>
      </c>
      <c r="V1639" s="30" t="s">
        <v>116</v>
      </c>
      <c r="W1639" s="30" t="s">
        <v>107</v>
      </c>
      <c r="X1639" s="30" t="s">
        <v>79</v>
      </c>
      <c r="Y1639" s="30" t="s">
        <v>367</v>
      </c>
      <c r="Z1639" s="30" t="s">
        <v>64</v>
      </c>
      <c r="AA1639" s="30" t="s">
        <v>95</v>
      </c>
      <c r="AB1639" s="30" t="s">
        <v>0</v>
      </c>
      <c r="AC1639" s="30" t="s">
        <v>4515</v>
      </c>
    </row>
    <row r="1640" spans="1:29">
      <c r="A1640" s="60" t="s">
        <v>4516</v>
      </c>
      <c r="B1640" s="60" t="str">
        <f>IF(ISNUMBER(SEARCH(E1640,A1640)),A1640,IF(OR(E1640="",E1640=""),A1640,A1640&amp;" - "&amp;E1640))</f>
        <v>Remexian 24/1 MCS CGR - Cool Grapes</v>
      </c>
      <c r="C1640" s="24" t="s">
        <v>83</v>
      </c>
      <c r="D1640" s="24" t="s">
        <v>84</v>
      </c>
      <c r="E1640" s="41" t="s">
        <v>1826</v>
      </c>
      <c r="F1640" s="41" t="s">
        <v>177</v>
      </c>
      <c r="G1640" s="27" t="s">
        <v>448</v>
      </c>
      <c r="H1640" s="28" t="s">
        <v>65</v>
      </c>
      <c r="I1640" s="24" t="s">
        <v>0</v>
      </c>
      <c r="J1640" s="24" t="s">
        <v>0</v>
      </c>
      <c r="K1640" s="24" t="s">
        <v>52</v>
      </c>
      <c r="L1640" s="24" t="s">
        <v>53</v>
      </c>
      <c r="M1640" s="24" t="s">
        <v>72</v>
      </c>
      <c r="N1640" s="24" t="s">
        <v>121</v>
      </c>
      <c r="O1640" s="24" t="s">
        <v>71</v>
      </c>
      <c r="P1640" s="24" t="s">
        <v>89</v>
      </c>
      <c r="Q1640" s="24" t="s">
        <v>73</v>
      </c>
      <c r="R1640" s="24" t="s">
        <v>0</v>
      </c>
      <c r="S1640" s="24" t="s">
        <v>106</v>
      </c>
      <c r="T1640" s="24" t="s">
        <v>147</v>
      </c>
      <c r="U1640" s="24" t="s">
        <v>192</v>
      </c>
      <c r="V1640" s="24" t="s">
        <v>77</v>
      </c>
      <c r="W1640" s="24" t="s">
        <v>116</v>
      </c>
      <c r="X1640" s="24" t="s">
        <v>93</v>
      </c>
      <c r="Y1640" s="24" t="s">
        <v>220</v>
      </c>
      <c r="Z1640" s="24" t="s">
        <v>64</v>
      </c>
      <c r="AA1640" s="24" t="s">
        <v>95</v>
      </c>
      <c r="AB1640" s="24" t="s">
        <v>0</v>
      </c>
      <c r="AC1640" s="24" t="s">
        <v>4517</v>
      </c>
    </row>
    <row r="1641" spans="1:29">
      <c r="A1641" s="60" t="s">
        <v>4518</v>
      </c>
      <c r="B1641" s="60" t="str">
        <f>IF(ISNUMBER(SEARCH(E1641,A1641)),A1641,IF(OR(E1641="",E1641=""),A1641,A1641&amp;" - "&amp;E1641))</f>
        <v>Remexian 27/1 QUI FAC - Facade</v>
      </c>
      <c r="C1641" s="30" t="s">
        <v>83</v>
      </c>
      <c r="D1641" s="30" t="s">
        <v>84</v>
      </c>
      <c r="E1641" s="40" t="s">
        <v>4519</v>
      </c>
      <c r="F1641" s="40" t="s">
        <v>144</v>
      </c>
      <c r="G1641" s="34" t="s">
        <v>33</v>
      </c>
      <c r="H1641" s="35" t="s">
        <v>65</v>
      </c>
      <c r="I1641" s="30" t="s">
        <v>0</v>
      </c>
      <c r="J1641" s="30" t="s">
        <v>0</v>
      </c>
      <c r="K1641" s="30" t="s">
        <v>52</v>
      </c>
      <c r="L1641" s="30" t="s">
        <v>53</v>
      </c>
      <c r="M1641" s="30" t="s">
        <v>111</v>
      </c>
      <c r="N1641" s="30" t="s">
        <v>54</v>
      </c>
      <c r="O1641" s="30" t="s">
        <v>88</v>
      </c>
      <c r="P1641" s="30" t="s">
        <v>73</v>
      </c>
      <c r="Q1641" s="30" t="s">
        <v>57</v>
      </c>
      <c r="R1641" s="30" t="s">
        <v>89</v>
      </c>
      <c r="S1641" s="30" t="s">
        <v>106</v>
      </c>
      <c r="T1641" s="30" t="s">
        <v>147</v>
      </c>
      <c r="U1641" s="30" t="s">
        <v>192</v>
      </c>
      <c r="V1641" s="30" t="s">
        <v>93</v>
      </c>
      <c r="W1641" s="30" t="s">
        <v>107</v>
      </c>
      <c r="X1641" s="30" t="s">
        <v>79</v>
      </c>
      <c r="Y1641" s="30" t="s">
        <v>3098</v>
      </c>
      <c r="Z1641" s="30" t="s">
        <v>64</v>
      </c>
      <c r="AA1641" s="30" t="s">
        <v>95</v>
      </c>
      <c r="AB1641" s="30" t="s">
        <v>0</v>
      </c>
      <c r="AC1641" s="30" t="s">
        <v>4520</v>
      </c>
    </row>
    <row r="1642" spans="1:29">
      <c r="A1642" s="60" t="s">
        <v>4521</v>
      </c>
      <c r="B1642" s="60" t="str">
        <f>IF(ISNUMBER(SEARCH(E1642,A1642)),A1642,IF(OR(E1642="",E1642=""),A1642,A1642&amp;" - "&amp;E1642))</f>
        <v>Remexian 27/1 ADV FCO - Frosted Cookies</v>
      </c>
      <c r="C1642" s="24" t="s">
        <v>83</v>
      </c>
      <c r="D1642" s="24" t="s">
        <v>84</v>
      </c>
      <c r="E1642" s="41" t="s">
        <v>1414</v>
      </c>
      <c r="F1642" s="41" t="s">
        <v>177</v>
      </c>
      <c r="G1642" s="27" t="s">
        <v>33</v>
      </c>
      <c r="H1642" s="28" t="s">
        <v>65</v>
      </c>
      <c r="I1642" s="24" t="s">
        <v>0</v>
      </c>
      <c r="J1642" s="24" t="s">
        <v>0</v>
      </c>
      <c r="K1642" s="24" t="s">
        <v>52</v>
      </c>
      <c r="L1642" s="24" t="s">
        <v>53</v>
      </c>
      <c r="M1642" s="24" t="s">
        <v>71</v>
      </c>
      <c r="N1642" s="24" t="s">
        <v>121</v>
      </c>
      <c r="O1642" s="24" t="s">
        <v>72</v>
      </c>
      <c r="P1642" s="24" t="s">
        <v>75</v>
      </c>
      <c r="Q1642" s="24" t="s">
        <v>74</v>
      </c>
      <c r="R1642" s="24" t="s">
        <v>0</v>
      </c>
      <c r="S1642" s="24" t="s">
        <v>106</v>
      </c>
      <c r="T1642" s="24" t="s">
        <v>147</v>
      </c>
      <c r="U1642" s="24" t="s">
        <v>192</v>
      </c>
      <c r="V1642" s="24" t="s">
        <v>79</v>
      </c>
      <c r="W1642" s="24" t="s">
        <v>116</v>
      </c>
      <c r="X1642" s="24" t="s">
        <v>107</v>
      </c>
      <c r="Y1642" s="24" t="s">
        <v>4183</v>
      </c>
      <c r="Z1642" s="24" t="s">
        <v>64</v>
      </c>
      <c r="AA1642" s="24" t="s">
        <v>95</v>
      </c>
      <c r="AB1642" s="24" t="s">
        <v>0</v>
      </c>
      <c r="AC1642" s="24" t="s">
        <v>4522</v>
      </c>
    </row>
    <row r="1643" spans="1:29">
      <c r="A1643" s="60" t="s">
        <v>4523</v>
      </c>
      <c r="B1643" s="60" t="str">
        <f>IF(ISNUMBER(SEARCH(E1643,A1643)),A1643,IF(OR(E1643="",E1643=""),A1643,A1643&amp;" - "&amp;E1643))</f>
        <v>Remexian 30/1 ADV PMK - Peppermint Kush</v>
      </c>
      <c r="C1643" s="30" t="s">
        <v>83</v>
      </c>
      <c r="D1643" s="30" t="s">
        <v>84</v>
      </c>
      <c r="E1643" s="40" t="s">
        <v>4464</v>
      </c>
      <c r="F1643" s="40" t="s">
        <v>177</v>
      </c>
      <c r="G1643" s="34" t="s">
        <v>4057</v>
      </c>
      <c r="H1643" s="35" t="s">
        <v>65</v>
      </c>
      <c r="I1643" s="30" t="s">
        <v>0</v>
      </c>
      <c r="J1643" s="30" t="s">
        <v>0</v>
      </c>
      <c r="K1643" s="30" t="s">
        <v>52</v>
      </c>
      <c r="L1643" s="30" t="s">
        <v>53</v>
      </c>
      <c r="M1643" s="30" t="s">
        <v>72</v>
      </c>
      <c r="N1643" s="30" t="s">
        <v>88</v>
      </c>
      <c r="O1643" s="30" t="s">
        <v>0</v>
      </c>
      <c r="P1643" s="30" t="s">
        <v>113</v>
      </c>
      <c r="Q1643" s="30" t="s">
        <v>157</v>
      </c>
      <c r="R1643" s="30" t="s">
        <v>74</v>
      </c>
      <c r="S1643" s="30" t="s">
        <v>106</v>
      </c>
      <c r="T1643" s="30" t="s">
        <v>147</v>
      </c>
      <c r="U1643" s="30" t="s">
        <v>192</v>
      </c>
      <c r="V1643" s="30" t="s">
        <v>173</v>
      </c>
      <c r="W1643" s="30" t="s">
        <v>93</v>
      </c>
      <c r="X1643" s="30" t="s">
        <v>116</v>
      </c>
      <c r="Y1643" s="30" t="s">
        <v>1762</v>
      </c>
      <c r="Z1643" s="30" t="s">
        <v>64</v>
      </c>
      <c r="AA1643" s="30" t="s">
        <v>95</v>
      </c>
      <c r="AB1643" s="30" t="s">
        <v>0</v>
      </c>
      <c r="AC1643" s="30" t="s">
        <v>4524</v>
      </c>
    </row>
    <row r="1644" spans="1:29">
      <c r="A1644" s="60" t="s">
        <v>4525</v>
      </c>
      <c r="B1644" s="60" t="str">
        <f>IF(ISNUMBER(SEARCH(E1644,A1644)),A1644,IF(OR(E1644="",E1644=""),A1644,A1644&amp;" - "&amp;E1644))</f>
        <v>Remexian 27/1 HMA CDC - Chem de la Chem</v>
      </c>
      <c r="C1644" s="24" t="s">
        <v>83</v>
      </c>
      <c r="D1644" s="24" t="s">
        <v>84</v>
      </c>
      <c r="E1644" s="41" t="s">
        <v>1151</v>
      </c>
      <c r="F1644" s="41" t="s">
        <v>144</v>
      </c>
      <c r="G1644" s="27" t="s">
        <v>33</v>
      </c>
      <c r="H1644" s="28" t="s">
        <v>65</v>
      </c>
      <c r="I1644" s="24" t="s">
        <v>0</v>
      </c>
      <c r="J1644" s="24" t="s">
        <v>0</v>
      </c>
      <c r="K1644" s="24" t="s">
        <v>52</v>
      </c>
      <c r="L1644" s="24" t="s">
        <v>53</v>
      </c>
      <c r="M1644" s="24" t="s">
        <v>72</v>
      </c>
      <c r="N1644" s="24" t="s">
        <v>111</v>
      </c>
      <c r="O1644" s="24" t="s">
        <v>55</v>
      </c>
      <c r="P1644" s="24" t="s">
        <v>146</v>
      </c>
      <c r="Q1644" s="24" t="s">
        <v>75</v>
      </c>
      <c r="R1644" s="24" t="s">
        <v>59</v>
      </c>
      <c r="S1644" s="24" t="s">
        <v>62</v>
      </c>
      <c r="T1644" s="24" t="s">
        <v>147</v>
      </c>
      <c r="U1644" s="24" t="s">
        <v>493</v>
      </c>
      <c r="V1644" s="24" t="s">
        <v>77</v>
      </c>
      <c r="W1644" s="24" t="s">
        <v>79</v>
      </c>
      <c r="X1644" s="24" t="s">
        <v>107</v>
      </c>
      <c r="Y1644" s="24" t="s">
        <v>1885</v>
      </c>
      <c r="Z1644" s="24" t="s">
        <v>64</v>
      </c>
      <c r="AA1644" s="24" t="s">
        <v>95</v>
      </c>
      <c r="AB1644" s="24" t="s">
        <v>0</v>
      </c>
      <c r="AC1644" s="24" t="s">
        <v>4526</v>
      </c>
    </row>
    <row r="1645" spans="1:29">
      <c r="A1645" s="60" t="s">
        <v>4527</v>
      </c>
      <c r="B1645" s="60" t="str">
        <f>IF(ISNUMBER(SEARCH(E1645,A1645)),A1645,IF(OR(E1645="",E1645=""),A1645,A1645&amp;" - "&amp;E1645))</f>
        <v>enua 30/1 GMO CA - Koko Cookies</v>
      </c>
      <c r="C1645" s="30" t="s">
        <v>650</v>
      </c>
      <c r="D1645" s="30" t="s">
        <v>651</v>
      </c>
      <c r="E1645" s="40" t="s">
        <v>277</v>
      </c>
      <c r="F1645" s="40" t="s">
        <v>177</v>
      </c>
      <c r="G1645" s="34" t="s">
        <v>4057</v>
      </c>
      <c r="H1645" s="35" t="s">
        <v>65</v>
      </c>
      <c r="I1645" s="30" t="s">
        <v>0</v>
      </c>
      <c r="J1645" s="30" t="s">
        <v>0</v>
      </c>
      <c r="K1645" s="30" t="s">
        <v>52</v>
      </c>
      <c r="L1645" s="30" t="s">
        <v>53</v>
      </c>
      <c r="M1645" s="30" t="s">
        <v>71</v>
      </c>
      <c r="N1645" s="30" t="s">
        <v>72</v>
      </c>
      <c r="O1645" s="30" t="s">
        <v>0</v>
      </c>
      <c r="P1645" s="30" t="s">
        <v>74</v>
      </c>
      <c r="Q1645" s="30" t="s">
        <v>89</v>
      </c>
      <c r="R1645" s="30" t="s">
        <v>59</v>
      </c>
      <c r="S1645" s="30" t="s">
        <v>128</v>
      </c>
      <c r="T1645" s="30" t="s">
        <v>61</v>
      </c>
      <c r="U1645" s="30" t="s">
        <v>62</v>
      </c>
      <c r="V1645" s="30" t="s">
        <v>77</v>
      </c>
      <c r="W1645" s="30" t="s">
        <v>180</v>
      </c>
      <c r="X1645" s="30" t="s">
        <v>93</v>
      </c>
      <c r="Y1645" s="30" t="s">
        <v>3510</v>
      </c>
      <c r="Z1645" s="30" t="s">
        <v>64</v>
      </c>
      <c r="AA1645" s="30" t="s">
        <v>653</v>
      </c>
      <c r="AB1645" s="30" t="s">
        <v>0</v>
      </c>
      <c r="AC1645" s="30" t="s">
        <v>4528</v>
      </c>
    </row>
    <row r="1646" spans="1:29">
      <c r="A1646" s="60" t="s">
        <v>4529</v>
      </c>
      <c r="B1646" s="60" t="str">
        <f>IF(ISNUMBER(SEARCH(E1646,A1646)),A1646,IF(OR(E1646="",E1646=""),A1646,A1646&amp;" - "&amp;E1646))</f>
        <v>420 Natural 25/1 CA ZRP - Zour Apple</v>
      </c>
      <c r="C1646" s="24" t="s">
        <v>463</v>
      </c>
      <c r="D1646" s="24" t="s">
        <v>464</v>
      </c>
      <c r="E1646" s="41" t="s">
        <v>590</v>
      </c>
      <c r="F1646" s="41" t="s">
        <v>86</v>
      </c>
      <c r="G1646" s="27" t="s">
        <v>26</v>
      </c>
      <c r="H1646" s="27">
        <v>1</v>
      </c>
      <c r="I1646" s="24" t="s">
        <v>0</v>
      </c>
      <c r="J1646" s="24" t="s">
        <v>0</v>
      </c>
      <c r="K1646" s="24" t="s">
        <v>52</v>
      </c>
      <c r="L1646" s="24" t="s">
        <v>53</v>
      </c>
      <c r="M1646" s="24" t="s">
        <v>111</v>
      </c>
      <c r="N1646" s="24" t="s">
        <v>178</v>
      </c>
      <c r="O1646" s="24" t="s">
        <v>72</v>
      </c>
      <c r="P1646" s="24" t="s">
        <v>58</v>
      </c>
      <c r="Q1646" s="24" t="s">
        <v>591</v>
      </c>
      <c r="R1646" s="24" t="s">
        <v>0</v>
      </c>
      <c r="S1646" s="24" t="s">
        <v>90</v>
      </c>
      <c r="T1646" s="24" t="s">
        <v>128</v>
      </c>
      <c r="U1646" s="24" t="s">
        <v>76</v>
      </c>
      <c r="V1646" s="24" t="s">
        <v>107</v>
      </c>
      <c r="W1646" s="24" t="s">
        <v>93</v>
      </c>
      <c r="X1646" s="24" t="s">
        <v>92</v>
      </c>
      <c r="Y1646" s="24" t="s">
        <v>80</v>
      </c>
      <c r="Z1646" s="24" t="s">
        <v>64</v>
      </c>
      <c r="AA1646" s="24" t="s">
        <v>468</v>
      </c>
      <c r="AB1646" s="24" t="s">
        <v>0</v>
      </c>
      <c r="AC1646" s="24" t="s">
        <v>4530</v>
      </c>
    </row>
    <row r="1647" spans="1:29">
      <c r="A1647" s="60" t="s">
        <v>4531</v>
      </c>
      <c r="B1647" s="60" t="str">
        <f>IF(ISNUMBER(SEARCH(E1647,A1647)),A1647,IF(OR(E1647="",E1647=""),A1647,A1647&amp;" - "&amp;E1647))</f>
        <v>MGF DVC 26 - Da Vinci Cake</v>
      </c>
      <c r="C1647" s="30" t="s">
        <v>3108</v>
      </c>
      <c r="D1647" s="42" t="s">
        <v>3109</v>
      </c>
      <c r="E1647" s="40" t="s">
        <v>4532</v>
      </c>
      <c r="F1647" s="40" t="s">
        <v>177</v>
      </c>
      <c r="G1647" s="34" t="s">
        <v>4086</v>
      </c>
      <c r="H1647" s="34">
        <v>1</v>
      </c>
      <c r="I1647" s="30" t="s">
        <v>0</v>
      </c>
      <c r="J1647" s="30" t="s">
        <v>0</v>
      </c>
      <c r="K1647" s="30" t="s">
        <v>52</v>
      </c>
      <c r="L1647" s="30" t="s">
        <v>102</v>
      </c>
      <c r="M1647" s="30" t="s">
        <v>88</v>
      </c>
      <c r="N1647" s="30" t="s">
        <v>71</v>
      </c>
      <c r="O1647" s="30" t="s">
        <v>54</v>
      </c>
      <c r="P1647" s="30" t="s">
        <v>59</v>
      </c>
      <c r="Q1647" s="30" t="s">
        <v>89</v>
      </c>
      <c r="R1647" s="30" t="s">
        <v>75</v>
      </c>
      <c r="S1647" s="30" t="s">
        <v>106</v>
      </c>
      <c r="T1647" s="30" t="s">
        <v>62</v>
      </c>
      <c r="U1647" s="30" t="s">
        <v>0</v>
      </c>
      <c r="V1647" s="30" t="s">
        <v>79</v>
      </c>
      <c r="W1647" s="30" t="s">
        <v>77</v>
      </c>
      <c r="X1647" s="30" t="s">
        <v>93</v>
      </c>
      <c r="Y1647" s="30" t="s">
        <v>555</v>
      </c>
      <c r="Z1647" s="30" t="s">
        <v>64</v>
      </c>
      <c r="AA1647" s="30" t="s">
        <v>3109</v>
      </c>
      <c r="AB1647" s="30" t="s">
        <v>0</v>
      </c>
      <c r="AC1647" s="30" t="s">
        <v>4533</v>
      </c>
    </row>
    <row r="1648" spans="1:29">
      <c r="A1648" s="60" t="s">
        <v>4534</v>
      </c>
      <c r="B1648" s="60" t="str">
        <f>IF(ISNUMBER(SEARCH(E1648,A1648)),A1648,IF(OR(E1648="",E1648=""),A1648,A1648&amp;" - "&amp;E1648))</f>
        <v>MGF 26/1 DG Day Glow - Dayglow</v>
      </c>
      <c r="C1648" s="24" t="s">
        <v>3108</v>
      </c>
      <c r="D1648" s="49" t="s">
        <v>3109</v>
      </c>
      <c r="E1648" s="41" t="s">
        <v>4535</v>
      </c>
      <c r="F1648" s="41" t="s">
        <v>86</v>
      </c>
      <c r="G1648" s="27" t="s">
        <v>4086</v>
      </c>
      <c r="H1648" s="27">
        <v>1</v>
      </c>
      <c r="I1648" s="24" t="s">
        <v>0</v>
      </c>
      <c r="J1648" s="24" t="s">
        <v>0</v>
      </c>
      <c r="K1648" s="24" t="s">
        <v>52</v>
      </c>
      <c r="L1648" s="24" t="s">
        <v>102</v>
      </c>
      <c r="M1648" s="24" t="s">
        <v>178</v>
      </c>
      <c r="N1648" s="24" t="s">
        <v>71</v>
      </c>
      <c r="O1648" s="24" t="s">
        <v>55</v>
      </c>
      <c r="P1648" s="24" t="s">
        <v>73</v>
      </c>
      <c r="Q1648" s="24" t="s">
        <v>146</v>
      </c>
      <c r="R1648" s="24" t="s">
        <v>74</v>
      </c>
      <c r="S1648" s="24" t="s">
        <v>128</v>
      </c>
      <c r="T1648" s="24" t="s">
        <v>61</v>
      </c>
      <c r="U1648" s="24" t="s">
        <v>62</v>
      </c>
      <c r="V1648" s="24" t="s">
        <v>79</v>
      </c>
      <c r="W1648" s="24" t="s">
        <v>77</v>
      </c>
      <c r="X1648" s="24" t="s">
        <v>107</v>
      </c>
      <c r="Y1648" s="24" t="s">
        <v>555</v>
      </c>
      <c r="Z1648" s="24" t="s">
        <v>64</v>
      </c>
      <c r="AA1648" s="24" t="s">
        <v>3109</v>
      </c>
      <c r="AB1648" s="24" t="s">
        <v>0</v>
      </c>
      <c r="AC1648" s="24" t="s">
        <v>4536</v>
      </c>
    </row>
    <row r="1649" spans="1:29">
      <c r="A1649" s="60" t="s">
        <v>4537</v>
      </c>
      <c r="B1649" s="60" t="str">
        <f>IF(ISNUMBER(SEARCH(E1649,A1649)),A1649,IF(OR(E1649="",E1649=""),A1649,A1649&amp;" - "&amp;E1649))</f>
        <v>MGF DR 26 - Dark Rainbow</v>
      </c>
      <c r="C1649" s="30" t="s">
        <v>3108</v>
      </c>
      <c r="D1649" s="42" t="s">
        <v>3109</v>
      </c>
      <c r="E1649" s="40" t="s">
        <v>4538</v>
      </c>
      <c r="F1649" s="40" t="s">
        <v>177</v>
      </c>
      <c r="G1649" s="34" t="s">
        <v>4086</v>
      </c>
      <c r="H1649" s="34">
        <v>1</v>
      </c>
      <c r="I1649" s="30" t="s">
        <v>0</v>
      </c>
      <c r="J1649" s="30" t="s">
        <v>0</v>
      </c>
      <c r="K1649" s="30" t="s">
        <v>17</v>
      </c>
      <c r="L1649" s="30" t="s">
        <v>102</v>
      </c>
      <c r="M1649" s="30" t="s">
        <v>71</v>
      </c>
      <c r="N1649" s="30" t="s">
        <v>72</v>
      </c>
      <c r="O1649" s="30" t="s">
        <v>121</v>
      </c>
      <c r="P1649" s="30" t="s">
        <v>75</v>
      </c>
      <c r="Q1649" s="30" t="s">
        <v>59</v>
      </c>
      <c r="R1649" s="30" t="s">
        <v>74</v>
      </c>
      <c r="S1649" s="30" t="s">
        <v>106</v>
      </c>
      <c r="T1649" s="30" t="s">
        <v>123</v>
      </c>
      <c r="U1649" s="30" t="s">
        <v>91</v>
      </c>
      <c r="V1649" s="30" t="s">
        <v>79</v>
      </c>
      <c r="W1649" s="30" t="s">
        <v>116</v>
      </c>
      <c r="X1649" s="30" t="s">
        <v>107</v>
      </c>
      <c r="Y1649" s="30" t="s">
        <v>555</v>
      </c>
      <c r="Z1649" s="30" t="s">
        <v>64</v>
      </c>
      <c r="AA1649" s="30" t="s">
        <v>3109</v>
      </c>
      <c r="AB1649" s="30" t="s">
        <v>0</v>
      </c>
      <c r="AC1649" s="30" t="s">
        <v>4539</v>
      </c>
    </row>
    <row r="1650" spans="1:29">
      <c r="A1650" s="60" t="s">
        <v>4540</v>
      </c>
      <c r="B1650" s="60" t="str">
        <f>IF(ISNUMBER(SEARCH(E1650,A1650)),A1650,IF(OR(E1650="",E1650=""),A1650,A1650&amp;" - "&amp;E1650))</f>
        <v>MGF 26/1 BD - Blue Dream</v>
      </c>
      <c r="C1650" s="24" t="s">
        <v>3108</v>
      </c>
      <c r="D1650" s="49" t="s">
        <v>3109</v>
      </c>
      <c r="E1650" s="41" t="s">
        <v>1339</v>
      </c>
      <c r="F1650" s="41" t="s">
        <v>69</v>
      </c>
      <c r="G1650" s="27" t="s">
        <v>4086</v>
      </c>
      <c r="H1650" s="27">
        <v>1</v>
      </c>
      <c r="I1650" s="24" t="s">
        <v>0</v>
      </c>
      <c r="J1650" s="24" t="s">
        <v>0</v>
      </c>
      <c r="K1650" s="24" t="s">
        <v>52</v>
      </c>
      <c r="L1650" s="24" t="s">
        <v>102</v>
      </c>
      <c r="M1650" s="24" t="s">
        <v>55</v>
      </c>
      <c r="N1650" s="24" t="s">
        <v>103</v>
      </c>
      <c r="O1650" s="24" t="s">
        <v>178</v>
      </c>
      <c r="P1650" s="24" t="s">
        <v>89</v>
      </c>
      <c r="Q1650" s="24" t="s">
        <v>58</v>
      </c>
      <c r="R1650" s="24" t="s">
        <v>0</v>
      </c>
      <c r="S1650" s="24" t="s">
        <v>62</v>
      </c>
      <c r="T1650" s="24" t="s">
        <v>147</v>
      </c>
      <c r="U1650" s="24" t="s">
        <v>192</v>
      </c>
      <c r="V1650" s="24" t="s">
        <v>292</v>
      </c>
      <c r="W1650" s="24" t="s">
        <v>208</v>
      </c>
      <c r="X1650" s="24" t="s">
        <v>93</v>
      </c>
      <c r="Y1650" s="24" t="s">
        <v>555</v>
      </c>
      <c r="Z1650" s="24" t="s">
        <v>64</v>
      </c>
      <c r="AA1650" s="24" t="s">
        <v>3109</v>
      </c>
      <c r="AB1650" s="24" t="s">
        <v>0</v>
      </c>
      <c r="AC1650" s="24" t="s">
        <v>4541</v>
      </c>
    </row>
    <row r="1651" spans="1:29">
      <c r="A1651" s="60" t="s">
        <v>4542</v>
      </c>
      <c r="B1651" s="60" t="str">
        <f>IF(ISNUMBER(SEARCH(E1651,A1651)),A1651,IF(OR(E1651="",E1651=""),A1651,A1651&amp;" - "&amp;E1651))</f>
        <v>Cannamedical CM 24/1 CRM Creamy Kees No.5 - Creamy Kee's No.5</v>
      </c>
      <c r="C1651" s="30" t="s">
        <v>48</v>
      </c>
      <c r="D1651" s="42" t="s">
        <v>49</v>
      </c>
      <c r="E1651" s="40" t="s">
        <v>2490</v>
      </c>
      <c r="F1651" s="40" t="s">
        <v>86</v>
      </c>
      <c r="G1651" s="34" t="s">
        <v>448</v>
      </c>
      <c r="H1651" s="34">
        <v>1</v>
      </c>
      <c r="I1651" s="30" t="s">
        <v>0</v>
      </c>
      <c r="J1651" s="30" t="s">
        <v>0</v>
      </c>
      <c r="K1651" s="30" t="s">
        <v>17</v>
      </c>
      <c r="L1651" s="30" t="s">
        <v>497</v>
      </c>
      <c r="M1651" s="30" t="s">
        <v>121</v>
      </c>
      <c r="N1651" s="30" t="s">
        <v>72</v>
      </c>
      <c r="O1651" s="30" t="s">
        <v>0</v>
      </c>
      <c r="P1651" s="30" t="s">
        <v>89</v>
      </c>
      <c r="Q1651" s="30" t="s">
        <v>59</v>
      </c>
      <c r="R1651" s="30" t="s">
        <v>113</v>
      </c>
      <c r="S1651" s="30" t="s">
        <v>128</v>
      </c>
      <c r="T1651" s="30" t="s">
        <v>62</v>
      </c>
      <c r="U1651" s="30" t="s">
        <v>60</v>
      </c>
      <c r="V1651" s="30" t="s">
        <v>165</v>
      </c>
      <c r="W1651" s="30" t="s">
        <v>107</v>
      </c>
      <c r="X1651" s="30" t="s">
        <v>116</v>
      </c>
      <c r="Y1651" s="30" t="s">
        <v>1938</v>
      </c>
      <c r="Z1651" s="30" t="s">
        <v>64</v>
      </c>
      <c r="AA1651" s="30" t="s">
        <v>49</v>
      </c>
      <c r="AB1651" s="30" t="s">
        <v>0</v>
      </c>
      <c r="AC1651" s="30" t="s">
        <v>4543</v>
      </c>
    </row>
    <row r="1652" spans="1:29">
      <c r="A1652" s="60" t="s">
        <v>4544</v>
      </c>
      <c r="B1652" s="60" t="str">
        <f>IF(ISNUMBER(SEARCH(E1652,A1652)),A1652,IF(OR(E1652="",E1652=""),A1652,A1652&amp;" - "&amp;E1652))</f>
        <v>Remexian 27/1 CIV PKU - Poison Kush</v>
      </c>
      <c r="C1652" s="24" t="s">
        <v>83</v>
      </c>
      <c r="D1652" s="49" t="s">
        <v>95</v>
      </c>
      <c r="E1652" s="41" t="s">
        <v>4545</v>
      </c>
      <c r="F1652" s="41" t="s">
        <v>177</v>
      </c>
      <c r="G1652" s="27" t="s">
        <v>33</v>
      </c>
      <c r="H1652" s="27">
        <v>1</v>
      </c>
      <c r="I1652" s="24" t="s">
        <v>0</v>
      </c>
      <c r="J1652" s="24" t="s">
        <v>0</v>
      </c>
      <c r="K1652" s="24" t="s">
        <v>52</v>
      </c>
      <c r="L1652" s="24" t="s">
        <v>53</v>
      </c>
      <c r="M1652" s="24" t="s">
        <v>88</v>
      </c>
      <c r="N1652" s="24" t="s">
        <v>72</v>
      </c>
      <c r="O1652" s="24" t="s">
        <v>0</v>
      </c>
      <c r="P1652" s="24" t="s">
        <v>59</v>
      </c>
      <c r="Q1652" s="24" t="s">
        <v>75</v>
      </c>
      <c r="R1652" s="24" t="s">
        <v>58</v>
      </c>
      <c r="S1652" s="24" t="s">
        <v>90</v>
      </c>
      <c r="T1652" s="24" t="s">
        <v>105</v>
      </c>
      <c r="U1652" s="24" t="s">
        <v>147</v>
      </c>
      <c r="V1652" s="24" t="s">
        <v>92</v>
      </c>
      <c r="W1652" s="24" t="s">
        <v>93</v>
      </c>
      <c r="X1652" s="24" t="s">
        <v>116</v>
      </c>
      <c r="Y1652" s="24" t="s">
        <v>3098</v>
      </c>
      <c r="Z1652" s="24" t="s">
        <v>64</v>
      </c>
      <c r="AA1652" s="24" t="s">
        <v>95</v>
      </c>
      <c r="AB1652" s="24" t="s">
        <v>0</v>
      </c>
      <c r="AC1652" s="24" t="s">
        <v>4546</v>
      </c>
    </row>
    <row r="1653" spans="1:29">
      <c r="A1653" s="60" t="s">
        <v>1866</v>
      </c>
      <c r="B1653" s="60" t="str">
        <f>IF(ISNUMBER(SEARCH(E1653,A1653)),A1653,IF(OR(E1653="",E1653=""),A1653,A1653&amp;" - "&amp;E1653))</f>
        <v>Nimbus easy 30/1 - La Sage</v>
      </c>
      <c r="C1653" s="30" t="s">
        <v>141</v>
      </c>
      <c r="D1653" s="42" t="s">
        <v>149</v>
      </c>
      <c r="E1653" s="40" t="s">
        <v>219</v>
      </c>
      <c r="F1653" s="40" t="s">
        <v>144</v>
      </c>
      <c r="G1653" s="34" t="s">
        <v>4057</v>
      </c>
      <c r="H1653" s="34">
        <v>1</v>
      </c>
      <c r="I1653" s="30" t="s">
        <v>0</v>
      </c>
      <c r="J1653" s="30" t="s">
        <v>0</v>
      </c>
      <c r="K1653" s="30" t="s">
        <v>52</v>
      </c>
      <c r="L1653" s="30" t="s">
        <v>145</v>
      </c>
      <c r="M1653" s="30" t="s">
        <v>55</v>
      </c>
      <c r="N1653" s="30" t="s">
        <v>88</v>
      </c>
      <c r="O1653" s="30" t="s">
        <v>71</v>
      </c>
      <c r="P1653" s="30" t="s">
        <v>146</v>
      </c>
      <c r="Q1653" s="30" t="s">
        <v>75</v>
      </c>
      <c r="R1653" s="30" t="s">
        <v>0</v>
      </c>
      <c r="S1653" s="30" t="s">
        <v>90</v>
      </c>
      <c r="T1653" s="30" t="s">
        <v>128</v>
      </c>
      <c r="U1653" s="30" t="s">
        <v>106</v>
      </c>
      <c r="V1653" s="30" t="s">
        <v>107</v>
      </c>
      <c r="W1653" s="30" t="s">
        <v>173</v>
      </c>
      <c r="X1653" s="30" t="s">
        <v>77</v>
      </c>
      <c r="Y1653" s="30" t="s">
        <v>550</v>
      </c>
      <c r="Z1653" s="30" t="s">
        <v>64</v>
      </c>
      <c r="AA1653" s="30" t="s">
        <v>149</v>
      </c>
      <c r="AB1653" s="30" t="s">
        <v>0</v>
      </c>
      <c r="AC1653" s="30" t="s">
        <v>4547</v>
      </c>
    </row>
    <row r="1654" spans="1:29">
      <c r="A1654" s="60" t="s">
        <v>4548</v>
      </c>
      <c r="B1654" s="60" t="str">
        <f>IF(ISNUMBER(SEARCH(E1654,A1654)),A1654,IF(OR(E1654="",E1654=""),A1654,A1654&amp;" - "&amp;E1654))</f>
        <v>CNBS BYC 30/1 - Booty Clapper</v>
      </c>
      <c r="C1654" s="24" t="s">
        <v>822</v>
      </c>
      <c r="D1654" s="49" t="s">
        <v>826</v>
      </c>
      <c r="E1654" s="41" t="s">
        <v>4549</v>
      </c>
      <c r="F1654" s="41" t="s">
        <v>86</v>
      </c>
      <c r="G1654" s="27" t="s">
        <v>448</v>
      </c>
      <c r="H1654" s="27">
        <v>1</v>
      </c>
      <c r="I1654" s="24" t="s">
        <v>0</v>
      </c>
      <c r="J1654" s="24" t="s">
        <v>0</v>
      </c>
      <c r="K1654" s="24" t="s">
        <v>52</v>
      </c>
      <c r="L1654" s="24" t="s">
        <v>53</v>
      </c>
      <c r="M1654" s="24" t="s">
        <v>54</v>
      </c>
      <c r="N1654" s="24" t="s">
        <v>178</v>
      </c>
      <c r="O1654" s="24" t="s">
        <v>72</v>
      </c>
      <c r="P1654" s="24" t="s">
        <v>59</v>
      </c>
      <c r="Q1654" s="24" t="s">
        <v>75</v>
      </c>
      <c r="R1654" s="24" t="s">
        <v>104</v>
      </c>
      <c r="S1654" s="24" t="s">
        <v>106</v>
      </c>
      <c r="T1654" s="24" t="s">
        <v>62</v>
      </c>
      <c r="U1654" s="24" t="s">
        <v>91</v>
      </c>
      <c r="V1654" s="24" t="s">
        <v>79</v>
      </c>
      <c r="W1654" s="24" t="s">
        <v>138</v>
      </c>
      <c r="X1654" s="24" t="s">
        <v>173</v>
      </c>
      <c r="Y1654" s="24" t="s">
        <v>80</v>
      </c>
      <c r="Z1654" s="24" t="s">
        <v>64</v>
      </c>
      <c r="AA1654" s="24" t="s">
        <v>826</v>
      </c>
      <c r="AB1654" s="24" t="s">
        <v>0</v>
      </c>
      <c r="AC1654" s="37" t="s">
        <v>4550</v>
      </c>
    </row>
    <row r="1655" spans="1:29">
      <c r="A1655" s="60" t="s">
        <v>4551</v>
      </c>
      <c r="B1655" s="60" t="str">
        <f>IF(ISNUMBER(SEARCH(E1655,A1655)),A1655,IF(OR(E1655="",E1655=""),A1655,A1655&amp;" - "&amp;E1655))</f>
        <v>Remexian 30/1 CIV BOB - Booberry Cookies</v>
      </c>
      <c r="C1655" s="30" t="s">
        <v>83</v>
      </c>
      <c r="D1655" s="42" t="s">
        <v>95</v>
      </c>
      <c r="E1655" s="40" t="s">
        <v>4552</v>
      </c>
      <c r="F1655" s="40" t="s">
        <v>177</v>
      </c>
      <c r="G1655" s="34" t="s">
        <v>4057</v>
      </c>
      <c r="H1655" s="34">
        <v>1</v>
      </c>
      <c r="I1655" s="30" t="s">
        <v>0</v>
      </c>
      <c r="J1655" s="30" t="s">
        <v>0</v>
      </c>
      <c r="K1655" s="30" t="s">
        <v>52</v>
      </c>
      <c r="L1655" s="30" t="s">
        <v>53</v>
      </c>
      <c r="M1655" s="30" t="s">
        <v>54</v>
      </c>
      <c r="N1655" s="30" t="s">
        <v>72</v>
      </c>
      <c r="O1655" s="30" t="s">
        <v>71</v>
      </c>
      <c r="P1655" s="30" t="s">
        <v>59</v>
      </c>
      <c r="Q1655" s="30" t="s">
        <v>74</v>
      </c>
      <c r="R1655" s="30" t="s">
        <v>58</v>
      </c>
      <c r="S1655" s="30" t="s">
        <v>90</v>
      </c>
      <c r="T1655" s="30" t="s">
        <v>62</v>
      </c>
      <c r="U1655" s="30" t="s">
        <v>91</v>
      </c>
      <c r="V1655" s="30" t="s">
        <v>197</v>
      </c>
      <c r="W1655" s="30" t="s">
        <v>173</v>
      </c>
      <c r="X1655" s="30" t="s">
        <v>77</v>
      </c>
      <c r="Y1655" s="30" t="s">
        <v>550</v>
      </c>
      <c r="Z1655" s="30" t="s">
        <v>64</v>
      </c>
      <c r="AA1655" s="30" t="s">
        <v>95</v>
      </c>
      <c r="AB1655" s="30" t="s">
        <v>0</v>
      </c>
      <c r="AC1655" s="30" t="s">
        <v>4553</v>
      </c>
    </row>
    <row r="1656" spans="1:29">
      <c r="A1656" s="60" t="s">
        <v>4554</v>
      </c>
      <c r="B1656" s="60" t="str">
        <f>IF(ISNUMBER(SEARCH(E1656,A1656)),A1656,IF(OR(E1656="",E1656=""),A1656,A1656&amp;" - "&amp;E1656))</f>
        <v>Be Humble DD 25/1 - Facade</v>
      </c>
      <c r="C1656" s="24" t="s">
        <v>564</v>
      </c>
      <c r="D1656" s="49" t="s">
        <v>565</v>
      </c>
      <c r="E1656" s="41" t="s">
        <v>4519</v>
      </c>
      <c r="F1656" s="41" t="s">
        <v>86</v>
      </c>
      <c r="G1656" s="27" t="s">
        <v>26</v>
      </c>
      <c r="H1656" s="27">
        <v>1</v>
      </c>
      <c r="I1656" s="24" t="s">
        <v>0</v>
      </c>
      <c r="J1656" s="24" t="s">
        <v>0</v>
      </c>
      <c r="K1656" s="24" t="s">
        <v>52</v>
      </c>
      <c r="L1656" s="24" t="s">
        <v>53</v>
      </c>
      <c r="M1656" s="24" t="s">
        <v>111</v>
      </c>
      <c r="N1656" s="24" t="s">
        <v>54</v>
      </c>
      <c r="O1656" s="24" t="s">
        <v>88</v>
      </c>
      <c r="P1656" s="24" t="s">
        <v>73</v>
      </c>
      <c r="Q1656" s="24" t="s">
        <v>57</v>
      </c>
      <c r="R1656" s="24" t="s">
        <v>89</v>
      </c>
      <c r="S1656" s="24" t="s">
        <v>106</v>
      </c>
      <c r="T1656" s="24" t="s">
        <v>62</v>
      </c>
      <c r="U1656" s="24" t="s">
        <v>147</v>
      </c>
      <c r="V1656" s="24" t="s">
        <v>93</v>
      </c>
      <c r="W1656" s="24" t="s">
        <v>107</v>
      </c>
      <c r="X1656" s="24" t="s">
        <v>79</v>
      </c>
      <c r="Y1656" s="24" t="s">
        <v>331</v>
      </c>
      <c r="Z1656" s="24" t="s">
        <v>64</v>
      </c>
      <c r="AA1656" s="24" t="s">
        <v>565</v>
      </c>
      <c r="AB1656" s="24" t="s">
        <v>0</v>
      </c>
      <c r="AC1656" s="24" t="s">
        <v>4555</v>
      </c>
    </row>
    <row r="1657" spans="1:29">
      <c r="A1657" s="60" t="s">
        <v>4556</v>
      </c>
      <c r="B1657" s="60" t="str">
        <f>IF(ISNUMBER(SEARCH(E1657,A1657)),A1657,IF(OR(E1657="",E1657=""),A1657,A1657&amp;" - "&amp;E1657))</f>
        <v>Be Humble BA 30/1 - El Chapo</v>
      </c>
      <c r="C1657" s="30" t="s">
        <v>564</v>
      </c>
      <c r="D1657" s="42" t="s">
        <v>565</v>
      </c>
      <c r="E1657" s="40" t="s">
        <v>4557</v>
      </c>
      <c r="F1657" s="40" t="s">
        <v>177</v>
      </c>
      <c r="G1657" s="34" t="s">
        <v>4057</v>
      </c>
      <c r="H1657" s="34">
        <v>1</v>
      </c>
      <c r="I1657" s="30" t="s">
        <v>0</v>
      </c>
      <c r="J1657" s="30" t="s">
        <v>0</v>
      </c>
      <c r="K1657" s="30" t="s">
        <v>52</v>
      </c>
      <c r="L1657" s="30" t="s">
        <v>53</v>
      </c>
      <c r="M1657" s="30" t="s">
        <v>71</v>
      </c>
      <c r="N1657" s="30" t="s">
        <v>72</v>
      </c>
      <c r="O1657" s="30" t="s">
        <v>0</v>
      </c>
      <c r="P1657" s="30" t="s">
        <v>104</v>
      </c>
      <c r="Q1657" s="30" t="s">
        <v>75</v>
      </c>
      <c r="R1657" s="30" t="s">
        <v>89</v>
      </c>
      <c r="S1657" s="30" t="s">
        <v>128</v>
      </c>
      <c r="T1657" s="30" t="s">
        <v>106</v>
      </c>
      <c r="U1657" s="30" t="s">
        <v>62</v>
      </c>
      <c r="V1657" s="30" t="s">
        <v>116</v>
      </c>
      <c r="W1657" s="30" t="s">
        <v>79</v>
      </c>
      <c r="X1657" s="30" t="s">
        <v>107</v>
      </c>
      <c r="Y1657" s="30" t="s">
        <v>3873</v>
      </c>
      <c r="Z1657" s="30" t="s">
        <v>64</v>
      </c>
      <c r="AA1657" s="30" t="s">
        <v>565</v>
      </c>
      <c r="AB1657" s="30" t="s">
        <v>0</v>
      </c>
      <c r="AC1657" s="30" t="s">
        <v>4558</v>
      </c>
    </row>
    <row r="1658" spans="1:29">
      <c r="A1658" s="60" t="s">
        <v>4559</v>
      </c>
      <c r="B1658" s="60" t="str">
        <f>IF(ISNUMBER(SEARCH(E1658,A1658)),A1658,IF(OR(E1658="",E1658=""),A1658,A1658&amp;" - "&amp;E1658))</f>
        <v>Remexian 24/1 MHI HUW - Humble Warrior</v>
      </c>
      <c r="C1658" s="24" t="s">
        <v>83</v>
      </c>
      <c r="D1658" s="49" t="s">
        <v>95</v>
      </c>
      <c r="E1658" s="41" t="s">
        <v>1051</v>
      </c>
      <c r="F1658" s="41" t="s">
        <v>69</v>
      </c>
      <c r="G1658" s="27" t="s">
        <v>448</v>
      </c>
      <c r="H1658" s="27">
        <v>1</v>
      </c>
      <c r="I1658" s="24" t="s">
        <v>0</v>
      </c>
      <c r="J1658" s="24" t="s">
        <v>0</v>
      </c>
      <c r="K1658" s="24" t="s">
        <v>52</v>
      </c>
      <c r="L1658" s="24" t="s">
        <v>102</v>
      </c>
      <c r="M1658" s="24" t="s">
        <v>156</v>
      </c>
      <c r="N1658" s="24" t="s">
        <v>88</v>
      </c>
      <c r="O1658" s="24" t="s">
        <v>111</v>
      </c>
      <c r="P1658" s="24" t="s">
        <v>58</v>
      </c>
      <c r="Q1658" s="24" t="s">
        <v>0</v>
      </c>
      <c r="R1658" s="24" t="s">
        <v>0</v>
      </c>
      <c r="S1658" s="24" t="s">
        <v>62</v>
      </c>
      <c r="T1658" s="24" t="s">
        <v>105</v>
      </c>
      <c r="U1658" s="24" t="s">
        <v>147</v>
      </c>
      <c r="V1658" s="24" t="s">
        <v>79</v>
      </c>
      <c r="W1658" s="24" t="s">
        <v>107</v>
      </c>
      <c r="X1658" s="24" t="s">
        <v>77</v>
      </c>
      <c r="Y1658" s="24" t="s">
        <v>1812</v>
      </c>
      <c r="Z1658" s="24" t="s">
        <v>64</v>
      </c>
      <c r="AA1658" s="24" t="s">
        <v>95</v>
      </c>
      <c r="AB1658" s="24" t="s">
        <v>0</v>
      </c>
      <c r="AC1658" s="24" t="s">
        <v>4560</v>
      </c>
    </row>
    <row r="1659" spans="1:29">
      <c r="A1659" s="60" t="s">
        <v>4561</v>
      </c>
      <c r="B1659" s="60" t="str">
        <f>IF(ISNUMBER(SEARCH(E1659,A1659)),A1659,IF(OR(E1659="",E1659=""),A1659,A1659&amp;" - "&amp;E1659))</f>
        <v>Remexian 27/1 CIV BDY - Banana Daddy</v>
      </c>
      <c r="C1659" s="30" t="s">
        <v>83</v>
      </c>
      <c r="D1659" s="42" t="s">
        <v>95</v>
      </c>
      <c r="E1659" s="40" t="s">
        <v>4562</v>
      </c>
      <c r="F1659" s="40" t="s">
        <v>86</v>
      </c>
      <c r="G1659" s="34" t="s">
        <v>33</v>
      </c>
      <c r="H1659" s="34">
        <v>1</v>
      </c>
      <c r="I1659" s="30" t="s">
        <v>0</v>
      </c>
      <c r="J1659" s="30" t="s">
        <v>0</v>
      </c>
      <c r="K1659" s="30" t="s">
        <v>52</v>
      </c>
      <c r="L1659" s="30" t="s">
        <v>53</v>
      </c>
      <c r="M1659" s="30" t="s">
        <v>88</v>
      </c>
      <c r="N1659" s="30" t="s">
        <v>55</v>
      </c>
      <c r="O1659" s="30" t="s">
        <v>71</v>
      </c>
      <c r="P1659" s="30" t="s">
        <v>0</v>
      </c>
      <c r="Q1659" s="30" t="s">
        <v>0</v>
      </c>
      <c r="R1659" s="30" t="s">
        <v>0</v>
      </c>
      <c r="S1659" s="30" t="s">
        <v>179</v>
      </c>
      <c r="T1659" s="30" t="s">
        <v>105</v>
      </c>
      <c r="U1659" s="30" t="s">
        <v>147</v>
      </c>
      <c r="V1659" s="30" t="s">
        <v>92</v>
      </c>
      <c r="W1659" s="30" t="s">
        <v>93</v>
      </c>
      <c r="X1659" s="30" t="s">
        <v>116</v>
      </c>
      <c r="Y1659" s="30" t="s">
        <v>3098</v>
      </c>
      <c r="Z1659" s="30" t="s">
        <v>64</v>
      </c>
      <c r="AA1659" s="30" t="s">
        <v>95</v>
      </c>
      <c r="AB1659" s="30" t="s">
        <v>0</v>
      </c>
      <c r="AC1659" s="30" t="s">
        <v>4563</v>
      </c>
    </row>
    <row r="1660" spans="1:29">
      <c r="A1660" s="60" t="s">
        <v>4564</v>
      </c>
      <c r="B1660" s="60" t="str">
        <f>IF(ISNUMBER(SEARCH(E1660,A1660)),A1660,IF(OR(E1660="",E1660=""),A1660,A1660&amp;" - "&amp;E1660))</f>
        <v>Tikun GNC 30/1 - Grapes and Cream</v>
      </c>
      <c r="C1660" s="24" t="s">
        <v>4565</v>
      </c>
      <c r="D1660" s="49" t="s">
        <v>4566</v>
      </c>
      <c r="E1660" s="41" t="s">
        <v>794</v>
      </c>
      <c r="F1660" s="41" t="s">
        <v>86</v>
      </c>
      <c r="G1660" s="27" t="s">
        <v>4057</v>
      </c>
      <c r="H1660" s="27">
        <v>1</v>
      </c>
      <c r="I1660" s="24" t="s">
        <v>0</v>
      </c>
      <c r="J1660" s="24" t="s">
        <v>0</v>
      </c>
      <c r="K1660" s="24" t="s">
        <v>52</v>
      </c>
      <c r="L1660" s="24" t="s">
        <v>4567</v>
      </c>
      <c r="M1660" s="24" t="s">
        <v>54</v>
      </c>
      <c r="N1660" s="24" t="s">
        <v>72</v>
      </c>
      <c r="O1660" s="24" t="s">
        <v>121</v>
      </c>
      <c r="P1660" s="24" t="s">
        <v>89</v>
      </c>
      <c r="Q1660" s="24" t="s">
        <v>58</v>
      </c>
      <c r="R1660" s="24" t="s">
        <v>0</v>
      </c>
      <c r="S1660" s="24" t="s">
        <v>106</v>
      </c>
      <c r="T1660" s="24" t="s">
        <v>76</v>
      </c>
      <c r="U1660" s="24" t="s">
        <v>62</v>
      </c>
      <c r="V1660" s="24" t="s">
        <v>173</v>
      </c>
      <c r="W1660" s="24" t="s">
        <v>77</v>
      </c>
      <c r="X1660" s="24" t="s">
        <v>107</v>
      </c>
      <c r="Y1660" s="24" t="s">
        <v>80</v>
      </c>
      <c r="Z1660" s="24" t="s">
        <v>64</v>
      </c>
      <c r="AA1660" s="57" t="s">
        <v>4566</v>
      </c>
      <c r="AB1660" s="24" t="s">
        <v>0</v>
      </c>
      <c r="AC1660" s="24" t="s">
        <v>4568</v>
      </c>
    </row>
    <row r="1661" spans="1:29">
      <c r="A1661" s="60" t="s">
        <v>4569</v>
      </c>
      <c r="B1661" s="60" t="str">
        <f>IF(ISNUMBER(SEARCH(E1661,A1661)),A1661,IF(OR(E1661="",E1661=""),A1661,A1661&amp;" - "&amp;E1661))</f>
        <v>Tikun Noga 27/1</v>
      </c>
      <c r="C1661" s="30" t="s">
        <v>4565</v>
      </c>
      <c r="D1661" s="42" t="s">
        <v>4566</v>
      </c>
      <c r="E1661" s="40" t="s">
        <v>4570</v>
      </c>
      <c r="F1661" s="40" t="s">
        <v>86</v>
      </c>
      <c r="G1661" s="34" t="s">
        <v>33</v>
      </c>
      <c r="H1661" s="34">
        <v>1</v>
      </c>
      <c r="I1661" s="30" t="s">
        <v>0</v>
      </c>
      <c r="J1661" s="30" t="s">
        <v>0</v>
      </c>
      <c r="K1661" s="30" t="s">
        <v>52</v>
      </c>
      <c r="L1661" s="30" t="s">
        <v>4567</v>
      </c>
      <c r="M1661" s="30" t="s">
        <v>111</v>
      </c>
      <c r="N1661" s="30" t="s">
        <v>72</v>
      </c>
      <c r="O1661" s="30" t="s">
        <v>0</v>
      </c>
      <c r="P1661" s="30" t="s">
        <v>89</v>
      </c>
      <c r="Q1661" s="30" t="s">
        <v>59</v>
      </c>
      <c r="R1661" s="30" t="s">
        <v>74</v>
      </c>
      <c r="S1661" s="30" t="s">
        <v>106</v>
      </c>
      <c r="T1661" s="30" t="s">
        <v>76</v>
      </c>
      <c r="U1661" s="30" t="s">
        <v>62</v>
      </c>
      <c r="V1661" s="30" t="s">
        <v>107</v>
      </c>
      <c r="W1661" s="30" t="s">
        <v>225</v>
      </c>
      <c r="X1661" s="30" t="s">
        <v>93</v>
      </c>
      <c r="Y1661" s="30" t="s">
        <v>286</v>
      </c>
      <c r="Z1661" s="30" t="s">
        <v>64</v>
      </c>
      <c r="AA1661" s="58" t="s">
        <v>4566</v>
      </c>
      <c r="AB1661" s="30" t="s">
        <v>0</v>
      </c>
      <c r="AC1661" s="30" t="s">
        <v>4571</v>
      </c>
    </row>
    <row r="1662" spans="1:29">
      <c r="A1662" s="60" t="s">
        <v>4572</v>
      </c>
      <c r="B1662" s="60" t="str">
        <f>IF(ISNUMBER(SEARCH(E1662,A1662)),A1662,IF(OR(E1662="",E1662=""),A1662,A1662&amp;" - "&amp;E1662))</f>
        <v>Eufloria 30/1 SFR - Strawberry Froyo</v>
      </c>
      <c r="C1662" s="24" t="s">
        <v>83</v>
      </c>
      <c r="D1662" s="49" t="s">
        <v>95</v>
      </c>
      <c r="E1662" s="41" t="s">
        <v>4573</v>
      </c>
      <c r="F1662" s="41" t="s">
        <v>177</v>
      </c>
      <c r="G1662" s="27" t="s">
        <v>4057</v>
      </c>
      <c r="H1662" s="27">
        <v>1</v>
      </c>
      <c r="I1662" s="24" t="s">
        <v>0</v>
      </c>
      <c r="J1662" s="24" t="s">
        <v>0</v>
      </c>
      <c r="K1662" s="24" t="s">
        <v>52</v>
      </c>
      <c r="L1662" s="24" t="s">
        <v>53</v>
      </c>
      <c r="M1662" s="24" t="s">
        <v>54</v>
      </c>
      <c r="N1662" s="24" t="s">
        <v>71</v>
      </c>
      <c r="O1662" s="24" t="s">
        <v>178</v>
      </c>
      <c r="P1662" s="24" t="s">
        <v>58</v>
      </c>
      <c r="Q1662" s="24" t="s">
        <v>104</v>
      </c>
      <c r="R1662" s="24" t="s">
        <v>74</v>
      </c>
      <c r="S1662" s="24" t="s">
        <v>106</v>
      </c>
      <c r="T1662" s="24" t="s">
        <v>123</v>
      </c>
      <c r="U1662" s="24" t="s">
        <v>493</v>
      </c>
      <c r="V1662" s="24" t="s">
        <v>79</v>
      </c>
      <c r="W1662" s="24" t="s">
        <v>138</v>
      </c>
      <c r="X1662" s="24" t="s">
        <v>180</v>
      </c>
      <c r="Y1662" s="24" t="s">
        <v>335</v>
      </c>
      <c r="Z1662" s="24" t="s">
        <v>64</v>
      </c>
      <c r="AA1662" s="24" t="s">
        <v>95</v>
      </c>
      <c r="AB1662" s="24" t="s">
        <v>0</v>
      </c>
      <c r="AC1662" s="24" t="s">
        <v>4574</v>
      </c>
    </row>
    <row r="1663" spans="1:29">
      <c r="A1663" s="60" t="s">
        <v>4575</v>
      </c>
      <c r="B1663" s="48" t="s">
        <v>4576</v>
      </c>
      <c r="C1663" s="30" t="s">
        <v>56</v>
      </c>
      <c r="D1663" s="31"/>
      <c r="E1663" s="40"/>
      <c r="F1663" s="40"/>
      <c r="G1663" s="34"/>
      <c r="H1663" s="35"/>
      <c r="I1663" s="30"/>
      <c r="J1663" s="30"/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  <c r="AB1663" s="30"/>
      <c r="AC1663" s="30"/>
    </row>
    <row r="1664" spans="1:29">
      <c r="A1664" s="60" t="s">
        <v>4577</v>
      </c>
      <c r="B1664" s="60" t="str">
        <f>IF(ISNUMBER(SEARCH(E1664,A1664)),A1664,IF(OR(E1664="",E1664=""),A1664,A1664&amp;" - "&amp;E1664))</f>
        <v>enua 20/1 DB CA - Pink Kush</v>
      </c>
      <c r="C1664" s="24" t="s">
        <v>650</v>
      </c>
      <c r="D1664" s="49" t="s">
        <v>653</v>
      </c>
      <c r="E1664" s="41" t="s">
        <v>101</v>
      </c>
      <c r="F1664" s="41" t="s">
        <v>177</v>
      </c>
      <c r="G1664" s="27" t="s">
        <v>460</v>
      </c>
      <c r="H1664" s="27">
        <v>1</v>
      </c>
      <c r="I1664" s="24" t="s">
        <v>0</v>
      </c>
      <c r="J1664" s="24" t="s">
        <v>0</v>
      </c>
      <c r="K1664" s="24" t="s">
        <v>52</v>
      </c>
      <c r="L1664" s="24" t="s">
        <v>53</v>
      </c>
      <c r="M1664" s="24" t="s">
        <v>88</v>
      </c>
      <c r="N1664" s="24" t="s">
        <v>71</v>
      </c>
      <c r="O1664" s="24" t="s">
        <v>121</v>
      </c>
      <c r="P1664" s="24" t="s">
        <v>89</v>
      </c>
      <c r="Q1664" s="24" t="s">
        <v>104</v>
      </c>
      <c r="R1664" s="24" t="s">
        <v>74</v>
      </c>
      <c r="S1664" s="24" t="s">
        <v>128</v>
      </c>
      <c r="T1664" s="24" t="s">
        <v>61</v>
      </c>
      <c r="U1664" s="24" t="s">
        <v>62</v>
      </c>
      <c r="V1664" s="24" t="s">
        <v>107</v>
      </c>
      <c r="W1664" s="24" t="s">
        <v>77</v>
      </c>
      <c r="X1664" s="24" t="s">
        <v>79</v>
      </c>
      <c r="Y1664" s="24" t="s">
        <v>1090</v>
      </c>
      <c r="Z1664" s="24" t="s">
        <v>64</v>
      </c>
      <c r="AA1664" s="24" t="s">
        <v>653</v>
      </c>
      <c r="AB1664" s="24" t="s">
        <v>0</v>
      </c>
      <c r="AC1664" s="24" t="s">
        <v>4578</v>
      </c>
    </row>
    <row r="1665" spans="1:29">
      <c r="A1665" s="60" t="s">
        <v>4579</v>
      </c>
      <c r="B1665" s="60" t="str">
        <f>IF(ISNUMBER(SEARCH(E1665,A1665)),A1665,IF(OR(E1665="",E1665=""),A1665,A1665&amp;" - "&amp;E1665))</f>
        <v>Remexian 33/1 PGF TIM - Tingle Mint</v>
      </c>
      <c r="C1665" s="30" t="s">
        <v>83</v>
      </c>
      <c r="D1665" s="30" t="s">
        <v>95</v>
      </c>
      <c r="E1665" s="40" t="s">
        <v>4580</v>
      </c>
      <c r="F1665" s="40" t="s">
        <v>144</v>
      </c>
      <c r="G1665" s="34" t="s">
        <v>4169</v>
      </c>
      <c r="H1665" s="34">
        <v>1</v>
      </c>
      <c r="I1665" s="30" t="s">
        <v>0</v>
      </c>
      <c r="J1665" s="30" t="s">
        <v>0</v>
      </c>
      <c r="K1665" s="30" t="s">
        <v>52</v>
      </c>
      <c r="L1665" s="30" t="s">
        <v>53</v>
      </c>
      <c r="M1665" s="30" t="s">
        <v>178</v>
      </c>
      <c r="N1665" s="30" t="s">
        <v>54</v>
      </c>
      <c r="O1665" s="30" t="s">
        <v>88</v>
      </c>
      <c r="P1665" s="30" t="s">
        <v>75</v>
      </c>
      <c r="Q1665" s="30" t="s">
        <v>59</v>
      </c>
      <c r="R1665" s="30" t="s">
        <v>74</v>
      </c>
      <c r="S1665" s="30" t="s">
        <v>106</v>
      </c>
      <c r="T1665" s="30" t="s">
        <v>62</v>
      </c>
      <c r="U1665" s="30" t="s">
        <v>147</v>
      </c>
      <c r="V1665" s="30" t="s">
        <v>77</v>
      </c>
      <c r="W1665" s="30" t="s">
        <v>129</v>
      </c>
      <c r="X1665" s="30" t="s">
        <v>93</v>
      </c>
      <c r="Y1665" s="30" t="s">
        <v>631</v>
      </c>
      <c r="Z1665" s="30" t="s">
        <v>64</v>
      </c>
      <c r="AA1665" s="30" t="s">
        <v>95</v>
      </c>
      <c r="AB1665" s="30" t="s">
        <v>0</v>
      </c>
      <c r="AC1665" s="30" t="s">
        <v>4581</v>
      </c>
    </row>
    <row r="1666" spans="1:29">
      <c r="A1666" s="60" t="s">
        <v>4582</v>
      </c>
      <c r="B1666" s="60" t="str">
        <f>IF(ISNUMBER(SEARCH(E1666,A1666)),A1666,IF(OR(E1666="",E1666=""),A1666,A1666&amp;" - "&amp;E1666))</f>
        <v>flighh 24/1 MK - Mandarin Kush</v>
      </c>
      <c r="C1666" s="24" t="s">
        <v>2296</v>
      </c>
      <c r="D1666" s="49" t="s">
        <v>2298</v>
      </c>
      <c r="E1666" s="41" t="s">
        <v>4583</v>
      </c>
      <c r="F1666" s="41" t="s">
        <v>69</v>
      </c>
      <c r="G1666" s="27" t="s">
        <v>448</v>
      </c>
      <c r="H1666" s="27">
        <v>1</v>
      </c>
      <c r="I1666" s="24" t="s">
        <v>0</v>
      </c>
      <c r="J1666" s="24" t="s">
        <v>0</v>
      </c>
      <c r="K1666" s="24" t="s">
        <v>52</v>
      </c>
      <c r="L1666" s="24" t="s">
        <v>53</v>
      </c>
      <c r="M1666" s="24" t="s">
        <v>88</v>
      </c>
      <c r="N1666" s="24" t="s">
        <v>121</v>
      </c>
      <c r="O1666" s="24" t="s">
        <v>54</v>
      </c>
      <c r="P1666" s="24" t="s">
        <v>58</v>
      </c>
      <c r="Q1666" s="24" t="s">
        <v>75</v>
      </c>
      <c r="R1666" s="24" t="s">
        <v>89</v>
      </c>
      <c r="S1666" s="24" t="s">
        <v>106</v>
      </c>
      <c r="T1666" s="24" t="s">
        <v>62</v>
      </c>
      <c r="U1666" s="24" t="s">
        <v>147</v>
      </c>
      <c r="V1666" s="24" t="s">
        <v>79</v>
      </c>
      <c r="W1666" s="24" t="s">
        <v>173</v>
      </c>
      <c r="X1666" s="24" t="s">
        <v>116</v>
      </c>
      <c r="Y1666" s="24" t="s">
        <v>213</v>
      </c>
      <c r="Z1666" s="24" t="s">
        <v>64</v>
      </c>
      <c r="AA1666" s="24" t="s">
        <v>2298</v>
      </c>
      <c r="AB1666" s="24" t="s">
        <v>0</v>
      </c>
      <c r="AC1666" s="24" t="s">
        <v>4584</v>
      </c>
    </row>
    <row r="1667" spans="1:29">
      <c r="A1667" s="60" t="s">
        <v>4585</v>
      </c>
      <c r="B1667" s="60" t="str">
        <f>IF(ISNUMBER(SEARCH(E1667,A1667)),A1667,IF(OR(E1667="",E1667=""),A1667,A1667&amp;" - "&amp;E1667))</f>
        <v>Sibanax Wedding C 23/1 - Wedding Cake</v>
      </c>
      <c r="C1667" s="30" t="s">
        <v>2296</v>
      </c>
      <c r="D1667" s="42" t="s">
        <v>2298</v>
      </c>
      <c r="E1667" s="40" t="s">
        <v>1195</v>
      </c>
      <c r="F1667" s="40" t="s">
        <v>144</v>
      </c>
      <c r="G1667" s="34" t="s">
        <v>436</v>
      </c>
      <c r="H1667" s="34">
        <v>1</v>
      </c>
      <c r="I1667" s="30" t="s">
        <v>0</v>
      </c>
      <c r="J1667" s="30" t="s">
        <v>0</v>
      </c>
      <c r="K1667" s="30" t="s">
        <v>52</v>
      </c>
      <c r="L1667" s="30" t="s">
        <v>102</v>
      </c>
      <c r="M1667" s="30" t="s">
        <v>156</v>
      </c>
      <c r="N1667" s="30" t="s">
        <v>72</v>
      </c>
      <c r="O1667" s="30" t="s">
        <v>0</v>
      </c>
      <c r="P1667" s="30" t="s">
        <v>59</v>
      </c>
      <c r="Q1667" s="30" t="s">
        <v>89</v>
      </c>
      <c r="R1667" s="30" t="s">
        <v>57</v>
      </c>
      <c r="S1667" s="30" t="s">
        <v>106</v>
      </c>
      <c r="T1667" s="30" t="s">
        <v>62</v>
      </c>
      <c r="U1667" s="30" t="s">
        <v>147</v>
      </c>
      <c r="V1667" s="30" t="s">
        <v>93</v>
      </c>
      <c r="W1667" s="30" t="s">
        <v>107</v>
      </c>
      <c r="X1667" s="30" t="s">
        <v>116</v>
      </c>
      <c r="Y1667" s="30" t="s">
        <v>220</v>
      </c>
      <c r="Z1667" s="30" t="s">
        <v>64</v>
      </c>
      <c r="AA1667" s="30" t="s">
        <v>2298</v>
      </c>
      <c r="AB1667" s="30" t="s">
        <v>0</v>
      </c>
      <c r="AC1667" s="30" t="s">
        <v>4586</v>
      </c>
    </row>
    <row r="1668" spans="1:29">
      <c r="A1668" s="60" t="s">
        <v>4587</v>
      </c>
      <c r="B1668" s="60" t="str">
        <f>IF(ISNUMBER(SEARCH(E1668,A1668)),A1668,IF(OR(E1668="",E1668=""),A1668,A1668&amp;" - "&amp;E1668))</f>
        <v>Demecan MC Light Drop 20:01 - Acapulco Gold</v>
      </c>
      <c r="C1668" s="24" t="s">
        <v>484</v>
      </c>
      <c r="D1668" s="49" t="s">
        <v>485</v>
      </c>
      <c r="E1668" s="24" t="s">
        <v>4588</v>
      </c>
      <c r="F1668" s="24" t="s">
        <v>69</v>
      </c>
      <c r="G1668" s="24" t="s">
        <v>460</v>
      </c>
      <c r="H1668" s="25">
        <v>1</v>
      </c>
      <c r="I1668" s="24" t="s">
        <v>0</v>
      </c>
      <c r="J1668" s="24" t="s">
        <v>0</v>
      </c>
      <c r="K1668" s="24" t="s">
        <v>52</v>
      </c>
      <c r="L1668" s="24" t="s">
        <v>53</v>
      </c>
      <c r="M1668" s="24" t="s">
        <v>178</v>
      </c>
      <c r="N1668" s="24" t="s">
        <v>71</v>
      </c>
      <c r="O1668" s="24" t="s">
        <v>55</v>
      </c>
      <c r="P1668" s="24" t="s">
        <v>74</v>
      </c>
      <c r="Q1668" s="24" t="s">
        <v>59</v>
      </c>
      <c r="R1668" s="24" t="s">
        <v>75</v>
      </c>
      <c r="S1668" s="24" t="s">
        <v>128</v>
      </c>
      <c r="T1668" s="24" t="s">
        <v>62</v>
      </c>
      <c r="U1668" s="24" t="s">
        <v>105</v>
      </c>
      <c r="V1668" s="24" t="s">
        <v>173</v>
      </c>
      <c r="W1668" s="24" t="s">
        <v>79</v>
      </c>
      <c r="X1668" s="24" t="s">
        <v>138</v>
      </c>
      <c r="Y1668" s="24" t="s">
        <v>322</v>
      </c>
      <c r="Z1668" s="24" t="s">
        <v>64</v>
      </c>
      <c r="AA1668" s="24" t="s">
        <v>485</v>
      </c>
      <c r="AB1668" s="24" t="s">
        <v>0</v>
      </c>
      <c r="AC1668" s="24" t="s">
        <v>4589</v>
      </c>
    </row>
    <row r="1669" spans="1:29">
      <c r="A1669" s="60" t="s">
        <v>4590</v>
      </c>
      <c r="B1669" s="60" t="str">
        <f>IF(ISNUMBER(SEARCH(E1669,A1669)),A1669,IF(OR(E1669="",E1669=""),A1669,A1669&amp;" - "&amp;E1669))</f>
        <v>Vasco x Cipher BL - Blue Lobster</v>
      </c>
      <c r="C1669" s="30" t="s">
        <v>564</v>
      </c>
      <c r="D1669" s="42" t="s">
        <v>565</v>
      </c>
      <c r="E1669" s="40" t="s">
        <v>4591</v>
      </c>
      <c r="F1669" s="40" t="s">
        <v>177</v>
      </c>
      <c r="G1669" s="34" t="s">
        <v>436</v>
      </c>
      <c r="H1669" s="34">
        <v>1</v>
      </c>
      <c r="I1669" s="30" t="s">
        <v>0</v>
      </c>
      <c r="J1669" s="30" t="s">
        <v>0</v>
      </c>
      <c r="K1669" s="30" t="s">
        <v>52</v>
      </c>
      <c r="L1669" s="30" t="s">
        <v>53</v>
      </c>
      <c r="M1669" s="30" t="s">
        <v>72</v>
      </c>
      <c r="N1669" s="30" t="s">
        <v>88</v>
      </c>
      <c r="O1669" s="30" t="s">
        <v>54</v>
      </c>
      <c r="P1669" s="30" t="s">
        <v>58</v>
      </c>
      <c r="Q1669" s="30" t="s">
        <v>89</v>
      </c>
      <c r="R1669" s="30" t="s">
        <v>0</v>
      </c>
      <c r="S1669" s="30" t="s">
        <v>106</v>
      </c>
      <c r="T1669" s="30" t="s">
        <v>62</v>
      </c>
      <c r="U1669" s="30" t="s">
        <v>123</v>
      </c>
      <c r="V1669" s="30" t="s">
        <v>79</v>
      </c>
      <c r="W1669" s="30" t="s">
        <v>116</v>
      </c>
      <c r="X1669" s="30" t="s">
        <v>93</v>
      </c>
      <c r="Y1669" s="30" t="s">
        <v>286</v>
      </c>
      <c r="Z1669" s="30" t="s">
        <v>64</v>
      </c>
      <c r="AA1669" s="30" t="s">
        <v>565</v>
      </c>
      <c r="AB1669" s="30" t="s">
        <v>0</v>
      </c>
      <c r="AC1669" s="30" t="s">
        <v>4592</v>
      </c>
    </row>
    <row r="1670" spans="1:29">
      <c r="A1670" s="60" t="s">
        <v>4593</v>
      </c>
      <c r="B1670" s="60" t="str">
        <f>IF(ISNUMBER(SEARCH(E1670,A1670)),A1670,IF(OR(E1670="",E1670=""),A1670,A1670&amp;" - "&amp;E1670))</f>
        <v>Barongo 28/1 SR - Zkittlez Runtz</v>
      </c>
      <c r="C1670" s="24" t="s">
        <v>641</v>
      </c>
      <c r="D1670" s="49" t="s">
        <v>642</v>
      </c>
      <c r="E1670" s="41" t="s">
        <v>4594</v>
      </c>
      <c r="F1670" s="41" t="s">
        <v>177</v>
      </c>
      <c r="G1670" s="27" t="s">
        <v>4164</v>
      </c>
      <c r="H1670" s="27">
        <v>1</v>
      </c>
      <c r="I1670" s="24" t="s">
        <v>0</v>
      </c>
      <c r="J1670" s="24" t="s">
        <v>0</v>
      </c>
      <c r="K1670" s="24" t="s">
        <v>52</v>
      </c>
      <c r="L1670" s="24" t="s">
        <v>53</v>
      </c>
      <c r="M1670" s="24" t="s">
        <v>72</v>
      </c>
      <c r="N1670" s="24" t="s">
        <v>178</v>
      </c>
      <c r="O1670" s="24" t="s">
        <v>54</v>
      </c>
      <c r="P1670" s="24" t="s">
        <v>157</v>
      </c>
      <c r="Q1670" s="24" t="s">
        <v>59</v>
      </c>
      <c r="R1670" s="24" t="s">
        <v>75</v>
      </c>
      <c r="S1670" s="24" t="s">
        <v>106</v>
      </c>
      <c r="T1670" s="24" t="s">
        <v>62</v>
      </c>
      <c r="U1670" s="24" t="s">
        <v>0</v>
      </c>
      <c r="V1670" s="24" t="s">
        <v>165</v>
      </c>
      <c r="W1670" s="24" t="s">
        <v>129</v>
      </c>
      <c r="X1670" s="24" t="s">
        <v>107</v>
      </c>
      <c r="Y1670" s="24" t="s">
        <v>4595</v>
      </c>
      <c r="Z1670" s="24" t="s">
        <v>64</v>
      </c>
      <c r="AA1670" s="24" t="s">
        <v>642</v>
      </c>
      <c r="AB1670" s="24" t="s">
        <v>0</v>
      </c>
      <c r="AC1670" s="24" t="s">
        <v>4596</v>
      </c>
    </row>
    <row r="1671" spans="1:29">
      <c r="A1671" s="60" t="s">
        <v>4597</v>
      </c>
      <c r="B1671" s="60" t="str">
        <f>IF(ISNUMBER(SEARCH(E1671,A1671)),A1671,IF(OR(E1671="",E1671=""),A1671,A1671&amp;" - "&amp;E1671))</f>
        <v>Breezy Organics CGL 22/1 - Lime Haze</v>
      </c>
      <c r="C1671" s="30" t="s">
        <v>2114</v>
      </c>
      <c r="D1671" s="30" t="s">
        <v>2115</v>
      </c>
      <c r="E1671" s="40" t="s">
        <v>3695</v>
      </c>
      <c r="F1671" s="40" t="s">
        <v>86</v>
      </c>
      <c r="G1671" s="34" t="s">
        <v>4126</v>
      </c>
      <c r="H1671" s="34">
        <v>1</v>
      </c>
      <c r="I1671" s="30" t="s">
        <v>0</v>
      </c>
      <c r="J1671" s="30" t="s">
        <v>0</v>
      </c>
      <c r="K1671" s="30" t="s">
        <v>52</v>
      </c>
      <c r="L1671" s="30" t="s">
        <v>53</v>
      </c>
      <c r="M1671" s="30" t="s">
        <v>121</v>
      </c>
      <c r="N1671" s="30" t="s">
        <v>178</v>
      </c>
      <c r="O1671" s="30" t="s">
        <v>72</v>
      </c>
      <c r="P1671" s="30" t="s">
        <v>89</v>
      </c>
      <c r="Q1671" s="30" t="s">
        <v>157</v>
      </c>
      <c r="R1671" s="30" t="s">
        <v>113</v>
      </c>
      <c r="S1671" s="30" t="s">
        <v>90</v>
      </c>
      <c r="T1671" s="30" t="s">
        <v>106</v>
      </c>
      <c r="U1671" s="30" t="s">
        <v>62</v>
      </c>
      <c r="V1671" s="30" t="s">
        <v>93</v>
      </c>
      <c r="W1671" s="30" t="s">
        <v>77</v>
      </c>
      <c r="X1671" s="30" t="s">
        <v>79</v>
      </c>
      <c r="Y1671" s="30" t="s">
        <v>4598</v>
      </c>
      <c r="Z1671" s="30" t="s">
        <v>64</v>
      </c>
      <c r="AA1671" s="30" t="s">
        <v>2115</v>
      </c>
      <c r="AB1671" s="30" t="s">
        <v>0</v>
      </c>
      <c r="AC1671" s="30" t="s">
        <v>4599</v>
      </c>
    </row>
    <row r="1672" spans="1:29">
      <c r="A1672" s="60" t="s">
        <v>4600</v>
      </c>
      <c r="B1672" s="60" t="str">
        <f>IF(ISNUMBER(SEARCH(E1672,A1672)),A1672,IF(OR(E1672="",E1672=""),A1672,A1672&amp;" - "&amp;E1672))</f>
        <v>avaay 29/1 - Candy Pave</v>
      </c>
      <c r="C1672" s="24" t="s">
        <v>4601</v>
      </c>
      <c r="D1672" s="49" t="s">
        <v>572</v>
      </c>
      <c r="E1672" s="41" t="s">
        <v>4602</v>
      </c>
      <c r="F1672" s="41" t="s">
        <v>177</v>
      </c>
      <c r="G1672" s="27" t="s">
        <v>443</v>
      </c>
      <c r="H1672" s="27">
        <v>1</v>
      </c>
      <c r="I1672" s="24" t="s">
        <v>0</v>
      </c>
      <c r="J1672" s="24" t="s">
        <v>0</v>
      </c>
      <c r="K1672" s="24" t="s">
        <v>52</v>
      </c>
      <c r="L1672" s="24" t="s">
        <v>4603</v>
      </c>
      <c r="M1672" s="24" t="s">
        <v>54</v>
      </c>
      <c r="N1672" s="24" t="s">
        <v>88</v>
      </c>
      <c r="O1672" s="24" t="s">
        <v>72</v>
      </c>
      <c r="P1672" s="24" t="s">
        <v>74</v>
      </c>
      <c r="Q1672" s="24" t="s">
        <v>73</v>
      </c>
      <c r="R1672" s="24" t="s">
        <v>75</v>
      </c>
      <c r="S1672" s="24" t="s">
        <v>106</v>
      </c>
      <c r="T1672" s="24" t="s">
        <v>62</v>
      </c>
      <c r="U1672" s="24" t="s">
        <v>123</v>
      </c>
      <c r="V1672" s="24" t="s">
        <v>77</v>
      </c>
      <c r="W1672" s="24" t="s">
        <v>208</v>
      </c>
      <c r="X1672" s="24" t="s">
        <v>180</v>
      </c>
      <c r="Y1672" s="24" t="s">
        <v>4604</v>
      </c>
      <c r="Z1672" s="24" t="s">
        <v>64</v>
      </c>
      <c r="AA1672" s="24" t="s">
        <v>572</v>
      </c>
      <c r="AB1672" s="24" t="s">
        <v>0</v>
      </c>
      <c r="AC1672" s="24" t="s">
        <v>4605</v>
      </c>
    </row>
    <row r="1673" spans="1:29">
      <c r="A1673" s="60" t="s">
        <v>4606</v>
      </c>
      <c r="B1673" s="60" t="str">
        <f>IF(ISNUMBER(SEARCH(E1673,A1673)),A1673,IF(OR(E1673="",E1673=""),A1673,A1673&amp;" - "&amp;E1673))</f>
        <v>avaay 30/1 JFP - Jet Fuel Pie</v>
      </c>
      <c r="C1673" s="30" t="s">
        <v>4601</v>
      </c>
      <c r="D1673" s="30" t="s">
        <v>572</v>
      </c>
      <c r="E1673" s="40" t="s">
        <v>4607</v>
      </c>
      <c r="F1673" s="40" t="s">
        <v>177</v>
      </c>
      <c r="G1673" s="34" t="s">
        <v>4057</v>
      </c>
      <c r="H1673" s="34" t="s">
        <v>65</v>
      </c>
      <c r="I1673" s="30" t="s">
        <v>0</v>
      </c>
      <c r="J1673" s="30" t="s">
        <v>0</v>
      </c>
      <c r="K1673" s="30" t="s">
        <v>52</v>
      </c>
      <c r="L1673" s="30" t="s">
        <v>53</v>
      </c>
      <c r="M1673" s="30" t="s">
        <v>72</v>
      </c>
      <c r="N1673" s="30" t="s">
        <v>111</v>
      </c>
      <c r="O1673" s="30" t="s">
        <v>88</v>
      </c>
      <c r="P1673" s="30" t="s">
        <v>74</v>
      </c>
      <c r="Q1673" s="30" t="s">
        <v>89</v>
      </c>
      <c r="R1673" s="30" t="s">
        <v>73</v>
      </c>
      <c r="S1673" s="30" t="s">
        <v>106</v>
      </c>
      <c r="T1673" s="30" t="s">
        <v>62</v>
      </c>
      <c r="U1673" s="30" t="s">
        <v>123</v>
      </c>
      <c r="V1673" s="30" t="s">
        <v>77</v>
      </c>
      <c r="W1673" s="30" t="s">
        <v>116</v>
      </c>
      <c r="X1673" s="30" t="s">
        <v>79</v>
      </c>
      <c r="Y1673" s="30" t="s">
        <v>472</v>
      </c>
      <c r="Z1673" s="30" t="s">
        <v>64</v>
      </c>
      <c r="AA1673" s="30" t="s">
        <v>572</v>
      </c>
      <c r="AB1673" s="30" t="s">
        <v>0</v>
      </c>
      <c r="AC1673" s="30" t="s">
        <v>4608</v>
      </c>
    </row>
    <row r="1674" spans="1:29">
      <c r="A1674" s="60" t="s">
        <v>4609</v>
      </c>
      <c r="B1674" s="60" t="str">
        <f>IF(ISNUMBER(SEARCH(E1674,A1674)),A1674,IF(OR(E1674="",E1674=""),A1674,A1674&amp;" - "&amp;E1674))</f>
        <v>Remexian 33/1 GJY LIB - Liberty Haze</v>
      </c>
      <c r="C1674" s="24" t="s">
        <v>83</v>
      </c>
      <c r="D1674" s="24" t="s">
        <v>95</v>
      </c>
      <c r="E1674" s="41" t="s">
        <v>2821</v>
      </c>
      <c r="F1674" s="41" t="s">
        <v>144</v>
      </c>
      <c r="G1674" s="27" t="s">
        <v>4169</v>
      </c>
      <c r="H1674" s="27" t="s">
        <v>65</v>
      </c>
      <c r="I1674" s="24" t="s">
        <v>0</v>
      </c>
      <c r="J1674" s="24" t="s">
        <v>0</v>
      </c>
      <c r="K1674" s="24" t="s">
        <v>52</v>
      </c>
      <c r="L1674" s="24" t="s">
        <v>53</v>
      </c>
      <c r="M1674" s="24" t="s">
        <v>71</v>
      </c>
      <c r="N1674" s="24" t="s">
        <v>54</v>
      </c>
      <c r="O1674" s="24" t="s">
        <v>55</v>
      </c>
      <c r="P1674" s="24" t="s">
        <v>74</v>
      </c>
      <c r="Q1674" s="24" t="s">
        <v>104</v>
      </c>
      <c r="R1674" s="24" t="s">
        <v>75</v>
      </c>
      <c r="S1674" s="24" t="s">
        <v>106</v>
      </c>
      <c r="T1674" s="24" t="s">
        <v>147</v>
      </c>
      <c r="U1674" s="24" t="s">
        <v>192</v>
      </c>
      <c r="V1674" s="24" t="s">
        <v>173</v>
      </c>
      <c r="W1674" s="24" t="s">
        <v>79</v>
      </c>
      <c r="X1674" s="24" t="s">
        <v>77</v>
      </c>
      <c r="Y1674" s="24" t="s">
        <v>338</v>
      </c>
      <c r="Z1674" s="24" t="s">
        <v>64</v>
      </c>
      <c r="AA1674" s="24" t="s">
        <v>95</v>
      </c>
      <c r="AB1674" s="24" t="s">
        <v>0</v>
      </c>
      <c r="AC1674" s="24" t="s">
        <v>4610</v>
      </c>
    </row>
    <row r="1675" spans="1:29">
      <c r="A1675" s="60" t="s">
        <v>4611</v>
      </c>
      <c r="B1675" s="60" t="str">
        <f>IF(ISNUMBER(SEARCH(E1675,A1675)),A1675,IF(OR(E1675="",E1675=""),A1675,A1675&amp;" - "&amp;E1675))</f>
        <v>Remexian 30/1 PGF BCL - Booty Clapper</v>
      </c>
      <c r="C1675" s="30" t="s">
        <v>83</v>
      </c>
      <c r="D1675" s="30" t="s">
        <v>95</v>
      </c>
      <c r="E1675" s="40" t="s">
        <v>4549</v>
      </c>
      <c r="F1675" s="40" t="s">
        <v>86</v>
      </c>
      <c r="G1675" s="34" t="s">
        <v>4057</v>
      </c>
      <c r="H1675" s="34">
        <v>1</v>
      </c>
      <c r="I1675" s="30" t="s">
        <v>0</v>
      </c>
      <c r="J1675" s="30" t="s">
        <v>0</v>
      </c>
      <c r="K1675" s="30" t="s">
        <v>52</v>
      </c>
      <c r="L1675" s="30" t="s">
        <v>53</v>
      </c>
      <c r="M1675" s="30" t="s">
        <v>54</v>
      </c>
      <c r="N1675" s="30" t="s">
        <v>178</v>
      </c>
      <c r="O1675" s="30" t="s">
        <v>72</v>
      </c>
      <c r="P1675" s="30" t="s">
        <v>59</v>
      </c>
      <c r="Q1675" s="30" t="s">
        <v>75</v>
      </c>
      <c r="R1675" s="30" t="s">
        <v>104</v>
      </c>
      <c r="S1675" s="30" t="s">
        <v>106</v>
      </c>
      <c r="T1675" s="30" t="s">
        <v>62</v>
      </c>
      <c r="U1675" s="30" t="s">
        <v>91</v>
      </c>
      <c r="V1675" s="30" t="s">
        <v>79</v>
      </c>
      <c r="W1675" s="30" t="s">
        <v>138</v>
      </c>
      <c r="X1675" s="30" t="s">
        <v>173</v>
      </c>
      <c r="Y1675" s="30" t="s">
        <v>280</v>
      </c>
      <c r="Z1675" s="30" t="s">
        <v>64</v>
      </c>
      <c r="AA1675" s="30" t="s">
        <v>95</v>
      </c>
      <c r="AB1675" s="30" t="s">
        <v>0</v>
      </c>
      <c r="AC1675" s="30" t="s">
        <v>4612</v>
      </c>
    </row>
    <row r="1676" spans="1:29">
      <c r="A1676" s="60" t="s">
        <v>4613</v>
      </c>
      <c r="B1676" s="60" t="str">
        <f>IF(ISNUMBER(SEARCH(E1676,A1676)),A1676,IF(OR(E1676="",E1676=""),A1676,A1676&amp;" - "&amp;E1676))</f>
        <v>avaay Signature 23/1 BYY - Blueberry Yum Yum</v>
      </c>
      <c r="C1676" s="24" t="s">
        <v>4601</v>
      </c>
      <c r="D1676" s="24" t="s">
        <v>572</v>
      </c>
      <c r="E1676" s="41" t="s">
        <v>4614</v>
      </c>
      <c r="F1676" s="41" t="s">
        <v>177</v>
      </c>
      <c r="G1676" s="27" t="s">
        <v>436</v>
      </c>
      <c r="H1676" s="27" t="s">
        <v>65</v>
      </c>
      <c r="I1676" s="24" t="s">
        <v>0</v>
      </c>
      <c r="J1676" s="24" t="s">
        <v>0</v>
      </c>
      <c r="K1676" s="24" t="s">
        <v>52</v>
      </c>
      <c r="L1676" s="24" t="s">
        <v>53</v>
      </c>
      <c r="M1676" s="24" t="s">
        <v>72</v>
      </c>
      <c r="N1676" s="24" t="s">
        <v>178</v>
      </c>
      <c r="O1676" s="24" t="s">
        <v>103</v>
      </c>
      <c r="P1676" s="24" t="s">
        <v>75</v>
      </c>
      <c r="Q1676" s="24" t="s">
        <v>89</v>
      </c>
      <c r="R1676" s="24" t="s">
        <v>0</v>
      </c>
      <c r="S1676" s="24" t="s">
        <v>106</v>
      </c>
      <c r="T1676" s="24" t="s">
        <v>62</v>
      </c>
      <c r="U1676" s="24" t="s">
        <v>123</v>
      </c>
      <c r="V1676" s="24" t="s">
        <v>79</v>
      </c>
      <c r="W1676" s="24" t="s">
        <v>107</v>
      </c>
      <c r="X1676" s="24" t="s">
        <v>180</v>
      </c>
      <c r="Y1676" s="24" t="s">
        <v>719</v>
      </c>
      <c r="Z1676" s="24" t="s">
        <v>64</v>
      </c>
      <c r="AA1676" s="24" t="s">
        <v>572</v>
      </c>
      <c r="AB1676" s="24" t="s">
        <v>0</v>
      </c>
      <c r="AC1676" s="24" t="s">
        <v>4615</v>
      </c>
    </row>
    <row r="1677" spans="1:29">
      <c r="A1677" s="60" t="s">
        <v>4616</v>
      </c>
      <c r="B1677" s="60" t="str">
        <f>IF(ISNUMBER(SEARCH(E1677,A1677)),A1677,IF(OR(E1677="",E1677=""),A1677,A1677&amp;" - "&amp;E1677))</f>
        <v>Remexian 33/1 BKC - Black Kyber Crystal</v>
      </c>
      <c r="C1677" s="30" t="s">
        <v>83</v>
      </c>
      <c r="D1677" s="30" t="s">
        <v>95</v>
      </c>
      <c r="E1677" s="40" t="s">
        <v>3294</v>
      </c>
      <c r="F1677" s="40" t="s">
        <v>177</v>
      </c>
      <c r="G1677" s="34" t="s">
        <v>4169</v>
      </c>
      <c r="H1677" s="34" t="s">
        <v>65</v>
      </c>
      <c r="I1677" s="30" t="s">
        <v>0</v>
      </c>
      <c r="J1677" s="30" t="s">
        <v>0</v>
      </c>
      <c r="K1677" s="30" t="s">
        <v>52</v>
      </c>
      <c r="L1677" s="30" t="s">
        <v>53</v>
      </c>
      <c r="M1677" s="30" t="s">
        <v>88</v>
      </c>
      <c r="N1677" s="30" t="s">
        <v>111</v>
      </c>
      <c r="O1677" s="30" t="s">
        <v>0</v>
      </c>
      <c r="P1677" s="30" t="s">
        <v>75</v>
      </c>
      <c r="Q1677" s="30" t="s">
        <v>74</v>
      </c>
      <c r="R1677" s="30" t="s">
        <v>58</v>
      </c>
      <c r="S1677" s="30" t="s">
        <v>106</v>
      </c>
      <c r="T1677" s="30" t="s">
        <v>62</v>
      </c>
      <c r="U1677" s="30" t="s">
        <v>123</v>
      </c>
      <c r="V1677" s="30" t="s">
        <v>116</v>
      </c>
      <c r="W1677" s="30" t="s">
        <v>77</v>
      </c>
      <c r="X1677" s="30" t="s">
        <v>107</v>
      </c>
      <c r="Y1677" s="30" t="s">
        <v>335</v>
      </c>
      <c r="Z1677" s="30" t="s">
        <v>64</v>
      </c>
      <c r="AA1677" s="30" t="s">
        <v>95</v>
      </c>
      <c r="AB1677" s="30" t="s">
        <v>0</v>
      </c>
      <c r="AC1677" s="30" t="s">
        <v>4617</v>
      </c>
    </row>
    <row r="1678" spans="1:29">
      <c r="A1678" s="60" t="s">
        <v>4618</v>
      </c>
      <c r="B1678" s="60" t="str">
        <f>IF(ISNUMBER(SEARCH(E1678,A1678)),A1678,IF(OR(E1678="",E1678=""),A1678,A1678&amp;" - "&amp;E1678))</f>
        <v>Remexian 27/1 CIV MIM - Mimosa</v>
      </c>
      <c r="C1678" s="24" t="s">
        <v>83</v>
      </c>
      <c r="D1678" s="24" t="s">
        <v>95</v>
      </c>
      <c r="E1678" s="41" t="s">
        <v>442</v>
      </c>
      <c r="F1678" s="41" t="s">
        <v>86</v>
      </c>
      <c r="G1678" s="27" t="s">
        <v>33</v>
      </c>
      <c r="H1678" s="27">
        <v>1</v>
      </c>
      <c r="I1678" s="24" t="s">
        <v>0</v>
      </c>
      <c r="J1678" s="24" t="s">
        <v>0</v>
      </c>
      <c r="K1678" s="24" t="s">
        <v>52</v>
      </c>
      <c r="L1678" s="24" t="s">
        <v>53</v>
      </c>
      <c r="M1678" s="24" t="s">
        <v>88</v>
      </c>
      <c r="N1678" s="24" t="s">
        <v>72</v>
      </c>
      <c r="O1678" s="24" t="s">
        <v>111</v>
      </c>
      <c r="P1678" s="24" t="s">
        <v>75</v>
      </c>
      <c r="Q1678" s="24" t="s">
        <v>58</v>
      </c>
      <c r="R1678" s="24" t="s">
        <v>89</v>
      </c>
      <c r="S1678" s="24" t="s">
        <v>106</v>
      </c>
      <c r="T1678" s="24" t="s">
        <v>62</v>
      </c>
      <c r="U1678" s="24" t="s">
        <v>123</v>
      </c>
      <c r="V1678" s="24" t="s">
        <v>79</v>
      </c>
      <c r="W1678" s="24" t="s">
        <v>173</v>
      </c>
      <c r="X1678" s="24" t="s">
        <v>93</v>
      </c>
      <c r="Y1678" s="24" t="s">
        <v>915</v>
      </c>
      <c r="Z1678" s="24" t="s">
        <v>64</v>
      </c>
      <c r="AA1678" s="24" t="s">
        <v>95</v>
      </c>
      <c r="AB1678" s="24" t="s">
        <v>0</v>
      </c>
      <c r="AC1678" s="24" t="s">
        <v>4619</v>
      </c>
    </row>
    <row r="1679" spans="1:29">
      <c r="A1679" s="60" t="s">
        <v>4620</v>
      </c>
      <c r="B1679" s="60" t="str">
        <f>IF(ISNUMBER(SEARCH(E1679,A1679)),A1679,IF(OR(E1679="",E1679=""),A1679,A1679&amp;" - "&amp;E1679))</f>
        <v>avaay Signature 26/1 WB - Waffle Bites</v>
      </c>
      <c r="C1679" s="30" t="s">
        <v>4601</v>
      </c>
      <c r="D1679" s="30" t="s">
        <v>572</v>
      </c>
      <c r="E1679" s="40" t="s">
        <v>737</v>
      </c>
      <c r="F1679" s="40" t="s">
        <v>120</v>
      </c>
      <c r="G1679" s="34" t="s">
        <v>4086</v>
      </c>
      <c r="H1679" s="34">
        <v>1</v>
      </c>
      <c r="I1679" s="30" t="s">
        <v>0</v>
      </c>
      <c r="J1679" s="30" t="s">
        <v>0</v>
      </c>
      <c r="K1679" s="30" t="s">
        <v>52</v>
      </c>
      <c r="L1679" s="30" t="s">
        <v>53</v>
      </c>
      <c r="M1679" s="30" t="s">
        <v>71</v>
      </c>
      <c r="N1679" s="30" t="s">
        <v>88</v>
      </c>
      <c r="O1679" s="30" t="s">
        <v>72</v>
      </c>
      <c r="P1679" s="30" t="s">
        <v>186</v>
      </c>
      <c r="Q1679" s="30" t="s">
        <v>89</v>
      </c>
      <c r="R1679" s="30" t="s">
        <v>0</v>
      </c>
      <c r="S1679" s="30" t="s">
        <v>123</v>
      </c>
      <c r="T1679" s="30" t="s">
        <v>147</v>
      </c>
      <c r="U1679" s="30" t="s">
        <v>224</v>
      </c>
      <c r="V1679" s="30" t="s">
        <v>107</v>
      </c>
      <c r="W1679" s="30" t="s">
        <v>79</v>
      </c>
      <c r="X1679" s="30" t="s">
        <v>0</v>
      </c>
      <c r="Y1679" s="30" t="s">
        <v>4621</v>
      </c>
      <c r="Z1679" s="30" t="s">
        <v>64</v>
      </c>
      <c r="AA1679" s="30" t="s">
        <v>572</v>
      </c>
      <c r="AB1679" s="30" t="s">
        <v>4622</v>
      </c>
      <c r="AC1679" s="30" t="s">
        <v>4623</v>
      </c>
    </row>
    <row r="1680" spans="1:29">
      <c r="A1680" s="60" t="s">
        <v>4624</v>
      </c>
      <c r="B1680" s="60" t="str">
        <f>IF(ISNUMBER(SEARCH(E1680,A1680)),A1680,IF(OR(E1680="",E1680=""),A1680,A1680&amp;" - "&amp;E1680))</f>
        <v>20/1 IUVO OC - Orange Z</v>
      </c>
      <c r="C1680" s="24" t="s">
        <v>4625</v>
      </c>
      <c r="D1680" s="24" t="s">
        <v>160</v>
      </c>
      <c r="E1680" s="41" t="s">
        <v>4626</v>
      </c>
      <c r="F1680" s="41" t="s">
        <v>144</v>
      </c>
      <c r="G1680" s="27" t="s">
        <v>4160</v>
      </c>
      <c r="H1680" s="27" t="s">
        <v>65</v>
      </c>
      <c r="I1680" s="24" t="s">
        <v>0</v>
      </c>
      <c r="J1680" s="24" t="s">
        <v>0</v>
      </c>
      <c r="K1680" s="24" t="s">
        <v>52</v>
      </c>
      <c r="L1680" s="24" t="s">
        <v>102</v>
      </c>
      <c r="M1680" s="24" t="s">
        <v>178</v>
      </c>
      <c r="N1680" s="24" t="s">
        <v>111</v>
      </c>
      <c r="O1680" s="24" t="s">
        <v>72</v>
      </c>
      <c r="P1680" s="24" t="s">
        <v>58</v>
      </c>
      <c r="Q1680" s="24" t="s">
        <v>89</v>
      </c>
      <c r="R1680" s="24" t="s">
        <v>75</v>
      </c>
      <c r="S1680" s="24" t="s">
        <v>106</v>
      </c>
      <c r="T1680" s="24" t="s">
        <v>179</v>
      </c>
      <c r="U1680" s="24" t="s">
        <v>76</v>
      </c>
      <c r="V1680" s="24" t="s">
        <v>79</v>
      </c>
      <c r="W1680" s="24" t="s">
        <v>77</v>
      </c>
      <c r="X1680" s="24" t="s">
        <v>0</v>
      </c>
      <c r="Y1680" s="24" t="s">
        <v>539</v>
      </c>
      <c r="Z1680" s="24" t="s">
        <v>64</v>
      </c>
      <c r="AA1680" s="24" t="s">
        <v>160</v>
      </c>
      <c r="AB1680" s="24" t="s">
        <v>2693</v>
      </c>
      <c r="AC1680" s="24" t="s">
        <v>4627</v>
      </c>
    </row>
    <row r="1681" spans="1:29">
      <c r="A1681" s="60" t="s">
        <v>4624</v>
      </c>
      <c r="B1681" s="60" t="str">
        <f>IF(ISNUMBER(SEARCH(E1681,A1681)),A1681,IF(OR(E1681="",E1681=""),A1681,A1681&amp;" - "&amp;E1681))</f>
        <v>20/1 IUVO OC - Lazer Fuel</v>
      </c>
      <c r="C1681" s="30" t="s">
        <v>4625</v>
      </c>
      <c r="D1681" s="30" t="s">
        <v>160</v>
      </c>
      <c r="E1681" s="40" t="s">
        <v>4628</v>
      </c>
      <c r="F1681" s="40" t="s">
        <v>86</v>
      </c>
      <c r="G1681" s="34" t="s">
        <v>452</v>
      </c>
      <c r="H1681" s="34" t="s">
        <v>65</v>
      </c>
      <c r="I1681" s="30" t="s">
        <v>0</v>
      </c>
      <c r="J1681" s="30" t="s">
        <v>0</v>
      </c>
      <c r="K1681" s="30" t="s">
        <v>52</v>
      </c>
      <c r="L1681" s="30" t="s">
        <v>102</v>
      </c>
      <c r="M1681" s="30" t="s">
        <v>178</v>
      </c>
      <c r="N1681" s="30" t="s">
        <v>71</v>
      </c>
      <c r="O1681" s="30" t="s">
        <v>72</v>
      </c>
      <c r="P1681" s="30" t="s">
        <v>75</v>
      </c>
      <c r="Q1681" s="30" t="s">
        <v>104</v>
      </c>
      <c r="R1681" s="30" t="s">
        <v>73</v>
      </c>
      <c r="S1681" s="30" t="s">
        <v>106</v>
      </c>
      <c r="T1681" s="30" t="s">
        <v>62</v>
      </c>
      <c r="U1681" s="30" t="s">
        <v>123</v>
      </c>
      <c r="V1681" s="30" t="s">
        <v>77</v>
      </c>
      <c r="W1681" s="30" t="s">
        <v>79</v>
      </c>
      <c r="X1681" s="30" t="s">
        <v>138</v>
      </c>
      <c r="Y1681" s="30" t="s">
        <v>391</v>
      </c>
      <c r="Z1681" s="30" t="s">
        <v>64</v>
      </c>
      <c r="AA1681" s="30" t="s">
        <v>160</v>
      </c>
      <c r="AB1681" s="30" t="s">
        <v>2693</v>
      </c>
      <c r="AC1681" s="30" t="s">
        <v>4629</v>
      </c>
    </row>
    <row r="1682" spans="1:29">
      <c r="A1682" s="60" t="s">
        <v>4624</v>
      </c>
      <c r="B1682" s="60" t="str">
        <f>IF(ISNUMBER(SEARCH(E1682,A1682)),A1682,IF(OR(E1682="",E1682=""),A1682,A1682&amp;" - "&amp;E1682))</f>
        <v>20/1 IUVO OC - Killer Cupcake</v>
      </c>
      <c r="C1682" s="24" t="s">
        <v>4625</v>
      </c>
      <c r="D1682" s="24" t="s">
        <v>160</v>
      </c>
      <c r="E1682" s="41" t="s">
        <v>4630</v>
      </c>
      <c r="F1682" s="41" t="s">
        <v>86</v>
      </c>
      <c r="G1682" s="27" t="s">
        <v>460</v>
      </c>
      <c r="H1682" s="27" t="s">
        <v>65</v>
      </c>
      <c r="I1682" s="24" t="s">
        <v>0</v>
      </c>
      <c r="J1682" s="24" t="s">
        <v>0</v>
      </c>
      <c r="K1682" s="24" t="s">
        <v>52</v>
      </c>
      <c r="L1682" s="24" t="s">
        <v>102</v>
      </c>
      <c r="M1682" s="24" t="s">
        <v>71</v>
      </c>
      <c r="N1682" s="24" t="s">
        <v>54</v>
      </c>
      <c r="O1682" s="24" t="s">
        <v>103</v>
      </c>
      <c r="P1682" s="24" t="s">
        <v>57</v>
      </c>
      <c r="Q1682" s="24" t="s">
        <v>104</v>
      </c>
      <c r="R1682" s="24" t="s">
        <v>89</v>
      </c>
      <c r="S1682" s="24" t="s">
        <v>106</v>
      </c>
      <c r="T1682" s="24" t="s">
        <v>76</v>
      </c>
      <c r="U1682" s="24" t="s">
        <v>164</v>
      </c>
      <c r="V1682" s="24" t="s">
        <v>77</v>
      </c>
      <c r="W1682" s="24" t="s">
        <v>173</v>
      </c>
      <c r="X1682" s="24" t="s">
        <v>79</v>
      </c>
      <c r="Y1682" s="24" t="s">
        <v>539</v>
      </c>
      <c r="Z1682" s="24" t="s">
        <v>64</v>
      </c>
      <c r="AA1682" s="24" t="s">
        <v>160</v>
      </c>
      <c r="AB1682" s="24" t="s">
        <v>2693</v>
      </c>
      <c r="AC1682" s="24" t="s">
        <v>4631</v>
      </c>
    </row>
    <row r="1683" spans="1:29">
      <c r="A1683" s="60" t="s">
        <v>4632</v>
      </c>
      <c r="B1683" s="60" t="str">
        <f>IF(ISNUMBER(SEARCH(E1683,A1683)),A1683,IF(OR(E1683="",E1683=""),A1683,A1683&amp;" - "&amp;E1683))</f>
        <v>Eufloria 24/1 BAN - Banjo</v>
      </c>
      <c r="C1683" s="30" t="s">
        <v>83</v>
      </c>
      <c r="D1683" s="30" t="s">
        <v>95</v>
      </c>
      <c r="E1683" s="40" t="s">
        <v>3686</v>
      </c>
      <c r="F1683" s="40" t="s">
        <v>86</v>
      </c>
      <c r="G1683" s="34" t="s">
        <v>448</v>
      </c>
      <c r="H1683" s="34" t="s">
        <v>65</v>
      </c>
      <c r="I1683" s="30" t="s">
        <v>0</v>
      </c>
      <c r="J1683" s="30" t="s">
        <v>0</v>
      </c>
      <c r="K1683" s="30" t="s">
        <v>52</v>
      </c>
      <c r="L1683" s="30" t="s">
        <v>53</v>
      </c>
      <c r="M1683" s="30" t="s">
        <v>72</v>
      </c>
      <c r="N1683" s="30" t="s">
        <v>88</v>
      </c>
      <c r="O1683" s="30" t="s">
        <v>0</v>
      </c>
      <c r="P1683" s="30" t="s">
        <v>89</v>
      </c>
      <c r="Q1683" s="30" t="s">
        <v>58</v>
      </c>
      <c r="R1683" s="30" t="s">
        <v>186</v>
      </c>
      <c r="S1683" s="30" t="s">
        <v>106</v>
      </c>
      <c r="T1683" s="30" t="s">
        <v>147</v>
      </c>
      <c r="U1683" s="30" t="s">
        <v>192</v>
      </c>
      <c r="V1683" s="30" t="s">
        <v>116</v>
      </c>
      <c r="W1683" s="30" t="s">
        <v>79</v>
      </c>
      <c r="X1683" s="30" t="s">
        <v>107</v>
      </c>
      <c r="Y1683" s="30" t="s">
        <v>4633</v>
      </c>
      <c r="Z1683" s="30" t="s">
        <v>64</v>
      </c>
      <c r="AA1683" s="30" t="s">
        <v>95</v>
      </c>
      <c r="AB1683" s="30" t="s">
        <v>4634</v>
      </c>
      <c r="AC1683" s="30" t="s">
        <v>4635</v>
      </c>
    </row>
    <row r="1684" spans="1:29">
      <c r="A1684" s="60" t="s">
        <v>4636</v>
      </c>
      <c r="B1684" s="60" t="str">
        <f>IF(ISNUMBER(SEARCH(E1684,A1684)),A1684,IF(OR(E1684="",E1684=""),A1684,A1684&amp;" - "&amp;E1684))</f>
        <v>CNBS RNTZ 30/1</v>
      </c>
      <c r="C1684" s="24" t="s">
        <v>822</v>
      </c>
      <c r="D1684" s="24" t="s">
        <v>826</v>
      </c>
      <c r="E1684" s="41" t="s">
        <v>1383</v>
      </c>
      <c r="F1684" s="41" t="s">
        <v>86</v>
      </c>
      <c r="G1684" s="27" t="s">
        <v>4057</v>
      </c>
      <c r="H1684" s="27">
        <v>1</v>
      </c>
      <c r="I1684" s="24" t="s">
        <v>0</v>
      </c>
      <c r="J1684" s="24" t="s">
        <v>0</v>
      </c>
      <c r="K1684" s="24" t="s">
        <v>52</v>
      </c>
      <c r="L1684" s="24" t="s">
        <v>53</v>
      </c>
      <c r="M1684" s="24" t="s">
        <v>55</v>
      </c>
      <c r="N1684" s="24" t="s">
        <v>72</v>
      </c>
      <c r="O1684" s="24" t="s">
        <v>88</v>
      </c>
      <c r="P1684" s="24" t="s">
        <v>146</v>
      </c>
      <c r="Q1684" s="24" t="s">
        <v>74</v>
      </c>
      <c r="R1684" s="24" t="s">
        <v>89</v>
      </c>
      <c r="S1684" s="24" t="s">
        <v>106</v>
      </c>
      <c r="T1684" s="24" t="s">
        <v>62</v>
      </c>
      <c r="U1684" s="24" t="s">
        <v>123</v>
      </c>
      <c r="V1684" s="24" t="s">
        <v>173</v>
      </c>
      <c r="W1684" s="24" t="s">
        <v>77</v>
      </c>
      <c r="X1684" s="24" t="s">
        <v>93</v>
      </c>
      <c r="Y1684" s="24" t="s">
        <v>1730</v>
      </c>
      <c r="Z1684" s="24" t="s">
        <v>64</v>
      </c>
      <c r="AA1684" s="24" t="s">
        <v>826</v>
      </c>
      <c r="AB1684" s="24" t="s">
        <v>0</v>
      </c>
      <c r="AC1684" s="24" t="s">
        <v>4637</v>
      </c>
    </row>
    <row r="1685" spans="1:29">
      <c r="A1685" s="60" t="s">
        <v>4638</v>
      </c>
      <c r="B1685" s="60" t="str">
        <f>IF(ISNUMBER(SEARCH(E1685,A1685)),A1685,IF(OR(E1685="",E1685=""),A1685,A1685&amp;" - "&amp;E1685))</f>
        <v>Demecan HS Light Drop - Rainbow Dawg</v>
      </c>
      <c r="C1685" s="30" t="s">
        <v>484</v>
      </c>
      <c r="D1685" s="42" t="s">
        <v>485</v>
      </c>
      <c r="E1685" s="40" t="s">
        <v>4639</v>
      </c>
      <c r="F1685" s="40" t="s">
        <v>86</v>
      </c>
      <c r="G1685" s="34" t="s">
        <v>8</v>
      </c>
      <c r="H1685" s="34">
        <v>1</v>
      </c>
      <c r="I1685" s="30" t="s">
        <v>0</v>
      </c>
      <c r="J1685" s="30" t="s">
        <v>0</v>
      </c>
      <c r="K1685" s="30" t="s">
        <v>52</v>
      </c>
      <c r="L1685" s="30" t="s">
        <v>202</v>
      </c>
      <c r="M1685" s="30" t="s">
        <v>178</v>
      </c>
      <c r="N1685" s="30" t="s">
        <v>88</v>
      </c>
      <c r="O1685" s="30" t="s">
        <v>103</v>
      </c>
      <c r="P1685" s="30" t="s">
        <v>59</v>
      </c>
      <c r="Q1685" s="30" t="s">
        <v>75</v>
      </c>
      <c r="R1685" s="30" t="s">
        <v>0</v>
      </c>
      <c r="S1685" s="30" t="s">
        <v>128</v>
      </c>
      <c r="T1685" s="30" t="s">
        <v>106</v>
      </c>
      <c r="U1685" s="30" t="s">
        <v>62</v>
      </c>
      <c r="V1685" s="30" t="s">
        <v>93</v>
      </c>
      <c r="W1685" s="30" t="s">
        <v>77</v>
      </c>
      <c r="X1685" s="30" t="s">
        <v>180</v>
      </c>
      <c r="Y1685" s="30" t="s">
        <v>3442</v>
      </c>
      <c r="Z1685" s="30" t="s">
        <v>64</v>
      </c>
      <c r="AA1685" s="30" t="s">
        <v>485</v>
      </c>
      <c r="AB1685" s="30" t="s">
        <v>0</v>
      </c>
      <c r="AC1685" s="30" t="s">
        <v>4640</v>
      </c>
    </row>
    <row r="1686" spans="1:29">
      <c r="A1686" s="60" t="s">
        <v>4641</v>
      </c>
      <c r="B1686" s="60" t="str">
        <f>IF(ISNUMBER(SEARCH(E1686,A1686)),A1686,IF(OR(E1686="",E1686=""),A1686,A1686&amp;" - "&amp;E1686))</f>
        <v>madrecan 24/1 GDY Minis - Granddaddy OG</v>
      </c>
      <c r="C1686" s="24" t="s">
        <v>83</v>
      </c>
      <c r="D1686" s="49" t="s">
        <v>95</v>
      </c>
      <c r="E1686" s="41" t="s">
        <v>163</v>
      </c>
      <c r="F1686" s="41" t="s">
        <v>120</v>
      </c>
      <c r="G1686" s="27" t="s">
        <v>448</v>
      </c>
      <c r="H1686" s="27" t="s">
        <v>65</v>
      </c>
      <c r="I1686" s="24" t="s">
        <v>0</v>
      </c>
      <c r="J1686" s="24" t="s">
        <v>0</v>
      </c>
      <c r="K1686" s="24" t="s">
        <v>17</v>
      </c>
      <c r="L1686" s="24" t="s">
        <v>102</v>
      </c>
      <c r="M1686" s="24" t="s">
        <v>103</v>
      </c>
      <c r="N1686" s="24" t="s">
        <v>88</v>
      </c>
      <c r="O1686" s="24" t="s">
        <v>72</v>
      </c>
      <c r="P1686" s="24" t="s">
        <v>89</v>
      </c>
      <c r="Q1686" s="24" t="s">
        <v>146</v>
      </c>
      <c r="R1686" s="24" t="s">
        <v>74</v>
      </c>
      <c r="S1686" s="24" t="s">
        <v>61</v>
      </c>
      <c r="T1686" s="24" t="s">
        <v>62</v>
      </c>
      <c r="U1686" s="24" t="s">
        <v>430</v>
      </c>
      <c r="V1686" s="24" t="s">
        <v>92</v>
      </c>
      <c r="W1686" s="24" t="s">
        <v>129</v>
      </c>
      <c r="X1686" s="24" t="s">
        <v>165</v>
      </c>
      <c r="Y1686" s="24" t="s">
        <v>4483</v>
      </c>
      <c r="Z1686" s="24" t="s">
        <v>64</v>
      </c>
      <c r="AA1686" s="24" t="s">
        <v>95</v>
      </c>
      <c r="AB1686" s="24" t="s">
        <v>0</v>
      </c>
      <c r="AC1686" s="24"/>
    </row>
    <row r="1687" spans="1:29">
      <c r="A1687" s="60" t="s">
        <v>4642</v>
      </c>
      <c r="B1687" s="60" t="str">
        <f>IF(ISNUMBER(SEARCH(E1687,A1687)),A1687,IF(OR(E1687="",E1687=""),A1687,A1687&amp;" - "&amp;E1687))</f>
        <v>madrecan 24/1 MDR Minis - Mac Driver</v>
      </c>
      <c r="C1687" s="30" t="s">
        <v>83</v>
      </c>
      <c r="D1687" s="42" t="s">
        <v>95</v>
      </c>
      <c r="E1687" s="40" t="s">
        <v>1811</v>
      </c>
      <c r="F1687" s="30" t="s">
        <v>86</v>
      </c>
      <c r="G1687" s="34" t="s">
        <v>448</v>
      </c>
      <c r="H1687" s="34">
        <v>1</v>
      </c>
      <c r="I1687" s="30"/>
      <c r="J1687" s="30"/>
      <c r="K1687" s="30" t="s">
        <v>17</v>
      </c>
      <c r="L1687" s="30" t="s">
        <v>102</v>
      </c>
      <c r="M1687" s="30" t="s">
        <v>71</v>
      </c>
      <c r="N1687" s="30" t="s">
        <v>121</v>
      </c>
      <c r="O1687" s="30" t="s">
        <v>72</v>
      </c>
      <c r="P1687" s="30" t="s">
        <v>73</v>
      </c>
      <c r="Q1687" s="30" t="s">
        <v>75</v>
      </c>
      <c r="R1687" s="30" t="s">
        <v>89</v>
      </c>
      <c r="S1687" s="30" t="s">
        <v>90</v>
      </c>
      <c r="T1687" s="30" t="s">
        <v>192</v>
      </c>
      <c r="U1687" s="30" t="s">
        <v>60</v>
      </c>
      <c r="V1687" s="30" t="s">
        <v>77</v>
      </c>
      <c r="W1687" s="30" t="s">
        <v>116</v>
      </c>
      <c r="X1687" s="30" t="s">
        <v>165</v>
      </c>
      <c r="Y1687" s="30" t="s">
        <v>1812</v>
      </c>
      <c r="Z1687" s="30" t="s">
        <v>64</v>
      </c>
      <c r="AA1687" s="30" t="s">
        <v>95</v>
      </c>
      <c r="AB1687" s="30"/>
      <c r="AC1687" t="s">
        <v>4643</v>
      </c>
    </row>
    <row r="1688" spans="1:29">
      <c r="A1688" s="60" t="s">
        <v>4644</v>
      </c>
      <c r="B1688" s="60" t="str">
        <f>IF(ISNUMBER(SEARCH(E1688,A1688)),A1688,IF(OR(E1688="",E1688=""),A1688,A1688&amp;" - "&amp;E1688))</f>
        <v>madrecan 24/1 DGV Minis - Dougs Varin</v>
      </c>
      <c r="C1688" s="24" t="s">
        <v>83</v>
      </c>
      <c r="D1688" s="49" t="s">
        <v>95</v>
      </c>
      <c r="E1688" s="41" t="s">
        <v>3935</v>
      </c>
      <c r="F1688" s="41" t="s">
        <v>69</v>
      </c>
      <c r="G1688" s="27">
        <v>24</v>
      </c>
      <c r="H1688" s="27">
        <v>1</v>
      </c>
      <c r="I1688" s="24"/>
      <c r="J1688" s="24"/>
      <c r="K1688" s="24" t="s">
        <v>17</v>
      </c>
      <c r="L1688" s="24" t="s">
        <v>102</v>
      </c>
      <c r="M1688" s="24" t="s">
        <v>72</v>
      </c>
      <c r="N1688" s="24" t="s">
        <v>88</v>
      </c>
      <c r="O1688" s="24" t="s">
        <v>111</v>
      </c>
      <c r="P1688" s="24" t="s">
        <v>59</v>
      </c>
      <c r="Q1688" s="24" t="s">
        <v>146</v>
      </c>
      <c r="R1688" s="24" t="s">
        <v>74</v>
      </c>
      <c r="S1688" s="24" t="s">
        <v>106</v>
      </c>
      <c r="T1688" s="24" t="s">
        <v>179</v>
      </c>
      <c r="U1688" s="24" t="s">
        <v>62</v>
      </c>
      <c r="V1688" s="24" t="s">
        <v>77</v>
      </c>
      <c r="W1688" s="24" t="s">
        <v>173</v>
      </c>
      <c r="X1688" s="24"/>
      <c r="Y1688" s="24" t="s">
        <v>268</v>
      </c>
      <c r="Z1688" s="24" t="s">
        <v>64</v>
      </c>
      <c r="AA1688" s="24" t="s">
        <v>95</v>
      </c>
      <c r="AB1688" s="24"/>
      <c r="AC1688" t="s">
        <v>4645</v>
      </c>
    </row>
    <row r="1689" spans="1:29">
      <c r="A1689" s="60" t="s">
        <v>4646</v>
      </c>
      <c r="B1689" s="11" t="str">
        <f>IF(ISNUMBER(SEARCH(E1689,A1689)),A1689,IF(OR(E1689="",E1689=""),A1689,A1689&amp;" - "&amp;E1689))</f>
        <v>OMG! 24/1 HGM SUD - Sudz</v>
      </c>
      <c r="C1689" s="30" t="s">
        <v>83</v>
      </c>
      <c r="D1689" s="42" t="s">
        <v>95</v>
      </c>
      <c r="E1689" s="40" t="s">
        <v>4491</v>
      </c>
      <c r="F1689" s="40" t="s">
        <v>177</v>
      </c>
      <c r="G1689" s="34" t="s">
        <v>448</v>
      </c>
      <c r="H1689" s="34">
        <v>1</v>
      </c>
      <c r="I1689" s="30" t="s">
        <v>0</v>
      </c>
      <c r="J1689" s="30" t="s">
        <v>0</v>
      </c>
      <c r="K1689" s="30" t="s">
        <v>52</v>
      </c>
      <c r="L1689" s="30" t="s">
        <v>53</v>
      </c>
      <c r="M1689" s="30" t="s">
        <v>71</v>
      </c>
      <c r="N1689" s="30" t="s">
        <v>72</v>
      </c>
      <c r="O1689" s="30" t="s">
        <v>54</v>
      </c>
      <c r="P1689" s="30" t="s">
        <v>89</v>
      </c>
      <c r="Q1689" s="30" t="s">
        <v>112</v>
      </c>
      <c r="R1689" s="30" t="s">
        <v>75</v>
      </c>
      <c r="S1689" s="30" t="s">
        <v>106</v>
      </c>
      <c r="T1689" s="30" t="s">
        <v>123</v>
      </c>
      <c r="U1689" s="30" t="s">
        <v>466</v>
      </c>
      <c r="V1689" s="30" t="s">
        <v>79</v>
      </c>
      <c r="W1689" s="30" t="s">
        <v>173</v>
      </c>
      <c r="X1689" s="30" t="s">
        <v>93</v>
      </c>
      <c r="Y1689" s="30" t="s">
        <v>1681</v>
      </c>
      <c r="Z1689" s="30" t="s">
        <v>64</v>
      </c>
      <c r="AA1689" s="30" t="s">
        <v>95</v>
      </c>
      <c r="AB1689" s="30" t="s">
        <v>0</v>
      </c>
      <c r="AC1689" s="30" t="s">
        <v>4647</v>
      </c>
    </row>
    <row r="1690" spans="1:29">
      <c r="A1690" s="60" t="s">
        <v>4648</v>
      </c>
      <c r="B1690" s="11" t="str">
        <f>IF(ISNUMBER(SEARCH(E1690,A1690)),A1690,IF(OR(E1690="",E1690=""),A1690,A1690&amp;" - "&amp;E1690))</f>
        <v>Remexian 24/1 JOI PPM - Purple Punch Mints</v>
      </c>
      <c r="C1690" s="24" t="s">
        <v>83</v>
      </c>
      <c r="D1690" s="49" t="s">
        <v>95</v>
      </c>
      <c r="E1690" s="41" t="s">
        <v>4649</v>
      </c>
      <c r="F1690" s="41" t="s">
        <v>120</v>
      </c>
      <c r="G1690" s="27" t="s">
        <v>448</v>
      </c>
      <c r="H1690" s="27">
        <v>1</v>
      </c>
      <c r="I1690" s="24" t="s">
        <v>0</v>
      </c>
      <c r="J1690" s="24" t="s">
        <v>0</v>
      </c>
      <c r="K1690" s="24" t="s">
        <v>52</v>
      </c>
      <c r="L1690" s="24" t="s">
        <v>53</v>
      </c>
      <c r="M1690" s="24" t="s">
        <v>72</v>
      </c>
      <c r="N1690" s="24" t="s">
        <v>178</v>
      </c>
      <c r="O1690" s="24" t="s">
        <v>0</v>
      </c>
      <c r="P1690" s="24" t="s">
        <v>112</v>
      </c>
      <c r="Q1690" s="24" t="s">
        <v>104</v>
      </c>
      <c r="R1690" s="24" t="s">
        <v>157</v>
      </c>
      <c r="S1690" s="24" t="s">
        <v>106</v>
      </c>
      <c r="T1690" s="24" t="s">
        <v>123</v>
      </c>
      <c r="U1690" s="24" t="s">
        <v>147</v>
      </c>
      <c r="V1690" s="24" t="s">
        <v>129</v>
      </c>
      <c r="W1690" s="24" t="s">
        <v>165</v>
      </c>
      <c r="X1690" s="24" t="s">
        <v>93</v>
      </c>
      <c r="Y1690" s="24" t="s">
        <v>268</v>
      </c>
      <c r="Z1690" s="24" t="s">
        <v>64</v>
      </c>
      <c r="AA1690" s="24" t="s">
        <v>95</v>
      </c>
      <c r="AB1690" s="24" t="s">
        <v>0</v>
      </c>
      <c r="AC1690" s="24" t="s">
        <v>4650</v>
      </c>
    </row>
    <row r="1691" spans="1:29">
      <c r="A1691" s="60" t="s">
        <v>4651</v>
      </c>
      <c r="B1691" s="11" t="str">
        <f>IF(ISNUMBER(SEARCH(E1691,A1691)),A1691,IF(OR(E1691="",E1691=""),A1691,A1691&amp;" - "&amp;E1691))</f>
        <v>Remexian 27/1 JOI JFF - Jet Fuel Funk</v>
      </c>
      <c r="C1691" s="30" t="s">
        <v>83</v>
      </c>
      <c r="D1691" s="42" t="s">
        <v>95</v>
      </c>
      <c r="E1691" s="40" t="s">
        <v>4652</v>
      </c>
      <c r="F1691" s="40" t="s">
        <v>120</v>
      </c>
      <c r="G1691" s="34" t="s">
        <v>33</v>
      </c>
      <c r="H1691" s="34">
        <v>1</v>
      </c>
      <c r="I1691" s="30" t="s">
        <v>0</v>
      </c>
      <c r="J1691" s="30" t="s">
        <v>0</v>
      </c>
      <c r="K1691" s="30" t="s">
        <v>52</v>
      </c>
      <c r="L1691" s="30" t="s">
        <v>53</v>
      </c>
      <c r="M1691" s="30" t="s">
        <v>121</v>
      </c>
      <c r="N1691" s="30" t="s">
        <v>72</v>
      </c>
      <c r="O1691" s="30" t="s">
        <v>0</v>
      </c>
      <c r="P1691" s="30" t="s">
        <v>59</v>
      </c>
      <c r="Q1691" s="30" t="s">
        <v>75</v>
      </c>
      <c r="R1691" s="30" t="s">
        <v>104</v>
      </c>
      <c r="S1691" s="30" t="s">
        <v>106</v>
      </c>
      <c r="T1691" s="30" t="s">
        <v>62</v>
      </c>
      <c r="U1691" s="30" t="s">
        <v>493</v>
      </c>
      <c r="V1691" s="30" t="s">
        <v>79</v>
      </c>
      <c r="W1691" s="30" t="s">
        <v>77</v>
      </c>
      <c r="X1691" s="30" t="s">
        <v>93</v>
      </c>
      <c r="Y1691" s="30" t="s">
        <v>213</v>
      </c>
      <c r="Z1691" s="30" t="s">
        <v>64</v>
      </c>
      <c r="AA1691" s="30" t="s">
        <v>95</v>
      </c>
      <c r="AB1691" s="30" t="s">
        <v>0</v>
      </c>
      <c r="AC1691" s="30" t="s">
        <v>4653</v>
      </c>
    </row>
    <row r="1692" spans="1:29">
      <c r="A1692" s="60" t="s">
        <v>4654</v>
      </c>
      <c r="B1692" s="11" t="str">
        <f>IF(ISNUMBER(SEARCH(E1692,A1692)),A1692,IF(OR(E1692="",E1692=""),A1692,A1692&amp;" - "&amp;E1692))</f>
        <v>CNBS GMXOZ 30/1 - GMO x OZ Kush</v>
      </c>
      <c r="C1692" s="24" t="s">
        <v>822</v>
      </c>
      <c r="D1692" s="49" t="s">
        <v>826</v>
      </c>
      <c r="E1692" s="41" t="s">
        <v>4655</v>
      </c>
      <c r="F1692" s="41" t="s">
        <v>177</v>
      </c>
      <c r="G1692" s="27" t="s">
        <v>4057</v>
      </c>
      <c r="H1692" s="27">
        <v>1</v>
      </c>
      <c r="I1692" s="24" t="s">
        <v>0</v>
      </c>
      <c r="J1692" s="24" t="s">
        <v>0</v>
      </c>
      <c r="K1692" s="24" t="s">
        <v>52</v>
      </c>
      <c r="L1692" s="24" t="s">
        <v>53</v>
      </c>
      <c r="M1692" s="24" t="s">
        <v>54</v>
      </c>
      <c r="N1692" s="24" t="s">
        <v>111</v>
      </c>
      <c r="O1692" s="24" t="s">
        <v>72</v>
      </c>
      <c r="P1692" s="24" t="s">
        <v>89</v>
      </c>
      <c r="Q1692" s="24" t="s">
        <v>59</v>
      </c>
      <c r="R1692" s="24" t="s">
        <v>157</v>
      </c>
      <c r="S1692" s="24" t="s">
        <v>128</v>
      </c>
      <c r="T1692" s="24" t="s">
        <v>106</v>
      </c>
      <c r="U1692" s="24" t="s">
        <v>62</v>
      </c>
      <c r="V1692" s="24" t="s">
        <v>77</v>
      </c>
      <c r="W1692" s="24" t="s">
        <v>79</v>
      </c>
      <c r="X1692" s="24" t="s">
        <v>107</v>
      </c>
      <c r="Y1692" s="24" t="s">
        <v>978</v>
      </c>
      <c r="Z1692" s="24" t="s">
        <v>64</v>
      </c>
      <c r="AA1692" s="24" t="s">
        <v>826</v>
      </c>
      <c r="AB1692" s="24" t="s">
        <v>0</v>
      </c>
      <c r="AC1692" s="24" t="s">
        <v>4656</v>
      </c>
    </row>
    <row r="1693" spans="1:29">
      <c r="A1693" s="60" t="s">
        <v>4657</v>
      </c>
      <c r="B1693" s="11" t="str">
        <f>IF(ISNUMBER(SEARCH(E1693,A1693)),A1693,IF(OR(E1693="",E1693=""),A1693,A1693&amp;" - "&amp;E1693))</f>
        <v>420 Compound 27/1 CA BBW - Bling Blaow</v>
      </c>
      <c r="C1693" s="30" t="s">
        <v>463</v>
      </c>
      <c r="D1693" s="42" t="s">
        <v>468</v>
      </c>
      <c r="E1693" s="40" t="s">
        <v>4658</v>
      </c>
      <c r="F1693" s="40" t="s">
        <v>177</v>
      </c>
      <c r="G1693" s="34" t="s">
        <v>33</v>
      </c>
      <c r="H1693" s="34">
        <v>1</v>
      </c>
      <c r="I1693" s="30" t="s">
        <v>0</v>
      </c>
      <c r="J1693" s="30" t="s">
        <v>0</v>
      </c>
      <c r="K1693" s="30" t="s">
        <v>52</v>
      </c>
      <c r="L1693" s="30" t="s">
        <v>53</v>
      </c>
      <c r="M1693" s="30" t="s">
        <v>111</v>
      </c>
      <c r="N1693" s="30" t="s">
        <v>54</v>
      </c>
      <c r="O1693" s="30" t="s">
        <v>72</v>
      </c>
      <c r="P1693" s="30" t="s">
        <v>73</v>
      </c>
      <c r="Q1693" s="30" t="s">
        <v>58</v>
      </c>
      <c r="R1693" s="30" t="s">
        <v>89</v>
      </c>
      <c r="S1693" s="30" t="s">
        <v>128</v>
      </c>
      <c r="T1693" s="30" t="s">
        <v>106</v>
      </c>
      <c r="U1693" s="30" t="s">
        <v>62</v>
      </c>
      <c r="V1693" s="30" t="s">
        <v>116</v>
      </c>
      <c r="W1693" s="30" t="s">
        <v>93</v>
      </c>
      <c r="X1693" s="30" t="s">
        <v>77</v>
      </c>
      <c r="Y1693" s="30" t="s">
        <v>4659</v>
      </c>
      <c r="Z1693" s="30" t="s">
        <v>64</v>
      </c>
      <c r="AA1693" s="30" t="s">
        <v>468</v>
      </c>
      <c r="AB1693" s="30" t="s">
        <v>0</v>
      </c>
      <c r="AC1693" s="30" t="s">
        <v>4660</v>
      </c>
    </row>
    <row r="1694" spans="1:29">
      <c r="A1694" s="60" t="s">
        <v>4661</v>
      </c>
      <c r="B1694" s="11" t="str">
        <f>IF(ISNUMBER(SEARCH(E1694,A1694)),A1694,IF(OR(E1694="",E1694=""),A1694,A1694&amp;" - "&amp;E1694))</f>
        <v>Remexian 24/1 RAY GTR - Gas Truffle</v>
      </c>
      <c r="C1694" s="24" t="s">
        <v>83</v>
      </c>
      <c r="D1694" s="49" t="s">
        <v>95</v>
      </c>
      <c r="E1694" s="41" t="s">
        <v>4662</v>
      </c>
      <c r="F1694" s="41" t="s">
        <v>177</v>
      </c>
      <c r="G1694" s="27" t="s">
        <v>448</v>
      </c>
      <c r="H1694" s="27">
        <v>1</v>
      </c>
      <c r="I1694" s="24" t="s">
        <v>0</v>
      </c>
      <c r="J1694" s="24" t="s">
        <v>0</v>
      </c>
      <c r="K1694" s="24" t="s">
        <v>52</v>
      </c>
      <c r="L1694" s="24" t="s">
        <v>53</v>
      </c>
      <c r="M1694" s="24" t="s">
        <v>72</v>
      </c>
      <c r="N1694" s="24" t="s">
        <v>88</v>
      </c>
      <c r="O1694" s="24" t="s">
        <v>54</v>
      </c>
      <c r="P1694" s="24" t="s">
        <v>75</v>
      </c>
      <c r="Q1694" s="24" t="s">
        <v>74</v>
      </c>
      <c r="R1694" s="24" t="s">
        <v>58</v>
      </c>
      <c r="S1694" s="24" t="s">
        <v>106</v>
      </c>
      <c r="T1694" s="24" t="s">
        <v>62</v>
      </c>
      <c r="U1694" s="24" t="s">
        <v>192</v>
      </c>
      <c r="V1694" s="24" t="s">
        <v>93</v>
      </c>
      <c r="W1694" s="24" t="s">
        <v>116</v>
      </c>
      <c r="X1694" s="24" t="s">
        <v>107</v>
      </c>
      <c r="Y1694" s="24" t="s">
        <v>1357</v>
      </c>
      <c r="Z1694" s="24" t="s">
        <v>64</v>
      </c>
      <c r="AA1694" s="24" t="s">
        <v>95</v>
      </c>
      <c r="AB1694" s="24" t="s">
        <v>0</v>
      </c>
      <c r="AC1694" s="24" t="s">
        <v>4663</v>
      </c>
    </row>
    <row r="1695" spans="1:29">
      <c r="A1695" s="60" t="s">
        <v>4664</v>
      </c>
      <c r="B1695" s="11" t="str">
        <f>IF(ISNUMBER(SEARCH(E1695,A1695)),A1695,IF(OR(E1695="",E1695=""),A1695,A1695&amp;" - "&amp;E1695))</f>
        <v>Cannamedical Hybrid classic DK - Fullgas</v>
      </c>
      <c r="C1695" s="30" t="s">
        <v>48</v>
      </c>
      <c r="D1695" s="42" t="s">
        <v>49</v>
      </c>
      <c r="E1695" s="40" t="s">
        <v>2710</v>
      </c>
      <c r="F1695" s="40" t="s">
        <v>86</v>
      </c>
      <c r="G1695" s="34" t="s">
        <v>460</v>
      </c>
      <c r="H1695" s="34">
        <v>1</v>
      </c>
      <c r="I1695" s="30" t="s">
        <v>0</v>
      </c>
      <c r="J1695" s="30" t="s">
        <v>0</v>
      </c>
      <c r="K1695" s="30" t="s">
        <v>52</v>
      </c>
      <c r="L1695" s="30" t="s">
        <v>87</v>
      </c>
      <c r="M1695" s="30" t="s">
        <v>72</v>
      </c>
      <c r="N1695" s="30" t="s">
        <v>54</v>
      </c>
      <c r="O1695" s="30" t="s">
        <v>88</v>
      </c>
      <c r="P1695" s="30" t="s">
        <v>59</v>
      </c>
      <c r="Q1695" s="30" t="s">
        <v>113</v>
      </c>
      <c r="R1695" s="30" t="s">
        <v>74</v>
      </c>
      <c r="S1695" s="30" t="s">
        <v>106</v>
      </c>
      <c r="T1695" s="30" t="s">
        <v>62</v>
      </c>
      <c r="U1695" s="30" t="s">
        <v>164</v>
      </c>
      <c r="V1695" s="30" t="s">
        <v>116</v>
      </c>
      <c r="W1695" s="30" t="s">
        <v>93</v>
      </c>
      <c r="X1695" s="30" t="s">
        <v>107</v>
      </c>
      <c r="Y1695" s="30" t="s">
        <v>2230</v>
      </c>
      <c r="Z1695" s="30" t="s">
        <v>64</v>
      </c>
      <c r="AA1695" s="30" t="s">
        <v>49</v>
      </c>
      <c r="AB1695" s="30" t="s">
        <v>0</v>
      </c>
      <c r="AC1695" s="30" t="s">
        <v>4665</v>
      </c>
    </row>
    <row r="1696" spans="1:29">
      <c r="A1696" s="60" t="s">
        <v>4666</v>
      </c>
      <c r="B1696" s="11" t="str">
        <f>IF(ISNUMBER(SEARCH(E1696,A1696)),A1696,IF(OR(E1696="",E1696=""),A1696,A1696&amp;" - "&amp;E1696))</f>
        <v>Tilray THC22 Spotlight Porto W - Wappa</v>
      </c>
      <c r="C1696" s="24" t="s">
        <v>133</v>
      </c>
      <c r="D1696" s="49" t="s">
        <v>134</v>
      </c>
      <c r="E1696" s="24" t="s">
        <v>566</v>
      </c>
      <c r="F1696" s="24" t="s">
        <v>177</v>
      </c>
      <c r="G1696" s="24" t="s">
        <v>4126</v>
      </c>
      <c r="H1696" s="25">
        <v>1</v>
      </c>
      <c r="I1696" s="24" t="s">
        <v>0</v>
      </c>
      <c r="J1696" s="24" t="s">
        <v>0</v>
      </c>
      <c r="K1696" s="24" t="s">
        <v>17</v>
      </c>
      <c r="L1696" s="24" t="s">
        <v>102</v>
      </c>
      <c r="M1696" s="24" t="s">
        <v>121</v>
      </c>
      <c r="N1696" s="24" t="s">
        <v>212</v>
      </c>
      <c r="O1696" s="24" t="s">
        <v>72</v>
      </c>
      <c r="P1696" s="24" t="s">
        <v>75</v>
      </c>
      <c r="Q1696" s="24" t="s">
        <v>89</v>
      </c>
      <c r="R1696" s="24" t="s">
        <v>0</v>
      </c>
      <c r="S1696" s="24" t="s">
        <v>62</v>
      </c>
      <c r="T1696" s="24" t="s">
        <v>164</v>
      </c>
      <c r="U1696" s="24" t="s">
        <v>147</v>
      </c>
      <c r="V1696" s="24" t="s">
        <v>77</v>
      </c>
      <c r="W1696" s="24" t="s">
        <v>79</v>
      </c>
      <c r="X1696" s="24" t="s">
        <v>107</v>
      </c>
      <c r="Y1696" s="24" t="s">
        <v>280</v>
      </c>
      <c r="Z1696" s="24" t="s">
        <v>64</v>
      </c>
      <c r="AA1696" s="24" t="s">
        <v>134</v>
      </c>
      <c r="AB1696" s="24" t="s">
        <v>0</v>
      </c>
      <c r="AC1696" s="24" t="s">
        <v>4667</v>
      </c>
    </row>
    <row r="1697" spans="1:29">
      <c r="A1697" s="60" t="s">
        <v>4668</v>
      </c>
      <c r="B1697" s="11" t="str">
        <f>IF(ISNUMBER(SEARCH(E1697,A1697)),A1697,IF(OR(E1697="",E1697=""),A1697,A1697&amp;" - "&amp;E1697))</f>
        <v>Canify Cannabis flos 23/1 PRT Ku. Strawberry Banana S</v>
      </c>
      <c r="C1697" s="30" t="s">
        <v>99</v>
      </c>
      <c r="D1697" s="42" t="s">
        <v>100</v>
      </c>
      <c r="E1697" s="40" t="s">
        <v>196</v>
      </c>
      <c r="F1697" s="40" t="s">
        <v>86</v>
      </c>
      <c r="G1697" s="34" t="s">
        <v>436</v>
      </c>
      <c r="H1697" s="34">
        <v>1</v>
      </c>
      <c r="I1697" s="30" t="s">
        <v>0</v>
      </c>
      <c r="J1697" s="30" t="s">
        <v>0</v>
      </c>
      <c r="K1697" s="30" t="s">
        <v>52</v>
      </c>
      <c r="L1697" s="30" t="s">
        <v>102</v>
      </c>
      <c r="M1697" s="30" t="s">
        <v>71</v>
      </c>
      <c r="N1697" s="30" t="s">
        <v>72</v>
      </c>
      <c r="O1697" s="30" t="s">
        <v>103</v>
      </c>
      <c r="P1697" s="30" t="s">
        <v>89</v>
      </c>
      <c r="Q1697" s="30" t="s">
        <v>58</v>
      </c>
      <c r="R1697" s="30" t="s">
        <v>0</v>
      </c>
      <c r="S1697" s="30" t="s">
        <v>128</v>
      </c>
      <c r="T1697" s="30" t="s">
        <v>61</v>
      </c>
      <c r="U1697" s="30" t="s">
        <v>62</v>
      </c>
      <c r="V1697" s="30" t="s">
        <v>77</v>
      </c>
      <c r="W1697" s="30" t="s">
        <v>79</v>
      </c>
      <c r="X1697" s="30" t="s">
        <v>173</v>
      </c>
      <c r="Y1697" s="30" t="s">
        <v>213</v>
      </c>
      <c r="Z1697" s="30" t="s">
        <v>64</v>
      </c>
      <c r="AA1697" s="30" t="s">
        <v>100</v>
      </c>
      <c r="AB1697" s="30" t="s">
        <v>194</v>
      </c>
      <c r="AC1697" s="30" t="s">
        <v>4669</v>
      </c>
    </row>
    <row r="1698" spans="1:29">
      <c r="A1698" s="60" t="s">
        <v>4670</v>
      </c>
      <c r="B1698" s="11" t="str">
        <f>IF(ISNUMBER(SEARCH(E1698,A1698)),A1698,IF(OR(E1698="",E1698=""),A1698,A1698&amp;" - "&amp;E1698))</f>
        <v>MGF REB 26 - Red Bullz</v>
      </c>
      <c r="C1698" s="24" t="s">
        <v>3108</v>
      </c>
      <c r="D1698" s="49" t="s">
        <v>3109</v>
      </c>
      <c r="E1698" s="41" t="s">
        <v>3944</v>
      </c>
      <c r="F1698" s="41" t="s">
        <v>144</v>
      </c>
      <c r="G1698" s="27" t="s">
        <v>4086</v>
      </c>
      <c r="H1698" s="27">
        <v>1</v>
      </c>
      <c r="I1698" s="24" t="s">
        <v>0</v>
      </c>
      <c r="J1698" s="24" t="s">
        <v>0</v>
      </c>
      <c r="K1698" s="24" t="s">
        <v>17</v>
      </c>
      <c r="L1698" s="24" t="s">
        <v>102</v>
      </c>
      <c r="M1698" s="24" t="s">
        <v>54</v>
      </c>
      <c r="N1698" s="24" t="s">
        <v>88</v>
      </c>
      <c r="O1698" s="24" t="s">
        <v>55</v>
      </c>
      <c r="P1698" s="24" t="s">
        <v>75</v>
      </c>
      <c r="Q1698" s="24" t="s">
        <v>59</v>
      </c>
      <c r="R1698" s="24" t="s">
        <v>58</v>
      </c>
      <c r="S1698" s="24" t="s">
        <v>106</v>
      </c>
      <c r="T1698" s="24" t="s">
        <v>62</v>
      </c>
      <c r="U1698" s="24" t="s">
        <v>0</v>
      </c>
      <c r="V1698" s="24" t="s">
        <v>180</v>
      </c>
      <c r="W1698" s="24" t="s">
        <v>107</v>
      </c>
      <c r="X1698" s="24" t="s">
        <v>79</v>
      </c>
      <c r="Y1698" s="24" t="s">
        <v>4671</v>
      </c>
      <c r="Z1698" s="24" t="s">
        <v>64</v>
      </c>
      <c r="AA1698" s="24" t="s">
        <v>3109</v>
      </c>
      <c r="AB1698" s="24" t="s">
        <v>0</v>
      </c>
      <c r="AC1698" s="24" t="s">
        <v>4672</v>
      </c>
    </row>
    <row r="1699" spans="1:29">
      <c r="A1699" s="60" t="s">
        <v>4673</v>
      </c>
      <c r="B1699" s="11" t="str">
        <f>IF(ISNUMBER(SEARCH(E1699,A1699)),A1699,IF(OR(E1699="",E1699=""),A1699,A1699&amp;" - "&amp;E1699))</f>
        <v>Cookies 29/1 MD - Medellin</v>
      </c>
      <c r="C1699" s="30" t="s">
        <v>996</v>
      </c>
      <c r="D1699" s="42" t="s">
        <v>997</v>
      </c>
      <c r="E1699" s="40" t="s">
        <v>1793</v>
      </c>
      <c r="F1699" s="40" t="s">
        <v>120</v>
      </c>
      <c r="G1699" s="34" t="s">
        <v>443</v>
      </c>
      <c r="H1699" s="34">
        <v>1</v>
      </c>
      <c r="I1699" s="30" t="s">
        <v>0</v>
      </c>
      <c r="J1699" s="30" t="s">
        <v>0</v>
      </c>
      <c r="K1699" s="30" t="s">
        <v>52</v>
      </c>
      <c r="L1699" s="30" t="s">
        <v>102</v>
      </c>
      <c r="M1699" s="30" t="s">
        <v>111</v>
      </c>
      <c r="N1699" s="30" t="s">
        <v>178</v>
      </c>
      <c r="O1699" s="30" t="s">
        <v>54</v>
      </c>
      <c r="P1699" s="30" t="s">
        <v>157</v>
      </c>
      <c r="Q1699" s="30" t="s">
        <v>57</v>
      </c>
      <c r="R1699" s="30" t="s">
        <v>73</v>
      </c>
      <c r="S1699" s="30" t="s">
        <v>62</v>
      </c>
      <c r="T1699" s="30" t="s">
        <v>91</v>
      </c>
      <c r="U1699" s="30" t="s">
        <v>147</v>
      </c>
      <c r="V1699" s="30" t="s">
        <v>107</v>
      </c>
      <c r="W1699" s="30" t="s">
        <v>77</v>
      </c>
      <c r="X1699" s="30" t="s">
        <v>79</v>
      </c>
      <c r="Y1699" s="30" t="s">
        <v>4674</v>
      </c>
      <c r="Z1699" s="30" t="s">
        <v>64</v>
      </c>
      <c r="AA1699" s="30" t="s">
        <v>997</v>
      </c>
      <c r="AB1699" s="30" t="s">
        <v>0</v>
      </c>
      <c r="AC1699" s="30" t="s">
        <v>4675</v>
      </c>
    </row>
    <row r="1700" spans="1:29">
      <c r="A1700" s="60" t="s">
        <v>4676</v>
      </c>
      <c r="B1700" s="11" t="str">
        <f>IF(ISNUMBER(SEARCH(E1700,A1700)),A1700,IF(OR(E1700="",E1700=""),A1700,A1700&amp;" - "&amp;E1700))</f>
        <v>Barongo 24/1 CG - Caviar Gold</v>
      </c>
      <c r="C1700" s="24" t="s">
        <v>641</v>
      </c>
      <c r="D1700" s="49" t="s">
        <v>642</v>
      </c>
      <c r="E1700" s="41" t="s">
        <v>4677</v>
      </c>
      <c r="F1700" s="41" t="s">
        <v>177</v>
      </c>
      <c r="G1700" s="27" t="s">
        <v>448</v>
      </c>
      <c r="H1700" s="27">
        <v>1</v>
      </c>
      <c r="I1700" s="24" t="s">
        <v>0</v>
      </c>
      <c r="J1700" s="24" t="s">
        <v>0</v>
      </c>
      <c r="K1700" s="24" t="s">
        <v>52</v>
      </c>
      <c r="L1700" s="24" t="s">
        <v>53</v>
      </c>
      <c r="M1700" s="24" t="s">
        <v>72</v>
      </c>
      <c r="N1700" s="24" t="s">
        <v>88</v>
      </c>
      <c r="O1700" s="24" t="s">
        <v>71</v>
      </c>
      <c r="P1700" s="24" t="s">
        <v>59</v>
      </c>
      <c r="Q1700" s="24" t="s">
        <v>74</v>
      </c>
      <c r="R1700" s="24" t="s">
        <v>112</v>
      </c>
      <c r="S1700" s="24" t="s">
        <v>106</v>
      </c>
      <c r="T1700" s="24" t="s">
        <v>62</v>
      </c>
      <c r="U1700" s="24" t="s">
        <v>147</v>
      </c>
      <c r="V1700" s="24" t="s">
        <v>77</v>
      </c>
      <c r="W1700" s="24" t="s">
        <v>79</v>
      </c>
      <c r="X1700" s="24" t="s">
        <v>138</v>
      </c>
      <c r="Y1700" s="24" t="s">
        <v>555</v>
      </c>
      <c r="Z1700" s="24" t="s">
        <v>64</v>
      </c>
      <c r="AA1700" s="24" t="s">
        <v>642</v>
      </c>
      <c r="AB1700" s="24" t="s">
        <v>0</v>
      </c>
      <c r="AC1700" s="24" t="s">
        <v>4678</v>
      </c>
    </row>
    <row r="1701" spans="1:29">
      <c r="A1701" s="60" t="s">
        <v>4679</v>
      </c>
      <c r="B1701" s="11" t="str">
        <f>IF(ISNUMBER(SEARCH(E1701,A1701)),A1701,IF(OR(E1701="",E1701=""),A1701,A1701&amp;" - "&amp;E1701))</f>
        <v>Social Choice 24/1 HGM ECH - El Chapo</v>
      </c>
      <c r="C1701" s="30" t="s">
        <v>83</v>
      </c>
      <c r="D1701" s="42" t="s">
        <v>95</v>
      </c>
      <c r="E1701" s="40" t="s">
        <v>4557</v>
      </c>
      <c r="F1701" s="40" t="s">
        <v>177</v>
      </c>
      <c r="G1701" s="34" t="s">
        <v>448</v>
      </c>
      <c r="H1701" s="34">
        <v>1</v>
      </c>
      <c r="I1701" s="30" t="s">
        <v>0</v>
      </c>
      <c r="J1701" s="30" t="s">
        <v>0</v>
      </c>
      <c r="K1701" s="30" t="s">
        <v>52</v>
      </c>
      <c r="L1701" s="30" t="s">
        <v>53</v>
      </c>
      <c r="M1701" s="30" t="s">
        <v>71</v>
      </c>
      <c r="N1701" s="30" t="s">
        <v>72</v>
      </c>
      <c r="O1701" s="30" t="s">
        <v>0</v>
      </c>
      <c r="P1701" s="30" t="s">
        <v>104</v>
      </c>
      <c r="Q1701" s="30" t="s">
        <v>75</v>
      </c>
      <c r="R1701" s="30" t="s">
        <v>89</v>
      </c>
      <c r="S1701" s="30" t="s">
        <v>128</v>
      </c>
      <c r="T1701" s="30" t="s">
        <v>106</v>
      </c>
      <c r="U1701" s="30" t="s">
        <v>62</v>
      </c>
      <c r="V1701" s="30" t="s">
        <v>116</v>
      </c>
      <c r="W1701" s="30" t="s">
        <v>79</v>
      </c>
      <c r="X1701" s="30" t="s">
        <v>107</v>
      </c>
      <c r="Y1701" s="30" t="s">
        <v>314</v>
      </c>
      <c r="Z1701" s="30" t="s">
        <v>64</v>
      </c>
      <c r="AA1701" s="30" t="s">
        <v>95</v>
      </c>
      <c r="AB1701" s="30" t="s">
        <v>0</v>
      </c>
      <c r="AC1701" s="30" t="s">
        <v>4680</v>
      </c>
    </row>
    <row r="1702" spans="1:29">
      <c r="A1702" s="60" t="s">
        <v>4681</v>
      </c>
      <c r="B1702" s="11" t="str">
        <f>IF(ISNUMBER(SEARCH(E1702,A1702)),A1702,IF(OR(E1702="",E1702=""),A1702,A1702&amp;" - "&amp;E1702))</f>
        <v>Weeco Duke 20/1 Purple Rain - Purple Rain by The Gram</v>
      </c>
      <c r="C1702" s="24" t="s">
        <v>905</v>
      </c>
      <c r="D1702" s="49" t="s">
        <v>906</v>
      </c>
      <c r="E1702" s="41" t="s">
        <v>907</v>
      </c>
      <c r="F1702" s="41" t="s">
        <v>69</v>
      </c>
      <c r="G1702" s="27" t="s">
        <v>452</v>
      </c>
      <c r="H1702" s="27">
        <v>1</v>
      </c>
      <c r="I1702" s="24" t="s">
        <v>0</v>
      </c>
      <c r="J1702" s="24" t="s">
        <v>0</v>
      </c>
      <c r="K1702" s="24" t="s">
        <v>17</v>
      </c>
      <c r="L1702" s="24" t="s">
        <v>87</v>
      </c>
      <c r="M1702" s="24" t="s">
        <v>71</v>
      </c>
      <c r="N1702" s="24" t="s">
        <v>72</v>
      </c>
      <c r="O1702" s="24" t="s">
        <v>0</v>
      </c>
      <c r="P1702" s="24" t="s">
        <v>59</v>
      </c>
      <c r="Q1702" s="24" t="s">
        <v>104</v>
      </c>
      <c r="R1702" s="24" t="s">
        <v>0</v>
      </c>
      <c r="S1702" s="24" t="s">
        <v>234</v>
      </c>
      <c r="T1702" s="24" t="s">
        <v>147</v>
      </c>
      <c r="U1702" s="24" t="s">
        <v>192</v>
      </c>
      <c r="V1702" s="24" t="s">
        <v>116</v>
      </c>
      <c r="W1702" s="24" t="s">
        <v>165</v>
      </c>
      <c r="X1702" s="24" t="s">
        <v>129</v>
      </c>
      <c r="Y1702" s="24" t="s">
        <v>413</v>
      </c>
      <c r="Z1702" s="24" t="s">
        <v>64</v>
      </c>
      <c r="AA1702" s="24" t="s">
        <v>906</v>
      </c>
      <c r="AB1702" s="24" t="s">
        <v>0</v>
      </c>
      <c r="AC1702" s="24" t="s">
        <v>4682</v>
      </c>
    </row>
    <row r="1703" spans="1:29">
      <c r="A1703" s="60" t="s">
        <v>4683</v>
      </c>
      <c r="B1703" s="11" t="str">
        <f>IF(ISNUMBER(SEARCH(E1703,A1703)),A1703,IF(OR(E1703="",E1703=""),A1703,A1703&amp;" - "&amp;E1703))</f>
        <v>Organic Sweetgrass MCC 25/1 Mint Chocolate Chips</v>
      </c>
      <c r="C1703" s="30" t="s">
        <v>564</v>
      </c>
      <c r="D1703" s="42" t="s">
        <v>565</v>
      </c>
      <c r="E1703" s="40" t="s">
        <v>4684</v>
      </c>
      <c r="F1703" s="40" t="s">
        <v>86</v>
      </c>
      <c r="G1703" s="34" t="s">
        <v>26</v>
      </c>
      <c r="H1703" s="34">
        <v>1</v>
      </c>
      <c r="I1703" s="30" t="s">
        <v>0</v>
      </c>
      <c r="J1703" s="30" t="s">
        <v>0</v>
      </c>
      <c r="K1703" s="30" t="s">
        <v>52</v>
      </c>
      <c r="L1703" s="30" t="s">
        <v>53</v>
      </c>
      <c r="M1703" s="30" t="s">
        <v>54</v>
      </c>
      <c r="N1703" s="30" t="s">
        <v>72</v>
      </c>
      <c r="O1703" s="30" t="s">
        <v>0</v>
      </c>
      <c r="P1703" s="30" t="s">
        <v>157</v>
      </c>
      <c r="Q1703" s="30" t="s">
        <v>74</v>
      </c>
      <c r="R1703" s="30" t="s">
        <v>89</v>
      </c>
      <c r="S1703" s="30" t="s">
        <v>0</v>
      </c>
      <c r="T1703" s="30" t="s">
        <v>0</v>
      </c>
      <c r="U1703" s="30" t="s">
        <v>0</v>
      </c>
      <c r="V1703" s="30" t="s">
        <v>180</v>
      </c>
      <c r="W1703" s="30" t="s">
        <v>116</v>
      </c>
      <c r="X1703" s="30" t="s">
        <v>93</v>
      </c>
      <c r="Y1703" s="30" t="s">
        <v>311</v>
      </c>
      <c r="Z1703" s="30" t="s">
        <v>64</v>
      </c>
      <c r="AA1703" s="30" t="s">
        <v>565</v>
      </c>
      <c r="AB1703" s="30" t="s">
        <v>0</v>
      </c>
      <c r="AC1703" s="30" t="s">
        <v>4685</v>
      </c>
    </row>
    <row r="1704" spans="1:29">
      <c r="A1704" s="60" t="s">
        <v>4686</v>
      </c>
      <c r="B1704" s="11" t="str">
        <f>IF(ISNUMBER(SEARCH(E1704,A1704)),A1704,IF(OR(E1704="",E1704=""),A1704,A1704&amp;" - "&amp;E1704))</f>
        <v>THC AKUT 25 RBP - Rainbow Pie</v>
      </c>
      <c r="C1704" s="24" t="s">
        <v>4625</v>
      </c>
      <c r="D1704" s="49" t="s">
        <v>160</v>
      </c>
      <c r="E1704" s="41" t="s">
        <v>1377</v>
      </c>
      <c r="F1704" s="41" t="s">
        <v>86</v>
      </c>
      <c r="G1704" s="27" t="s">
        <v>26</v>
      </c>
      <c r="H1704" s="27">
        <v>1</v>
      </c>
      <c r="I1704" s="24" t="s">
        <v>0</v>
      </c>
      <c r="J1704" s="24" t="s">
        <v>0</v>
      </c>
      <c r="K1704" s="24" t="s">
        <v>52</v>
      </c>
      <c r="L1704" s="24" t="s">
        <v>53</v>
      </c>
      <c r="M1704" s="24" t="s">
        <v>72</v>
      </c>
      <c r="N1704" s="24" t="s">
        <v>54</v>
      </c>
      <c r="O1704" s="24" t="s">
        <v>178</v>
      </c>
      <c r="P1704" s="24" t="s">
        <v>75</v>
      </c>
      <c r="Q1704" s="24" t="s">
        <v>89</v>
      </c>
      <c r="R1704" s="24" t="s">
        <v>58</v>
      </c>
      <c r="S1704" s="24" t="s">
        <v>128</v>
      </c>
      <c r="T1704" s="24" t="s">
        <v>61</v>
      </c>
      <c r="U1704" s="24" t="s">
        <v>62</v>
      </c>
      <c r="V1704" s="24" t="s">
        <v>77</v>
      </c>
      <c r="W1704" s="24" t="s">
        <v>107</v>
      </c>
      <c r="X1704" s="24" t="s">
        <v>79</v>
      </c>
      <c r="Y1704" s="24" t="s">
        <v>391</v>
      </c>
      <c r="Z1704" s="24" t="s">
        <v>64</v>
      </c>
      <c r="AA1704" s="57" t="s">
        <v>160</v>
      </c>
      <c r="AB1704" s="24" t="s">
        <v>0</v>
      </c>
      <c r="AC1704" s="24" t="s">
        <v>4687</v>
      </c>
    </row>
    <row r="1705" spans="1:29">
      <c r="A1705" s="60" t="s">
        <v>4688</v>
      </c>
      <c r="B1705" s="11" t="str">
        <f>IF(ISNUMBER(SEARCH(E1705,A1705)),A1705,IF(OR(E1705="",E1705=""),A1705,A1705&amp;" - "&amp;E1705))</f>
        <v>Buuo 22/1 CDLC - Chem de la Chem</v>
      </c>
      <c r="C1705" s="30" t="s">
        <v>641</v>
      </c>
      <c r="D1705" s="42" t="s">
        <v>642</v>
      </c>
      <c r="E1705" s="40" t="s">
        <v>1151</v>
      </c>
      <c r="F1705" s="40" t="s">
        <v>144</v>
      </c>
      <c r="G1705" s="34" t="s">
        <v>4126</v>
      </c>
      <c r="H1705" s="34">
        <v>1</v>
      </c>
      <c r="I1705" s="30" t="s">
        <v>0</v>
      </c>
      <c r="J1705" s="30" t="s">
        <v>0</v>
      </c>
      <c r="K1705" s="30" t="s">
        <v>52</v>
      </c>
      <c r="L1705" s="30" t="s">
        <v>102</v>
      </c>
      <c r="M1705" s="30" t="s">
        <v>72</v>
      </c>
      <c r="N1705" s="30" t="s">
        <v>111</v>
      </c>
      <c r="O1705" s="30" t="s">
        <v>55</v>
      </c>
      <c r="P1705" s="30" t="s">
        <v>146</v>
      </c>
      <c r="Q1705" s="30" t="s">
        <v>75</v>
      </c>
      <c r="R1705" s="30" t="s">
        <v>59</v>
      </c>
      <c r="S1705" s="30" t="s">
        <v>62</v>
      </c>
      <c r="T1705" s="30" t="s">
        <v>147</v>
      </c>
      <c r="U1705" s="30" t="s">
        <v>493</v>
      </c>
      <c r="V1705" s="30" t="s">
        <v>77</v>
      </c>
      <c r="W1705" s="30" t="s">
        <v>79</v>
      </c>
      <c r="X1705" s="30" t="s">
        <v>107</v>
      </c>
      <c r="Y1705" s="30" t="s">
        <v>2230</v>
      </c>
      <c r="Z1705" s="30" t="s">
        <v>64</v>
      </c>
      <c r="AA1705" s="30" t="s">
        <v>642</v>
      </c>
      <c r="AB1705" s="30" t="s">
        <v>0</v>
      </c>
      <c r="AC1705" s="36" t="s">
        <v>4689</v>
      </c>
    </row>
    <row r="1706" spans="1:29">
      <c r="A1706" s="60" t="s">
        <v>4690</v>
      </c>
      <c r="B1706" s="11" t="str">
        <f>IF(ISNUMBER(SEARCH(E1706,A1706)),A1706,IF(OR(E1706="",E1706=""),A1706,A1706&amp;" - "&amp;E1706))</f>
        <v>enua 27/1 GPU - Gastro Pop Ultra</v>
      </c>
      <c r="C1706" s="24" t="s">
        <v>650</v>
      </c>
      <c r="D1706" s="49" t="s">
        <v>653</v>
      </c>
      <c r="E1706" s="41" t="s">
        <v>4691</v>
      </c>
      <c r="F1706" s="41" t="s">
        <v>177</v>
      </c>
      <c r="G1706" s="27" t="s">
        <v>33</v>
      </c>
      <c r="H1706" s="27">
        <v>1</v>
      </c>
      <c r="I1706" s="24" t="s">
        <v>0</v>
      </c>
      <c r="J1706" s="24" t="s">
        <v>0</v>
      </c>
      <c r="K1706" s="24" t="s">
        <v>52</v>
      </c>
      <c r="L1706" s="24" t="s">
        <v>53</v>
      </c>
      <c r="M1706" s="24" t="s">
        <v>121</v>
      </c>
      <c r="N1706" s="24" t="s">
        <v>72</v>
      </c>
      <c r="O1706" s="24" t="s">
        <v>0</v>
      </c>
      <c r="P1706" s="24" t="s">
        <v>104</v>
      </c>
      <c r="Q1706" s="24" t="s">
        <v>59</v>
      </c>
      <c r="R1706" s="24" t="s">
        <v>75</v>
      </c>
      <c r="S1706" s="24" t="s">
        <v>106</v>
      </c>
      <c r="T1706" s="24" t="s">
        <v>62</v>
      </c>
      <c r="U1706" s="24" t="s">
        <v>123</v>
      </c>
      <c r="V1706" s="24" t="s">
        <v>93</v>
      </c>
      <c r="W1706" s="24" t="s">
        <v>138</v>
      </c>
      <c r="X1706" s="24" t="s">
        <v>116</v>
      </c>
      <c r="Y1706" s="24" t="s">
        <v>1565</v>
      </c>
      <c r="Z1706" s="24" t="s">
        <v>64</v>
      </c>
      <c r="AA1706" s="24" t="s">
        <v>653</v>
      </c>
      <c r="AB1706" s="24" t="s">
        <v>0</v>
      </c>
      <c r="AC1706" s="24" t="s">
        <v>4692</v>
      </c>
    </row>
    <row r="1707" spans="1:29">
      <c r="A1707" s="60" t="s">
        <v>4693</v>
      </c>
      <c r="B1707" s="11" t="str">
        <f>IF(ISNUMBER(SEARCH(E1707,A1707)),A1707,IF(OR(E1707="",E1707=""),A1707,A1707&amp;" - "&amp;E1707))</f>
        <v>canymed BC 28/1: Alphaflos - Schneewittchen</v>
      </c>
      <c r="C1707" s="30" t="s">
        <v>1957</v>
      </c>
      <c r="D1707" s="30" t="s">
        <v>1961</v>
      </c>
      <c r="E1707" s="30" t="s">
        <v>4694</v>
      </c>
      <c r="F1707" s="30" t="s">
        <v>86</v>
      </c>
      <c r="G1707" s="30" t="s">
        <v>4164</v>
      </c>
      <c r="H1707" s="31">
        <v>1</v>
      </c>
      <c r="I1707" s="30" t="s">
        <v>0</v>
      </c>
      <c r="J1707" s="30" t="s">
        <v>0</v>
      </c>
      <c r="K1707" s="30" t="s">
        <v>52</v>
      </c>
      <c r="L1707" s="30" t="s">
        <v>53</v>
      </c>
      <c r="M1707" s="30" t="s">
        <v>72</v>
      </c>
      <c r="N1707" s="30" t="s">
        <v>54</v>
      </c>
      <c r="O1707" s="30" t="s">
        <v>88</v>
      </c>
      <c r="P1707" s="30" t="s">
        <v>59</v>
      </c>
      <c r="Q1707" s="30" t="s">
        <v>112</v>
      </c>
      <c r="R1707" s="30" t="s">
        <v>74</v>
      </c>
      <c r="S1707" s="30" t="s">
        <v>128</v>
      </c>
      <c r="T1707" s="30" t="s">
        <v>106</v>
      </c>
      <c r="U1707" s="30" t="s">
        <v>62</v>
      </c>
      <c r="V1707" s="30" t="s">
        <v>173</v>
      </c>
      <c r="W1707" s="30" t="s">
        <v>77</v>
      </c>
      <c r="X1707" s="30" t="s">
        <v>107</v>
      </c>
      <c r="Y1707" s="30" t="s">
        <v>4170</v>
      </c>
      <c r="Z1707" s="30" t="s">
        <v>64</v>
      </c>
      <c r="AA1707" s="30" t="s">
        <v>1961</v>
      </c>
      <c r="AB1707" s="30" t="s">
        <v>0</v>
      </c>
      <c r="AC1707" s="30" t="s">
        <v>4695</v>
      </c>
    </row>
    <row r="1708" spans="1:29">
      <c r="A1708" s="60" t="s">
        <v>4696</v>
      </c>
      <c r="B1708" s="11" t="str">
        <f>IF(ISNUMBER(SEARCH(E1708,A1708)),A1708,IF(OR(E1708="",E1708=""),A1708,A1708&amp;" - "&amp;E1708))</f>
        <v>24/1 Amici GB - Godberry</v>
      </c>
      <c r="C1708" s="24" t="s">
        <v>996</v>
      </c>
      <c r="D1708" s="24" t="s">
        <v>997</v>
      </c>
      <c r="E1708" s="41" t="s">
        <v>4697</v>
      </c>
      <c r="F1708" s="41" t="s">
        <v>177</v>
      </c>
      <c r="G1708" s="27" t="s">
        <v>448</v>
      </c>
      <c r="H1708" s="27" t="s">
        <v>65</v>
      </c>
      <c r="I1708" s="24" t="s">
        <v>0</v>
      </c>
      <c r="J1708" s="24" t="s">
        <v>0</v>
      </c>
      <c r="K1708" s="24" t="s">
        <v>52</v>
      </c>
      <c r="L1708" s="24" t="s">
        <v>102</v>
      </c>
      <c r="M1708" s="24" t="s">
        <v>72</v>
      </c>
      <c r="N1708" s="24" t="s">
        <v>88</v>
      </c>
      <c r="O1708" s="24" t="s">
        <v>121</v>
      </c>
      <c r="P1708" s="24" t="s">
        <v>104</v>
      </c>
      <c r="Q1708" s="24" t="s">
        <v>74</v>
      </c>
      <c r="R1708" s="24" t="s">
        <v>89</v>
      </c>
      <c r="S1708" s="24" t="s">
        <v>106</v>
      </c>
      <c r="T1708" s="24" t="s">
        <v>62</v>
      </c>
      <c r="U1708" s="24" t="s">
        <v>147</v>
      </c>
      <c r="V1708" s="24" t="s">
        <v>4698</v>
      </c>
      <c r="W1708" s="24" t="s">
        <v>137</v>
      </c>
      <c r="X1708" s="24" t="s">
        <v>79</v>
      </c>
      <c r="Y1708" s="24" t="s">
        <v>213</v>
      </c>
      <c r="Z1708" s="24" t="s">
        <v>64</v>
      </c>
      <c r="AA1708" s="24" t="s">
        <v>997</v>
      </c>
      <c r="AB1708" s="24" t="s">
        <v>0</v>
      </c>
      <c r="AC1708" s="24" t="s">
        <v>4699</v>
      </c>
    </row>
    <row r="1709" spans="1:29">
      <c r="A1709" s="60" t="s">
        <v>4700</v>
      </c>
      <c r="B1709" s="11" t="str">
        <f>IF(ISNUMBER(SEARCH(E1709,A1709)),A1709,IF(OR(E1709="",E1709=""),A1709,A1709&amp;" - "&amp;E1709))</f>
        <v>420 Balanced Basic PT SLG - Super Lemon G</v>
      </c>
      <c r="C1709" s="30" t="s">
        <v>463</v>
      </c>
      <c r="D1709" s="30" t="s">
        <v>468</v>
      </c>
      <c r="E1709" s="40" t="s">
        <v>4701</v>
      </c>
      <c r="F1709" s="40" t="s">
        <v>69</v>
      </c>
      <c r="G1709" s="34" t="s">
        <v>4702</v>
      </c>
      <c r="H1709" s="34" t="s">
        <v>22</v>
      </c>
      <c r="I1709" s="30" t="s">
        <v>0</v>
      </c>
      <c r="J1709" s="30" t="s">
        <v>0</v>
      </c>
      <c r="K1709" s="30" t="s">
        <v>52</v>
      </c>
      <c r="L1709" s="30" t="s">
        <v>102</v>
      </c>
      <c r="M1709" s="30" t="s">
        <v>111</v>
      </c>
      <c r="N1709" s="30" t="s">
        <v>54</v>
      </c>
      <c r="O1709" s="30" t="s">
        <v>55</v>
      </c>
      <c r="P1709" s="30" t="s">
        <v>75</v>
      </c>
      <c r="Q1709" s="30" t="s">
        <v>89</v>
      </c>
      <c r="R1709" s="30" t="s">
        <v>104</v>
      </c>
      <c r="S1709" s="30" t="s">
        <v>128</v>
      </c>
      <c r="T1709" s="30" t="s">
        <v>179</v>
      </c>
      <c r="U1709" s="30" t="s">
        <v>61</v>
      </c>
      <c r="V1709" s="30" t="s">
        <v>77</v>
      </c>
      <c r="W1709" s="30" t="s">
        <v>107</v>
      </c>
      <c r="X1709" s="30" t="s">
        <v>79</v>
      </c>
      <c r="Y1709" s="30" t="s">
        <v>4674</v>
      </c>
      <c r="Z1709" s="30" t="s">
        <v>64</v>
      </c>
      <c r="AA1709" s="30" t="s">
        <v>468</v>
      </c>
      <c r="AB1709" s="30" t="s">
        <v>0</v>
      </c>
      <c r="AC1709" s="30" t="s">
        <v>4703</v>
      </c>
    </row>
    <row r="1710" spans="1:29">
      <c r="A1710" s="60" t="s">
        <v>4704</v>
      </c>
      <c r="B1710" s="11" t="str">
        <f>IF(ISNUMBER(SEARCH(E1710,A1710)),A1710,IF(OR(E1710="",E1710=""),A1710,A1710&amp;" - "&amp;E1710))</f>
        <v>Bathera 23/1 DS - Dank Sinatra</v>
      </c>
      <c r="C1710" s="24" t="s">
        <v>4625</v>
      </c>
      <c r="D1710" s="24" t="s">
        <v>160</v>
      </c>
      <c r="E1710" s="41" t="s">
        <v>4705</v>
      </c>
      <c r="F1710" s="41" t="s">
        <v>177</v>
      </c>
      <c r="G1710" s="27" t="s">
        <v>436</v>
      </c>
      <c r="H1710" s="27" t="s">
        <v>65</v>
      </c>
      <c r="I1710" s="24" t="s">
        <v>0</v>
      </c>
      <c r="J1710" s="24" t="s">
        <v>0</v>
      </c>
      <c r="K1710" s="24" t="s">
        <v>52</v>
      </c>
      <c r="L1710" s="24" t="s">
        <v>53</v>
      </c>
      <c r="M1710" s="24" t="s">
        <v>71</v>
      </c>
      <c r="N1710" s="24" t="s">
        <v>88</v>
      </c>
      <c r="O1710" s="24" t="s">
        <v>72</v>
      </c>
      <c r="P1710" s="24" t="s">
        <v>75</v>
      </c>
      <c r="Q1710" s="24" t="s">
        <v>73</v>
      </c>
      <c r="R1710" s="24" t="s">
        <v>74</v>
      </c>
      <c r="S1710" s="24" t="s">
        <v>106</v>
      </c>
      <c r="T1710" s="24" t="s">
        <v>147</v>
      </c>
      <c r="U1710" s="24" t="s">
        <v>192</v>
      </c>
      <c r="V1710" s="24" t="s">
        <v>180</v>
      </c>
      <c r="W1710" s="24" t="s">
        <v>116</v>
      </c>
      <c r="X1710" s="24" t="s">
        <v>79</v>
      </c>
      <c r="Y1710" s="24" t="s">
        <v>1876</v>
      </c>
      <c r="Z1710" s="24" t="s">
        <v>64</v>
      </c>
      <c r="AA1710" s="24" t="s">
        <v>160</v>
      </c>
      <c r="AB1710" s="24" t="s">
        <v>0</v>
      </c>
      <c r="AC1710" s="24" t="s">
        <v>4706</v>
      </c>
    </row>
    <row r="1711" spans="1:29">
      <c r="A1711" s="60" t="s">
        <v>4707</v>
      </c>
      <c r="B1711" s="11" t="str">
        <f>IF(ISNUMBER(SEARCH(E1711,A1711)),A1711,IF(OR(E1711="",E1711=""),A1711,A1711&amp;" - "&amp;E1711))</f>
        <v>THC AKUT 25 RBC - Rainbow Cake</v>
      </c>
      <c r="C1711" s="30" t="s">
        <v>4625</v>
      </c>
      <c r="D1711" s="30" t="s">
        <v>160</v>
      </c>
      <c r="E1711" s="40" t="s">
        <v>4708</v>
      </c>
      <c r="F1711" s="40" t="s">
        <v>86</v>
      </c>
      <c r="G1711" s="34" t="s">
        <v>26</v>
      </c>
      <c r="H1711" s="34">
        <v>1</v>
      </c>
      <c r="I1711" s="30" t="s">
        <v>0</v>
      </c>
      <c r="J1711" s="30" t="s">
        <v>0</v>
      </c>
      <c r="K1711" s="30" t="s">
        <v>52</v>
      </c>
      <c r="L1711" s="30" t="s">
        <v>53</v>
      </c>
      <c r="M1711" s="30" t="s">
        <v>178</v>
      </c>
      <c r="N1711" s="30" t="s">
        <v>54</v>
      </c>
      <c r="O1711" s="30" t="s">
        <v>88</v>
      </c>
      <c r="P1711" s="30" t="s">
        <v>57</v>
      </c>
      <c r="Q1711" s="30" t="s">
        <v>75</v>
      </c>
      <c r="R1711" s="30" t="s">
        <v>58</v>
      </c>
      <c r="S1711" s="30" t="s">
        <v>106</v>
      </c>
      <c r="T1711" s="30" t="s">
        <v>62</v>
      </c>
      <c r="U1711" s="30" t="s">
        <v>91</v>
      </c>
      <c r="V1711" s="30" t="s">
        <v>116</v>
      </c>
      <c r="W1711" s="30" t="s">
        <v>93</v>
      </c>
      <c r="X1711" s="30" t="s">
        <v>77</v>
      </c>
      <c r="Y1711" s="30" t="s">
        <v>391</v>
      </c>
      <c r="Z1711" s="30" t="s">
        <v>64</v>
      </c>
      <c r="AA1711" s="30" t="s">
        <v>160</v>
      </c>
      <c r="AB1711" s="30" t="s">
        <v>0</v>
      </c>
      <c r="AC1711" s="30" t="s">
        <v>4709</v>
      </c>
    </row>
    <row r="1712" spans="1:29">
      <c r="A1712" s="60" t="s">
        <v>4710</v>
      </c>
      <c r="B1712" s="11" t="str">
        <f>IF(ISNUMBER(SEARCH(E1712,A1712)),A1712,IF(OR(E1712="",E1712=""),A1712,A1712&amp;" - "&amp;E1712))</f>
        <v>Mediprocan African Ruby 20/1 - Mimosa</v>
      </c>
      <c r="C1712" s="24" t="s">
        <v>317</v>
      </c>
      <c r="D1712" s="24" t="s">
        <v>320</v>
      </c>
      <c r="E1712" s="41" t="s">
        <v>442</v>
      </c>
      <c r="F1712" s="41" t="s">
        <v>69</v>
      </c>
      <c r="G1712" s="27" t="s">
        <v>460</v>
      </c>
      <c r="H1712" s="27" t="s">
        <v>65</v>
      </c>
      <c r="I1712" s="24" t="s">
        <v>0</v>
      </c>
      <c r="J1712" s="24" t="s">
        <v>0</v>
      </c>
      <c r="K1712" s="24" t="s">
        <v>52</v>
      </c>
      <c r="L1712" s="24" t="s">
        <v>497</v>
      </c>
      <c r="M1712" s="24" t="s">
        <v>88</v>
      </c>
      <c r="N1712" s="24" t="s">
        <v>72</v>
      </c>
      <c r="O1712" s="24" t="s">
        <v>111</v>
      </c>
      <c r="P1712" s="24" t="s">
        <v>75</v>
      </c>
      <c r="Q1712" s="24" t="s">
        <v>58</v>
      </c>
      <c r="R1712" s="24" t="s">
        <v>89</v>
      </c>
      <c r="S1712" s="24" t="s">
        <v>128</v>
      </c>
      <c r="T1712" s="24" t="s">
        <v>106</v>
      </c>
      <c r="U1712" s="24" t="s">
        <v>62</v>
      </c>
      <c r="V1712" s="24" t="s">
        <v>79</v>
      </c>
      <c r="W1712" s="24" t="s">
        <v>173</v>
      </c>
      <c r="X1712" s="24" t="s">
        <v>93</v>
      </c>
      <c r="Y1712" s="24" t="s">
        <v>413</v>
      </c>
      <c r="Z1712" s="24" t="s">
        <v>64</v>
      </c>
      <c r="AA1712" s="24" t="s">
        <v>320</v>
      </c>
      <c r="AB1712" s="24" t="s">
        <v>0</v>
      </c>
      <c r="AC1712" s="24" t="s">
        <v>4711</v>
      </c>
    </row>
    <row r="1713" spans="1:29">
      <c r="A1713" s="60" t="s">
        <v>4712</v>
      </c>
      <c r="B1713" s="11" t="str">
        <f>IF(ISNUMBER(SEARCH(E1713,A1713)),A1713,IF(OR(E1713="",E1713=""),A1713,A1713&amp;" - "&amp;E1713))</f>
        <v>Demecan Oktonia Typ 2 30:01 (Cannabisextrakt)</v>
      </c>
      <c r="C1713" s="30" t="s">
        <v>484</v>
      </c>
      <c r="D1713" s="30" t="s">
        <v>485</v>
      </c>
      <c r="E1713" s="40" t="s">
        <v>0</v>
      </c>
      <c r="F1713" s="40" t="s">
        <v>86</v>
      </c>
      <c r="G1713" s="34" t="s">
        <v>0</v>
      </c>
      <c r="H1713" s="35" t="s">
        <v>0</v>
      </c>
      <c r="I1713" s="30" t="s">
        <v>4057</v>
      </c>
      <c r="J1713" s="30" t="s">
        <v>65</v>
      </c>
      <c r="K1713" s="30" t="s">
        <v>1913</v>
      </c>
      <c r="L1713" s="30" t="s">
        <v>527</v>
      </c>
      <c r="M1713" s="30" t="s">
        <v>55</v>
      </c>
      <c r="N1713" s="30" t="s">
        <v>156</v>
      </c>
      <c r="O1713" s="30" t="s">
        <v>71</v>
      </c>
      <c r="P1713" s="30" t="s">
        <v>0</v>
      </c>
      <c r="Q1713" s="30" t="s">
        <v>0</v>
      </c>
      <c r="R1713" s="30" t="s">
        <v>0</v>
      </c>
      <c r="S1713" s="30" t="s">
        <v>106</v>
      </c>
      <c r="T1713" s="30" t="s">
        <v>123</v>
      </c>
      <c r="U1713" s="30" t="s">
        <v>466</v>
      </c>
      <c r="V1713" s="30" t="s">
        <v>77</v>
      </c>
      <c r="W1713" s="30" t="s">
        <v>79</v>
      </c>
      <c r="X1713" s="30" t="s">
        <v>173</v>
      </c>
      <c r="Y1713" s="30" t="s">
        <v>4713</v>
      </c>
      <c r="Z1713" s="30" t="s">
        <v>1915</v>
      </c>
      <c r="AA1713" s="30" t="s">
        <v>485</v>
      </c>
      <c r="AB1713" s="30" t="s">
        <v>0</v>
      </c>
      <c r="AC1713" s="30" t="s">
        <v>4714</v>
      </c>
    </row>
    <row r="1714" spans="1:29">
      <c r="A1714" s="11" t="s">
        <v>4715</v>
      </c>
      <c r="B1714" s="11" t="str">
        <f>IF(ISNUMBER(SEARCH(E1714,A1714)),A1714,IF(OR(E1714="",E1714=""),A1714,A1714&amp;" - "&amp;E1714))</f>
        <v>CannabiStada 24/1 PIK - Pink Kush</v>
      </c>
      <c r="C1714" s="24" t="s">
        <v>478</v>
      </c>
      <c r="D1714" s="24" t="s">
        <v>481</v>
      </c>
      <c r="E1714" s="41" t="s">
        <v>101</v>
      </c>
      <c r="F1714" s="41" t="s">
        <v>86</v>
      </c>
      <c r="G1714" s="27" t="s">
        <v>448</v>
      </c>
      <c r="H1714" s="27">
        <v>1</v>
      </c>
      <c r="I1714" s="24" t="s">
        <v>0</v>
      </c>
      <c r="J1714" s="24" t="s">
        <v>0</v>
      </c>
      <c r="K1714" s="24" t="s">
        <v>17</v>
      </c>
      <c r="L1714" s="24" t="s">
        <v>53</v>
      </c>
      <c r="M1714" s="24" t="s">
        <v>88</v>
      </c>
      <c r="N1714" s="24" t="s">
        <v>71</v>
      </c>
      <c r="O1714" s="24" t="s">
        <v>121</v>
      </c>
      <c r="P1714" s="24" t="s">
        <v>89</v>
      </c>
      <c r="Q1714" s="24" t="s">
        <v>104</v>
      </c>
      <c r="R1714" s="24" t="s">
        <v>74</v>
      </c>
      <c r="S1714" s="24" t="s">
        <v>106</v>
      </c>
      <c r="T1714" s="24" t="s">
        <v>179</v>
      </c>
      <c r="U1714" s="24" t="s">
        <v>62</v>
      </c>
      <c r="V1714" s="24" t="s">
        <v>107</v>
      </c>
      <c r="W1714" s="24" t="s">
        <v>77</v>
      </c>
      <c r="X1714" s="24" t="s">
        <v>79</v>
      </c>
      <c r="Y1714" s="24" t="s">
        <v>4716</v>
      </c>
      <c r="Z1714" s="24" t="s">
        <v>64</v>
      </c>
      <c r="AA1714" s="24" t="s">
        <v>481</v>
      </c>
      <c r="AB1714" s="24" t="s">
        <v>0</v>
      </c>
      <c r="AC1714" s="24" t="s">
        <v>4717</v>
      </c>
    </row>
    <row r="1715" spans="1:29">
      <c r="A1715" s="11" t="s">
        <v>4718</v>
      </c>
      <c r="B1715" s="11" t="str">
        <f>IF(ISNUMBER(SEARCH(E1715,A1715)),A1715,IF(OR(E1715="",E1715=""),A1715,A1715&amp;" - "&amp;E1715))</f>
        <v>Barrocas PMK 26/1 Premium - Mandarin Kush</v>
      </c>
      <c r="C1715" s="30" t="s">
        <v>996</v>
      </c>
      <c r="D1715" s="30" t="s">
        <v>997</v>
      </c>
      <c r="E1715" s="40" t="s">
        <v>4583</v>
      </c>
      <c r="F1715" s="40" t="s">
        <v>144</v>
      </c>
      <c r="G1715" s="34" t="s">
        <v>4086</v>
      </c>
      <c r="H1715" s="34">
        <v>1</v>
      </c>
      <c r="I1715" s="30" t="s">
        <v>0</v>
      </c>
      <c r="J1715" s="30" t="s">
        <v>0</v>
      </c>
      <c r="K1715" s="30" t="s">
        <v>52</v>
      </c>
      <c r="L1715" s="30" t="s">
        <v>102</v>
      </c>
      <c r="M1715" s="30" t="s">
        <v>88</v>
      </c>
      <c r="N1715" s="30" t="s">
        <v>121</v>
      </c>
      <c r="O1715" s="30" t="s">
        <v>54</v>
      </c>
      <c r="P1715" s="30" t="s">
        <v>58</v>
      </c>
      <c r="Q1715" s="30" t="s">
        <v>75</v>
      </c>
      <c r="R1715" s="30" t="s">
        <v>89</v>
      </c>
      <c r="S1715" s="30" t="s">
        <v>106</v>
      </c>
      <c r="T1715" s="30" t="s">
        <v>62</v>
      </c>
      <c r="U1715" s="30" t="s">
        <v>147</v>
      </c>
      <c r="V1715" s="30" t="s">
        <v>79</v>
      </c>
      <c r="W1715" s="30" t="s">
        <v>173</v>
      </c>
      <c r="X1715" s="30" t="s">
        <v>116</v>
      </c>
      <c r="Y1715" s="30" t="s">
        <v>3098</v>
      </c>
      <c r="Z1715" s="30" t="s">
        <v>64</v>
      </c>
      <c r="AA1715" s="30" t="s">
        <v>997</v>
      </c>
      <c r="AB1715" s="30" t="s">
        <v>0</v>
      </c>
      <c r="AC1715" s="30" t="s">
        <v>4719</v>
      </c>
    </row>
    <row r="1716" spans="1:29">
      <c r="A1716" s="11" t="s">
        <v>4720</v>
      </c>
      <c r="B1716" s="11" t="str">
        <f>IF(ISNUMBER(SEARCH(E1716,A1716)),A1716,IF(OR(E1716="",E1716=""),A1716,A1716&amp;" - "&amp;E1716))</f>
        <v>Huala 25/1 UK CIN - Cinderella Kush</v>
      </c>
      <c r="C1716" s="24" t="s">
        <v>463</v>
      </c>
      <c r="D1716" s="24" t="s">
        <v>468</v>
      </c>
      <c r="E1716" s="41" t="s">
        <v>3042</v>
      </c>
      <c r="F1716" s="41" t="s">
        <v>177</v>
      </c>
      <c r="G1716" s="27" t="s">
        <v>26</v>
      </c>
      <c r="H1716" s="27" t="s">
        <v>65</v>
      </c>
      <c r="I1716" s="24" t="s">
        <v>0</v>
      </c>
      <c r="J1716" s="24" t="s">
        <v>0</v>
      </c>
      <c r="K1716" s="24" t="s">
        <v>52</v>
      </c>
      <c r="L1716" s="24" t="s">
        <v>3043</v>
      </c>
      <c r="M1716" s="24" t="s">
        <v>111</v>
      </c>
      <c r="N1716" s="24" t="s">
        <v>178</v>
      </c>
      <c r="O1716" s="24" t="s">
        <v>88</v>
      </c>
      <c r="P1716" s="24" t="s">
        <v>136</v>
      </c>
      <c r="Q1716" s="24" t="s">
        <v>157</v>
      </c>
      <c r="R1716" s="24" t="s">
        <v>146</v>
      </c>
      <c r="S1716" s="24" t="s">
        <v>128</v>
      </c>
      <c r="T1716" s="24" t="s">
        <v>61</v>
      </c>
      <c r="U1716" s="24" t="s">
        <v>62</v>
      </c>
      <c r="V1716" s="24" t="s">
        <v>116</v>
      </c>
      <c r="W1716" s="24" t="s">
        <v>93</v>
      </c>
      <c r="X1716" s="24" t="s">
        <v>107</v>
      </c>
      <c r="Y1716" s="24" t="s">
        <v>226</v>
      </c>
      <c r="Z1716" s="24" t="s">
        <v>64</v>
      </c>
      <c r="AA1716" s="24" t="s">
        <v>468</v>
      </c>
      <c r="AB1716" s="24" t="s">
        <v>0</v>
      </c>
      <c r="AC1716" s="24" t="s">
        <v>4721</v>
      </c>
    </row>
    <row r="1717" spans="1:29">
      <c r="A1717" s="11" t="s">
        <v>4722</v>
      </c>
      <c r="B1717" s="11" t="str">
        <f>IF(ISNUMBER(SEARCH(E1717,A1717)),A1717,IF(OR(E1717="",E1717=""),A1717,A1717&amp;" - "&amp;E1717))</f>
        <v>Remexian 24/1 CBM FBC - Frozen Black Cherry</v>
      </c>
      <c r="C1717" s="30" t="s">
        <v>83</v>
      </c>
      <c r="D1717" s="30" t="s">
        <v>95</v>
      </c>
      <c r="E1717" s="32" t="s">
        <v>4723</v>
      </c>
      <c r="F1717" s="40" t="s">
        <v>177</v>
      </c>
      <c r="G1717" s="34" t="s">
        <v>448</v>
      </c>
      <c r="H1717" s="34" t="s">
        <v>65</v>
      </c>
      <c r="I1717" s="30" t="s">
        <v>0</v>
      </c>
      <c r="J1717" s="30" t="s">
        <v>0</v>
      </c>
      <c r="K1717" s="30" t="s">
        <v>52</v>
      </c>
      <c r="L1717" s="30" t="s">
        <v>53</v>
      </c>
      <c r="M1717" s="30" t="s">
        <v>54</v>
      </c>
      <c r="N1717" s="30" t="s">
        <v>72</v>
      </c>
      <c r="O1717" s="30" t="s">
        <v>103</v>
      </c>
      <c r="P1717" s="30" t="s">
        <v>58</v>
      </c>
      <c r="Q1717" s="30" t="s">
        <v>89</v>
      </c>
      <c r="R1717" s="30" t="s">
        <v>0</v>
      </c>
      <c r="S1717" s="30" t="s">
        <v>106</v>
      </c>
      <c r="T1717" s="30" t="s">
        <v>62</v>
      </c>
      <c r="U1717" s="30" t="s">
        <v>147</v>
      </c>
      <c r="V1717" s="30" t="s">
        <v>93</v>
      </c>
      <c r="W1717" s="30" t="s">
        <v>116</v>
      </c>
      <c r="X1717" s="30" t="s">
        <v>173</v>
      </c>
      <c r="Y1717" s="30" t="s">
        <v>235</v>
      </c>
      <c r="Z1717" s="30" t="s">
        <v>64</v>
      </c>
      <c r="AA1717" s="30" t="s">
        <v>95</v>
      </c>
      <c r="AB1717" s="30" t="s">
        <v>4724</v>
      </c>
      <c r="AC1717" s="30" t="s">
        <v>4725</v>
      </c>
    </row>
    <row r="1718" spans="1:29">
      <c r="A1718" s="11" t="s">
        <v>4726</v>
      </c>
      <c r="B1718" s="11" t="str">
        <f>IF(ISNUMBER(SEARCH(E1718,A1718)),A1718,IF(OR(E1718="",E1718=""),A1718,A1718&amp;" - "&amp;E1718))</f>
        <v>Eufloria 27/1 BTR - Black Triangle</v>
      </c>
      <c r="C1718" s="24" t="s">
        <v>83</v>
      </c>
      <c r="D1718" s="24" t="s">
        <v>95</v>
      </c>
      <c r="E1718" s="41" t="s">
        <v>688</v>
      </c>
      <c r="F1718" s="41" t="s">
        <v>120</v>
      </c>
      <c r="G1718" s="27" t="s">
        <v>33</v>
      </c>
      <c r="H1718" s="27" t="s">
        <v>65</v>
      </c>
      <c r="I1718" s="24" t="s">
        <v>0</v>
      </c>
      <c r="J1718" s="24" t="s">
        <v>0</v>
      </c>
      <c r="K1718" s="24" t="s">
        <v>52</v>
      </c>
      <c r="L1718" s="24" t="s">
        <v>53</v>
      </c>
      <c r="M1718" s="24" t="s">
        <v>121</v>
      </c>
      <c r="N1718" s="24" t="s">
        <v>88</v>
      </c>
      <c r="O1718" s="24" t="s">
        <v>72</v>
      </c>
      <c r="P1718" s="24" t="s">
        <v>146</v>
      </c>
      <c r="Q1718" s="24" t="s">
        <v>74</v>
      </c>
      <c r="R1718" s="24" t="s">
        <v>59</v>
      </c>
      <c r="S1718" s="24" t="s">
        <v>128</v>
      </c>
      <c r="T1718" s="24" t="s">
        <v>466</v>
      </c>
      <c r="U1718" s="24" t="s">
        <v>493</v>
      </c>
      <c r="V1718" s="24" t="s">
        <v>173</v>
      </c>
      <c r="W1718" s="24" t="s">
        <v>77</v>
      </c>
      <c r="X1718" s="24" t="s">
        <v>79</v>
      </c>
      <c r="Y1718" s="24" t="s">
        <v>240</v>
      </c>
      <c r="Z1718" s="24" t="s">
        <v>64</v>
      </c>
      <c r="AA1718" s="24" t="s">
        <v>95</v>
      </c>
      <c r="AB1718" s="24" t="s">
        <v>4634</v>
      </c>
      <c r="AC1718" s="24" t="s">
        <v>4727</v>
      </c>
    </row>
    <row r="1719" spans="1:29">
      <c r="A1719" s="11" t="s">
        <v>4728</v>
      </c>
      <c r="B1719" s="11" t="str">
        <f>IF(ISNUMBER(SEARCH(E1719,A1719)),A1719,IF(OR(E1719="",E1719=""),A1719,A1719&amp;" - "&amp;E1719))</f>
        <v>MGF RGP/26 - Rose Gold Pave</v>
      </c>
      <c r="C1719" s="30" t="s">
        <v>3108</v>
      </c>
      <c r="D1719" s="30" t="s">
        <v>3109</v>
      </c>
      <c r="E1719" s="40" t="s">
        <v>3645</v>
      </c>
      <c r="F1719" s="40" t="s">
        <v>86</v>
      </c>
      <c r="G1719" s="34" t="s">
        <v>4086</v>
      </c>
      <c r="H1719" s="34">
        <v>1</v>
      </c>
      <c r="I1719" s="30" t="s">
        <v>0</v>
      </c>
      <c r="J1719" s="30" t="s">
        <v>0</v>
      </c>
      <c r="K1719" s="30" t="s">
        <v>52</v>
      </c>
      <c r="L1719" s="30" t="s">
        <v>53</v>
      </c>
      <c r="M1719" s="30" t="s">
        <v>178</v>
      </c>
      <c r="N1719" s="30" t="s">
        <v>71</v>
      </c>
      <c r="O1719" s="30" t="s">
        <v>54</v>
      </c>
      <c r="P1719" s="30" t="s">
        <v>112</v>
      </c>
      <c r="Q1719" s="30" t="s">
        <v>136</v>
      </c>
      <c r="R1719" s="30" t="s">
        <v>58</v>
      </c>
      <c r="S1719" s="30" t="s">
        <v>106</v>
      </c>
      <c r="T1719" s="30" t="s">
        <v>62</v>
      </c>
      <c r="U1719" s="30" t="s">
        <v>147</v>
      </c>
      <c r="V1719" s="30" t="s">
        <v>116</v>
      </c>
      <c r="W1719" s="30" t="s">
        <v>93</v>
      </c>
      <c r="X1719" s="30" t="s">
        <v>79</v>
      </c>
      <c r="Y1719" s="30" t="s">
        <v>331</v>
      </c>
      <c r="Z1719" s="30" t="s">
        <v>64</v>
      </c>
      <c r="AA1719" s="30" t="s">
        <v>3109</v>
      </c>
      <c r="AB1719" s="30" t="s">
        <v>0</v>
      </c>
      <c r="AC1719" s="30" t="s">
        <v>4729</v>
      </c>
    </row>
    <row r="1720" spans="1:29">
      <c r="A1720" s="11" t="s">
        <v>4730</v>
      </c>
      <c r="B1720" s="11" t="str">
        <f>IF(ISNUMBER(SEARCH(E1720,A1720)),A1720,IF(OR(E1720="",E1720=""),A1720,A1720&amp;" - "&amp;E1720))</f>
        <v>All Nations Pretty Smalls MD 21/1 - Mac Daddy</v>
      </c>
      <c r="C1720" s="24" t="s">
        <v>564</v>
      </c>
      <c r="D1720" s="24" t="s">
        <v>565</v>
      </c>
      <c r="E1720" s="41" t="s">
        <v>1467</v>
      </c>
      <c r="F1720" s="41" t="s">
        <v>177</v>
      </c>
      <c r="G1720" s="27" t="s">
        <v>452</v>
      </c>
      <c r="H1720" s="27">
        <v>1</v>
      </c>
      <c r="I1720" s="24" t="s">
        <v>0</v>
      </c>
      <c r="J1720" s="24" t="s">
        <v>0</v>
      </c>
      <c r="K1720" s="24" t="s">
        <v>52</v>
      </c>
      <c r="L1720" s="24" t="s">
        <v>53</v>
      </c>
      <c r="M1720" s="24" t="s">
        <v>111</v>
      </c>
      <c r="N1720" s="24" t="s">
        <v>72</v>
      </c>
      <c r="O1720" s="24" t="s">
        <v>54</v>
      </c>
      <c r="P1720" s="24" t="s">
        <v>73</v>
      </c>
      <c r="Q1720" s="24" t="s">
        <v>58</v>
      </c>
      <c r="R1720" s="24" t="s">
        <v>74</v>
      </c>
      <c r="S1720" s="24" t="s">
        <v>106</v>
      </c>
      <c r="T1720" s="24" t="s">
        <v>91</v>
      </c>
      <c r="U1720" s="24" t="s">
        <v>147</v>
      </c>
      <c r="V1720" s="24" t="s">
        <v>77</v>
      </c>
      <c r="W1720" s="24" t="s">
        <v>116</v>
      </c>
      <c r="X1720" s="24" t="s">
        <v>107</v>
      </c>
      <c r="Y1720" s="24" t="s">
        <v>4731</v>
      </c>
      <c r="Z1720" s="24" t="s">
        <v>64</v>
      </c>
      <c r="AA1720" s="24" t="s">
        <v>565</v>
      </c>
      <c r="AB1720" s="24" t="s">
        <v>1232</v>
      </c>
      <c r="AC1720" s="24" t="s">
        <v>4732</v>
      </c>
    </row>
    <row r="1721" spans="1:29">
      <c r="A1721" s="11" t="s">
        <v>4733</v>
      </c>
      <c r="B1721" s="11" t="str">
        <f>IF(ISNUMBER(SEARCH(E1721,A1721)),A1721,IF(OR(E1721="",E1721=""),A1721,A1721&amp;" - "&amp;E1721))</f>
        <v>All Nations Pretty Smalls LT 21/1 - Lemon Tartz</v>
      </c>
      <c r="C1721" s="30" t="s">
        <v>564</v>
      </c>
      <c r="D1721" s="30" t="s">
        <v>565</v>
      </c>
      <c r="E1721" s="40" t="s">
        <v>1235</v>
      </c>
      <c r="F1721" s="40" t="s">
        <v>177</v>
      </c>
      <c r="G1721" s="34" t="s">
        <v>452</v>
      </c>
      <c r="H1721" s="34">
        <v>1</v>
      </c>
      <c r="I1721" s="30" t="s">
        <v>0</v>
      </c>
      <c r="J1721" s="30" t="s">
        <v>0</v>
      </c>
      <c r="K1721" s="30" t="s">
        <v>52</v>
      </c>
      <c r="L1721" s="30" t="s">
        <v>102</v>
      </c>
      <c r="M1721" s="30" t="s">
        <v>54</v>
      </c>
      <c r="N1721" s="30" t="s">
        <v>111</v>
      </c>
      <c r="O1721" s="30" t="s">
        <v>72</v>
      </c>
      <c r="P1721" s="30" t="s">
        <v>89</v>
      </c>
      <c r="Q1721" s="30" t="s">
        <v>73</v>
      </c>
      <c r="R1721" s="30" t="s">
        <v>74</v>
      </c>
      <c r="S1721" s="30" t="s">
        <v>106</v>
      </c>
      <c r="T1721" s="30" t="s">
        <v>62</v>
      </c>
      <c r="U1721" s="30" t="s">
        <v>123</v>
      </c>
      <c r="V1721" s="30" t="s">
        <v>77</v>
      </c>
      <c r="W1721" s="30" t="s">
        <v>180</v>
      </c>
      <c r="X1721" s="30" t="s">
        <v>79</v>
      </c>
      <c r="Y1721" s="30" t="s">
        <v>4731</v>
      </c>
      <c r="Z1721" s="30" t="s">
        <v>64</v>
      </c>
      <c r="AA1721" s="30" t="s">
        <v>565</v>
      </c>
      <c r="AB1721" s="30" t="s">
        <v>1232</v>
      </c>
      <c r="AC1721" s="30" t="s">
        <v>4734</v>
      </c>
    </row>
    <row r="1722" spans="1:29">
      <c r="A1722" s="11" t="s">
        <v>4735</v>
      </c>
      <c r="B1722" s="11" t="s">
        <v>4736</v>
      </c>
      <c r="C1722" s="24"/>
      <c r="D1722" s="25"/>
      <c r="E1722" s="41"/>
      <c r="F1722" s="41"/>
      <c r="G1722" s="27"/>
      <c r="H1722" s="28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 t="s">
        <v>64</v>
      </c>
      <c r="AA1722" s="24"/>
      <c r="AB1722" s="24"/>
      <c r="AC1722" s="24"/>
    </row>
    <row r="1723" spans="1:29">
      <c r="A1723" s="11" t="s">
        <v>4737</v>
      </c>
      <c r="B1723" s="11" t="str">
        <f>IF(ISNUMBER(SEARCH(E1723,A1723)),A1723,IF(OR(E1723="",E1723=""),A1723,A1723&amp;" - "&amp;E1723))</f>
        <v>Demecan MC Epic Drop 29/1 - Lava Cake</v>
      </c>
      <c r="C1723" s="30" t="s">
        <v>484</v>
      </c>
      <c r="D1723" s="30" t="s">
        <v>485</v>
      </c>
      <c r="E1723" s="40" t="s">
        <v>319</v>
      </c>
      <c r="F1723" s="40" t="s">
        <v>177</v>
      </c>
      <c r="G1723" s="34" t="s">
        <v>4057</v>
      </c>
      <c r="H1723" s="34">
        <v>1</v>
      </c>
      <c r="I1723" s="30" t="s">
        <v>0</v>
      </c>
      <c r="J1723" s="30" t="s">
        <v>0</v>
      </c>
      <c r="K1723" s="30" t="s">
        <v>52</v>
      </c>
      <c r="L1723" s="30" t="s">
        <v>53</v>
      </c>
      <c r="M1723" s="30" t="s">
        <v>72</v>
      </c>
      <c r="N1723" s="30" t="s">
        <v>0</v>
      </c>
      <c r="O1723" s="30" t="s">
        <v>0</v>
      </c>
      <c r="P1723" s="30" t="s">
        <v>112</v>
      </c>
      <c r="Q1723" s="30" t="s">
        <v>57</v>
      </c>
      <c r="R1723" s="30" t="s">
        <v>89</v>
      </c>
      <c r="S1723" s="30" t="s">
        <v>106</v>
      </c>
      <c r="T1723" s="30" t="s">
        <v>62</v>
      </c>
      <c r="U1723" s="30" t="s">
        <v>123</v>
      </c>
      <c r="V1723" s="30" t="s">
        <v>173</v>
      </c>
      <c r="W1723" s="30" t="s">
        <v>77</v>
      </c>
      <c r="X1723" s="30" t="s">
        <v>107</v>
      </c>
      <c r="Y1723" s="30" t="s">
        <v>335</v>
      </c>
      <c r="Z1723" s="30" t="s">
        <v>64</v>
      </c>
      <c r="AA1723" s="30" t="s">
        <v>485</v>
      </c>
      <c r="AB1723" s="30" t="s">
        <v>0</v>
      </c>
      <c r="AC1723" s="30" t="s">
        <v>4738</v>
      </c>
    </row>
    <row r="1724" spans="1:29">
      <c r="A1724" s="11" t="s">
        <v>4739</v>
      </c>
      <c r="B1724" s="11" t="str">
        <f>IF(ISNUMBER(SEARCH(E1724,A1724)),A1724,IF(OR(E1724="",E1724=""),A1724,A1724&amp;" - "&amp;E1724))</f>
        <v>Cannamedical Indica ultra BC - Grape Pie</v>
      </c>
      <c r="C1724" s="24" t="s">
        <v>48</v>
      </c>
      <c r="D1724" s="24" t="s">
        <v>49</v>
      </c>
      <c r="E1724" s="26" t="s">
        <v>4740</v>
      </c>
      <c r="F1724" s="41" t="s">
        <v>177</v>
      </c>
      <c r="G1724" s="27" t="s">
        <v>4164</v>
      </c>
      <c r="H1724" s="27">
        <v>1</v>
      </c>
      <c r="I1724" s="24" t="s">
        <v>0</v>
      </c>
      <c r="J1724" s="24" t="s">
        <v>0</v>
      </c>
      <c r="K1724" s="24" t="s">
        <v>52</v>
      </c>
      <c r="L1724" s="24" t="s">
        <v>497</v>
      </c>
      <c r="M1724" s="24" t="s">
        <v>72</v>
      </c>
      <c r="N1724" s="24" t="s">
        <v>54</v>
      </c>
      <c r="O1724" s="24" t="s">
        <v>71</v>
      </c>
      <c r="P1724" s="24" t="s">
        <v>59</v>
      </c>
      <c r="Q1724" s="24" t="s">
        <v>74</v>
      </c>
      <c r="R1724" s="24" t="s">
        <v>89</v>
      </c>
      <c r="S1724" s="24" t="s">
        <v>106</v>
      </c>
      <c r="T1724" s="24" t="s">
        <v>62</v>
      </c>
      <c r="U1724" s="24" t="s">
        <v>147</v>
      </c>
      <c r="V1724" s="24" t="s">
        <v>77</v>
      </c>
      <c r="W1724" s="24" t="s">
        <v>173</v>
      </c>
      <c r="X1724" s="24" t="s">
        <v>79</v>
      </c>
      <c r="Y1724" s="24" t="s">
        <v>293</v>
      </c>
      <c r="Z1724" s="24" t="s">
        <v>64</v>
      </c>
      <c r="AA1724" s="24" t="s">
        <v>49</v>
      </c>
      <c r="AB1724" s="24" t="s">
        <v>0</v>
      </c>
      <c r="AC1724" s="24" t="s">
        <v>4741</v>
      </c>
    </row>
    <row r="1725" spans="1:29">
      <c r="A1725" s="11" t="s">
        <v>4742</v>
      </c>
      <c r="B1725" s="11" t="str">
        <f>IF(ISNUMBER(SEARCH(E1725,A1725)),A1725,IF(OR(E1725="",E1725=""),A1725,A1725&amp;" - "&amp;E1725))</f>
        <v>Demecan MC Low Drop - Acapulco Gold</v>
      </c>
      <c r="C1725" s="30" t="s">
        <v>484</v>
      </c>
      <c r="D1725" s="30" t="s">
        <v>485</v>
      </c>
      <c r="E1725" s="40" t="s">
        <v>4588</v>
      </c>
      <c r="F1725" s="40" t="s">
        <v>86</v>
      </c>
      <c r="G1725" s="34" t="s">
        <v>4038</v>
      </c>
      <c r="H1725" s="34">
        <v>1</v>
      </c>
      <c r="I1725" s="30" t="s">
        <v>0</v>
      </c>
      <c r="J1725" s="30" t="s">
        <v>0</v>
      </c>
      <c r="K1725" s="30" t="s">
        <v>17</v>
      </c>
      <c r="L1725" s="30" t="s">
        <v>53</v>
      </c>
      <c r="M1725" s="30" t="s">
        <v>178</v>
      </c>
      <c r="N1725" s="30" t="s">
        <v>71</v>
      </c>
      <c r="O1725" s="30" t="s">
        <v>55</v>
      </c>
      <c r="P1725" s="30" t="s">
        <v>74</v>
      </c>
      <c r="Q1725" s="30" t="s">
        <v>59</v>
      </c>
      <c r="R1725" s="30" t="s">
        <v>75</v>
      </c>
      <c r="S1725" s="30" t="s">
        <v>128</v>
      </c>
      <c r="T1725" s="30" t="s">
        <v>62</v>
      </c>
      <c r="U1725" s="30" t="s">
        <v>105</v>
      </c>
      <c r="V1725" s="30" t="s">
        <v>173</v>
      </c>
      <c r="W1725" s="30" t="s">
        <v>79</v>
      </c>
      <c r="X1725" s="30" t="s">
        <v>138</v>
      </c>
      <c r="Y1725" s="30" t="s">
        <v>877</v>
      </c>
      <c r="Z1725" s="30" t="s">
        <v>64</v>
      </c>
      <c r="AA1725" s="30" t="s">
        <v>485</v>
      </c>
      <c r="AB1725" s="30" t="s">
        <v>0</v>
      </c>
      <c r="AC1725" s="30" t="s">
        <v>4743</v>
      </c>
    </row>
    <row r="1726" spans="1:29">
      <c r="A1726" s="11" t="s">
        <v>4744</v>
      </c>
      <c r="B1726" s="11" t="str">
        <f>IF(ISNUMBER(SEARCH(E1726,A1726)),A1726,IF(OR(E1726="",E1726=""),A1726,A1726&amp;" - "&amp;E1726))</f>
        <v>Remexian 24/1 CRX OOG - Oasis OG</v>
      </c>
      <c r="C1726" s="24" t="s">
        <v>83</v>
      </c>
      <c r="D1726" s="24" t="s">
        <v>95</v>
      </c>
      <c r="E1726" s="41" t="s">
        <v>1187</v>
      </c>
      <c r="F1726" s="41" t="s">
        <v>86</v>
      </c>
      <c r="G1726" s="27" t="s">
        <v>448</v>
      </c>
      <c r="H1726" s="27" t="s">
        <v>65</v>
      </c>
      <c r="I1726" s="24" t="s">
        <v>0</v>
      </c>
      <c r="J1726" s="24" t="s">
        <v>0</v>
      </c>
      <c r="K1726" s="24" t="s">
        <v>52</v>
      </c>
      <c r="L1726" s="24" t="s">
        <v>53</v>
      </c>
      <c r="M1726" s="24" t="s">
        <v>72</v>
      </c>
      <c r="N1726" s="24" t="s">
        <v>0</v>
      </c>
      <c r="O1726" s="24" t="s">
        <v>0</v>
      </c>
      <c r="P1726" s="24" t="s">
        <v>146</v>
      </c>
      <c r="Q1726" s="24" t="s">
        <v>59</v>
      </c>
      <c r="R1726" s="24" t="s">
        <v>74</v>
      </c>
      <c r="S1726" s="24" t="s">
        <v>106</v>
      </c>
      <c r="T1726" s="24" t="s">
        <v>62</v>
      </c>
      <c r="U1726" s="24" t="s">
        <v>493</v>
      </c>
      <c r="V1726" s="24" t="s">
        <v>107</v>
      </c>
      <c r="W1726" s="24" t="s">
        <v>93</v>
      </c>
      <c r="X1726" s="24" t="s">
        <v>0</v>
      </c>
      <c r="Y1726" s="24" t="s">
        <v>4633</v>
      </c>
      <c r="Z1726" s="24" t="s">
        <v>64</v>
      </c>
      <c r="AA1726" s="24" t="s">
        <v>95</v>
      </c>
      <c r="AB1726" s="24" t="s">
        <v>0</v>
      </c>
      <c r="AC1726" s="24" t="s">
        <v>4745</v>
      </c>
    </row>
    <row r="1727" spans="1:29">
      <c r="A1727" s="11" t="s">
        <v>4746</v>
      </c>
      <c r="B1727" s="11" t="str">
        <f>IF(ISNUMBER(SEARCH(E1727,A1727)),A1727,IF(OR(E1727="",E1727=""),A1727,A1727&amp;" - "&amp;E1727))</f>
        <v>aleph silver 23/1 - Purple Mac</v>
      </c>
      <c r="C1727" s="30" t="s">
        <v>725</v>
      </c>
      <c r="D1727" s="30" t="s">
        <v>726</v>
      </c>
      <c r="E1727" s="32" t="s">
        <v>4747</v>
      </c>
      <c r="F1727" s="40" t="s">
        <v>86</v>
      </c>
      <c r="G1727" s="34" t="s">
        <v>436</v>
      </c>
      <c r="H1727" s="34" t="s">
        <v>65</v>
      </c>
      <c r="I1727" s="30" t="s">
        <v>0</v>
      </c>
      <c r="J1727" s="30" t="s">
        <v>0</v>
      </c>
      <c r="K1727" s="30" t="s">
        <v>52</v>
      </c>
      <c r="L1727" s="30" t="s">
        <v>185</v>
      </c>
      <c r="M1727" s="30" t="s">
        <v>88</v>
      </c>
      <c r="N1727" s="30" t="s">
        <v>54</v>
      </c>
      <c r="O1727" s="30" t="s">
        <v>72</v>
      </c>
      <c r="P1727" s="30" t="s">
        <v>74</v>
      </c>
      <c r="Q1727" s="30" t="s">
        <v>157</v>
      </c>
      <c r="R1727" s="30" t="s">
        <v>75</v>
      </c>
      <c r="S1727" s="30" t="s">
        <v>106</v>
      </c>
      <c r="T1727" s="30" t="s">
        <v>62</v>
      </c>
      <c r="U1727" s="30" t="s">
        <v>147</v>
      </c>
      <c r="V1727" s="30" t="s">
        <v>79</v>
      </c>
      <c r="W1727" s="30" t="s">
        <v>93</v>
      </c>
      <c r="X1727" s="30" t="s">
        <v>107</v>
      </c>
      <c r="Y1727" s="30" t="s">
        <v>908</v>
      </c>
      <c r="Z1727" s="30" t="s">
        <v>64</v>
      </c>
      <c r="AA1727" s="30" t="s">
        <v>726</v>
      </c>
      <c r="AB1727" s="30" t="s">
        <v>0</v>
      </c>
      <c r="AC1727" s="30" t="s">
        <v>4748</v>
      </c>
    </row>
    <row r="1728" spans="1:29">
      <c r="A1728" s="11" t="s">
        <v>4749</v>
      </c>
      <c r="B1728" s="11" t="str">
        <f>IF(ISNUMBER(SEARCH(E1728,A1728)),A1728,IF(OR(E1728="",E1728=""),A1728,A1728&amp;" - "&amp;E1728))</f>
        <v>Mother 26 CTBX - Chatterbox</v>
      </c>
      <c r="C1728" s="24" t="s">
        <v>911</v>
      </c>
      <c r="D1728" s="24" t="s">
        <v>912</v>
      </c>
      <c r="E1728" s="41" t="s">
        <v>1033</v>
      </c>
      <c r="F1728" s="41" t="s">
        <v>120</v>
      </c>
      <c r="G1728" s="27" t="s">
        <v>4086</v>
      </c>
      <c r="H1728" s="27">
        <v>1</v>
      </c>
      <c r="I1728" s="24" t="s">
        <v>0</v>
      </c>
      <c r="J1728" s="24" t="s">
        <v>0</v>
      </c>
      <c r="K1728" s="24" t="s">
        <v>52</v>
      </c>
      <c r="L1728" s="24" t="s">
        <v>53</v>
      </c>
      <c r="M1728" s="24" t="s">
        <v>72</v>
      </c>
      <c r="N1728" s="24" t="s">
        <v>178</v>
      </c>
      <c r="O1728" s="24" t="s">
        <v>0</v>
      </c>
      <c r="P1728" s="24" t="s">
        <v>75</v>
      </c>
      <c r="Q1728" s="24" t="s">
        <v>73</v>
      </c>
      <c r="R1728" s="24" t="s">
        <v>0</v>
      </c>
      <c r="S1728" s="24" t="s">
        <v>128</v>
      </c>
      <c r="T1728" s="24" t="s">
        <v>106</v>
      </c>
      <c r="U1728" s="24" t="s">
        <v>62</v>
      </c>
      <c r="V1728" s="24" t="s">
        <v>77</v>
      </c>
      <c r="W1728" s="24" t="s">
        <v>79</v>
      </c>
      <c r="X1728" s="24" t="s">
        <v>0</v>
      </c>
      <c r="Y1728" s="24" t="s">
        <v>268</v>
      </c>
      <c r="Z1728" s="24" t="s">
        <v>64</v>
      </c>
      <c r="AA1728" s="24" t="s">
        <v>912</v>
      </c>
      <c r="AB1728" s="24" t="s">
        <v>663</v>
      </c>
      <c r="AC1728" s="24" t="s">
        <v>4750</v>
      </c>
    </row>
    <row r="1729" spans="1:29">
      <c r="A1729" s="11" t="s">
        <v>4751</v>
      </c>
      <c r="B1729" s="11" t="str">
        <f>IF(ISNUMBER(SEARCH(E1729,A1729)),A1729,IF(OR(E1729="",E1729=""),A1729,A1729&amp;" - "&amp;E1729))</f>
        <v>Remexian 21/1 IRC EDG - End Game</v>
      </c>
      <c r="C1729" s="30" t="s">
        <v>83</v>
      </c>
      <c r="D1729" s="30" t="s">
        <v>95</v>
      </c>
      <c r="E1729" s="32" t="s">
        <v>4752</v>
      </c>
      <c r="F1729" s="40" t="s">
        <v>86</v>
      </c>
      <c r="G1729" s="34" t="s">
        <v>452</v>
      </c>
      <c r="H1729" s="34">
        <v>1</v>
      </c>
      <c r="I1729" s="30" t="s">
        <v>0</v>
      </c>
      <c r="J1729" s="30" t="s">
        <v>0</v>
      </c>
      <c r="K1729" s="30" t="s">
        <v>52</v>
      </c>
      <c r="L1729" s="30" t="s">
        <v>53</v>
      </c>
      <c r="M1729" s="30" t="s">
        <v>54</v>
      </c>
      <c r="N1729" s="30" t="s">
        <v>88</v>
      </c>
      <c r="O1729" s="30" t="s">
        <v>0</v>
      </c>
      <c r="P1729" s="30" t="s">
        <v>104</v>
      </c>
      <c r="Q1729" s="30" t="s">
        <v>58</v>
      </c>
      <c r="R1729" s="30" t="s">
        <v>59</v>
      </c>
      <c r="S1729" s="30" t="s">
        <v>106</v>
      </c>
      <c r="T1729" s="30" t="s">
        <v>62</v>
      </c>
      <c r="U1729" s="30" t="s">
        <v>0</v>
      </c>
      <c r="V1729" s="30" t="s">
        <v>116</v>
      </c>
      <c r="W1729" s="30" t="s">
        <v>79</v>
      </c>
      <c r="X1729" s="30" t="s">
        <v>93</v>
      </c>
      <c r="Y1729" s="30" t="s">
        <v>413</v>
      </c>
      <c r="Z1729" s="30" t="s">
        <v>64</v>
      </c>
      <c r="AA1729" s="30" t="s">
        <v>95</v>
      </c>
      <c r="AB1729" s="30" t="s">
        <v>0</v>
      </c>
      <c r="AC1729" s="30" t="s">
        <v>4753</v>
      </c>
    </row>
    <row r="1730" spans="1:29">
      <c r="A1730" s="11" t="s">
        <v>4754</v>
      </c>
      <c r="B1730" s="11" t="str">
        <f>IF(ISNUMBER(SEARCH(E1730,A1730)),A1730,IF(OR(E1730="",E1730=""),A1730,A1730&amp;" - "&amp;E1730))</f>
        <v>Bathera 26/1 FA - Facetz</v>
      </c>
      <c r="C1730" s="24" t="s">
        <v>4625</v>
      </c>
      <c r="D1730" s="24" t="s">
        <v>160</v>
      </c>
      <c r="E1730" s="41" t="s">
        <v>1148</v>
      </c>
      <c r="F1730" s="41" t="s">
        <v>120</v>
      </c>
      <c r="G1730" s="27" t="s">
        <v>4086</v>
      </c>
      <c r="H1730" s="27" t="s">
        <v>65</v>
      </c>
      <c r="I1730" s="24" t="s">
        <v>0</v>
      </c>
      <c r="J1730" s="24" t="s">
        <v>0</v>
      </c>
      <c r="K1730" s="24" t="s">
        <v>52</v>
      </c>
      <c r="L1730" s="24" t="s">
        <v>102</v>
      </c>
      <c r="M1730" s="24" t="s">
        <v>72</v>
      </c>
      <c r="N1730" s="24" t="s">
        <v>178</v>
      </c>
      <c r="O1730" s="24" t="s">
        <v>54</v>
      </c>
      <c r="P1730" s="24" t="s">
        <v>59</v>
      </c>
      <c r="Q1730" s="24" t="s">
        <v>74</v>
      </c>
      <c r="R1730" s="24" t="s">
        <v>58</v>
      </c>
      <c r="S1730" s="24" t="s">
        <v>61</v>
      </c>
      <c r="T1730" s="24" t="s">
        <v>76</v>
      </c>
      <c r="U1730" s="24" t="s">
        <v>62</v>
      </c>
      <c r="V1730" s="24" t="s">
        <v>77</v>
      </c>
      <c r="W1730" s="24" t="s">
        <v>79</v>
      </c>
      <c r="X1730" s="24" t="s">
        <v>107</v>
      </c>
      <c r="Y1730" s="24" t="s">
        <v>130</v>
      </c>
      <c r="Z1730" s="24" t="s">
        <v>64</v>
      </c>
      <c r="AA1730" s="24" t="s">
        <v>160</v>
      </c>
      <c r="AB1730" s="24" t="s">
        <v>160</v>
      </c>
      <c r="AC1730" s="24" t="s">
        <v>4755</v>
      </c>
    </row>
    <row r="1731" spans="1:29">
      <c r="A1731" s="11" t="s">
        <v>4756</v>
      </c>
      <c r="B1731" s="11" t="str">
        <f>IF(ISNUMBER(SEARCH(E1731,A1731)),A1731,IF(OR(E1731="",E1731=""),A1731,A1731&amp;" - "&amp;E1731))</f>
        <v>aleph green 24/1 - Doce da Casa</v>
      </c>
      <c r="C1731" s="30" t="s">
        <v>725</v>
      </c>
      <c r="D1731" s="30" t="s">
        <v>726</v>
      </c>
      <c r="E1731" s="32" t="s">
        <v>4757</v>
      </c>
      <c r="F1731" s="40" t="s">
        <v>177</v>
      </c>
      <c r="G1731" s="34" t="s">
        <v>448</v>
      </c>
      <c r="H1731" s="34" t="s">
        <v>65</v>
      </c>
      <c r="I1731" s="30" t="s">
        <v>0</v>
      </c>
      <c r="J1731" s="30" t="s">
        <v>0</v>
      </c>
      <c r="K1731" s="30" t="s">
        <v>52</v>
      </c>
      <c r="L1731" s="30" t="s">
        <v>102</v>
      </c>
      <c r="M1731" s="30" t="s">
        <v>0</v>
      </c>
      <c r="N1731" s="30" t="s">
        <v>0</v>
      </c>
      <c r="O1731" s="30" t="s">
        <v>0</v>
      </c>
      <c r="P1731" s="30" t="s">
        <v>113</v>
      </c>
      <c r="Q1731" s="30" t="s">
        <v>89</v>
      </c>
      <c r="R1731" s="30" t="s">
        <v>74</v>
      </c>
      <c r="S1731" s="30" t="s">
        <v>106</v>
      </c>
      <c r="T1731" s="30" t="s">
        <v>62</v>
      </c>
      <c r="U1731" s="30" t="s">
        <v>123</v>
      </c>
      <c r="V1731" s="30" t="s">
        <v>93</v>
      </c>
      <c r="W1731" s="30" t="s">
        <v>107</v>
      </c>
      <c r="X1731" s="30" t="s">
        <v>116</v>
      </c>
      <c r="Y1731" s="30" t="s">
        <v>117</v>
      </c>
      <c r="Z1731" s="30" t="s">
        <v>64</v>
      </c>
      <c r="AA1731" s="30" t="s">
        <v>726</v>
      </c>
      <c r="AB1731" s="30" t="s">
        <v>0</v>
      </c>
      <c r="AC1731" s="30" t="s">
        <v>4758</v>
      </c>
    </row>
    <row r="1732" spans="1:29">
      <c r="A1732" s="11" t="s">
        <v>4759</v>
      </c>
      <c r="B1732" s="11" t="str">
        <f>IF(ISNUMBER(SEARCH(E1732,A1732)),A1732,IF(OR(E1732="",E1732=""),A1732,A1732&amp;" - "&amp;E1732))</f>
        <v>TYSON 2.0 32/1 - Haymaker Haze</v>
      </c>
      <c r="C1732" s="24" t="s">
        <v>141</v>
      </c>
      <c r="D1732" s="24" t="s">
        <v>149</v>
      </c>
      <c r="E1732" s="41" t="s">
        <v>143</v>
      </c>
      <c r="F1732" s="41" t="s">
        <v>144</v>
      </c>
      <c r="G1732" s="27" t="s">
        <v>4488</v>
      </c>
      <c r="H1732" s="27">
        <v>1</v>
      </c>
      <c r="I1732" s="24" t="s">
        <v>0</v>
      </c>
      <c r="J1732" s="24" t="s">
        <v>0</v>
      </c>
      <c r="K1732" s="24" t="s">
        <v>52</v>
      </c>
      <c r="L1732" s="24" t="s">
        <v>145</v>
      </c>
      <c r="M1732" s="24" t="s">
        <v>111</v>
      </c>
      <c r="N1732" s="24" t="s">
        <v>72</v>
      </c>
      <c r="O1732" s="24" t="s">
        <v>88</v>
      </c>
      <c r="P1732" s="24" t="s">
        <v>146</v>
      </c>
      <c r="Q1732" s="24" t="s">
        <v>74</v>
      </c>
      <c r="R1732" s="24" t="s">
        <v>59</v>
      </c>
      <c r="S1732" s="24" t="s">
        <v>90</v>
      </c>
      <c r="T1732" s="24" t="s">
        <v>105</v>
      </c>
      <c r="U1732" s="24" t="s">
        <v>147</v>
      </c>
      <c r="V1732" s="24" t="s">
        <v>77</v>
      </c>
      <c r="W1732" s="24" t="s">
        <v>129</v>
      </c>
      <c r="X1732" s="24" t="s">
        <v>107</v>
      </c>
      <c r="Y1732" s="24" t="s">
        <v>1638</v>
      </c>
      <c r="Z1732" s="24" t="s">
        <v>64</v>
      </c>
      <c r="AA1732" s="24" t="s">
        <v>149</v>
      </c>
      <c r="AB1732" s="24" t="s">
        <v>150</v>
      </c>
      <c r="AC1732" s="24" t="s">
        <v>4760</v>
      </c>
    </row>
    <row r="1733" spans="1:29">
      <c r="A1733" s="11" t="s">
        <v>4761</v>
      </c>
      <c r="B1733" s="11" t="str">
        <f>IF(ISNUMBER(SEARCH(E1733,A1733)),A1733,IF(OR(E1733="",E1733=""),A1733,A1733&amp;" - "&amp;E1733))</f>
        <v>avaay 27/1 JFP - Jet Fuel Pie</v>
      </c>
      <c r="C1733" s="30" t="s">
        <v>4601</v>
      </c>
      <c r="D1733" s="30" t="s">
        <v>572</v>
      </c>
      <c r="E1733" s="40" t="s">
        <v>4607</v>
      </c>
      <c r="F1733" s="40" t="s">
        <v>177</v>
      </c>
      <c r="G1733" s="34" t="s">
        <v>33</v>
      </c>
      <c r="H1733" s="34">
        <v>1</v>
      </c>
      <c r="I1733" s="30" t="s">
        <v>0</v>
      </c>
      <c r="J1733" s="30" t="s">
        <v>0</v>
      </c>
      <c r="K1733" s="30" t="s">
        <v>52</v>
      </c>
      <c r="L1733" s="30" t="s">
        <v>102</v>
      </c>
      <c r="M1733" s="30" t="s">
        <v>72</v>
      </c>
      <c r="N1733" s="30" t="s">
        <v>111</v>
      </c>
      <c r="O1733" s="30" t="s">
        <v>88</v>
      </c>
      <c r="P1733" s="30" t="s">
        <v>74</v>
      </c>
      <c r="Q1733" s="30" t="s">
        <v>89</v>
      </c>
      <c r="R1733" s="30" t="s">
        <v>73</v>
      </c>
      <c r="S1733" s="30" t="s">
        <v>62</v>
      </c>
      <c r="T1733" s="30" t="s">
        <v>123</v>
      </c>
      <c r="U1733" s="30" t="s">
        <v>91</v>
      </c>
      <c r="V1733" s="30" t="s">
        <v>77</v>
      </c>
      <c r="W1733" s="30" t="s">
        <v>116</v>
      </c>
      <c r="X1733" s="30" t="s">
        <v>79</v>
      </c>
      <c r="Y1733" s="30" t="s">
        <v>1419</v>
      </c>
      <c r="Z1733" s="30" t="s">
        <v>64</v>
      </c>
      <c r="AA1733" s="30" t="s">
        <v>572</v>
      </c>
      <c r="AB1733" s="30" t="s">
        <v>0</v>
      </c>
      <c r="AC1733" s="30" t="s">
        <v>4762</v>
      </c>
    </row>
    <row r="1734" spans="1:29">
      <c r="A1734" s="11" t="s">
        <v>4763</v>
      </c>
      <c r="B1734" s="11" t="str">
        <f>IF(ISNUMBER(SEARCH(E1734,A1734)),A1734,IF(OR(E1734="",E1734=""),A1734,A1734&amp;" - "&amp;E1734))</f>
        <v>Remexian 27/1 OTA ZAD - Zanda´s Dream</v>
      </c>
      <c r="C1734" s="24" t="s">
        <v>83</v>
      </c>
      <c r="D1734" s="24" t="s">
        <v>95</v>
      </c>
      <c r="E1734" s="26" t="s">
        <v>4764</v>
      </c>
      <c r="F1734" s="41" t="s">
        <v>144</v>
      </c>
      <c r="G1734" s="27" t="s">
        <v>33</v>
      </c>
      <c r="H1734" s="27">
        <v>1</v>
      </c>
      <c r="I1734" s="24" t="s">
        <v>0</v>
      </c>
      <c r="J1734" s="24" t="s">
        <v>0</v>
      </c>
      <c r="K1734" s="24" t="s">
        <v>52</v>
      </c>
      <c r="L1734" s="24" t="s">
        <v>53</v>
      </c>
      <c r="M1734" s="24" t="s">
        <v>0</v>
      </c>
      <c r="N1734" s="24" t="s">
        <v>0</v>
      </c>
      <c r="O1734" s="24" t="s">
        <v>0</v>
      </c>
      <c r="P1734" s="24" t="s">
        <v>59</v>
      </c>
      <c r="Q1734" s="24" t="s">
        <v>58</v>
      </c>
      <c r="R1734" s="24" t="s">
        <v>74</v>
      </c>
      <c r="S1734" s="24" t="s">
        <v>106</v>
      </c>
      <c r="T1734" s="24" t="s">
        <v>62</v>
      </c>
      <c r="U1734" s="24" t="s">
        <v>0</v>
      </c>
      <c r="V1734" s="24" t="s">
        <v>107</v>
      </c>
      <c r="W1734" s="24" t="s">
        <v>208</v>
      </c>
      <c r="X1734" s="24" t="s">
        <v>93</v>
      </c>
      <c r="Y1734" s="24" t="s">
        <v>4765</v>
      </c>
      <c r="Z1734" s="24" t="s">
        <v>64</v>
      </c>
      <c r="AA1734" s="24" t="s">
        <v>95</v>
      </c>
      <c r="AB1734" s="24" t="s">
        <v>0</v>
      </c>
      <c r="AC1734" s="24" t="s">
        <v>4766</v>
      </c>
    </row>
    <row r="1735" spans="1:29">
      <c r="A1735" s="11" t="s">
        <v>4767</v>
      </c>
      <c r="B1735" s="11" t="str">
        <f>IF(ISNUMBER(SEARCH(E1735,A1735)),A1735,IF(OR(E1735="",E1735=""),A1735,A1735&amp;" - "&amp;E1735))</f>
        <v>MeCann 25/1 - Permanent Marker</v>
      </c>
      <c r="C1735" s="30" t="s">
        <v>3086</v>
      </c>
      <c r="D1735" s="30" t="s">
        <v>3087</v>
      </c>
      <c r="E1735" s="40" t="s">
        <v>327</v>
      </c>
      <c r="F1735" s="40" t="s">
        <v>177</v>
      </c>
      <c r="G1735" s="34" t="s">
        <v>26</v>
      </c>
      <c r="H1735" s="34" t="s">
        <v>65</v>
      </c>
      <c r="I1735" s="30" t="s">
        <v>0</v>
      </c>
      <c r="J1735" s="30" t="s">
        <v>0</v>
      </c>
      <c r="K1735" s="30" t="s">
        <v>52</v>
      </c>
      <c r="L1735" s="30" t="s">
        <v>965</v>
      </c>
      <c r="M1735" s="30" t="s">
        <v>54</v>
      </c>
      <c r="N1735" s="30" t="s">
        <v>111</v>
      </c>
      <c r="O1735" s="30" t="s">
        <v>71</v>
      </c>
      <c r="P1735" s="30" t="s">
        <v>104</v>
      </c>
      <c r="Q1735" s="30" t="s">
        <v>89</v>
      </c>
      <c r="R1735" s="30" t="s">
        <v>0</v>
      </c>
      <c r="S1735" s="30" t="s">
        <v>128</v>
      </c>
      <c r="T1735" s="30" t="s">
        <v>61</v>
      </c>
      <c r="U1735" s="30" t="s">
        <v>62</v>
      </c>
      <c r="V1735" s="30" t="s">
        <v>116</v>
      </c>
      <c r="W1735" s="30" t="s">
        <v>173</v>
      </c>
      <c r="X1735" s="30" t="s">
        <v>107</v>
      </c>
      <c r="Y1735" s="30" t="s">
        <v>240</v>
      </c>
      <c r="Z1735" s="30" t="s">
        <v>64</v>
      </c>
      <c r="AA1735" s="30" t="s">
        <v>3087</v>
      </c>
      <c r="AB1735" s="30" t="s">
        <v>0</v>
      </c>
      <c r="AC1735" s="30" t="s">
        <v>4768</v>
      </c>
    </row>
    <row r="1736" spans="1:29">
      <c r="A1736" s="11" t="s">
        <v>4769</v>
      </c>
      <c r="B1736" s="11" t="str">
        <f>IF(ISNUMBER(SEARCH(E1736,A1736)),A1736,IF(OR(E1736="",E1736=""),A1736,A1736&amp;" - "&amp;E1736))</f>
        <v>Remexian 30/1 PGF CIS - Citrus Spritz</v>
      </c>
      <c r="C1736" s="24" t="s">
        <v>83</v>
      </c>
      <c r="D1736" s="24" t="s">
        <v>95</v>
      </c>
      <c r="E1736" s="26" t="s">
        <v>4770</v>
      </c>
      <c r="F1736" s="41" t="s">
        <v>86</v>
      </c>
      <c r="G1736" s="27" t="s">
        <v>4057</v>
      </c>
      <c r="H1736" s="27">
        <v>1</v>
      </c>
      <c r="I1736" s="24" t="s">
        <v>0</v>
      </c>
      <c r="J1736" s="24" t="s">
        <v>0</v>
      </c>
      <c r="K1736" s="24" t="s">
        <v>52</v>
      </c>
      <c r="L1736" s="24" t="s">
        <v>53</v>
      </c>
      <c r="M1736" s="24" t="s">
        <v>55</v>
      </c>
      <c r="N1736" s="24" t="s">
        <v>111</v>
      </c>
      <c r="O1736" s="24" t="s">
        <v>71</v>
      </c>
      <c r="P1736" s="24" t="s">
        <v>157</v>
      </c>
      <c r="Q1736" s="24" t="s">
        <v>89</v>
      </c>
      <c r="R1736" s="24" t="s">
        <v>75</v>
      </c>
      <c r="S1736" s="24" t="s">
        <v>106</v>
      </c>
      <c r="T1736" s="24" t="s">
        <v>62</v>
      </c>
      <c r="U1736" s="24" t="s">
        <v>147</v>
      </c>
      <c r="V1736" s="24" t="s">
        <v>79</v>
      </c>
      <c r="W1736" s="24" t="s">
        <v>77</v>
      </c>
      <c r="X1736" s="24" t="s">
        <v>0</v>
      </c>
      <c r="Y1736" s="24" t="s">
        <v>966</v>
      </c>
      <c r="Z1736" s="24" t="s">
        <v>64</v>
      </c>
      <c r="AA1736" s="24" t="s">
        <v>95</v>
      </c>
      <c r="AB1736" s="24" t="s">
        <v>0</v>
      </c>
      <c r="AC1736" s="24" t="s">
        <v>4771</v>
      </c>
    </row>
    <row r="1737" spans="1:29">
      <c r="A1737" s="11" t="s">
        <v>4772</v>
      </c>
      <c r="B1737" s="11" t="str">
        <f>IF(ISNUMBER(SEARCH(E1737,A1737)),A1737,IF(OR(E1737="",E1737=""),A1737,A1737&amp;" - "&amp;E1737))</f>
        <v>Demecan PG Strong Drop 27:01 - Purple Octane</v>
      </c>
      <c r="C1737" s="30" t="s">
        <v>484</v>
      </c>
      <c r="D1737" s="30" t="s">
        <v>485</v>
      </c>
      <c r="E1737" s="40" t="s">
        <v>1207</v>
      </c>
      <c r="F1737" s="40" t="s">
        <v>177</v>
      </c>
      <c r="G1737" s="34" t="s">
        <v>33</v>
      </c>
      <c r="H1737" s="34">
        <v>1</v>
      </c>
      <c r="I1737" s="30" t="s">
        <v>0</v>
      </c>
      <c r="J1737" s="30" t="s">
        <v>0</v>
      </c>
      <c r="K1737" s="30" t="s">
        <v>52</v>
      </c>
      <c r="L1737" s="30" t="s">
        <v>53</v>
      </c>
      <c r="M1737" s="30" t="s">
        <v>72</v>
      </c>
      <c r="N1737" s="30" t="s">
        <v>121</v>
      </c>
      <c r="O1737" s="30" t="s">
        <v>88</v>
      </c>
      <c r="P1737" s="30" t="s">
        <v>58</v>
      </c>
      <c r="Q1737" s="30" t="s">
        <v>73</v>
      </c>
      <c r="R1737" s="30" t="s">
        <v>74</v>
      </c>
      <c r="S1737" s="30" t="s">
        <v>128</v>
      </c>
      <c r="T1737" s="30" t="s">
        <v>62</v>
      </c>
      <c r="U1737" s="30" t="s">
        <v>164</v>
      </c>
      <c r="V1737" s="30" t="s">
        <v>77</v>
      </c>
      <c r="W1737" s="30" t="s">
        <v>107</v>
      </c>
      <c r="X1737" s="30" t="s">
        <v>173</v>
      </c>
      <c r="Y1737" s="30" t="s">
        <v>1464</v>
      </c>
      <c r="Z1737" s="30" t="s">
        <v>64</v>
      </c>
      <c r="AA1737" s="30" t="s">
        <v>485</v>
      </c>
      <c r="AB1737" s="30" t="s">
        <v>695</v>
      </c>
      <c r="AC1737" s="30" t="s">
        <v>4773</v>
      </c>
    </row>
    <row r="1738" spans="1:29">
      <c r="A1738" s="11" t="s">
        <v>4774</v>
      </c>
      <c r="B1738" s="11" t="str">
        <f>IF(ISNUMBER(SEARCH(E1738,A1738)),A1738,IF(OR(E1738="",E1738=""),A1738,A1738&amp;" - "&amp;E1738))</f>
        <v>Remexian 30/1 TWE TRD - Triangle Deluxe</v>
      </c>
      <c r="C1738" s="24" t="s">
        <v>83</v>
      </c>
      <c r="D1738" s="24" t="s">
        <v>95</v>
      </c>
      <c r="E1738" s="26" t="s">
        <v>4775</v>
      </c>
      <c r="F1738" s="41" t="s">
        <v>177</v>
      </c>
      <c r="G1738" s="27" t="s">
        <v>4057</v>
      </c>
      <c r="H1738" s="27">
        <v>1</v>
      </c>
      <c r="I1738" s="24" t="s">
        <v>0</v>
      </c>
      <c r="J1738" s="24" t="s">
        <v>0</v>
      </c>
      <c r="K1738" s="24" t="s">
        <v>52</v>
      </c>
      <c r="L1738" s="24" t="s">
        <v>53</v>
      </c>
      <c r="M1738" s="24" t="s">
        <v>72</v>
      </c>
      <c r="N1738" s="24" t="s">
        <v>54</v>
      </c>
      <c r="O1738" s="24" t="s">
        <v>88</v>
      </c>
      <c r="P1738" s="24" t="s">
        <v>74</v>
      </c>
      <c r="Q1738" s="24" t="s">
        <v>58</v>
      </c>
      <c r="R1738" s="24" t="s">
        <v>75</v>
      </c>
      <c r="S1738" s="24" t="s">
        <v>90</v>
      </c>
      <c r="T1738" s="24" t="s">
        <v>128</v>
      </c>
      <c r="U1738" s="24" t="s">
        <v>115</v>
      </c>
      <c r="V1738" s="24" t="s">
        <v>77</v>
      </c>
      <c r="W1738" s="24" t="s">
        <v>173</v>
      </c>
      <c r="X1738" s="24" t="s">
        <v>79</v>
      </c>
      <c r="Y1738" s="24" t="s">
        <v>4776</v>
      </c>
      <c r="Z1738" s="24" t="s">
        <v>64</v>
      </c>
      <c r="AA1738" s="24" t="s">
        <v>95</v>
      </c>
      <c r="AB1738" s="24" t="s">
        <v>0</v>
      </c>
      <c r="AC1738" s="24" t="s">
        <v>4777</v>
      </c>
    </row>
    <row r="1739" spans="1:29">
      <c r="A1739" s="11" t="s">
        <v>4778</v>
      </c>
      <c r="B1739" s="11" t="str">
        <f>IF(ISNUMBER(SEARCH(E1739,A1739)),A1739,IF(OR(E1739="",E1739=""),A1739,A1739&amp;" - "&amp;E1739))</f>
        <v>avaay Khalifa 24/1 KM - Khalifa Mints</v>
      </c>
      <c r="C1739" s="30" t="s">
        <v>4601</v>
      </c>
      <c r="D1739" s="30" t="s">
        <v>572</v>
      </c>
      <c r="E1739" s="40" t="s">
        <v>3930</v>
      </c>
      <c r="F1739" s="40" t="s">
        <v>86</v>
      </c>
      <c r="G1739" s="34" t="s">
        <v>448</v>
      </c>
      <c r="H1739" s="34" t="s">
        <v>65</v>
      </c>
      <c r="I1739" s="30" t="s">
        <v>0</v>
      </c>
      <c r="J1739" s="30" t="s">
        <v>0</v>
      </c>
      <c r="K1739" s="30" t="s">
        <v>52</v>
      </c>
      <c r="L1739" s="30" t="s">
        <v>53</v>
      </c>
      <c r="M1739" s="30" t="s">
        <v>54</v>
      </c>
      <c r="N1739" s="30" t="s">
        <v>72</v>
      </c>
      <c r="O1739" s="30" t="s">
        <v>55</v>
      </c>
      <c r="P1739" s="30" t="s">
        <v>57</v>
      </c>
      <c r="Q1739" s="30" t="s">
        <v>74</v>
      </c>
      <c r="R1739" s="30" t="s">
        <v>59</v>
      </c>
      <c r="S1739" s="30" t="s">
        <v>106</v>
      </c>
      <c r="T1739" s="30" t="s">
        <v>123</v>
      </c>
      <c r="U1739" s="30" t="s">
        <v>60</v>
      </c>
      <c r="V1739" s="30" t="s">
        <v>79</v>
      </c>
      <c r="W1739" s="30" t="s">
        <v>116</v>
      </c>
      <c r="X1739" s="30" t="s">
        <v>93</v>
      </c>
      <c r="Y1739" s="30" t="s">
        <v>117</v>
      </c>
      <c r="Z1739" s="30" t="s">
        <v>64</v>
      </c>
      <c r="AA1739" s="30" t="s">
        <v>572</v>
      </c>
      <c r="AB1739" s="30" t="s">
        <v>663</v>
      </c>
      <c r="AC1739" s="30" t="s">
        <v>4779</v>
      </c>
    </row>
    <row r="1740" spans="1:29">
      <c r="A1740" s="11" t="s">
        <v>266</v>
      </c>
      <c r="B1740" s="11" t="str">
        <f>IF(ISNUMBER(SEARCH(E1740,A1740)),A1740,IF(OR(E1740="",E1740=""),A1740,A1740&amp;" - "&amp;E1740))</f>
        <v>Tilray THC18 Spotlight Porto - Frosted Cherry Cookies</v>
      </c>
      <c r="C1740" s="24" t="s">
        <v>133</v>
      </c>
      <c r="D1740" s="24" t="s">
        <v>134</v>
      </c>
      <c r="E1740" s="26" t="s">
        <v>4780</v>
      </c>
      <c r="F1740" s="41" t="s">
        <v>177</v>
      </c>
      <c r="G1740" s="27" t="s">
        <v>8</v>
      </c>
      <c r="H1740" s="27">
        <v>1</v>
      </c>
      <c r="I1740" s="24" t="s">
        <v>0</v>
      </c>
      <c r="J1740" s="24" t="s">
        <v>0</v>
      </c>
      <c r="K1740" s="24" t="s">
        <v>52</v>
      </c>
      <c r="L1740" s="24" t="s">
        <v>102</v>
      </c>
      <c r="M1740" s="24" t="s">
        <v>88</v>
      </c>
      <c r="N1740" s="24" t="s">
        <v>72</v>
      </c>
      <c r="O1740" s="24" t="s">
        <v>54</v>
      </c>
      <c r="P1740" s="24" t="s">
        <v>59</v>
      </c>
      <c r="Q1740" s="24" t="s">
        <v>74</v>
      </c>
      <c r="R1740" s="24" t="s">
        <v>58</v>
      </c>
      <c r="S1740" s="24" t="s">
        <v>106</v>
      </c>
      <c r="T1740" s="24" t="s">
        <v>147</v>
      </c>
      <c r="U1740" s="24" t="s">
        <v>192</v>
      </c>
      <c r="V1740" s="24" t="s">
        <v>107</v>
      </c>
      <c r="W1740" s="24" t="s">
        <v>116</v>
      </c>
      <c r="X1740" s="24" t="s">
        <v>93</v>
      </c>
      <c r="Y1740" s="24" t="s">
        <v>1357</v>
      </c>
      <c r="Z1740" s="24" t="s">
        <v>64</v>
      </c>
      <c r="AA1740" s="24" t="s">
        <v>134</v>
      </c>
      <c r="AB1740" s="24" t="s">
        <v>0</v>
      </c>
      <c r="AC1740" s="24" t="s">
        <v>4781</v>
      </c>
    </row>
    <row r="1741" spans="1:29">
      <c r="A1741" s="11" t="s">
        <v>4782</v>
      </c>
      <c r="B1741" s="11" t="str">
        <f>IF(ISNUMBER(SEARCH(E1741,A1741)),A1741,IF(OR(E1741="",E1741=""),A1741,A1741&amp;" - "&amp;E1741))</f>
        <v>Demecan Regular Drop 25:01 LA WP - LA Wedding Pop</v>
      </c>
      <c r="C1741" s="30" t="s">
        <v>484</v>
      </c>
      <c r="D1741" s="30" t="s">
        <v>485</v>
      </c>
      <c r="E1741" s="32" t="s">
        <v>4783</v>
      </c>
      <c r="F1741" s="40" t="s">
        <v>69</v>
      </c>
      <c r="G1741" s="34" t="s">
        <v>26</v>
      </c>
      <c r="H1741" s="34">
        <v>1</v>
      </c>
      <c r="I1741" s="30" t="s">
        <v>0</v>
      </c>
      <c r="J1741" s="30" t="s">
        <v>0</v>
      </c>
      <c r="K1741" s="30" t="s">
        <v>52</v>
      </c>
      <c r="L1741" s="30" t="s">
        <v>53</v>
      </c>
      <c r="M1741" s="30" t="s">
        <v>178</v>
      </c>
      <c r="N1741" s="30" t="s">
        <v>54</v>
      </c>
      <c r="O1741" s="30" t="s">
        <v>71</v>
      </c>
      <c r="P1741" s="30" t="s">
        <v>57</v>
      </c>
      <c r="Q1741" s="30" t="s">
        <v>89</v>
      </c>
      <c r="R1741" s="30" t="s">
        <v>75</v>
      </c>
      <c r="S1741" s="30" t="s">
        <v>128</v>
      </c>
      <c r="T1741" s="30" t="s">
        <v>106</v>
      </c>
      <c r="U1741" s="30" t="s">
        <v>62</v>
      </c>
      <c r="V1741" s="30" t="s">
        <v>173</v>
      </c>
      <c r="W1741" s="30" t="s">
        <v>79</v>
      </c>
      <c r="X1741" s="30" t="s">
        <v>711</v>
      </c>
      <c r="Y1741" s="30" t="s">
        <v>377</v>
      </c>
      <c r="Z1741" s="30" t="s">
        <v>64</v>
      </c>
      <c r="AA1741" s="30" t="s">
        <v>485</v>
      </c>
      <c r="AB1741" s="30" t="s">
        <v>0</v>
      </c>
      <c r="AC1741" s="30" t="s">
        <v>4784</v>
      </c>
    </row>
    <row r="1742" spans="1:29">
      <c r="A1742" s="11" t="s">
        <v>4785</v>
      </c>
      <c r="B1742" s="11" t="str">
        <f>IF(ISNUMBER(SEARCH(E1742,A1742)),A1742,IF(OR(E1742="",E1742=""),A1742,A1742&amp;" - "&amp;E1742))</f>
        <v>avaay Khalifa 28/1 KK - Khalifa Kush</v>
      </c>
      <c r="C1742" s="24" t="s">
        <v>4601</v>
      </c>
      <c r="D1742" s="24" t="s">
        <v>572</v>
      </c>
      <c r="E1742" s="41" t="s">
        <v>3986</v>
      </c>
      <c r="F1742" s="41" t="s">
        <v>86</v>
      </c>
      <c r="G1742" s="27" t="s">
        <v>4164</v>
      </c>
      <c r="H1742" s="27" t="s">
        <v>65</v>
      </c>
      <c r="I1742" s="24" t="s">
        <v>0</v>
      </c>
      <c r="J1742" s="24" t="s">
        <v>0</v>
      </c>
      <c r="K1742" s="24" t="s">
        <v>52</v>
      </c>
      <c r="L1742" s="24" t="s">
        <v>53</v>
      </c>
      <c r="M1742" s="24" t="s">
        <v>54</v>
      </c>
      <c r="N1742" s="24" t="s">
        <v>178</v>
      </c>
      <c r="O1742" s="24" t="s">
        <v>55</v>
      </c>
      <c r="P1742" s="24" t="s">
        <v>89</v>
      </c>
      <c r="Q1742" s="24" t="s">
        <v>75</v>
      </c>
      <c r="R1742" s="24" t="s">
        <v>59</v>
      </c>
      <c r="S1742" s="24" t="s">
        <v>106</v>
      </c>
      <c r="T1742" s="24" t="s">
        <v>62</v>
      </c>
      <c r="U1742" s="24" t="s">
        <v>147</v>
      </c>
      <c r="V1742" s="24" t="s">
        <v>79</v>
      </c>
      <c r="W1742" s="24" t="s">
        <v>93</v>
      </c>
      <c r="X1742" s="24" t="s">
        <v>107</v>
      </c>
      <c r="Y1742" s="24" t="s">
        <v>4786</v>
      </c>
      <c r="Z1742" s="24" t="s">
        <v>64</v>
      </c>
      <c r="AA1742" s="24" t="s">
        <v>572</v>
      </c>
      <c r="AB1742" s="24" t="s">
        <v>663</v>
      </c>
      <c r="AC1742" s="24" t="s">
        <v>4787</v>
      </c>
    </row>
    <row r="1743" spans="1:29">
      <c r="A1743" s="11" t="s">
        <v>4788</v>
      </c>
      <c r="B1743" s="11" t="str">
        <f>IF(ISNUMBER(SEARCH(E1743,A1743)),A1743,IF(OR(E1743="",E1743=""),A1743,A1743&amp;" - "&amp;E1743))</f>
        <v>Cannamedical Indica Forte BC - Tangerine Boost</v>
      </c>
      <c r="C1743" s="30" t="str">
        <f>_xlfn.XLOOKUP(D1743,$D$2:$D$1784,$C$2:$C$1784,"",0)</f>
        <v>CANNAMEDIC</v>
      </c>
      <c r="D1743" s="30" t="s">
        <v>49</v>
      </c>
      <c r="E1743" s="32" t="s">
        <v>4789</v>
      </c>
      <c r="F1743" s="40" t="s">
        <v>144</v>
      </c>
      <c r="G1743" s="34" t="s">
        <v>448</v>
      </c>
      <c r="H1743" s="35" t="s">
        <v>65</v>
      </c>
      <c r="I1743" s="30" t="s">
        <v>0</v>
      </c>
      <c r="J1743" s="30" t="s">
        <v>0</v>
      </c>
      <c r="K1743" s="30" t="s">
        <v>52</v>
      </c>
      <c r="L1743" s="30" t="s">
        <v>53</v>
      </c>
      <c r="M1743" s="30" t="s">
        <v>55</v>
      </c>
      <c r="N1743" s="30" t="s">
        <v>111</v>
      </c>
      <c r="O1743" s="30" t="s">
        <v>72</v>
      </c>
      <c r="P1743" s="30" t="s">
        <v>75</v>
      </c>
      <c r="Q1743" s="30" t="s">
        <v>157</v>
      </c>
      <c r="R1743" s="30" t="s">
        <v>0</v>
      </c>
      <c r="S1743" s="30" t="s">
        <v>106</v>
      </c>
      <c r="T1743" s="30" t="s">
        <v>62</v>
      </c>
      <c r="U1743" s="30" t="s">
        <v>147</v>
      </c>
      <c r="V1743" s="30" t="s">
        <v>107</v>
      </c>
      <c r="W1743" s="30" t="s">
        <v>173</v>
      </c>
      <c r="X1743" s="30" t="s">
        <v>79</v>
      </c>
      <c r="Y1743" s="30" t="s">
        <v>240</v>
      </c>
      <c r="Z1743" s="30" t="s">
        <v>64</v>
      </c>
      <c r="AA1743" s="30" t="s">
        <v>49</v>
      </c>
      <c r="AB1743" s="30" t="s">
        <v>0</v>
      </c>
      <c r="AC1743" s="30" t="s">
        <v>4790</v>
      </c>
    </row>
    <row r="1744" spans="1:29">
      <c r="A1744" s="11" t="s">
        <v>4791</v>
      </c>
      <c r="B1744" s="11" t="str">
        <f>IF(ISNUMBER(SEARCH(E1744,A1744)),A1744,IF(OR(E1744="",E1744=""),A1744,A1744&amp;" - "&amp;E1744))</f>
        <v>TRUU HS 21/01 - Mandarin Sunset</v>
      </c>
      <c r="C1744" s="24" t="str">
        <f>_xlfn.XLOOKUP(D1744,$D$2:$D$1784,$C$2:$C$1784,"",0)</f>
        <v>DEMECAN</v>
      </c>
      <c r="D1744" s="24" t="s">
        <v>485</v>
      </c>
      <c r="E1744" s="26" t="s">
        <v>4792</v>
      </c>
      <c r="F1744" s="41" t="s">
        <v>86</v>
      </c>
      <c r="G1744" s="27" t="s">
        <v>452</v>
      </c>
      <c r="H1744" s="27">
        <v>1</v>
      </c>
      <c r="I1744" s="24" t="s">
        <v>0</v>
      </c>
      <c r="J1744" s="24" t="s">
        <v>0</v>
      </c>
      <c r="K1744" s="24" t="s">
        <v>52</v>
      </c>
      <c r="L1744" s="24" t="s">
        <v>202</v>
      </c>
      <c r="M1744" s="24" t="s">
        <v>88</v>
      </c>
      <c r="N1744" s="24" t="s">
        <v>71</v>
      </c>
      <c r="O1744" s="24" t="s">
        <v>72</v>
      </c>
      <c r="P1744" s="24" t="s">
        <v>75</v>
      </c>
      <c r="Q1744" s="24" t="s">
        <v>157</v>
      </c>
      <c r="R1744" s="24" t="s">
        <v>74</v>
      </c>
      <c r="S1744" s="24" t="s">
        <v>106</v>
      </c>
      <c r="T1744" s="24" t="s">
        <v>62</v>
      </c>
      <c r="U1744" s="24" t="s">
        <v>147</v>
      </c>
      <c r="V1744" s="24" t="s">
        <v>107</v>
      </c>
      <c r="W1744" s="24" t="s">
        <v>116</v>
      </c>
      <c r="X1744" s="24" t="s">
        <v>0</v>
      </c>
      <c r="Y1744" s="24" t="s">
        <v>413</v>
      </c>
      <c r="Z1744" s="24" t="s">
        <v>64</v>
      </c>
      <c r="AA1744" s="24" t="s">
        <v>485</v>
      </c>
      <c r="AB1744" s="24" t="s">
        <v>0</v>
      </c>
      <c r="AC1744" s="24" t="s">
        <v>4793</v>
      </c>
    </row>
    <row r="1745" spans="1:29">
      <c r="A1745" s="11" t="s">
        <v>4794</v>
      </c>
      <c r="B1745" s="11" t="str">
        <f>IF(ISNUMBER(SEARCH(E1745,A1745)),A1745,IF(OR(E1745="",E1745=""),A1745,A1745&amp;" - "&amp;E1745))</f>
        <v>Demecan TRUU HS 26/01 - Citron Cookies</v>
      </c>
      <c r="C1745" s="30" t="s">
        <v>484</v>
      </c>
      <c r="D1745" s="30" t="s">
        <v>485</v>
      </c>
      <c r="E1745" s="31" t="s">
        <v>4795</v>
      </c>
      <c r="F1745" s="30" t="s">
        <v>86</v>
      </c>
      <c r="G1745" s="30" t="s">
        <v>4086</v>
      </c>
      <c r="H1745" s="31">
        <v>1</v>
      </c>
      <c r="I1745" s="30" t="s">
        <v>0</v>
      </c>
      <c r="J1745" s="30" t="s">
        <v>0</v>
      </c>
      <c r="K1745" s="30" t="s">
        <v>17</v>
      </c>
      <c r="L1745" s="30" t="s">
        <v>202</v>
      </c>
      <c r="M1745" s="30" t="s">
        <v>178</v>
      </c>
      <c r="N1745" s="30" t="s">
        <v>88</v>
      </c>
      <c r="O1745" s="30" t="s">
        <v>0</v>
      </c>
      <c r="P1745" s="30" t="s">
        <v>75</v>
      </c>
      <c r="Q1745" s="30" t="s">
        <v>89</v>
      </c>
      <c r="R1745" s="30" t="s">
        <v>58</v>
      </c>
      <c r="S1745" s="30" t="s">
        <v>0</v>
      </c>
      <c r="T1745" s="30" t="s">
        <v>0</v>
      </c>
      <c r="U1745" s="30" t="s">
        <v>0</v>
      </c>
      <c r="V1745" s="30" t="s">
        <v>79</v>
      </c>
      <c r="W1745" s="30" t="s">
        <v>129</v>
      </c>
      <c r="X1745" s="30" t="s">
        <v>173</v>
      </c>
      <c r="Y1745" s="30" t="s">
        <v>307</v>
      </c>
      <c r="Z1745" s="30" t="s">
        <v>64</v>
      </c>
      <c r="AA1745" s="30" t="s">
        <v>485</v>
      </c>
      <c r="AB1745" s="30" t="s">
        <v>0</v>
      </c>
      <c r="AC1745" s="30" t="s">
        <v>4796</v>
      </c>
    </row>
    <row r="1746" spans="1:29">
      <c r="A1746" s="11" t="s">
        <v>4797</v>
      </c>
      <c r="B1746" s="11" t="str">
        <f>IF(ISNUMBER(SEARCH(E1746,A1746)),A1746,IF(OR(E1746="",E1746=""),A1746,A1746&amp;" - "&amp;E1746))</f>
        <v>Greyscales AM 21/1 - Animal Mints</v>
      </c>
      <c r="C1746" s="24" t="s">
        <v>564</v>
      </c>
      <c r="D1746" s="24" t="s">
        <v>565</v>
      </c>
      <c r="E1746" s="41" t="s">
        <v>3322</v>
      </c>
      <c r="F1746" s="41" t="s">
        <v>177</v>
      </c>
      <c r="G1746" s="27" t="s">
        <v>452</v>
      </c>
      <c r="H1746" s="27" t="s">
        <v>65</v>
      </c>
      <c r="I1746" s="24" t="s">
        <v>0</v>
      </c>
      <c r="J1746" s="24" t="s">
        <v>0</v>
      </c>
      <c r="K1746" s="24" t="s">
        <v>52</v>
      </c>
      <c r="L1746" s="24" t="s">
        <v>53</v>
      </c>
      <c r="M1746" s="24" t="s">
        <v>121</v>
      </c>
      <c r="N1746" s="24" t="s">
        <v>103</v>
      </c>
      <c r="O1746" s="24" t="s">
        <v>72</v>
      </c>
      <c r="P1746" s="24" t="s">
        <v>112</v>
      </c>
      <c r="Q1746" s="24" t="s">
        <v>89</v>
      </c>
      <c r="R1746" s="24" t="s">
        <v>0</v>
      </c>
      <c r="S1746" s="24" t="s">
        <v>106</v>
      </c>
      <c r="T1746" s="24" t="s">
        <v>62</v>
      </c>
      <c r="U1746" s="24" t="s">
        <v>147</v>
      </c>
      <c r="V1746" s="24" t="s">
        <v>79</v>
      </c>
      <c r="W1746" s="24" t="s">
        <v>116</v>
      </c>
      <c r="X1746" s="24" t="s">
        <v>77</v>
      </c>
      <c r="Y1746" s="24" t="s">
        <v>4798</v>
      </c>
      <c r="Z1746" s="24" t="s">
        <v>64</v>
      </c>
      <c r="AA1746" s="24" t="s">
        <v>565</v>
      </c>
      <c r="AB1746" s="24" t="s">
        <v>0</v>
      </c>
      <c r="AC1746" s="24" t="s">
        <v>4799</v>
      </c>
    </row>
    <row r="1747" spans="1:29">
      <c r="A1747" s="11" t="s">
        <v>4800</v>
      </c>
      <c r="B1747" s="11" t="str">
        <f>IF(ISNUMBER(SEARCH(E1747,A1747)),A1747,IF(OR(E1747="",E1747=""),A1747,A1747&amp;" - "&amp;E1747))</f>
        <v>Bathera 22/1 - Permanent Marker</v>
      </c>
      <c r="C1747" s="30" t="str">
        <f>_xlfn.XLOOKUP(D1747,$D$2:$D$1784,$C$2:$C$1784,"",0)</f>
        <v>BATHERA</v>
      </c>
      <c r="D1747" s="30" t="s">
        <v>160</v>
      </c>
      <c r="E1747" s="32" t="s">
        <v>327</v>
      </c>
      <c r="F1747" s="40" t="s">
        <v>144</v>
      </c>
      <c r="G1747" s="34" t="s">
        <v>4126</v>
      </c>
      <c r="H1747" s="34">
        <v>1</v>
      </c>
      <c r="I1747" s="30" t="s">
        <v>0</v>
      </c>
      <c r="J1747" s="30" t="s">
        <v>0</v>
      </c>
      <c r="K1747" s="30" t="s">
        <v>52</v>
      </c>
      <c r="L1747" s="30" t="s">
        <v>102</v>
      </c>
      <c r="M1747" s="30" t="s">
        <v>54</v>
      </c>
      <c r="N1747" s="30" t="s">
        <v>111</v>
      </c>
      <c r="O1747" s="30" t="s">
        <v>71</v>
      </c>
      <c r="P1747" s="30" t="s">
        <v>104</v>
      </c>
      <c r="Q1747" s="30" t="s">
        <v>89</v>
      </c>
      <c r="R1747" s="30" t="s">
        <v>0</v>
      </c>
      <c r="S1747" s="30" t="s">
        <v>61</v>
      </c>
      <c r="T1747" s="30" t="s">
        <v>62</v>
      </c>
      <c r="U1747" s="30" t="s">
        <v>123</v>
      </c>
      <c r="V1747" s="30" t="s">
        <v>116</v>
      </c>
      <c r="W1747" s="30" t="s">
        <v>173</v>
      </c>
      <c r="X1747" s="30" t="s">
        <v>107</v>
      </c>
      <c r="Y1747" s="30" t="s">
        <v>328</v>
      </c>
      <c r="Z1747" s="30" t="s">
        <v>64</v>
      </c>
      <c r="AA1747" s="30" t="s">
        <v>160</v>
      </c>
      <c r="AB1747" s="30" t="s">
        <v>160</v>
      </c>
      <c r="AC1747" s="30" t="s">
        <v>4801</v>
      </c>
    </row>
    <row r="1748" spans="1:29">
      <c r="A1748" s="11" t="s">
        <v>4802</v>
      </c>
      <c r="B1748" s="11" t="str">
        <f>IF(ISNUMBER(SEARCH(E1748,A1748)),A1748,IF(OR(E1748="",E1748=""),A1748,A1748&amp;" - "&amp;E1748))</f>
        <v>Green Karat MG 28/1 - Modified Gas</v>
      </c>
      <c r="C1748" s="24" t="s">
        <v>564</v>
      </c>
      <c r="D1748" s="24" t="s">
        <v>565</v>
      </c>
      <c r="E1748" s="41" t="s">
        <v>805</v>
      </c>
      <c r="F1748" s="41" t="s">
        <v>86</v>
      </c>
      <c r="G1748" s="27" t="s">
        <v>4164</v>
      </c>
      <c r="H1748" s="27" t="s">
        <v>65</v>
      </c>
      <c r="I1748" s="24" t="s">
        <v>0</v>
      </c>
      <c r="J1748" s="24" t="s">
        <v>0</v>
      </c>
      <c r="K1748" s="24" t="s">
        <v>52</v>
      </c>
      <c r="L1748" s="24" t="s">
        <v>53</v>
      </c>
      <c r="M1748" s="24" t="s">
        <v>55</v>
      </c>
      <c r="N1748" s="24" t="s">
        <v>88</v>
      </c>
      <c r="O1748" s="24" t="s">
        <v>72</v>
      </c>
      <c r="P1748" s="24" t="s">
        <v>58</v>
      </c>
      <c r="Q1748" s="24" t="s">
        <v>59</v>
      </c>
      <c r="R1748" s="24" t="s">
        <v>157</v>
      </c>
      <c r="S1748" s="24" t="s">
        <v>106</v>
      </c>
      <c r="T1748" s="24" t="s">
        <v>123</v>
      </c>
      <c r="U1748" s="24" t="s">
        <v>147</v>
      </c>
      <c r="V1748" s="24" t="s">
        <v>92</v>
      </c>
      <c r="W1748" s="24" t="s">
        <v>180</v>
      </c>
      <c r="X1748" s="24" t="s">
        <v>4398</v>
      </c>
      <c r="Y1748" s="24" t="s">
        <v>1885</v>
      </c>
      <c r="Z1748" s="24" t="s">
        <v>64</v>
      </c>
      <c r="AA1748" s="24" t="s">
        <v>565</v>
      </c>
      <c r="AB1748" s="24" t="s">
        <v>699</v>
      </c>
      <c r="AC1748" s="24" t="s">
        <v>4803</v>
      </c>
    </row>
    <row r="1749" spans="1:29">
      <c r="A1749" s="11" t="s">
        <v>4804</v>
      </c>
      <c r="B1749" s="11" t="str">
        <f>IF(ISNUMBER(SEARCH(E1749,A1749)),A1749,IF(OR(E1749="",E1749=""),A1749,A1749&amp;" - "&amp;E1749))</f>
        <v>Remexian 27/1 PBC WTR - White Truffle</v>
      </c>
      <c r="C1749" s="30" t="str">
        <f t="shared" ref="C1749:C1754" si="0">_xlfn.XLOOKUP(D1749,$D$2:$D$1784,$C$2:$C$1784,"",0)</f>
        <v>REMEXIAN</v>
      </c>
      <c r="D1749" s="30" t="s">
        <v>95</v>
      </c>
      <c r="E1749" s="32" t="s">
        <v>4805</v>
      </c>
      <c r="F1749" s="40" t="s">
        <v>177</v>
      </c>
      <c r="G1749" s="34" t="s">
        <v>33</v>
      </c>
      <c r="H1749" s="34">
        <v>1</v>
      </c>
      <c r="I1749" s="30" t="s">
        <v>0</v>
      </c>
      <c r="J1749" s="30" t="s">
        <v>0</v>
      </c>
      <c r="K1749" s="30" t="s">
        <v>52</v>
      </c>
      <c r="L1749" s="30" t="s">
        <v>53</v>
      </c>
      <c r="M1749" s="30" t="s">
        <v>0</v>
      </c>
      <c r="N1749" s="30" t="s">
        <v>0</v>
      </c>
      <c r="O1749" s="30" t="s">
        <v>0</v>
      </c>
      <c r="P1749" s="30" t="s">
        <v>0</v>
      </c>
      <c r="Q1749" s="30" t="s">
        <v>0</v>
      </c>
      <c r="R1749" s="30" t="s">
        <v>0</v>
      </c>
      <c r="S1749" s="30" t="s">
        <v>106</v>
      </c>
      <c r="T1749" s="30" t="s">
        <v>62</v>
      </c>
      <c r="U1749" s="30" t="s">
        <v>123</v>
      </c>
      <c r="V1749" s="30" t="s">
        <v>107</v>
      </c>
      <c r="W1749" s="30" t="s">
        <v>116</v>
      </c>
      <c r="X1749" s="30" t="s">
        <v>173</v>
      </c>
      <c r="Y1749" s="30" t="s">
        <v>4206</v>
      </c>
      <c r="Z1749" s="30" t="s">
        <v>64</v>
      </c>
      <c r="AA1749" s="30" t="s">
        <v>95</v>
      </c>
      <c r="AB1749" s="30" t="s">
        <v>0</v>
      </c>
      <c r="AC1749" s="30" t="s">
        <v>4806</v>
      </c>
    </row>
    <row r="1750" spans="1:29">
      <c r="A1750" s="11" t="s">
        <v>4807</v>
      </c>
      <c r="B1750" s="11" t="str">
        <f>IF(ISNUMBER(SEARCH(E1750,A1750)),A1750,IF(OR(E1750="",E1750=""),A1750,A1750&amp;" - "&amp;E1750))</f>
        <v>Remexian 30/1 TWE ABR - Alien Breath</v>
      </c>
      <c r="C1750" s="24" t="str">
        <f t="shared" si="0"/>
        <v>REMEXIAN</v>
      </c>
      <c r="D1750" s="24" t="s">
        <v>95</v>
      </c>
      <c r="E1750" s="26" t="s">
        <v>4808</v>
      </c>
      <c r="F1750" s="41" t="s">
        <v>86</v>
      </c>
      <c r="G1750" s="27" t="s">
        <v>4057</v>
      </c>
      <c r="H1750" s="27">
        <v>1</v>
      </c>
      <c r="I1750" s="24" t="s">
        <v>0</v>
      </c>
      <c r="J1750" s="24" t="s">
        <v>0</v>
      </c>
      <c r="K1750" s="24" t="s">
        <v>52</v>
      </c>
      <c r="L1750" s="24" t="s">
        <v>53</v>
      </c>
      <c r="M1750" s="24" t="s">
        <v>55</v>
      </c>
      <c r="N1750" s="24" t="s">
        <v>72</v>
      </c>
      <c r="O1750" s="24" t="s">
        <v>88</v>
      </c>
      <c r="P1750" s="24" t="s">
        <v>59</v>
      </c>
      <c r="Q1750" s="24" t="s">
        <v>75</v>
      </c>
      <c r="R1750" s="24" t="s">
        <v>74</v>
      </c>
      <c r="S1750" s="24" t="s">
        <v>106</v>
      </c>
      <c r="T1750" s="24" t="s">
        <v>62</v>
      </c>
      <c r="U1750" s="24" t="s">
        <v>147</v>
      </c>
      <c r="V1750" s="24" t="s">
        <v>129</v>
      </c>
      <c r="W1750" s="24" t="s">
        <v>2428</v>
      </c>
      <c r="X1750" s="24" t="s">
        <v>79</v>
      </c>
      <c r="Y1750" s="24" t="s">
        <v>1947</v>
      </c>
      <c r="Z1750" s="24" t="s">
        <v>64</v>
      </c>
      <c r="AA1750" s="24" t="s">
        <v>95</v>
      </c>
      <c r="AB1750" s="24" t="s">
        <v>0</v>
      </c>
      <c r="AC1750" s="24" t="s">
        <v>4809</v>
      </c>
    </row>
    <row r="1751" spans="1:29">
      <c r="A1751" s="11" t="s">
        <v>4810</v>
      </c>
      <c r="B1751" s="11" t="str">
        <f>IF(ISNUMBER(SEARCH(E1751,A1751)),A1751,IF(OR(E1751="",E1751=""),A1751,A1751&amp;" - "&amp;E1751))</f>
        <v>Remexian 24/1 CCU STC - Strawberry &amp; Cream</v>
      </c>
      <c r="C1751" s="30" t="str">
        <f t="shared" si="0"/>
        <v>REMEXIAN</v>
      </c>
      <c r="D1751" s="30" t="s">
        <v>95</v>
      </c>
      <c r="E1751" s="32" t="s">
        <v>4811</v>
      </c>
      <c r="F1751" s="40" t="s">
        <v>86</v>
      </c>
      <c r="G1751" s="34" t="s">
        <v>448</v>
      </c>
      <c r="H1751" s="34">
        <v>1</v>
      </c>
      <c r="I1751" s="30" t="s">
        <v>0</v>
      </c>
      <c r="J1751" s="30" t="s">
        <v>0</v>
      </c>
      <c r="K1751" s="30" t="s">
        <v>52</v>
      </c>
      <c r="L1751" s="30" t="s">
        <v>53</v>
      </c>
      <c r="M1751" s="30" t="s">
        <v>72</v>
      </c>
      <c r="N1751" s="30" t="s">
        <v>88</v>
      </c>
      <c r="O1751" s="30" t="s">
        <v>0</v>
      </c>
      <c r="P1751" s="30" t="s">
        <v>57</v>
      </c>
      <c r="Q1751" s="30" t="s">
        <v>58</v>
      </c>
      <c r="R1751" s="30" t="s">
        <v>89</v>
      </c>
      <c r="S1751" s="30" t="s">
        <v>106</v>
      </c>
      <c r="T1751" s="30" t="s">
        <v>62</v>
      </c>
      <c r="U1751" s="30" t="s">
        <v>147</v>
      </c>
      <c r="V1751" s="30" t="s">
        <v>93</v>
      </c>
      <c r="W1751" s="30" t="s">
        <v>79</v>
      </c>
      <c r="X1751" s="30" t="s">
        <v>165</v>
      </c>
      <c r="Y1751" s="30" t="s">
        <v>358</v>
      </c>
      <c r="Z1751" s="30" t="s">
        <v>64</v>
      </c>
      <c r="AA1751" s="30" t="s">
        <v>95</v>
      </c>
      <c r="AB1751" s="30" t="s">
        <v>0</v>
      </c>
      <c r="AC1751" s="30" t="s">
        <v>4812</v>
      </c>
    </row>
    <row r="1752" spans="1:29">
      <c r="A1752" s="11" t="s">
        <v>4813</v>
      </c>
      <c r="B1752" s="11" t="str">
        <f>IF(ISNUMBER(SEARCH(E1752,A1752)),A1752,IF(OR(E1752="",E1752=""),A1752,A1752&amp;" - "&amp;E1752))</f>
        <v>Mediprocan African Ruby 26/1 SOGC - Sour OG Cheese</v>
      </c>
      <c r="C1752" s="24" t="str">
        <f t="shared" si="0"/>
        <v>MEDIPROCAN</v>
      </c>
      <c r="D1752" s="24" t="s">
        <v>320</v>
      </c>
      <c r="E1752" s="26" t="s">
        <v>4814</v>
      </c>
      <c r="F1752" s="41" t="s">
        <v>86</v>
      </c>
      <c r="G1752" s="27" t="s">
        <v>4086</v>
      </c>
      <c r="H1752" s="27">
        <v>1</v>
      </c>
      <c r="I1752" s="24" t="s">
        <v>0</v>
      </c>
      <c r="J1752" s="24" t="s">
        <v>0</v>
      </c>
      <c r="K1752" s="24" t="s">
        <v>52</v>
      </c>
      <c r="L1752" s="24" t="s">
        <v>497</v>
      </c>
      <c r="M1752" s="24" t="s">
        <v>178</v>
      </c>
      <c r="N1752" s="24" t="s">
        <v>111</v>
      </c>
      <c r="O1752" s="24" t="s">
        <v>72</v>
      </c>
      <c r="P1752" s="24" t="s">
        <v>186</v>
      </c>
      <c r="Q1752" s="24" t="s">
        <v>75</v>
      </c>
      <c r="R1752" s="24" t="s">
        <v>59</v>
      </c>
      <c r="S1752" s="24" t="s">
        <v>106</v>
      </c>
      <c r="T1752" s="24" t="s">
        <v>62</v>
      </c>
      <c r="U1752" s="24" t="s">
        <v>147</v>
      </c>
      <c r="V1752" s="24" t="s">
        <v>79</v>
      </c>
      <c r="W1752" s="24" t="s">
        <v>180</v>
      </c>
      <c r="X1752" s="24" t="s">
        <v>208</v>
      </c>
      <c r="Y1752" s="24" t="s">
        <v>307</v>
      </c>
      <c r="Z1752" s="24" t="s">
        <v>64</v>
      </c>
      <c r="AA1752" s="24" t="s">
        <v>320</v>
      </c>
      <c r="AB1752" s="24" t="s">
        <v>0</v>
      </c>
      <c r="AC1752" s="24" t="s">
        <v>4815</v>
      </c>
    </row>
    <row r="1753" spans="1:29">
      <c r="A1753" s="11" t="s">
        <v>4816</v>
      </c>
      <c r="B1753" s="11" t="str">
        <f>IF(ISNUMBER(SEARCH(E1753,A1753)),A1753,IF(OR(E1753="",E1753=""),A1753,A1753&amp;" - "&amp;E1753))</f>
        <v>Remexian 30/1 CRX - GMO Breath</v>
      </c>
      <c r="C1753" s="30" t="str">
        <f t="shared" si="0"/>
        <v>REMEXIAN</v>
      </c>
      <c r="D1753" s="30" t="s">
        <v>95</v>
      </c>
      <c r="E1753" s="32" t="s">
        <v>3311</v>
      </c>
      <c r="F1753" s="40" t="s">
        <v>86</v>
      </c>
      <c r="G1753" s="34" t="s">
        <v>4057</v>
      </c>
      <c r="H1753" s="34">
        <v>1</v>
      </c>
      <c r="I1753" s="30" t="s">
        <v>0</v>
      </c>
      <c r="J1753" s="30" t="s">
        <v>0</v>
      </c>
      <c r="K1753" s="30" t="s">
        <v>52</v>
      </c>
      <c r="L1753" s="30" t="s">
        <v>53</v>
      </c>
      <c r="M1753" s="30" t="s">
        <v>72</v>
      </c>
      <c r="N1753" s="30" t="s">
        <v>121</v>
      </c>
      <c r="O1753" s="30" t="s">
        <v>0</v>
      </c>
      <c r="P1753" s="30" t="s">
        <v>75</v>
      </c>
      <c r="Q1753" s="30" t="s">
        <v>59</v>
      </c>
      <c r="R1753" s="30" t="s">
        <v>0</v>
      </c>
      <c r="S1753" s="30" t="s">
        <v>106</v>
      </c>
      <c r="T1753" s="30" t="s">
        <v>62</v>
      </c>
      <c r="U1753" s="30" t="s">
        <v>147</v>
      </c>
      <c r="V1753" s="30" t="s">
        <v>79</v>
      </c>
      <c r="W1753" s="30" t="s">
        <v>77</v>
      </c>
      <c r="X1753" s="30" t="s">
        <v>116</v>
      </c>
      <c r="Y1753" s="30" t="s">
        <v>240</v>
      </c>
      <c r="Z1753" s="30" t="s">
        <v>64</v>
      </c>
      <c r="AA1753" s="30" t="s">
        <v>95</v>
      </c>
      <c r="AB1753" s="30" t="s">
        <v>0</v>
      </c>
      <c r="AC1753" s="30" t="s">
        <v>4817</v>
      </c>
    </row>
    <row r="1754" spans="1:29">
      <c r="A1754" s="11" t="s">
        <v>4818</v>
      </c>
      <c r="B1754" s="11" t="str">
        <f>IF(ISNUMBER(SEARCH(E1754,A1754)),A1754,IF(OR(E1754="",E1754=""),A1754,A1754&amp;" - "&amp;E1754))</f>
        <v>Demecan Craft Luana 31:01 - Peechy Keen</v>
      </c>
      <c r="C1754" s="24" t="str">
        <f t="shared" si="0"/>
        <v>DEMECAN</v>
      </c>
      <c r="D1754" s="24" t="s">
        <v>485</v>
      </c>
      <c r="E1754" s="26" t="s">
        <v>4819</v>
      </c>
      <c r="F1754" s="41" t="s">
        <v>86</v>
      </c>
      <c r="G1754" s="27" t="s">
        <v>4488</v>
      </c>
      <c r="H1754" s="27">
        <v>1</v>
      </c>
      <c r="I1754" s="24" t="s">
        <v>0</v>
      </c>
      <c r="J1754" s="24" t="s">
        <v>0</v>
      </c>
      <c r="K1754" s="24" t="s">
        <v>52</v>
      </c>
      <c r="L1754" s="24" t="s">
        <v>53</v>
      </c>
      <c r="M1754" s="24" t="s">
        <v>88</v>
      </c>
      <c r="N1754" s="24" t="s">
        <v>103</v>
      </c>
      <c r="O1754" s="24" t="s">
        <v>0</v>
      </c>
      <c r="P1754" s="24" t="s">
        <v>0</v>
      </c>
      <c r="Q1754" s="24"/>
      <c r="R1754" s="24" t="s">
        <v>0</v>
      </c>
      <c r="S1754" s="24" t="s">
        <v>128</v>
      </c>
      <c r="T1754" s="24" t="s">
        <v>106</v>
      </c>
      <c r="U1754" s="24" t="s">
        <v>62</v>
      </c>
      <c r="V1754" s="24" t="s">
        <v>129</v>
      </c>
      <c r="W1754" s="24" t="s">
        <v>77</v>
      </c>
      <c r="X1754" s="24" t="s">
        <v>93</v>
      </c>
      <c r="Y1754" s="24" t="s">
        <v>1333</v>
      </c>
      <c r="Z1754" s="24" t="s">
        <v>64</v>
      </c>
      <c r="AA1754" s="24" t="s">
        <v>485</v>
      </c>
      <c r="AB1754" s="24" t="s">
        <v>0</v>
      </c>
      <c r="AC1754" s="24" t="s">
        <v>4820</v>
      </c>
    </row>
    <row r="1755" spans="1:29">
      <c r="A1755" s="11" t="s">
        <v>4821</v>
      </c>
      <c r="B1755" s="11" t="str">
        <f>IF(ISNUMBER(SEARCH(E1755,A1755)),A1755,IF(OR(E1755="",E1755=""),A1755,A1755&amp;" - "&amp;E1755))</f>
        <v>Remexian 27/1 CIV SBU - Strawberry Bubbles</v>
      </c>
      <c r="C1755" s="30" t="s">
        <v>83</v>
      </c>
      <c r="D1755" s="30" t="s">
        <v>95</v>
      </c>
      <c r="E1755" s="32" t="s">
        <v>4822</v>
      </c>
      <c r="F1755" s="40" t="s">
        <v>69</v>
      </c>
      <c r="G1755" s="34" t="s">
        <v>33</v>
      </c>
      <c r="H1755" s="34">
        <v>1</v>
      </c>
      <c r="I1755" s="30" t="s">
        <v>0</v>
      </c>
      <c r="J1755" s="30" t="s">
        <v>0</v>
      </c>
      <c r="K1755" s="30" t="s">
        <v>52</v>
      </c>
      <c r="L1755" s="30" t="s">
        <v>53</v>
      </c>
      <c r="M1755" s="30" t="s">
        <v>54</v>
      </c>
      <c r="N1755" s="30" t="s">
        <v>88</v>
      </c>
      <c r="O1755" s="30" t="s">
        <v>178</v>
      </c>
      <c r="P1755" s="30" t="s">
        <v>89</v>
      </c>
      <c r="Q1755" s="30" t="s">
        <v>75</v>
      </c>
      <c r="R1755" s="30" t="s">
        <v>0</v>
      </c>
      <c r="S1755" s="30" t="s">
        <v>106</v>
      </c>
      <c r="T1755" s="30" t="s">
        <v>62</v>
      </c>
      <c r="U1755" s="30" t="s">
        <v>147</v>
      </c>
      <c r="V1755" s="30" t="s">
        <v>173</v>
      </c>
      <c r="W1755" s="30" t="s">
        <v>77</v>
      </c>
      <c r="X1755" s="30" t="s">
        <v>93</v>
      </c>
      <c r="Y1755" s="30" t="s">
        <v>159</v>
      </c>
      <c r="Z1755" s="30" t="s">
        <v>64</v>
      </c>
      <c r="AA1755" s="30" t="s">
        <v>95</v>
      </c>
      <c r="AB1755" s="30" t="s">
        <v>0</v>
      </c>
      <c r="AC1755" s="30" t="s">
        <v>4823</v>
      </c>
    </row>
    <row r="1756" spans="1:29">
      <c r="A1756" s="11" t="s">
        <v>4824</v>
      </c>
      <c r="B1756" s="11" t="s">
        <v>4824</v>
      </c>
      <c r="C1756" s="24" t="s">
        <v>56</v>
      </c>
      <c r="D1756" s="25"/>
      <c r="E1756" s="41"/>
      <c r="F1756" s="41"/>
      <c r="G1756" s="27"/>
      <c r="H1756" s="27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 t="s">
        <v>1915</v>
      </c>
      <c r="AA1756" s="24"/>
      <c r="AB1756" s="24"/>
      <c r="AC1756" s="24"/>
    </row>
    <row r="1757" spans="1:29">
      <c r="A1757" s="11" t="s">
        <v>4825</v>
      </c>
      <c r="B1757" s="11" t="str">
        <f>IF(ISNUMBER(SEARCH(E1757,A1757)),A1757,IF(OR(E1757="",E1757=""),A1757,A1757&amp;" - "&amp;E1757))</f>
        <v>Canopy OGD 27/1 - OG Deluxe</v>
      </c>
      <c r="C1757" s="30" t="s">
        <v>547</v>
      </c>
      <c r="D1757" s="30" t="s">
        <v>551</v>
      </c>
      <c r="E1757" s="30" t="s">
        <v>1300</v>
      </c>
      <c r="F1757" s="30" t="s">
        <v>86</v>
      </c>
      <c r="G1757" s="30" t="s">
        <v>33</v>
      </c>
      <c r="H1757" s="31">
        <v>1</v>
      </c>
      <c r="I1757" s="30" t="s">
        <v>0</v>
      </c>
      <c r="J1757" s="30" t="s">
        <v>0</v>
      </c>
      <c r="K1757" s="30" t="s">
        <v>17</v>
      </c>
      <c r="L1757" s="30" t="s">
        <v>53</v>
      </c>
      <c r="M1757" s="30" t="s">
        <v>88</v>
      </c>
      <c r="N1757" s="30" t="s">
        <v>71</v>
      </c>
      <c r="O1757" s="30" t="s">
        <v>72</v>
      </c>
      <c r="P1757" s="30" t="s">
        <v>74</v>
      </c>
      <c r="Q1757" s="30" t="s">
        <v>58</v>
      </c>
      <c r="R1757" s="30" t="s">
        <v>59</v>
      </c>
      <c r="S1757" s="30" t="s">
        <v>90</v>
      </c>
      <c r="T1757" s="30" t="s">
        <v>62</v>
      </c>
      <c r="U1757" s="30" t="s">
        <v>0</v>
      </c>
      <c r="V1757" s="30" t="s">
        <v>116</v>
      </c>
      <c r="W1757" s="30" t="s">
        <v>107</v>
      </c>
      <c r="X1757" s="30" t="s">
        <v>77</v>
      </c>
      <c r="Y1757" s="30" t="s">
        <v>1354</v>
      </c>
      <c r="Z1757" s="30" t="s">
        <v>64</v>
      </c>
      <c r="AA1757" s="30" t="s">
        <v>551</v>
      </c>
      <c r="AB1757" s="30" t="s">
        <v>0</v>
      </c>
      <c r="AC1757" s="36" t="s">
        <v>4826</v>
      </c>
    </row>
    <row r="1758" spans="1:29">
      <c r="A1758" s="11" t="s">
        <v>4827</v>
      </c>
      <c r="B1758" s="11" t="str">
        <f>IF(ISNUMBER(SEARCH(E1758,A1758)),A1758,IF(OR(E1758="",E1758=""),A1758,A1758&amp;" - "&amp;E1758))</f>
        <v>Cirrus Indica 27/1 - Space Cake</v>
      </c>
      <c r="C1758" s="24" t="s">
        <v>564</v>
      </c>
      <c r="D1758" s="24" t="s">
        <v>565</v>
      </c>
      <c r="E1758" s="41" t="s">
        <v>722</v>
      </c>
      <c r="F1758" s="41" t="s">
        <v>86</v>
      </c>
      <c r="G1758" s="27" t="s">
        <v>33</v>
      </c>
      <c r="H1758" s="27">
        <v>1</v>
      </c>
      <c r="I1758" s="24" t="s">
        <v>0</v>
      </c>
      <c r="J1758" s="24" t="s">
        <v>0</v>
      </c>
      <c r="K1758" s="24" t="s">
        <v>52</v>
      </c>
      <c r="L1758" s="24" t="s">
        <v>53</v>
      </c>
      <c r="M1758" s="24" t="s">
        <v>54</v>
      </c>
      <c r="N1758" s="24" t="s">
        <v>212</v>
      </c>
      <c r="O1758" s="24" t="s">
        <v>55</v>
      </c>
      <c r="P1758" s="24" t="s">
        <v>59</v>
      </c>
      <c r="Q1758" s="24" t="s">
        <v>74</v>
      </c>
      <c r="R1758" s="24" t="s">
        <v>57</v>
      </c>
      <c r="S1758" s="24" t="s">
        <v>106</v>
      </c>
      <c r="T1758" s="24" t="s">
        <v>62</v>
      </c>
      <c r="U1758" s="24" t="s">
        <v>147</v>
      </c>
      <c r="V1758" s="24" t="s">
        <v>79</v>
      </c>
      <c r="W1758" s="24" t="s">
        <v>77</v>
      </c>
      <c r="X1758" s="24" t="s">
        <v>173</v>
      </c>
      <c r="Y1758" s="24" t="s">
        <v>2629</v>
      </c>
      <c r="Z1758" s="24" t="s">
        <v>64</v>
      </c>
      <c r="AA1758" s="24" t="s">
        <v>565</v>
      </c>
      <c r="AB1758" s="24" t="s">
        <v>2829</v>
      </c>
      <c r="AC1758" s="24" t="s">
        <v>4828</v>
      </c>
    </row>
    <row r="1759" spans="1:29">
      <c r="A1759" s="11" t="s">
        <v>4829</v>
      </c>
      <c r="B1759" s="11" t="str">
        <f>IF(ISNUMBER(SEARCH(E1759,A1759)),A1759,IF(OR(E1759="",E1759=""),A1759,A1759&amp;" - "&amp;E1759))</f>
        <v>Cirrus Platinum Hybrid 27/1 - Platinum Oranges</v>
      </c>
      <c r="C1759" s="30" t="s">
        <v>564</v>
      </c>
      <c r="D1759" s="30" t="s">
        <v>565</v>
      </c>
      <c r="E1759" s="40" t="s">
        <v>2692</v>
      </c>
      <c r="F1759" s="40" t="s">
        <v>86</v>
      </c>
      <c r="G1759" s="34" t="s">
        <v>33</v>
      </c>
      <c r="H1759" s="34">
        <v>1</v>
      </c>
      <c r="I1759" s="30" t="s">
        <v>0</v>
      </c>
      <c r="J1759" s="30" t="s">
        <v>0</v>
      </c>
      <c r="K1759" s="30" t="s">
        <v>52</v>
      </c>
      <c r="L1759" s="30" t="s">
        <v>53</v>
      </c>
      <c r="M1759" s="30" t="s">
        <v>71</v>
      </c>
      <c r="N1759" s="30" t="s">
        <v>111</v>
      </c>
      <c r="O1759" s="30" t="s">
        <v>72</v>
      </c>
      <c r="P1759" s="30" t="s">
        <v>75</v>
      </c>
      <c r="Q1759" s="30" t="s">
        <v>89</v>
      </c>
      <c r="R1759" s="30" t="s">
        <v>58</v>
      </c>
      <c r="S1759" s="30" t="s">
        <v>106</v>
      </c>
      <c r="T1759" s="30" t="s">
        <v>62</v>
      </c>
      <c r="U1759" s="30" t="s">
        <v>123</v>
      </c>
      <c r="V1759" s="30" t="s">
        <v>77</v>
      </c>
      <c r="W1759" s="30" t="s">
        <v>107</v>
      </c>
      <c r="X1759" s="30" t="s">
        <v>711</v>
      </c>
      <c r="Y1759" s="30" t="s">
        <v>331</v>
      </c>
      <c r="Z1759" s="30" t="s">
        <v>64</v>
      </c>
      <c r="AA1759" s="30" t="s">
        <v>565</v>
      </c>
      <c r="AB1759" s="30" t="s">
        <v>2829</v>
      </c>
      <c r="AC1759" s="30" t="s">
        <v>4830</v>
      </c>
    </row>
    <row r="1760" spans="1:29">
      <c r="A1760" s="11" t="s">
        <v>974</v>
      </c>
      <c r="B1760" s="11" t="str">
        <f>IF(ISNUMBER(SEARCH(E1760,A1760)),A1760,IF(OR(E1760="",E1760=""),A1760,A1760&amp;" - "&amp;E1760))</f>
        <v>Remexian 22/1 - Biscotti Mintz</v>
      </c>
      <c r="C1760" s="24" t="s">
        <v>83</v>
      </c>
      <c r="D1760" s="24" t="s">
        <v>95</v>
      </c>
      <c r="E1760" s="41" t="s">
        <v>407</v>
      </c>
      <c r="F1760" s="41" t="s">
        <v>86</v>
      </c>
      <c r="G1760" s="27" t="s">
        <v>4126</v>
      </c>
      <c r="H1760" s="27" t="s">
        <v>65</v>
      </c>
      <c r="I1760" s="24" t="s">
        <v>0</v>
      </c>
      <c r="J1760" s="24" t="s">
        <v>0</v>
      </c>
      <c r="K1760" s="24" t="s">
        <v>52</v>
      </c>
      <c r="L1760" s="24" t="s">
        <v>87</v>
      </c>
      <c r="M1760" s="24" t="s">
        <v>54</v>
      </c>
      <c r="N1760" s="24" t="s">
        <v>88</v>
      </c>
      <c r="O1760" s="24" t="s">
        <v>111</v>
      </c>
      <c r="P1760" s="24" t="s">
        <v>74</v>
      </c>
      <c r="Q1760" s="24" t="s">
        <v>59</v>
      </c>
      <c r="R1760" s="24" t="s">
        <v>112</v>
      </c>
      <c r="S1760" s="24" t="s">
        <v>106</v>
      </c>
      <c r="T1760" s="24" t="s">
        <v>62</v>
      </c>
      <c r="U1760" s="24" t="s">
        <v>123</v>
      </c>
      <c r="V1760" s="24" t="s">
        <v>116</v>
      </c>
      <c r="W1760" s="24" t="s">
        <v>79</v>
      </c>
      <c r="X1760" s="24" t="s">
        <v>138</v>
      </c>
      <c r="Y1760" s="24" t="s">
        <v>213</v>
      </c>
      <c r="Z1760" s="24" t="s">
        <v>64</v>
      </c>
      <c r="AA1760" s="24" t="s">
        <v>95</v>
      </c>
      <c r="AB1760" s="24" t="s">
        <v>0</v>
      </c>
      <c r="AC1760" s="24" t="s">
        <v>4831</v>
      </c>
    </row>
    <row r="1761" spans="1:29">
      <c r="A1761" s="11" t="s">
        <v>4832</v>
      </c>
      <c r="B1761" s="11" t="str">
        <f>IF(ISNUMBER(SEARCH(E1761,A1761)),A1761,IF(OR(E1761="",E1761=""),A1761,A1761&amp;" - "&amp;E1761))</f>
        <v>Remexian 27/1 PGF GOZ - GMO x OZ Kush</v>
      </c>
      <c r="C1761" s="30" t="s">
        <v>83</v>
      </c>
      <c r="D1761" s="30" t="s">
        <v>95</v>
      </c>
      <c r="E1761" s="40" t="s">
        <v>4655</v>
      </c>
      <c r="F1761" s="40" t="s">
        <v>144</v>
      </c>
      <c r="G1761" s="34" t="s">
        <v>33</v>
      </c>
      <c r="H1761" s="34">
        <v>1</v>
      </c>
      <c r="I1761" s="30" t="s">
        <v>0</v>
      </c>
      <c r="J1761" s="30" t="s">
        <v>0</v>
      </c>
      <c r="K1761" s="30" t="s">
        <v>52</v>
      </c>
      <c r="L1761" s="30" t="s">
        <v>53</v>
      </c>
      <c r="M1761" s="30" t="s">
        <v>54</v>
      </c>
      <c r="N1761" s="30" t="s">
        <v>111</v>
      </c>
      <c r="O1761" s="30" t="s">
        <v>72</v>
      </c>
      <c r="P1761" s="30" t="s">
        <v>89</v>
      </c>
      <c r="Q1761" s="30" t="s">
        <v>59</v>
      </c>
      <c r="R1761" s="30" t="s">
        <v>157</v>
      </c>
      <c r="S1761" s="30" t="s">
        <v>128</v>
      </c>
      <c r="T1761" s="30" t="s">
        <v>106</v>
      </c>
      <c r="U1761" s="30" t="s">
        <v>62</v>
      </c>
      <c r="V1761" s="30" t="s">
        <v>77</v>
      </c>
      <c r="W1761" s="30" t="s">
        <v>79</v>
      </c>
      <c r="X1761" s="30" t="s">
        <v>107</v>
      </c>
      <c r="Y1761" s="30" t="s">
        <v>449</v>
      </c>
      <c r="Z1761" s="30" t="s">
        <v>64</v>
      </c>
      <c r="AA1761" s="30" t="s">
        <v>95</v>
      </c>
      <c r="AB1761" s="30" t="s">
        <v>0</v>
      </c>
      <c r="AC1761" s="30" t="s">
        <v>4833</v>
      </c>
    </row>
    <row r="1762" spans="1:29">
      <c r="A1762" s="11" t="s">
        <v>4834</v>
      </c>
      <c r="B1762" s="11" t="str">
        <f>IF(ISNUMBER(SEARCH(E1762,A1762)),A1762,IF(OR(E1762="",E1762=""),A1762,A1762&amp;" - "&amp;E1762))</f>
        <v>enua 20/1 BA CA - Busy Animal</v>
      </c>
      <c r="C1762" s="24" t="s">
        <v>650</v>
      </c>
      <c r="D1762" s="24" t="s">
        <v>653</v>
      </c>
      <c r="E1762" s="26" t="s">
        <v>4835</v>
      </c>
      <c r="F1762" s="41" t="s">
        <v>177</v>
      </c>
      <c r="G1762" s="27" t="s">
        <v>460</v>
      </c>
      <c r="H1762" s="27" t="s">
        <v>65</v>
      </c>
      <c r="I1762" s="24" t="s">
        <v>0</v>
      </c>
      <c r="J1762" s="24" t="s">
        <v>0</v>
      </c>
      <c r="K1762" s="24" t="s">
        <v>52</v>
      </c>
      <c r="L1762" s="24" t="s">
        <v>53</v>
      </c>
      <c r="M1762" s="24" t="s">
        <v>178</v>
      </c>
      <c r="N1762" s="24" t="s">
        <v>54</v>
      </c>
      <c r="O1762" s="24" t="s">
        <v>55</v>
      </c>
      <c r="P1762" s="24" t="s">
        <v>59</v>
      </c>
      <c r="Q1762" s="24" t="s">
        <v>75</v>
      </c>
      <c r="R1762" s="24" t="s">
        <v>104</v>
      </c>
      <c r="S1762" s="24" t="s">
        <v>106</v>
      </c>
      <c r="T1762" s="24" t="s">
        <v>62</v>
      </c>
      <c r="U1762" s="24" t="s">
        <v>123</v>
      </c>
      <c r="V1762" s="24" t="s">
        <v>77</v>
      </c>
      <c r="W1762" s="24" t="s">
        <v>173</v>
      </c>
      <c r="X1762" s="24" t="s">
        <v>79</v>
      </c>
      <c r="Y1762" s="24" t="s">
        <v>413</v>
      </c>
      <c r="Z1762" s="24" t="s">
        <v>64</v>
      </c>
      <c r="AA1762" s="24" t="s">
        <v>653</v>
      </c>
      <c r="AB1762" s="24" t="s">
        <v>0</v>
      </c>
      <c r="AC1762" s="24" t="s">
        <v>4836</v>
      </c>
    </row>
    <row r="1763" spans="1:29">
      <c r="A1763" s="11" t="s">
        <v>4688</v>
      </c>
      <c r="B1763" s="11" t="str">
        <f>IF(ISNUMBER(SEARCH(E1763,A1763)),A1763,IF(OR(E1763="",E1763=""),A1763,A1763&amp;" - "&amp;E1763))</f>
        <v>Buuo 22/1 CDLC - Strawberry Guava</v>
      </c>
      <c r="C1763" s="30" t="s">
        <v>641</v>
      </c>
      <c r="D1763" s="30" t="s">
        <v>642</v>
      </c>
      <c r="E1763" s="32" t="s">
        <v>4837</v>
      </c>
      <c r="F1763" s="40" t="s">
        <v>177</v>
      </c>
      <c r="G1763" s="34" t="s">
        <v>4126</v>
      </c>
      <c r="H1763" s="34">
        <v>1</v>
      </c>
      <c r="I1763" s="30" t="s">
        <v>0</v>
      </c>
      <c r="J1763" s="30" t="s">
        <v>0</v>
      </c>
      <c r="K1763" s="30" t="s">
        <v>52</v>
      </c>
      <c r="L1763" s="30" t="s">
        <v>53</v>
      </c>
      <c r="M1763" s="30" t="s">
        <v>88</v>
      </c>
      <c r="N1763" s="30" t="s">
        <v>54</v>
      </c>
      <c r="O1763" s="30" t="s">
        <v>0</v>
      </c>
      <c r="P1763" s="30" t="s">
        <v>74</v>
      </c>
      <c r="Q1763" s="30" t="s">
        <v>73</v>
      </c>
      <c r="R1763" s="30" t="s">
        <v>89</v>
      </c>
      <c r="S1763" s="30" t="s">
        <v>106</v>
      </c>
      <c r="T1763" s="30" t="s">
        <v>62</v>
      </c>
      <c r="U1763" s="30" t="s">
        <v>147</v>
      </c>
      <c r="V1763" s="30" t="s">
        <v>77</v>
      </c>
      <c r="W1763" s="30" t="s">
        <v>173</v>
      </c>
      <c r="X1763" s="30" t="s">
        <v>197</v>
      </c>
      <c r="Y1763" s="30" t="s">
        <v>2129</v>
      </c>
      <c r="Z1763" s="30" t="s">
        <v>64</v>
      </c>
      <c r="AA1763" s="30" t="s">
        <v>642</v>
      </c>
      <c r="AB1763" s="30" t="s">
        <v>0</v>
      </c>
      <c r="AC1763" s="30" t="s">
        <v>4838</v>
      </c>
    </row>
    <row r="1764" spans="1:29">
      <c r="A1764" s="11" t="s">
        <v>4829</v>
      </c>
      <c r="B1764" s="11" t="str">
        <f>IF(ISNUMBER(SEARCH(E1764,A1764)),A1764,IF(OR(E1764="",E1764=""),A1764,A1764&amp;" - "&amp;E1764))</f>
        <v>Cirrus Platinum Hybrid 27/1 - Dosi Cake</v>
      </c>
      <c r="C1764" s="24" t="s">
        <v>564</v>
      </c>
      <c r="D1764" s="24" t="s">
        <v>565</v>
      </c>
      <c r="E1764" s="26" t="s">
        <v>4839</v>
      </c>
      <c r="F1764" s="41" t="s">
        <v>177</v>
      </c>
      <c r="G1764" s="27" t="s">
        <v>33</v>
      </c>
      <c r="H1764" s="27">
        <v>1</v>
      </c>
      <c r="I1764" s="24" t="s">
        <v>0</v>
      </c>
      <c r="J1764" s="24" t="s">
        <v>0</v>
      </c>
      <c r="K1764" s="24" t="s">
        <v>52</v>
      </c>
      <c r="L1764" s="24" t="s">
        <v>102</v>
      </c>
      <c r="M1764" s="24" t="s">
        <v>88</v>
      </c>
      <c r="N1764" s="24" t="s">
        <v>72</v>
      </c>
      <c r="O1764" s="24" t="s">
        <v>0</v>
      </c>
      <c r="P1764" s="24" t="s">
        <v>74</v>
      </c>
      <c r="Q1764" s="24" t="s">
        <v>75</v>
      </c>
      <c r="R1764" s="24" t="s">
        <v>58</v>
      </c>
      <c r="S1764" s="24" t="s">
        <v>106</v>
      </c>
      <c r="T1764" s="24" t="s">
        <v>234</v>
      </c>
      <c r="U1764" s="24" t="s">
        <v>123</v>
      </c>
      <c r="V1764" s="24" t="s">
        <v>93</v>
      </c>
      <c r="W1764" s="24" t="s">
        <v>107</v>
      </c>
      <c r="X1764" s="24" t="s">
        <v>116</v>
      </c>
      <c r="Y1764" s="24" t="s">
        <v>217</v>
      </c>
      <c r="Z1764" s="24" t="s">
        <v>64</v>
      </c>
      <c r="AA1764" s="24" t="s">
        <v>565</v>
      </c>
      <c r="AB1764" s="24" t="s">
        <v>2829</v>
      </c>
      <c r="AC1764" s="24" t="s">
        <v>4840</v>
      </c>
    </row>
    <row r="1765" spans="1:29">
      <c r="A1765" s="11" t="s">
        <v>4841</v>
      </c>
      <c r="B1765" s="11" t="str">
        <f>IF(ISNUMBER(SEARCH(E1765,A1765)),A1765,IF(OR(E1765="",E1765=""),A1765,A1765&amp;" - "&amp;E1765))</f>
        <v>Bedrocan Cannabis Flos 25/1 - Afina</v>
      </c>
      <c r="C1765" s="30" t="s">
        <v>880</v>
      </c>
      <c r="D1765" s="30" t="s">
        <v>881</v>
      </c>
      <c r="E1765" s="40" t="s">
        <v>3478</v>
      </c>
      <c r="F1765" s="40" t="s">
        <v>144</v>
      </c>
      <c r="G1765" s="34" t="s">
        <v>26</v>
      </c>
      <c r="H1765" s="34">
        <v>1</v>
      </c>
      <c r="I1765" s="30" t="s">
        <v>0</v>
      </c>
      <c r="J1765" s="30" t="s">
        <v>0</v>
      </c>
      <c r="K1765" s="30" t="s">
        <v>17</v>
      </c>
      <c r="L1765" s="30" t="s">
        <v>883</v>
      </c>
      <c r="M1765" s="30" t="s">
        <v>54</v>
      </c>
      <c r="N1765" s="30" t="s">
        <v>55</v>
      </c>
      <c r="O1765" s="30" t="s">
        <v>88</v>
      </c>
      <c r="P1765" s="30" t="s">
        <v>89</v>
      </c>
      <c r="Q1765" s="30" t="s">
        <v>104</v>
      </c>
      <c r="R1765" s="30" t="s">
        <v>75</v>
      </c>
      <c r="S1765" s="30" t="s">
        <v>90</v>
      </c>
      <c r="T1765" s="30" t="s">
        <v>106</v>
      </c>
      <c r="U1765" s="30" t="s">
        <v>62</v>
      </c>
      <c r="V1765" s="30" t="s">
        <v>107</v>
      </c>
      <c r="W1765" s="30" t="s">
        <v>165</v>
      </c>
      <c r="X1765" s="30" t="s">
        <v>77</v>
      </c>
      <c r="Y1765" s="30" t="s">
        <v>4595</v>
      </c>
      <c r="Z1765" s="30" t="s">
        <v>64</v>
      </c>
      <c r="AA1765" s="30" t="s">
        <v>881</v>
      </c>
      <c r="AB1765" s="30" t="s">
        <v>0</v>
      </c>
      <c r="AC1765" s="30" t="s">
        <v>4842</v>
      </c>
    </row>
    <row r="1766" spans="1:29">
      <c r="A1766" s="11" t="s">
        <v>4843</v>
      </c>
      <c r="B1766" s="11" t="str">
        <f>IF(ISNUMBER(SEARCH(E1766,A1766)),A1766,IF(OR(E1766="",E1766=""),A1766,A1766&amp;" - "&amp;E1766))</f>
        <v>HiSociety TT Banjo</v>
      </c>
      <c r="C1766" s="24" t="s">
        <v>564</v>
      </c>
      <c r="D1766" s="24" t="s">
        <v>565</v>
      </c>
      <c r="E1766" s="41" t="s">
        <v>3686</v>
      </c>
      <c r="F1766" s="41" t="s">
        <v>86</v>
      </c>
      <c r="G1766" s="27" t="s">
        <v>4160</v>
      </c>
      <c r="H1766" s="27" t="s">
        <v>65</v>
      </c>
      <c r="I1766" s="24" t="s">
        <v>0</v>
      </c>
      <c r="J1766" s="24" t="s">
        <v>0</v>
      </c>
      <c r="K1766" s="24" t="s">
        <v>52</v>
      </c>
      <c r="L1766" s="24" t="s">
        <v>102</v>
      </c>
      <c r="M1766" s="24" t="s">
        <v>72</v>
      </c>
      <c r="N1766" s="24" t="s">
        <v>88</v>
      </c>
      <c r="O1766" s="24" t="s">
        <v>0</v>
      </c>
      <c r="P1766" s="24" t="s">
        <v>89</v>
      </c>
      <c r="Q1766" s="24" t="s">
        <v>58</v>
      </c>
      <c r="R1766" s="24" t="s">
        <v>186</v>
      </c>
      <c r="S1766" s="24" t="s">
        <v>106</v>
      </c>
      <c r="T1766" s="24" t="s">
        <v>147</v>
      </c>
      <c r="U1766" s="24" t="s">
        <v>192</v>
      </c>
      <c r="V1766" s="24" t="s">
        <v>116</v>
      </c>
      <c r="W1766" s="24" t="s">
        <v>79</v>
      </c>
      <c r="X1766" s="24" t="s">
        <v>107</v>
      </c>
      <c r="Y1766" s="24" t="s">
        <v>1175</v>
      </c>
      <c r="Z1766" s="24" t="s">
        <v>64</v>
      </c>
      <c r="AA1766" s="24" t="s">
        <v>565</v>
      </c>
      <c r="AB1766" s="24" t="s">
        <v>4634</v>
      </c>
      <c r="AC1766" s="24" t="s">
        <v>4844</v>
      </c>
    </row>
    <row r="1767" spans="1:29">
      <c r="A1767" s="11" t="s">
        <v>4845</v>
      </c>
      <c r="B1767" s="11" t="str">
        <f>IF(ISNUMBER(SEARCH(E1767,A1767)),A1767,IF(OR(E1767="",E1767=""),A1767,A1767&amp;" - "&amp;E1767))</f>
        <v>All Nations Pretty Smalls GM 21/1 MacDoughnut - Mac Doughnut</v>
      </c>
      <c r="C1767" s="30" t="s">
        <v>564</v>
      </c>
      <c r="D1767" s="30" t="s">
        <v>565</v>
      </c>
      <c r="E1767" s="40" t="s">
        <v>1230</v>
      </c>
      <c r="F1767" s="40" t="s">
        <v>177</v>
      </c>
      <c r="G1767" s="34" t="s">
        <v>452</v>
      </c>
      <c r="H1767" s="34">
        <v>1</v>
      </c>
      <c r="I1767" s="30" t="s">
        <v>0</v>
      </c>
      <c r="J1767" s="30" t="s">
        <v>0</v>
      </c>
      <c r="K1767" s="30" t="s">
        <v>52</v>
      </c>
      <c r="L1767" s="30" t="s">
        <v>53</v>
      </c>
      <c r="M1767" s="30" t="s">
        <v>72</v>
      </c>
      <c r="N1767" s="30" t="s">
        <v>121</v>
      </c>
      <c r="O1767" s="30" t="s">
        <v>0</v>
      </c>
      <c r="P1767" s="30" t="s">
        <v>58</v>
      </c>
      <c r="Q1767" s="30" t="s">
        <v>89</v>
      </c>
      <c r="R1767" s="30" t="s">
        <v>0</v>
      </c>
      <c r="S1767" s="30" t="s">
        <v>106</v>
      </c>
      <c r="T1767" s="30" t="s">
        <v>91</v>
      </c>
      <c r="U1767" s="30" t="s">
        <v>147</v>
      </c>
      <c r="V1767" s="30" t="s">
        <v>77</v>
      </c>
      <c r="W1767" s="30" t="s">
        <v>79</v>
      </c>
      <c r="X1767" s="30" t="s">
        <v>116</v>
      </c>
      <c r="Y1767" s="30" t="s">
        <v>4731</v>
      </c>
      <c r="Z1767" s="30" t="s">
        <v>64</v>
      </c>
      <c r="AA1767" s="30" t="s">
        <v>565</v>
      </c>
      <c r="AB1767" s="30" t="s">
        <v>1232</v>
      </c>
      <c r="AC1767" s="30" t="s">
        <v>4846</v>
      </c>
    </row>
    <row r="1768" spans="1:29">
      <c r="A1768" s="11" t="s">
        <v>4847</v>
      </c>
      <c r="B1768" s="11" t="str">
        <f>IF(ISNUMBER(SEARCH(E1768,A1768)),A1768,IF(OR(E1768="",E1768=""),A1768,A1768&amp;" - "&amp;E1768))</f>
        <v>CNBS BTY GP 30/1 - Better Than Your Gary Payton</v>
      </c>
      <c r="C1768" s="24" t="s">
        <v>822</v>
      </c>
      <c r="D1768" s="24" t="s">
        <v>826</v>
      </c>
      <c r="E1768" s="26" t="s">
        <v>4848</v>
      </c>
      <c r="F1768" s="41" t="s">
        <v>86</v>
      </c>
      <c r="G1768" s="27" t="s">
        <v>4488</v>
      </c>
      <c r="H1768" s="27" t="s">
        <v>65</v>
      </c>
      <c r="I1768" s="24" t="s">
        <v>0</v>
      </c>
      <c r="J1768" s="24" t="s">
        <v>0</v>
      </c>
      <c r="K1768" s="24" t="s">
        <v>52</v>
      </c>
      <c r="L1768" s="24" t="s">
        <v>53</v>
      </c>
      <c r="M1768" s="24" t="s">
        <v>72</v>
      </c>
      <c r="N1768" s="24" t="s">
        <v>111</v>
      </c>
      <c r="O1768" s="24" t="s">
        <v>88</v>
      </c>
      <c r="P1768" s="24" t="s">
        <v>89</v>
      </c>
      <c r="Q1768" s="24" t="s">
        <v>75</v>
      </c>
      <c r="R1768" s="24" t="s">
        <v>0</v>
      </c>
      <c r="S1768" s="24" t="s">
        <v>106</v>
      </c>
      <c r="T1768" s="24" t="s">
        <v>62</v>
      </c>
      <c r="U1768" s="24" t="s">
        <v>782</v>
      </c>
      <c r="V1768" s="24" t="s">
        <v>93</v>
      </c>
      <c r="W1768" s="24" t="s">
        <v>173</v>
      </c>
      <c r="X1768" s="24" t="s">
        <v>77</v>
      </c>
      <c r="Y1768" s="24" t="s">
        <v>449</v>
      </c>
      <c r="Z1768" s="24" t="s">
        <v>64</v>
      </c>
      <c r="AA1768" s="24" t="s">
        <v>826</v>
      </c>
      <c r="AB1768" s="24" t="s">
        <v>0</v>
      </c>
      <c r="AC1768" s="24" t="s">
        <v>4849</v>
      </c>
    </row>
    <row r="1769" spans="1:29">
      <c r="A1769" s="11" t="s">
        <v>4850</v>
      </c>
      <c r="B1769" s="11" t="str">
        <f>IF(ISNUMBER(SEARCH(E1769,A1769)),A1769,IF(OR(E1769="",E1769=""),A1769,A1769&amp;" - "&amp;E1769))</f>
        <v>enua 30/1 ZKM CA - Zkittlez Kushmints</v>
      </c>
      <c r="C1769" s="30" t="s">
        <v>650</v>
      </c>
      <c r="D1769" s="30" t="s">
        <v>653</v>
      </c>
      <c r="E1769" s="40" t="s">
        <v>3860</v>
      </c>
      <c r="F1769" s="40" t="s">
        <v>120</v>
      </c>
      <c r="G1769" s="34" t="s">
        <v>4057</v>
      </c>
      <c r="H1769" s="34" t="s">
        <v>65</v>
      </c>
      <c r="I1769" s="30" t="s">
        <v>0</v>
      </c>
      <c r="J1769" s="30" t="s">
        <v>0</v>
      </c>
      <c r="K1769" s="30" t="s">
        <v>52</v>
      </c>
      <c r="L1769" s="30" t="s">
        <v>53</v>
      </c>
      <c r="M1769" s="30" t="s">
        <v>54</v>
      </c>
      <c r="N1769" s="30" t="s">
        <v>178</v>
      </c>
      <c r="O1769" s="30" t="s">
        <v>88</v>
      </c>
      <c r="P1769" s="30" t="s">
        <v>136</v>
      </c>
      <c r="Q1769" s="30" t="s">
        <v>75</v>
      </c>
      <c r="R1769" s="30" t="s">
        <v>112</v>
      </c>
      <c r="S1769" s="30" t="s">
        <v>128</v>
      </c>
      <c r="T1769" s="30" t="s">
        <v>61</v>
      </c>
      <c r="U1769" s="30" t="s">
        <v>62</v>
      </c>
      <c r="V1769" s="30" t="s">
        <v>77</v>
      </c>
      <c r="W1769" s="30" t="s">
        <v>107</v>
      </c>
      <c r="X1769" s="30" t="s">
        <v>79</v>
      </c>
      <c r="Y1769" s="30" t="s">
        <v>4851</v>
      </c>
      <c r="Z1769" s="30" t="s">
        <v>64</v>
      </c>
      <c r="AA1769" s="30" t="s">
        <v>653</v>
      </c>
      <c r="AB1769" s="30" t="s">
        <v>0</v>
      </c>
      <c r="AC1769" s="30" t="s">
        <v>4852</v>
      </c>
    </row>
    <row r="1770" spans="1:29">
      <c r="A1770" s="11" t="s">
        <v>4853</v>
      </c>
      <c r="B1770" s="11" t="str">
        <f>IF(ISNUMBER(SEARCH(E1770,A1770)),A1770,IF(OR(E1770="",E1770=""),A1770,A1770&amp;" - "&amp;E1770))</f>
        <v>IMC X4 THC25 Token - Gorilla Queen</v>
      </c>
      <c r="C1770" s="24" t="s">
        <v>646</v>
      </c>
      <c r="D1770" s="24" t="s">
        <v>646</v>
      </c>
      <c r="E1770" s="26" t="s">
        <v>4854</v>
      </c>
      <c r="F1770" s="41" t="s">
        <v>86</v>
      </c>
      <c r="G1770" s="27" t="s">
        <v>26</v>
      </c>
      <c r="H1770" s="27">
        <v>1</v>
      </c>
      <c r="I1770" s="24" t="s">
        <v>0</v>
      </c>
      <c r="J1770" s="24" t="s">
        <v>0</v>
      </c>
      <c r="K1770" s="24" t="s">
        <v>52</v>
      </c>
      <c r="L1770" s="24" t="s">
        <v>1506</v>
      </c>
      <c r="M1770" s="24" t="s">
        <v>103</v>
      </c>
      <c r="N1770" s="24" t="s">
        <v>72</v>
      </c>
      <c r="O1770" s="24" t="s">
        <v>88</v>
      </c>
      <c r="P1770" s="24" t="s">
        <v>74</v>
      </c>
      <c r="Q1770" s="24" t="s">
        <v>75</v>
      </c>
      <c r="R1770" s="24" t="s">
        <v>73</v>
      </c>
      <c r="S1770" s="24" t="s">
        <v>106</v>
      </c>
      <c r="T1770" s="24" t="s">
        <v>62</v>
      </c>
      <c r="U1770" s="24" t="s">
        <v>147</v>
      </c>
      <c r="V1770" s="24" t="s">
        <v>93</v>
      </c>
      <c r="W1770" s="24" t="s">
        <v>107</v>
      </c>
      <c r="X1770" s="24" t="s">
        <v>173</v>
      </c>
      <c r="Y1770" s="24" t="s">
        <v>1175</v>
      </c>
      <c r="Z1770" s="24" t="s">
        <v>64</v>
      </c>
      <c r="AA1770" s="24" t="s">
        <v>646</v>
      </c>
      <c r="AB1770" s="24" t="s">
        <v>0</v>
      </c>
      <c r="AC1770" s="24" t="s">
        <v>4855</v>
      </c>
    </row>
    <row r="1771" spans="1:29">
      <c r="A1771" s="11" t="s">
        <v>4856</v>
      </c>
      <c r="B1771" s="11" t="str">
        <f>IF(ISNUMBER(SEARCH(E1771,A1771)),A1771,IF(OR(E1771="",E1771=""),A1771,A1771&amp;" - "&amp;E1771))</f>
        <v>ADREX 24 CSC CAN - Chem Scout Cookies</v>
      </c>
      <c r="C1771" s="30" t="s">
        <v>911</v>
      </c>
      <c r="D1771" s="30" t="s">
        <v>912</v>
      </c>
      <c r="E1771" s="32" t="s">
        <v>4857</v>
      </c>
      <c r="F1771" s="40" t="s">
        <v>177</v>
      </c>
      <c r="G1771" s="34" t="s">
        <v>448</v>
      </c>
      <c r="H1771" s="34">
        <v>1</v>
      </c>
      <c r="I1771" s="30" t="s">
        <v>0</v>
      </c>
      <c r="J1771" s="30" t="s">
        <v>0</v>
      </c>
      <c r="K1771" s="30" t="s">
        <v>52</v>
      </c>
      <c r="L1771" s="30" t="s">
        <v>53</v>
      </c>
      <c r="M1771" s="30" t="s">
        <v>54</v>
      </c>
      <c r="N1771" s="30" t="s">
        <v>72</v>
      </c>
      <c r="O1771" s="30" t="s">
        <v>88</v>
      </c>
      <c r="P1771" s="30" t="s">
        <v>75</v>
      </c>
      <c r="Q1771" s="30" t="s">
        <v>89</v>
      </c>
      <c r="R1771" s="30" t="s">
        <v>73</v>
      </c>
      <c r="S1771" s="30" t="s">
        <v>106</v>
      </c>
      <c r="T1771" s="30" t="s">
        <v>62</v>
      </c>
      <c r="U1771" s="30" t="s">
        <v>147</v>
      </c>
      <c r="V1771" s="30" t="s">
        <v>107</v>
      </c>
      <c r="W1771" s="30" t="s">
        <v>173</v>
      </c>
      <c r="X1771" s="30" t="s">
        <v>77</v>
      </c>
      <c r="Y1771" s="30" t="s">
        <v>314</v>
      </c>
      <c r="Z1771" s="30" t="s">
        <v>64</v>
      </c>
      <c r="AA1771" s="30" t="s">
        <v>912</v>
      </c>
      <c r="AB1771" s="30" t="s">
        <v>0</v>
      </c>
      <c r="AC1771" s="30" t="s">
        <v>4858</v>
      </c>
    </row>
    <row r="1772" spans="1:29">
      <c r="A1772" s="11" t="s">
        <v>4859</v>
      </c>
      <c r="B1772" s="11" t="str">
        <f>IF(ISNUMBER(SEARCH(E1772,A1772)),A1772,IF(OR(E1772="",E1772=""),A1772,A1772&amp;" - "&amp;E1772))</f>
        <v>Canify Cannabis flos 25/1 PRT Ku. Black Cherry Pie Small buds</v>
      </c>
      <c r="C1772" s="24" t="s">
        <v>99</v>
      </c>
      <c r="D1772" s="24" t="s">
        <v>100</v>
      </c>
      <c r="E1772" s="41" t="s">
        <v>191</v>
      </c>
      <c r="F1772" s="41" t="s">
        <v>120</v>
      </c>
      <c r="G1772" s="27" t="s">
        <v>26</v>
      </c>
      <c r="H1772" s="27">
        <v>1</v>
      </c>
      <c r="I1772" s="24" t="s">
        <v>0</v>
      </c>
      <c r="J1772" s="24" t="s">
        <v>0</v>
      </c>
      <c r="K1772" s="24" t="s">
        <v>52</v>
      </c>
      <c r="L1772" s="24" t="s">
        <v>102</v>
      </c>
      <c r="M1772" s="24" t="s">
        <v>111</v>
      </c>
      <c r="N1772" s="24" t="s">
        <v>103</v>
      </c>
      <c r="O1772" s="24" t="s">
        <v>71</v>
      </c>
      <c r="P1772" s="24" t="s">
        <v>58</v>
      </c>
      <c r="Q1772" s="24" t="s">
        <v>113</v>
      </c>
      <c r="R1772" s="24" t="s">
        <v>0</v>
      </c>
      <c r="S1772" s="24" t="s">
        <v>62</v>
      </c>
      <c r="T1772" s="24" t="s">
        <v>105</v>
      </c>
      <c r="U1772" s="24" t="s">
        <v>192</v>
      </c>
      <c r="V1772" s="24" t="s">
        <v>711</v>
      </c>
      <c r="W1772" s="24" t="s">
        <v>93</v>
      </c>
      <c r="X1772" s="24" t="s">
        <v>116</v>
      </c>
      <c r="Y1772" s="24" t="s">
        <v>396</v>
      </c>
      <c r="Z1772" s="24" t="s">
        <v>64</v>
      </c>
      <c r="AA1772" s="24" t="s">
        <v>100</v>
      </c>
      <c r="AB1772" s="24" t="s">
        <v>194</v>
      </c>
      <c r="AC1772" s="24" t="s">
        <v>4860</v>
      </c>
    </row>
    <row r="1773" spans="1:29">
      <c r="A1773" s="11" t="s">
        <v>4861</v>
      </c>
      <c r="B1773" s="11" t="str">
        <f>IF(ISNUMBER(SEARCH(E1773,A1773)),A1773,IF(OR(E1773="",E1773=""),A1773,A1773&amp;" - "&amp;E1773))</f>
        <v>CannGo OCR 20/1 Orange Crasher by The BC Green</v>
      </c>
      <c r="C1773" s="30" t="s">
        <v>2522</v>
      </c>
      <c r="D1773" s="30" t="s">
        <v>2523</v>
      </c>
      <c r="E1773" s="40" t="s">
        <v>2781</v>
      </c>
      <c r="F1773" s="40" t="s">
        <v>177</v>
      </c>
      <c r="G1773" s="34" t="s">
        <v>460</v>
      </c>
      <c r="H1773" s="34" t="s">
        <v>65</v>
      </c>
      <c r="I1773" s="30" t="s">
        <v>0</v>
      </c>
      <c r="J1773" s="30" t="s">
        <v>0</v>
      </c>
      <c r="K1773" s="30" t="s">
        <v>52</v>
      </c>
      <c r="L1773" s="30" t="s">
        <v>53</v>
      </c>
      <c r="M1773" s="30" t="s">
        <v>178</v>
      </c>
      <c r="N1773" s="30" t="s">
        <v>54</v>
      </c>
      <c r="O1773" s="30" t="s">
        <v>111</v>
      </c>
      <c r="P1773" s="30" t="s">
        <v>59</v>
      </c>
      <c r="Q1773" s="30" t="s">
        <v>89</v>
      </c>
      <c r="R1773" s="30" t="s">
        <v>57</v>
      </c>
      <c r="S1773" s="30" t="s">
        <v>62</v>
      </c>
      <c r="T1773" s="30" t="s">
        <v>147</v>
      </c>
      <c r="U1773" s="30" t="s">
        <v>0</v>
      </c>
      <c r="V1773" s="30" t="s">
        <v>116</v>
      </c>
      <c r="W1773" s="30" t="s">
        <v>79</v>
      </c>
      <c r="X1773" s="30" t="s">
        <v>77</v>
      </c>
      <c r="Y1773" s="30" t="s">
        <v>311</v>
      </c>
      <c r="Z1773" s="30" t="s">
        <v>64</v>
      </c>
      <c r="AA1773" s="30" t="s">
        <v>2523</v>
      </c>
      <c r="AB1773" s="30" t="s">
        <v>0</v>
      </c>
      <c r="AC1773" s="30" t="s">
        <v>4862</v>
      </c>
    </row>
    <row r="1774" spans="1:29">
      <c r="A1774" s="11" t="s">
        <v>266</v>
      </c>
      <c r="B1774" s="11" t="str">
        <f>IF(ISNUMBER(SEARCH(E1774,A1774)),A1774,IF(OR(E1774="",E1774=""),A1774,A1774&amp;" - "&amp;E1774))</f>
        <v>Tilray THC18 Spotlight Porto - Lilac Diesel</v>
      </c>
      <c r="C1774" s="24" t="s">
        <v>133</v>
      </c>
      <c r="D1774" s="24" t="s">
        <v>134</v>
      </c>
      <c r="E1774" s="26" t="s">
        <v>4863</v>
      </c>
      <c r="F1774" s="41" t="s">
        <v>177</v>
      </c>
      <c r="G1774" s="27" t="s">
        <v>8</v>
      </c>
      <c r="H1774" s="27">
        <v>1</v>
      </c>
      <c r="I1774" s="24" t="s">
        <v>0</v>
      </c>
      <c r="J1774" s="24" t="s">
        <v>0</v>
      </c>
      <c r="K1774" s="24" t="s">
        <v>52</v>
      </c>
      <c r="L1774" s="24" t="s">
        <v>102</v>
      </c>
      <c r="M1774" s="24" t="s">
        <v>72</v>
      </c>
      <c r="N1774" s="24" t="s">
        <v>178</v>
      </c>
      <c r="O1774" s="24" t="s">
        <v>54</v>
      </c>
      <c r="P1774" s="24" t="s">
        <v>104</v>
      </c>
      <c r="Q1774" s="24" t="s">
        <v>73</v>
      </c>
      <c r="R1774" s="24" t="s">
        <v>89</v>
      </c>
      <c r="S1774" s="24" t="s">
        <v>90</v>
      </c>
      <c r="T1774" s="24" t="s">
        <v>106</v>
      </c>
      <c r="U1774" s="24" t="s">
        <v>62</v>
      </c>
      <c r="V1774" s="24" t="s">
        <v>93</v>
      </c>
      <c r="W1774" s="24" t="s">
        <v>107</v>
      </c>
      <c r="X1774" s="24" t="s">
        <v>173</v>
      </c>
      <c r="Y1774" s="24" t="s">
        <v>1357</v>
      </c>
      <c r="Z1774" s="24" t="s">
        <v>64</v>
      </c>
      <c r="AA1774" s="24" t="s">
        <v>134</v>
      </c>
      <c r="AB1774" s="24" t="s">
        <v>0</v>
      </c>
      <c r="AC1774" s="24" t="s">
        <v>4864</v>
      </c>
    </row>
    <row r="1775" spans="1:29">
      <c r="A1775" s="11" t="s">
        <v>4865</v>
      </c>
      <c r="B1775" s="11" t="str">
        <f>IF(ISNUMBER(SEARCH(E1775,A1775)),A1775,IF(OR(E1775="",E1775=""),A1775,A1775&amp;" - "&amp;E1775))</f>
        <v>IMC THC25 E6 - Royal OG</v>
      </c>
      <c r="C1775" s="30" t="s">
        <v>646</v>
      </c>
      <c r="D1775" s="30" t="s">
        <v>646</v>
      </c>
      <c r="E1775" s="32" t="s">
        <v>4866</v>
      </c>
      <c r="F1775" s="40" t="s">
        <v>177</v>
      </c>
      <c r="G1775" s="34" t="s">
        <v>26</v>
      </c>
      <c r="H1775" s="34">
        <v>1</v>
      </c>
      <c r="I1775" s="30" t="s">
        <v>0</v>
      </c>
      <c r="J1775" s="30" t="s">
        <v>0</v>
      </c>
      <c r="K1775" s="30" t="s">
        <v>52</v>
      </c>
      <c r="L1775" s="30" t="s">
        <v>1506</v>
      </c>
      <c r="M1775" s="30" t="s">
        <v>121</v>
      </c>
      <c r="N1775" s="30" t="s">
        <v>72</v>
      </c>
      <c r="O1775" s="30" t="s">
        <v>103</v>
      </c>
      <c r="P1775" s="30" t="s">
        <v>89</v>
      </c>
      <c r="Q1775" s="30" t="s">
        <v>157</v>
      </c>
      <c r="R1775" s="30" t="s">
        <v>59</v>
      </c>
      <c r="S1775" s="30" t="s">
        <v>62</v>
      </c>
      <c r="T1775" s="30" t="s">
        <v>91</v>
      </c>
      <c r="U1775" s="30" t="s">
        <v>147</v>
      </c>
      <c r="V1775" s="30" t="s">
        <v>93</v>
      </c>
      <c r="W1775" s="30" t="s">
        <v>116</v>
      </c>
      <c r="X1775" s="30" t="s">
        <v>107</v>
      </c>
      <c r="Y1775" s="30" t="s">
        <v>427</v>
      </c>
      <c r="Z1775" s="30" t="s">
        <v>64</v>
      </c>
      <c r="AA1775" s="30" t="s">
        <v>646</v>
      </c>
      <c r="AB1775" s="30" t="s">
        <v>0</v>
      </c>
      <c r="AC1775" s="30" t="s">
        <v>4867</v>
      </c>
    </row>
    <row r="1776" spans="1:29">
      <c r="A1776" s="11" t="s">
        <v>4868</v>
      </c>
      <c r="B1776" s="11" t="str">
        <f>IF(ISNUMBER(SEARCH(E1776,A1776)),A1776,IF(OR(E1776="",E1776=""),A1776,A1776&amp;" - "&amp;E1776))</f>
        <v>Barrocas ICM 18/1 - Ice Cream Man</v>
      </c>
      <c r="C1776" s="24" t="s">
        <v>996</v>
      </c>
      <c r="D1776" s="24" t="s">
        <v>997</v>
      </c>
      <c r="E1776" s="26" t="s">
        <v>4869</v>
      </c>
      <c r="F1776" s="41" t="s">
        <v>177</v>
      </c>
      <c r="G1776" s="27" t="s">
        <v>8</v>
      </c>
      <c r="H1776" s="27">
        <v>1</v>
      </c>
      <c r="I1776" s="24" t="s">
        <v>0</v>
      </c>
      <c r="J1776" s="24" t="s">
        <v>0</v>
      </c>
      <c r="K1776" s="24" t="s">
        <v>52</v>
      </c>
      <c r="L1776" s="24" t="s">
        <v>102</v>
      </c>
      <c r="M1776" s="24" t="s">
        <v>121</v>
      </c>
      <c r="N1776" s="24" t="s">
        <v>88</v>
      </c>
      <c r="O1776" s="24" t="s">
        <v>72</v>
      </c>
      <c r="P1776" s="24" t="s">
        <v>58</v>
      </c>
      <c r="Q1776" s="24" t="s">
        <v>89</v>
      </c>
      <c r="R1776" s="24" t="s">
        <v>73</v>
      </c>
      <c r="S1776" s="24" t="s">
        <v>90</v>
      </c>
      <c r="T1776" s="24" t="s">
        <v>106</v>
      </c>
      <c r="U1776" s="24" t="s">
        <v>147</v>
      </c>
      <c r="V1776" s="24" t="s">
        <v>129</v>
      </c>
      <c r="W1776" s="24" t="s">
        <v>79</v>
      </c>
      <c r="X1776" s="24" t="s">
        <v>116</v>
      </c>
      <c r="Y1776" s="24" t="s">
        <v>413</v>
      </c>
      <c r="Z1776" s="24" t="s">
        <v>64</v>
      </c>
      <c r="AA1776" s="24" t="s">
        <v>997</v>
      </c>
      <c r="AB1776" s="24" t="s">
        <v>0</v>
      </c>
      <c r="AC1776" s="24" t="s">
        <v>4870</v>
      </c>
    </row>
    <row r="1777" spans="1:29">
      <c r="A1777" s="11" t="s">
        <v>4871</v>
      </c>
      <c r="B1777" s="11" t="str">
        <f>IF(ISNUMBER(SEARCH(E1777,A1777)),A1777,IF(OR(E1777="",E1777=""),A1777,A1777&amp;" - "&amp;E1777))</f>
        <v>Sibanax Crescendo Cookies 16/1</v>
      </c>
      <c r="C1777" s="30" t="s">
        <v>2296</v>
      </c>
      <c r="D1777" s="30" t="s">
        <v>2298</v>
      </c>
      <c r="E1777" s="40" t="s">
        <v>893</v>
      </c>
      <c r="F1777" s="40" t="s">
        <v>144</v>
      </c>
      <c r="G1777" s="34" t="s">
        <v>18</v>
      </c>
      <c r="H1777" s="34" t="s">
        <v>65</v>
      </c>
      <c r="I1777" s="30" t="s">
        <v>0</v>
      </c>
      <c r="J1777" s="30" t="s">
        <v>0</v>
      </c>
      <c r="K1777" s="30" t="s">
        <v>52</v>
      </c>
      <c r="L1777" s="30" t="s">
        <v>87</v>
      </c>
      <c r="M1777" s="30" t="s">
        <v>72</v>
      </c>
      <c r="N1777" s="30" t="s">
        <v>212</v>
      </c>
      <c r="O1777" s="30" t="s">
        <v>88</v>
      </c>
      <c r="P1777" s="30" t="s">
        <v>113</v>
      </c>
      <c r="Q1777" s="30" t="s">
        <v>58</v>
      </c>
      <c r="R1777" s="30" t="s">
        <v>89</v>
      </c>
      <c r="S1777" s="30" t="s">
        <v>128</v>
      </c>
      <c r="T1777" s="30" t="s">
        <v>62</v>
      </c>
      <c r="U1777" s="30" t="s">
        <v>430</v>
      </c>
      <c r="V1777" s="30" t="s">
        <v>116</v>
      </c>
      <c r="W1777" s="30" t="s">
        <v>173</v>
      </c>
      <c r="X1777" s="30" t="s">
        <v>77</v>
      </c>
      <c r="Y1777" s="30" t="s">
        <v>1820</v>
      </c>
      <c r="Z1777" s="30" t="s">
        <v>64</v>
      </c>
      <c r="AA1777" s="30" t="s">
        <v>2298</v>
      </c>
      <c r="AB1777" s="30" t="s">
        <v>0</v>
      </c>
      <c r="AC1777" s="30" t="s">
        <v>4872</v>
      </c>
    </row>
    <row r="1778" spans="1:29">
      <c r="A1778" s="11" t="s">
        <v>4873</v>
      </c>
      <c r="B1778" s="11" t="str">
        <f>IF(ISNUMBER(SEARCH(E1778,A1778)),A1778,IF(OR(E1778="",E1778=""),A1778,A1778&amp;" - "&amp;E1778))</f>
        <v>Remexian 30/1 ECO FFG - Franco's Fullgas</v>
      </c>
      <c r="C1778" s="24" t="s">
        <v>83</v>
      </c>
      <c r="D1778" s="24" t="s">
        <v>95</v>
      </c>
      <c r="E1778" s="41" t="s">
        <v>3274</v>
      </c>
      <c r="F1778" s="41" t="s">
        <v>144</v>
      </c>
      <c r="G1778" s="27" t="s">
        <v>4086</v>
      </c>
      <c r="H1778" s="27">
        <v>1</v>
      </c>
      <c r="I1778" s="24" t="s">
        <v>0</v>
      </c>
      <c r="J1778" s="24" t="s">
        <v>0</v>
      </c>
      <c r="K1778" s="24" t="s">
        <v>52</v>
      </c>
      <c r="L1778" s="24" t="s">
        <v>53</v>
      </c>
      <c r="M1778" s="24" t="s">
        <v>178</v>
      </c>
      <c r="N1778" s="24" t="s">
        <v>111</v>
      </c>
      <c r="O1778" s="24" t="s">
        <v>72</v>
      </c>
      <c r="P1778" s="24" t="s">
        <v>75</v>
      </c>
      <c r="Q1778" s="24" t="s">
        <v>59</v>
      </c>
      <c r="R1778" s="24" t="s">
        <v>74</v>
      </c>
      <c r="S1778" s="24" t="s">
        <v>106</v>
      </c>
      <c r="T1778" s="24" t="s">
        <v>62</v>
      </c>
      <c r="U1778" s="24" t="s">
        <v>123</v>
      </c>
      <c r="V1778" s="24" t="s">
        <v>116</v>
      </c>
      <c r="W1778" s="24" t="s">
        <v>107</v>
      </c>
      <c r="X1778" s="24" t="s">
        <v>79</v>
      </c>
      <c r="Y1778" s="24" t="s">
        <v>361</v>
      </c>
      <c r="Z1778" s="24" t="s">
        <v>64</v>
      </c>
      <c r="AA1778" s="24" t="s">
        <v>95</v>
      </c>
      <c r="AB1778" s="24" t="s">
        <v>4874</v>
      </c>
      <c r="AC1778" s="24" t="s">
        <v>4875</v>
      </c>
    </row>
    <row r="1779" spans="1:29">
      <c r="A1779" s="11" t="s">
        <v>4876</v>
      </c>
      <c r="B1779" s="11" t="str">
        <f>IF(ISNUMBER(SEARCH(E1779,A1779)),A1779,IF(OR(E1779="",E1779=""),A1779,A1779&amp;" - "&amp;E1779))</f>
        <v>Luana 20/1 - Grape LA</v>
      </c>
      <c r="C1779" s="30" t="s">
        <v>48</v>
      </c>
      <c r="D1779" s="30" t="s">
        <v>49</v>
      </c>
      <c r="E1779" s="32" t="s">
        <v>4877</v>
      </c>
      <c r="F1779" s="40" t="s">
        <v>86</v>
      </c>
      <c r="G1779" s="34" t="s">
        <v>452</v>
      </c>
      <c r="H1779" s="34">
        <v>1</v>
      </c>
      <c r="I1779" s="30" t="s">
        <v>0</v>
      </c>
      <c r="J1779" s="30" t="s">
        <v>0</v>
      </c>
      <c r="K1779" s="30" t="s">
        <v>52</v>
      </c>
      <c r="L1779" s="30" t="s">
        <v>53</v>
      </c>
      <c r="M1779" s="30" t="s">
        <v>72</v>
      </c>
      <c r="N1779" s="30" t="s">
        <v>88</v>
      </c>
      <c r="O1779" s="30" t="s">
        <v>0</v>
      </c>
      <c r="P1779" s="30" t="s">
        <v>157</v>
      </c>
      <c r="Q1779" s="30" t="s">
        <v>74</v>
      </c>
      <c r="R1779" s="30" t="s">
        <v>591</v>
      </c>
      <c r="S1779" s="30" t="s">
        <v>90</v>
      </c>
      <c r="T1779" s="30" t="s">
        <v>62</v>
      </c>
      <c r="U1779" s="30" t="s">
        <v>147</v>
      </c>
      <c r="V1779" s="30" t="s">
        <v>77</v>
      </c>
      <c r="W1779" s="30" t="s">
        <v>173</v>
      </c>
      <c r="X1779" s="30" t="s">
        <v>79</v>
      </c>
      <c r="Y1779" s="30" t="s">
        <v>1175</v>
      </c>
      <c r="Z1779" s="30" t="s">
        <v>64</v>
      </c>
      <c r="AA1779" s="30" t="s">
        <v>49</v>
      </c>
      <c r="AB1779" s="30" t="s">
        <v>4878</v>
      </c>
      <c r="AC1779" s="30" t="s">
        <v>4879</v>
      </c>
    </row>
    <row r="1780" spans="1:29">
      <c r="A1780" s="11" t="s">
        <v>4880</v>
      </c>
      <c r="B1780" s="11" t="str">
        <f>IF(ISNUMBER(SEARCH(E1780,A1780)),A1780,IF(OR(E1780="",E1780=""),A1780,A1780&amp;" - "&amp;E1780))</f>
        <v>Remexian 24/1 OTA - Lemon Cherry Gelato</v>
      </c>
      <c r="C1780" s="24" t="s">
        <v>83</v>
      </c>
      <c r="D1780" s="24" t="s">
        <v>95</v>
      </c>
      <c r="E1780" s="41" t="s">
        <v>3733</v>
      </c>
      <c r="F1780" s="41" t="s">
        <v>86</v>
      </c>
      <c r="G1780" s="27" t="s">
        <v>448</v>
      </c>
      <c r="H1780" s="27">
        <v>1</v>
      </c>
      <c r="I1780" s="24" t="s">
        <v>0</v>
      </c>
      <c r="J1780" s="24" t="s">
        <v>0</v>
      </c>
      <c r="K1780" s="24" t="s">
        <v>52</v>
      </c>
      <c r="L1780" s="24" t="s">
        <v>102</v>
      </c>
      <c r="M1780" s="24" t="s">
        <v>178</v>
      </c>
      <c r="N1780" s="24" t="s">
        <v>111</v>
      </c>
      <c r="O1780" s="24" t="s">
        <v>54</v>
      </c>
      <c r="P1780" s="24" t="s">
        <v>57</v>
      </c>
      <c r="Q1780" s="24" t="s">
        <v>59</v>
      </c>
      <c r="R1780" s="24" t="s">
        <v>75</v>
      </c>
      <c r="S1780" s="24" t="s">
        <v>106</v>
      </c>
      <c r="T1780" s="24" t="s">
        <v>105</v>
      </c>
      <c r="U1780" s="24" t="s">
        <v>147</v>
      </c>
      <c r="V1780" s="24" t="s">
        <v>77</v>
      </c>
      <c r="W1780" s="24" t="s">
        <v>79</v>
      </c>
      <c r="X1780" s="24" t="s">
        <v>107</v>
      </c>
      <c r="Y1780" s="24" t="s">
        <v>264</v>
      </c>
      <c r="Z1780" s="24" t="s">
        <v>64</v>
      </c>
      <c r="AA1780" s="24" t="s">
        <v>95</v>
      </c>
      <c r="AB1780" s="24" t="s">
        <v>0</v>
      </c>
      <c r="AC1780" s="24" t="s">
        <v>4881</v>
      </c>
    </row>
    <row r="1781" spans="1:29">
      <c r="A1781" s="11" t="s">
        <v>4882</v>
      </c>
      <c r="B1781" s="11" t="str">
        <f>IF(ISNUMBER(SEARCH(E1781,A1781)),A1781,IF(OR(E1781="",E1781=""),A1781,A1781&amp;" - "&amp;E1781))</f>
        <v>Remexian 20/1 GJY GRG - Grape Galena</v>
      </c>
      <c r="C1781" s="30" t="s">
        <v>83</v>
      </c>
      <c r="D1781" s="30" t="s">
        <v>95</v>
      </c>
      <c r="E1781" s="40" t="s">
        <v>3243</v>
      </c>
      <c r="F1781" s="40" t="s">
        <v>120</v>
      </c>
      <c r="G1781" s="34" t="s">
        <v>460</v>
      </c>
      <c r="H1781" s="34">
        <v>1</v>
      </c>
      <c r="I1781" s="30" t="s">
        <v>0</v>
      </c>
      <c r="J1781" s="30" t="s">
        <v>0</v>
      </c>
      <c r="K1781" s="30" t="s">
        <v>52</v>
      </c>
      <c r="L1781" s="30" t="s">
        <v>53</v>
      </c>
      <c r="M1781" s="30" t="s">
        <v>72</v>
      </c>
      <c r="N1781" s="30" t="s">
        <v>121</v>
      </c>
      <c r="O1781" s="30" t="s">
        <v>71</v>
      </c>
      <c r="P1781" s="30" t="s">
        <v>58</v>
      </c>
      <c r="Q1781" s="30" t="s">
        <v>104</v>
      </c>
      <c r="R1781" s="30" t="s">
        <v>0</v>
      </c>
      <c r="S1781" s="30" t="s">
        <v>128</v>
      </c>
      <c r="T1781" s="30" t="s">
        <v>106</v>
      </c>
      <c r="U1781" s="30" t="s">
        <v>164</v>
      </c>
      <c r="V1781" s="30" t="s">
        <v>77</v>
      </c>
      <c r="W1781" s="30" t="s">
        <v>107</v>
      </c>
      <c r="X1781" s="30" t="s">
        <v>116</v>
      </c>
      <c r="Y1781" s="30" t="s">
        <v>4883</v>
      </c>
      <c r="Z1781" s="30" t="s">
        <v>64</v>
      </c>
      <c r="AA1781" s="30" t="s">
        <v>95</v>
      </c>
      <c r="AB1781" s="30" t="s">
        <v>0</v>
      </c>
      <c r="AC1781" s="30" t="s">
        <v>4884</v>
      </c>
    </row>
    <row r="1782" spans="1:29">
      <c r="A1782" s="11" t="s">
        <v>4885</v>
      </c>
      <c r="B1782" s="11" t="str">
        <f>IF(ISNUMBER(SEARCH(E1782,A1782)),A1782,IF(OR(E1782="",E1782=""),A1782,A1782&amp;" - "&amp;E1782))</f>
        <v>Pharma Leaves Indica dominant Strong 21/1 - Do-Si-Dos</v>
      </c>
      <c r="C1782" s="24" t="s">
        <v>3537</v>
      </c>
      <c r="D1782" s="24" t="s">
        <v>3538</v>
      </c>
      <c r="E1782" s="41" t="s">
        <v>638</v>
      </c>
      <c r="F1782" s="41" t="s">
        <v>177</v>
      </c>
      <c r="G1782" s="27" t="s">
        <v>460</v>
      </c>
      <c r="H1782" s="27">
        <v>1</v>
      </c>
      <c r="I1782" s="24" t="s">
        <v>0</v>
      </c>
      <c r="J1782" s="24" t="s">
        <v>0</v>
      </c>
      <c r="K1782" s="24" t="s">
        <v>52</v>
      </c>
      <c r="L1782" s="24" t="s">
        <v>145</v>
      </c>
      <c r="M1782" s="24" t="s">
        <v>103</v>
      </c>
      <c r="N1782" s="24" t="s">
        <v>72</v>
      </c>
      <c r="O1782" s="24" t="s">
        <v>121</v>
      </c>
      <c r="P1782" s="24" t="s">
        <v>104</v>
      </c>
      <c r="Q1782" s="24" t="s">
        <v>74</v>
      </c>
      <c r="R1782" s="24" t="s">
        <v>89</v>
      </c>
      <c r="S1782" s="24" t="s">
        <v>128</v>
      </c>
      <c r="T1782" s="24" t="s">
        <v>106</v>
      </c>
      <c r="U1782" s="24" t="s">
        <v>466</v>
      </c>
      <c r="V1782" s="24" t="s">
        <v>107</v>
      </c>
      <c r="W1782" s="24" t="s">
        <v>77</v>
      </c>
      <c r="X1782" s="24" t="s">
        <v>173</v>
      </c>
      <c r="Y1782" s="24" t="s">
        <v>274</v>
      </c>
      <c r="Z1782" s="24" t="s">
        <v>64</v>
      </c>
      <c r="AA1782" s="24" t="s">
        <v>3538</v>
      </c>
      <c r="AB1782" s="24" t="s">
        <v>4886</v>
      </c>
      <c r="AC1782" s="24" t="s">
        <v>4887</v>
      </c>
    </row>
    <row r="1783" spans="1:29">
      <c r="A1783" s="11" t="s">
        <v>4888</v>
      </c>
      <c r="B1783" s="11" t="str">
        <f>IF(ISNUMBER(SEARCH(E1783,A1783)),A1783,IF(OR(E1783="",E1783=""),A1783,A1783&amp;" - "&amp;E1783))</f>
        <v>Green Karat MG 29/1 - Modified Gas</v>
      </c>
      <c r="C1783" s="30" t="s">
        <v>564</v>
      </c>
      <c r="D1783" s="30" t="s">
        <v>565</v>
      </c>
      <c r="E1783" s="40" t="s">
        <v>805</v>
      </c>
      <c r="F1783" s="40" t="s">
        <v>86</v>
      </c>
      <c r="G1783" s="34" t="s">
        <v>443</v>
      </c>
      <c r="H1783" s="34" t="s">
        <v>65</v>
      </c>
      <c r="I1783" s="30" t="s">
        <v>0</v>
      </c>
      <c r="J1783" s="30" t="s">
        <v>0</v>
      </c>
      <c r="K1783" s="30" t="s">
        <v>52</v>
      </c>
      <c r="L1783" s="30" t="s">
        <v>53</v>
      </c>
      <c r="M1783" s="30" t="s">
        <v>55</v>
      </c>
      <c r="N1783" s="30" t="s">
        <v>88</v>
      </c>
      <c r="O1783" s="30" t="s">
        <v>72</v>
      </c>
      <c r="P1783" s="30" t="s">
        <v>58</v>
      </c>
      <c r="Q1783" s="30" t="s">
        <v>59</v>
      </c>
      <c r="R1783" s="30" t="s">
        <v>157</v>
      </c>
      <c r="S1783" s="30" t="s">
        <v>106</v>
      </c>
      <c r="T1783" s="30" t="s">
        <v>123</v>
      </c>
      <c r="U1783" s="30" t="s">
        <v>147</v>
      </c>
      <c r="V1783" s="30" t="s">
        <v>92</v>
      </c>
      <c r="W1783" s="30" t="s">
        <v>180</v>
      </c>
      <c r="X1783" s="30" t="s">
        <v>4398</v>
      </c>
      <c r="Y1783" s="30" t="s">
        <v>513</v>
      </c>
      <c r="Z1783" s="30" t="s">
        <v>64</v>
      </c>
      <c r="AA1783" s="30" t="s">
        <v>565</v>
      </c>
      <c r="AB1783" s="30" t="s">
        <v>699</v>
      </c>
      <c r="AC1783" s="30" t="s">
        <v>4889</v>
      </c>
    </row>
    <row r="1784" spans="1:29">
      <c r="A1784" s="11" t="s">
        <v>4890</v>
      </c>
      <c r="B1784" s="11" t="str">
        <f>IF(ISNUMBER(SEARCH(E1784,A1784)),A1784,IF(OR(E1784="",E1784=""),A1784,A1784&amp;" - "&amp;E1784))</f>
        <v>Demecan MC Epic Drop 30/1 - Lava Cake</v>
      </c>
      <c r="C1784" s="24" t="s">
        <v>484</v>
      </c>
      <c r="D1784" s="24" t="s">
        <v>485</v>
      </c>
      <c r="E1784" s="41" t="s">
        <v>319</v>
      </c>
      <c r="F1784" s="41" t="s">
        <v>177</v>
      </c>
      <c r="G1784" s="27" t="s">
        <v>4057</v>
      </c>
      <c r="H1784" s="27">
        <v>1</v>
      </c>
      <c r="I1784" s="24" t="s">
        <v>0</v>
      </c>
      <c r="J1784" s="24" t="s">
        <v>0</v>
      </c>
      <c r="K1784" s="24" t="s">
        <v>52</v>
      </c>
      <c r="L1784" s="24" t="s">
        <v>53</v>
      </c>
      <c r="M1784" s="24" t="s">
        <v>72</v>
      </c>
      <c r="N1784" s="24" t="s">
        <v>0</v>
      </c>
      <c r="O1784" s="24" t="s">
        <v>0</v>
      </c>
      <c r="P1784" s="24" t="s">
        <v>112</v>
      </c>
      <c r="Q1784" s="24" t="s">
        <v>57</v>
      </c>
      <c r="R1784" s="24" t="s">
        <v>89</v>
      </c>
      <c r="S1784" s="24" t="s">
        <v>106</v>
      </c>
      <c r="T1784" s="24" t="s">
        <v>62</v>
      </c>
      <c r="U1784" s="24" t="s">
        <v>123</v>
      </c>
      <c r="V1784" s="24" t="s">
        <v>173</v>
      </c>
      <c r="W1784" s="24" t="s">
        <v>77</v>
      </c>
      <c r="X1784" s="24" t="s">
        <v>107</v>
      </c>
      <c r="Y1784" s="24" t="s">
        <v>555</v>
      </c>
      <c r="Z1784" s="24" t="s">
        <v>64</v>
      </c>
      <c r="AA1784" s="24" t="s">
        <v>485</v>
      </c>
      <c r="AB1784" s="24" t="s">
        <v>0</v>
      </c>
      <c r="AC1784" s="24" t="s">
        <v>4891</v>
      </c>
    </row>
    <row r="1785" spans="1:29">
      <c r="A1785" s="11" t="s">
        <v>4892</v>
      </c>
      <c r="B1785" s="11" t="str">
        <f>IF(ISNUMBER(SEARCH(E1785,A1785)),A1785,IF(OR(E1785="",E1785=""),A1785,A1785&amp;" - "&amp;E1785))</f>
        <v>Nedcann VM 23/01 - Jack Herer</v>
      </c>
      <c r="C1785" s="30" t="s">
        <v>3537</v>
      </c>
      <c r="D1785" s="30" t="s">
        <v>3538</v>
      </c>
      <c r="E1785" s="40" t="s">
        <v>382</v>
      </c>
      <c r="F1785" s="40" t="s">
        <v>177</v>
      </c>
      <c r="G1785" s="34" t="s">
        <v>436</v>
      </c>
      <c r="H1785" s="34" t="s">
        <v>65</v>
      </c>
      <c r="I1785" s="30" t="s">
        <v>0</v>
      </c>
      <c r="J1785" s="30" t="s">
        <v>0</v>
      </c>
      <c r="K1785" s="30" t="s">
        <v>52</v>
      </c>
      <c r="L1785" s="30" t="s">
        <v>145</v>
      </c>
      <c r="M1785" s="30" t="s">
        <v>54</v>
      </c>
      <c r="N1785" s="30" t="s">
        <v>55</v>
      </c>
      <c r="O1785" s="30" t="s">
        <v>178</v>
      </c>
      <c r="P1785" s="30" t="s">
        <v>113</v>
      </c>
      <c r="Q1785" s="30" t="s">
        <v>59</v>
      </c>
      <c r="R1785" s="30" t="s">
        <v>146</v>
      </c>
      <c r="S1785" s="30" t="s">
        <v>90</v>
      </c>
      <c r="T1785" s="30" t="s">
        <v>179</v>
      </c>
      <c r="U1785" s="30" t="s">
        <v>76</v>
      </c>
      <c r="V1785" s="30" t="s">
        <v>77</v>
      </c>
      <c r="W1785" s="30" t="s">
        <v>79</v>
      </c>
      <c r="X1785" s="30" t="s">
        <v>292</v>
      </c>
      <c r="Y1785" s="30" t="s">
        <v>307</v>
      </c>
      <c r="Z1785" s="30" t="s">
        <v>64</v>
      </c>
      <c r="AA1785" s="30" t="s">
        <v>3538</v>
      </c>
      <c r="AB1785" s="30" t="s">
        <v>0</v>
      </c>
      <c r="AC1785" s="30" t="s">
        <v>4893</v>
      </c>
    </row>
    <row r="1786" spans="1:29">
      <c r="A1786" s="11" t="s">
        <v>4894</v>
      </c>
      <c r="B1786" s="11" t="str">
        <f>IF(ISNUMBER(SEARCH(E1786,A1786)),A1786,IF(OR(E1786="",E1786=""),A1786,A1786&amp;" - "&amp;E1786))</f>
        <v>420 Compound 20/1 CA MWZ - Mellowz</v>
      </c>
      <c r="C1786" s="24" t="s">
        <v>463</v>
      </c>
      <c r="D1786" s="24" t="s">
        <v>468</v>
      </c>
      <c r="E1786" s="41" t="s">
        <v>1224</v>
      </c>
      <c r="F1786" s="41" t="s">
        <v>177</v>
      </c>
      <c r="G1786" s="27" t="s">
        <v>460</v>
      </c>
      <c r="H1786" s="27" t="s">
        <v>65</v>
      </c>
      <c r="I1786" s="24" t="s">
        <v>0</v>
      </c>
      <c r="J1786" s="24" t="s">
        <v>0</v>
      </c>
      <c r="K1786" s="24" t="s">
        <v>52</v>
      </c>
      <c r="L1786" s="24" t="s">
        <v>53</v>
      </c>
      <c r="M1786" s="24" t="s">
        <v>88</v>
      </c>
      <c r="N1786" s="24" t="s">
        <v>54</v>
      </c>
      <c r="O1786" s="24" t="s">
        <v>111</v>
      </c>
      <c r="P1786" s="24" t="s">
        <v>75</v>
      </c>
      <c r="Q1786" s="24" t="s">
        <v>89</v>
      </c>
      <c r="R1786" s="24" t="s">
        <v>58</v>
      </c>
      <c r="S1786" s="24" t="s">
        <v>128</v>
      </c>
      <c r="T1786" s="24" t="s">
        <v>62</v>
      </c>
      <c r="U1786" s="24" t="s">
        <v>123</v>
      </c>
      <c r="V1786" s="24" t="s">
        <v>116</v>
      </c>
      <c r="W1786" s="24" t="s">
        <v>129</v>
      </c>
      <c r="X1786" s="24" t="s">
        <v>79</v>
      </c>
      <c r="Y1786" s="24" t="s">
        <v>311</v>
      </c>
      <c r="Z1786" s="24" t="s">
        <v>64</v>
      </c>
      <c r="AA1786" s="24" t="s">
        <v>468</v>
      </c>
      <c r="AB1786" s="24" t="s">
        <v>0</v>
      </c>
      <c r="AC1786" s="24" t="s">
        <v>4895</v>
      </c>
    </row>
    <row r="1787" spans="1:29">
      <c r="A1787" s="11" t="s">
        <v>4896</v>
      </c>
      <c r="B1787" s="11" t="str">
        <f>IF(ISNUMBER(SEARCH(E1787,A1787)),A1787,IF(OR(E1787="",E1787=""),A1787,A1787&amp;" - "&amp;E1787))</f>
        <v>Remexian 27/1 CRX SUP - Super Sherb</v>
      </c>
      <c r="C1787" s="30" t="s">
        <v>83</v>
      </c>
      <c r="D1787" s="30" t="s">
        <v>95</v>
      </c>
      <c r="E1787" s="32" t="s">
        <v>4897</v>
      </c>
      <c r="F1787" s="40" t="s">
        <v>177</v>
      </c>
      <c r="G1787" s="34" t="s">
        <v>33</v>
      </c>
      <c r="H1787" s="34" t="s">
        <v>65</v>
      </c>
      <c r="I1787" s="30" t="s">
        <v>0</v>
      </c>
      <c r="J1787" s="30" t="s">
        <v>0</v>
      </c>
      <c r="K1787" s="30" t="s">
        <v>52</v>
      </c>
      <c r="L1787" s="30" t="s">
        <v>53</v>
      </c>
      <c r="M1787" s="30" t="s">
        <v>178</v>
      </c>
      <c r="N1787" s="30" t="s">
        <v>72</v>
      </c>
      <c r="O1787" s="30" t="s">
        <v>88</v>
      </c>
      <c r="P1787" s="30" t="s">
        <v>59</v>
      </c>
      <c r="Q1787" s="30" t="s">
        <v>104</v>
      </c>
      <c r="R1787" s="30" t="s">
        <v>73</v>
      </c>
      <c r="S1787" s="30" t="s">
        <v>106</v>
      </c>
      <c r="T1787" s="30" t="s">
        <v>62</v>
      </c>
      <c r="U1787" s="30" t="s">
        <v>123</v>
      </c>
      <c r="V1787" s="30" t="s">
        <v>173</v>
      </c>
      <c r="W1787" s="30" t="s">
        <v>79</v>
      </c>
      <c r="X1787" s="30" t="s">
        <v>208</v>
      </c>
      <c r="Y1787" s="30" t="s">
        <v>213</v>
      </c>
      <c r="Z1787" s="30" t="s">
        <v>64</v>
      </c>
      <c r="AA1787" s="30" t="s">
        <v>95</v>
      </c>
      <c r="AB1787" s="30" t="s">
        <v>4898</v>
      </c>
      <c r="AC1787" s="30" t="s">
        <v>4899</v>
      </c>
    </row>
    <row r="1788" spans="1:29">
      <c r="A1788" s="11" t="s">
        <v>4900</v>
      </c>
      <c r="B1788" s="11" t="str">
        <f>IF(ISNUMBER(SEARCH(E1788,A1788)),A1788,IF(OR(E1788="",E1788=""),A1788,A1788&amp;" - "&amp;E1788))</f>
        <v>KEjF. SPZ 33/1 - Spritzer</v>
      </c>
      <c r="C1788" s="24" t="s">
        <v>822</v>
      </c>
      <c r="D1788" s="24" t="s">
        <v>826</v>
      </c>
      <c r="E1788" s="41" t="s">
        <v>944</v>
      </c>
      <c r="F1788" s="41" t="s">
        <v>86</v>
      </c>
      <c r="G1788" s="27" t="s">
        <v>4169</v>
      </c>
      <c r="H1788" s="27">
        <v>1</v>
      </c>
      <c r="I1788" s="24" t="s">
        <v>0</v>
      </c>
      <c r="J1788" s="24" t="s">
        <v>0</v>
      </c>
      <c r="K1788" s="24" t="s">
        <v>52</v>
      </c>
      <c r="L1788" s="24" t="s">
        <v>53</v>
      </c>
      <c r="M1788" s="24" t="s">
        <v>88</v>
      </c>
      <c r="N1788" s="24" t="s">
        <v>71</v>
      </c>
      <c r="O1788" s="24" t="s">
        <v>111</v>
      </c>
      <c r="P1788" s="24" t="s">
        <v>59</v>
      </c>
      <c r="Q1788" s="24" t="s">
        <v>89</v>
      </c>
      <c r="R1788" s="24" t="s">
        <v>75</v>
      </c>
      <c r="S1788" s="24" t="s">
        <v>106</v>
      </c>
      <c r="T1788" s="24" t="s">
        <v>123</v>
      </c>
      <c r="U1788" s="24" t="s">
        <v>147</v>
      </c>
      <c r="V1788" s="24" t="s">
        <v>173</v>
      </c>
      <c r="W1788" s="24" t="s">
        <v>79</v>
      </c>
      <c r="X1788" s="24" t="s">
        <v>77</v>
      </c>
      <c r="Y1788" s="24" t="s">
        <v>539</v>
      </c>
      <c r="Z1788" s="24" t="s">
        <v>64</v>
      </c>
      <c r="AA1788" s="24" t="s">
        <v>826</v>
      </c>
      <c r="AB1788" s="24" t="s">
        <v>0</v>
      </c>
      <c r="AC1788" s="24" t="s">
        <v>4901</v>
      </c>
    </row>
    <row r="1789" spans="1:29">
      <c r="A1789" s="11" t="s">
        <v>4688</v>
      </c>
      <c r="B1789" s="11" t="str">
        <f>IF(ISNUMBER(SEARCH(E1789,A1789)),A1789,IF(OR(E1789="",E1789=""),A1789,A1789&amp;" - "&amp;E1789))</f>
        <v>Buuo 22/1 CDLC - Cold Dank x Jelly Breath</v>
      </c>
      <c r="C1789" s="30" t="s">
        <v>641</v>
      </c>
      <c r="D1789" s="30" t="s">
        <v>642</v>
      </c>
      <c r="E1789" s="32" t="s">
        <v>4902</v>
      </c>
      <c r="F1789" s="40" t="s">
        <v>86</v>
      </c>
      <c r="G1789" s="34" t="s">
        <v>4126</v>
      </c>
      <c r="H1789" s="34">
        <v>1</v>
      </c>
      <c r="I1789" s="30" t="s">
        <v>0</v>
      </c>
      <c r="J1789" s="30" t="s">
        <v>0</v>
      </c>
      <c r="K1789" s="30" t="s">
        <v>52</v>
      </c>
      <c r="L1789" s="30" t="s">
        <v>53</v>
      </c>
      <c r="M1789" s="30" t="s">
        <v>54</v>
      </c>
      <c r="N1789" s="30" t="s">
        <v>88</v>
      </c>
      <c r="O1789" s="30" t="s">
        <v>71</v>
      </c>
      <c r="P1789" s="30" t="s">
        <v>58</v>
      </c>
      <c r="Q1789" s="30" t="s">
        <v>89</v>
      </c>
      <c r="R1789" s="30" t="s">
        <v>73</v>
      </c>
      <c r="S1789" s="30" t="s">
        <v>106</v>
      </c>
      <c r="T1789" s="30" t="s">
        <v>62</v>
      </c>
      <c r="U1789" s="30" t="s">
        <v>147</v>
      </c>
      <c r="V1789" s="30" t="s">
        <v>77</v>
      </c>
      <c r="W1789" s="30" t="s">
        <v>79</v>
      </c>
      <c r="X1789" s="30" t="s">
        <v>173</v>
      </c>
      <c r="Y1789" s="30" t="s">
        <v>307</v>
      </c>
      <c r="Z1789" s="30" t="s">
        <v>64</v>
      </c>
      <c r="AA1789" s="30" t="s">
        <v>642</v>
      </c>
      <c r="AB1789" s="30" t="s">
        <v>0</v>
      </c>
      <c r="AC1789" s="30" t="s">
        <v>4903</v>
      </c>
    </row>
    <row r="1790" spans="1:29">
      <c r="A1790" s="11" t="s">
        <v>4904</v>
      </c>
      <c r="B1790" s="11" t="str">
        <f>IF(ISNUMBER(SEARCH(E1790,A1790)),A1790,IF(OR(E1790="",E1790=""),A1790,A1790&amp;" - "&amp;E1790))</f>
        <v>Buuo 26/1 SL - Key Lime Kush x Sexy Limes</v>
      </c>
      <c r="C1790" s="24" t="s">
        <v>641</v>
      </c>
      <c r="D1790" s="24" t="s">
        <v>642</v>
      </c>
      <c r="E1790" s="26" t="s">
        <v>4905</v>
      </c>
      <c r="F1790" s="41" t="s">
        <v>86</v>
      </c>
      <c r="G1790" s="27" t="s">
        <v>4086</v>
      </c>
      <c r="H1790" s="27">
        <v>1</v>
      </c>
      <c r="I1790" s="24" t="s">
        <v>0</v>
      </c>
      <c r="J1790" s="24" t="s">
        <v>0</v>
      </c>
      <c r="K1790" s="24" t="s">
        <v>52</v>
      </c>
      <c r="L1790" s="24" t="s">
        <v>53</v>
      </c>
      <c r="M1790" s="24" t="s">
        <v>121</v>
      </c>
      <c r="N1790" s="24" t="s">
        <v>103</v>
      </c>
      <c r="O1790" s="24" t="s">
        <v>72</v>
      </c>
      <c r="P1790" s="24" t="s">
        <v>89</v>
      </c>
      <c r="Q1790" s="24" t="s">
        <v>75</v>
      </c>
      <c r="R1790" s="24" t="s">
        <v>0</v>
      </c>
      <c r="S1790" s="24" t="s">
        <v>106</v>
      </c>
      <c r="T1790" s="24" t="s">
        <v>62</v>
      </c>
      <c r="U1790" s="24" t="s">
        <v>147</v>
      </c>
      <c r="V1790" s="24" t="s">
        <v>107</v>
      </c>
      <c r="W1790" s="24" t="s">
        <v>173</v>
      </c>
      <c r="X1790" s="24" t="s">
        <v>77</v>
      </c>
      <c r="Y1790" s="24" t="s">
        <v>3788</v>
      </c>
      <c r="Z1790" s="24" t="s">
        <v>64</v>
      </c>
      <c r="AA1790" s="24" t="s">
        <v>642</v>
      </c>
      <c r="AB1790" s="24" t="s">
        <v>0</v>
      </c>
      <c r="AC1790" s="24" t="s">
        <v>4906</v>
      </c>
    </row>
    <row r="1791" spans="1:29">
      <c r="A1791" s="11" t="s">
        <v>4907</v>
      </c>
      <c r="B1791" s="11" t="str">
        <f>IF(ISNUMBER(SEARCH(E1791,A1791)),A1791,IF(OR(E1791="",E1791=""),A1791,A1791&amp;" - "&amp;E1791))</f>
        <v>All Nations Pretty Smalls FG 30/1 - Frosted Gelato</v>
      </c>
      <c r="C1791" s="30" t="s">
        <v>564</v>
      </c>
      <c r="D1791" s="30" t="s">
        <v>565</v>
      </c>
      <c r="E1791" s="40" t="s">
        <v>1790</v>
      </c>
      <c r="F1791" s="40" t="s">
        <v>177</v>
      </c>
      <c r="G1791" s="34" t="s">
        <v>4057</v>
      </c>
      <c r="H1791" s="34">
        <v>1</v>
      </c>
      <c r="I1791" s="30" t="s">
        <v>0</v>
      </c>
      <c r="J1791" s="30" t="s">
        <v>0</v>
      </c>
      <c r="K1791" s="30" t="s">
        <v>52</v>
      </c>
      <c r="L1791" s="30" t="s">
        <v>102</v>
      </c>
      <c r="M1791" s="30" t="s">
        <v>55</v>
      </c>
      <c r="N1791" s="30" t="s">
        <v>72</v>
      </c>
      <c r="O1791" s="30" t="s">
        <v>0</v>
      </c>
      <c r="P1791" s="30" t="s">
        <v>59</v>
      </c>
      <c r="Q1791" s="30" t="s">
        <v>73</v>
      </c>
      <c r="R1791" s="30" t="s">
        <v>0</v>
      </c>
      <c r="S1791" s="30" t="s">
        <v>106</v>
      </c>
      <c r="T1791" s="30" t="s">
        <v>62</v>
      </c>
      <c r="U1791" s="30" t="s">
        <v>123</v>
      </c>
      <c r="V1791" s="30" t="s">
        <v>77</v>
      </c>
      <c r="W1791" s="30" t="s">
        <v>116</v>
      </c>
      <c r="X1791" s="30" t="s">
        <v>173</v>
      </c>
      <c r="Y1791" s="30" t="s">
        <v>311</v>
      </c>
      <c r="Z1791" s="30" t="s">
        <v>64</v>
      </c>
      <c r="AA1791" s="30" t="s">
        <v>565</v>
      </c>
      <c r="AB1791" s="30" t="s">
        <v>1232</v>
      </c>
      <c r="AC1791" s="30" t="s">
        <v>4908</v>
      </c>
    </row>
    <row r="1792" spans="1:29">
      <c r="A1792" s="11" t="s">
        <v>4909</v>
      </c>
      <c r="B1792" s="11" t="str">
        <f>IF(ISNUMBER(SEARCH(E1792,A1792)),A1792,IF(OR(E1792="",E1792=""),A1792,A1792&amp;" - "&amp;E1792))</f>
        <v>420 Compound 25/1 RPV - Rose Gold Pave</v>
      </c>
      <c r="C1792" s="24" t="s">
        <v>463</v>
      </c>
      <c r="D1792" s="24" t="s">
        <v>468</v>
      </c>
      <c r="E1792" s="41" t="s">
        <v>3645</v>
      </c>
      <c r="F1792" s="41" t="s">
        <v>86</v>
      </c>
      <c r="G1792" s="27" t="s">
        <v>26</v>
      </c>
      <c r="H1792" s="27">
        <v>1</v>
      </c>
      <c r="I1792" s="24" t="s">
        <v>0</v>
      </c>
      <c r="J1792" s="24" t="s">
        <v>0</v>
      </c>
      <c r="K1792" s="24" t="s">
        <v>52</v>
      </c>
      <c r="L1792" s="24" t="s">
        <v>53</v>
      </c>
      <c r="M1792" s="24" t="s">
        <v>178</v>
      </c>
      <c r="N1792" s="24" t="s">
        <v>71</v>
      </c>
      <c r="O1792" s="24" t="s">
        <v>54</v>
      </c>
      <c r="P1792" s="24" t="s">
        <v>112</v>
      </c>
      <c r="Q1792" s="24" t="s">
        <v>136</v>
      </c>
      <c r="R1792" s="24" t="s">
        <v>58</v>
      </c>
      <c r="S1792" s="24" t="s">
        <v>106</v>
      </c>
      <c r="T1792" s="24" t="s">
        <v>62</v>
      </c>
      <c r="U1792" s="24" t="s">
        <v>147</v>
      </c>
      <c r="V1792" s="24" t="s">
        <v>116</v>
      </c>
      <c r="W1792" s="24" t="s">
        <v>93</v>
      </c>
      <c r="X1792" s="24" t="s">
        <v>79</v>
      </c>
      <c r="Y1792" s="24" t="s">
        <v>2629</v>
      </c>
      <c r="Z1792" s="24" t="s">
        <v>64</v>
      </c>
      <c r="AA1792" s="24" t="s">
        <v>468</v>
      </c>
      <c r="AB1792" s="24" t="s">
        <v>0</v>
      </c>
      <c r="AC1792" s="24" t="s">
        <v>4910</v>
      </c>
    </row>
    <row r="1793" spans="1:29">
      <c r="A1793" s="11" t="s">
        <v>4911</v>
      </c>
      <c r="B1793" s="11" t="str">
        <f>IF(ISNUMBER(SEARCH(E1793,A1793)),A1793,IF(OR(E1793="",E1793=""),A1793,A1793&amp;" - "&amp;E1793))</f>
        <v>Canify Cannabis flos 27/1 PRT Ku. Strawberry Banana S</v>
      </c>
      <c r="C1793" s="30" t="s">
        <v>99</v>
      </c>
      <c r="D1793" s="30" t="s">
        <v>100</v>
      </c>
      <c r="E1793" s="40" t="s">
        <v>196</v>
      </c>
      <c r="F1793" s="40" t="s">
        <v>86</v>
      </c>
      <c r="G1793" s="34" t="s">
        <v>33</v>
      </c>
      <c r="H1793" s="34">
        <v>1</v>
      </c>
      <c r="I1793" s="30" t="s">
        <v>0</v>
      </c>
      <c r="J1793" s="30" t="s">
        <v>0</v>
      </c>
      <c r="K1793" s="30" t="s">
        <v>52</v>
      </c>
      <c r="L1793" s="30" t="s">
        <v>102</v>
      </c>
      <c r="M1793" s="30" t="s">
        <v>71</v>
      </c>
      <c r="N1793" s="30" t="s">
        <v>72</v>
      </c>
      <c r="O1793" s="30" t="s">
        <v>103</v>
      </c>
      <c r="P1793" s="30" t="s">
        <v>89</v>
      </c>
      <c r="Q1793" s="30" t="s">
        <v>58</v>
      </c>
      <c r="R1793" s="30" t="s">
        <v>0</v>
      </c>
      <c r="S1793" s="30" t="s">
        <v>128</v>
      </c>
      <c r="T1793" s="30" t="s">
        <v>61</v>
      </c>
      <c r="U1793" s="30" t="s">
        <v>62</v>
      </c>
      <c r="V1793" s="30" t="s">
        <v>77</v>
      </c>
      <c r="W1793" s="30" t="s">
        <v>79</v>
      </c>
      <c r="X1793" s="30" t="s">
        <v>173</v>
      </c>
      <c r="Y1793" s="30" t="s">
        <v>322</v>
      </c>
      <c r="Z1793" s="30" t="s">
        <v>64</v>
      </c>
      <c r="AA1793" s="30" t="s">
        <v>100</v>
      </c>
      <c r="AB1793" s="30" t="s">
        <v>194</v>
      </c>
      <c r="AC1793" s="30" t="s">
        <v>4912</v>
      </c>
    </row>
    <row r="1794" spans="1:29">
      <c r="A1794" s="11" t="s">
        <v>4913</v>
      </c>
      <c r="B1794" s="11" t="str">
        <f>IF(ISNUMBER(SEARCH(E1794,A1794)),A1794,IF(OR(E1794="",E1794=""),A1794,A1794&amp;" - "&amp;E1794))</f>
        <v>enua 25/1 GMO CA - Koko Cookies</v>
      </c>
      <c r="C1794" s="24" t="s">
        <v>650</v>
      </c>
      <c r="D1794" s="24" t="s">
        <v>653</v>
      </c>
      <c r="E1794" s="41" t="s">
        <v>277</v>
      </c>
      <c r="F1794" s="41" t="s">
        <v>177</v>
      </c>
      <c r="G1794" s="27" t="s">
        <v>26</v>
      </c>
      <c r="H1794" s="27" t="s">
        <v>65</v>
      </c>
      <c r="I1794" s="24" t="s">
        <v>0</v>
      </c>
      <c r="J1794" s="24" t="s">
        <v>0</v>
      </c>
      <c r="K1794" s="24" t="s">
        <v>52</v>
      </c>
      <c r="L1794" s="24" t="s">
        <v>53</v>
      </c>
      <c r="M1794" s="24" t="s">
        <v>71</v>
      </c>
      <c r="N1794" s="24" t="s">
        <v>72</v>
      </c>
      <c r="O1794" s="24" t="s">
        <v>0</v>
      </c>
      <c r="P1794" s="24" t="s">
        <v>74</v>
      </c>
      <c r="Q1794" s="24" t="s">
        <v>89</v>
      </c>
      <c r="R1794" s="24" t="s">
        <v>59</v>
      </c>
      <c r="S1794" s="24" t="s">
        <v>128</v>
      </c>
      <c r="T1794" s="24" t="s">
        <v>61</v>
      </c>
      <c r="U1794" s="24" t="s">
        <v>62</v>
      </c>
      <c r="V1794" s="24" t="s">
        <v>77</v>
      </c>
      <c r="W1794" s="24" t="s">
        <v>180</v>
      </c>
      <c r="X1794" s="24" t="s">
        <v>93</v>
      </c>
      <c r="Y1794" s="24" t="s">
        <v>248</v>
      </c>
      <c r="Z1794" s="24" t="s">
        <v>64</v>
      </c>
      <c r="AA1794" s="24" t="s">
        <v>653</v>
      </c>
      <c r="AB1794" s="24" t="s">
        <v>0</v>
      </c>
      <c r="AC1794" s="24" t="s">
        <v>4914</v>
      </c>
    </row>
    <row r="1795" spans="1:29">
      <c r="A1795" s="11" t="s">
        <v>1541</v>
      </c>
      <c r="B1795" s="11" t="str">
        <f>IF(ISNUMBER(SEARCH(E1795,A1795)),A1795,IF(OR(E1795="",E1795=""),A1795,A1795&amp;" - "&amp;E1795))</f>
        <v>Tilray THC22 Spotlight Porto - Biscuit Rntz I</v>
      </c>
      <c r="C1795" s="30" t="s">
        <v>133</v>
      </c>
      <c r="D1795" s="30" t="s">
        <v>134</v>
      </c>
      <c r="E1795" s="32" t="s">
        <v>4915</v>
      </c>
      <c r="F1795" s="40" t="s">
        <v>177</v>
      </c>
      <c r="G1795" s="34" t="s">
        <v>4126</v>
      </c>
      <c r="H1795" s="34">
        <v>1</v>
      </c>
      <c r="I1795" s="30" t="s">
        <v>0</v>
      </c>
      <c r="J1795" s="30" t="s">
        <v>0</v>
      </c>
      <c r="K1795" s="30" t="s">
        <v>52</v>
      </c>
      <c r="L1795" s="30" t="s">
        <v>102</v>
      </c>
      <c r="M1795" s="30" t="s">
        <v>72</v>
      </c>
      <c r="N1795" s="30" t="s">
        <v>111</v>
      </c>
      <c r="O1795" s="30" t="s">
        <v>88</v>
      </c>
      <c r="P1795" s="30" t="s">
        <v>74</v>
      </c>
      <c r="Q1795" s="30" t="s">
        <v>58</v>
      </c>
      <c r="R1795" s="30" t="s">
        <v>89</v>
      </c>
      <c r="S1795" s="30" t="s">
        <v>106</v>
      </c>
      <c r="T1795" s="30" t="s">
        <v>62</v>
      </c>
      <c r="U1795" s="30" t="s">
        <v>123</v>
      </c>
      <c r="V1795" s="30" t="s">
        <v>107</v>
      </c>
      <c r="W1795" s="30" t="s">
        <v>173</v>
      </c>
      <c r="X1795" s="30" t="s">
        <v>79</v>
      </c>
      <c r="Y1795" s="30" t="s">
        <v>314</v>
      </c>
      <c r="Z1795" s="30" t="s">
        <v>64</v>
      </c>
      <c r="AA1795" s="30" t="s">
        <v>134</v>
      </c>
      <c r="AB1795" s="30" t="s">
        <v>0</v>
      </c>
      <c r="AC1795" s="30" t="s">
        <v>4916</v>
      </c>
    </row>
    <row r="1796" spans="1:29">
      <c r="A1796" s="11" t="s">
        <v>4917</v>
      </c>
      <c r="B1796" s="11" t="str">
        <f>IF(ISNUMBER(SEARCH(E1796,A1796)),A1796,IF(OR(E1796="",E1796=""),A1796,A1796&amp;" - "&amp;E1796))</f>
        <v>Barrocas ICM 16/1 - Ice Cream Man</v>
      </c>
      <c r="C1796" s="24" t="s">
        <v>996</v>
      </c>
      <c r="D1796" s="24" t="s">
        <v>997</v>
      </c>
      <c r="E1796" s="26" t="s">
        <v>4869</v>
      </c>
      <c r="F1796" s="41" t="s">
        <v>177</v>
      </c>
      <c r="G1796" s="27" t="s">
        <v>18</v>
      </c>
      <c r="H1796" s="27">
        <v>1</v>
      </c>
      <c r="I1796" s="24" t="s">
        <v>0</v>
      </c>
      <c r="J1796" s="24" t="s">
        <v>0</v>
      </c>
      <c r="K1796" s="24" t="s">
        <v>52</v>
      </c>
      <c r="L1796" s="24" t="s">
        <v>102</v>
      </c>
      <c r="M1796" s="24" t="s">
        <v>121</v>
      </c>
      <c r="N1796" s="24" t="s">
        <v>88</v>
      </c>
      <c r="O1796" s="24" t="s">
        <v>72</v>
      </c>
      <c r="P1796" s="24" t="s">
        <v>58</v>
      </c>
      <c r="Q1796" s="24" t="s">
        <v>89</v>
      </c>
      <c r="R1796" s="24" t="s">
        <v>73</v>
      </c>
      <c r="S1796" s="24" t="s">
        <v>90</v>
      </c>
      <c r="T1796" s="24" t="s">
        <v>106</v>
      </c>
      <c r="U1796" s="24" t="s">
        <v>147</v>
      </c>
      <c r="V1796" s="24" t="s">
        <v>129</v>
      </c>
      <c r="W1796" s="24" t="s">
        <v>79</v>
      </c>
      <c r="X1796" s="24" t="s">
        <v>116</v>
      </c>
      <c r="Y1796" s="24" t="s">
        <v>413</v>
      </c>
      <c r="Z1796" s="24" t="s">
        <v>64</v>
      </c>
      <c r="AA1796" s="24" t="s">
        <v>997</v>
      </c>
      <c r="AB1796" s="24" t="s">
        <v>0</v>
      </c>
      <c r="AC1796" s="24" t="s">
        <v>4918</v>
      </c>
    </row>
    <row r="1797" spans="1:29">
      <c r="A1797" s="11" t="s">
        <v>4919</v>
      </c>
      <c r="B1797" s="11" t="str">
        <f>IF(ISNUMBER(SEARCH(E1797,A1797)),A1797,IF(OR(E1797="",E1797=""),A1797,A1797&amp;" - "&amp;E1797))</f>
        <v>aleph swiss Bliss 17/1 - Motor Breath</v>
      </c>
      <c r="C1797" s="30" t="s">
        <v>725</v>
      </c>
      <c r="D1797" s="30" t="s">
        <v>726</v>
      </c>
      <c r="E1797" s="40" t="s">
        <v>3103</v>
      </c>
      <c r="F1797" s="40" t="s">
        <v>86</v>
      </c>
      <c r="G1797" s="34" t="s">
        <v>8</v>
      </c>
      <c r="H1797" s="34" t="s">
        <v>65</v>
      </c>
      <c r="I1797" s="30" t="s">
        <v>0</v>
      </c>
      <c r="J1797" s="30" t="s">
        <v>0</v>
      </c>
      <c r="K1797" s="30" t="s">
        <v>52</v>
      </c>
      <c r="L1797" s="30" t="s">
        <v>4603</v>
      </c>
      <c r="M1797" s="30" t="s">
        <v>178</v>
      </c>
      <c r="N1797" s="30" t="s">
        <v>54</v>
      </c>
      <c r="O1797" s="30" t="s">
        <v>88</v>
      </c>
      <c r="P1797" s="30" t="s">
        <v>146</v>
      </c>
      <c r="Q1797" s="30" t="s">
        <v>74</v>
      </c>
      <c r="R1797" s="30" t="s">
        <v>73</v>
      </c>
      <c r="S1797" s="30" t="s">
        <v>179</v>
      </c>
      <c r="T1797" s="30" t="s">
        <v>61</v>
      </c>
      <c r="U1797" s="30" t="s">
        <v>76</v>
      </c>
      <c r="V1797" s="30" t="s">
        <v>116</v>
      </c>
      <c r="W1797" s="30" t="s">
        <v>107</v>
      </c>
      <c r="X1797" s="30" t="s">
        <v>77</v>
      </c>
      <c r="Y1797" s="30" t="s">
        <v>213</v>
      </c>
      <c r="Z1797" s="30" t="s">
        <v>64</v>
      </c>
      <c r="AA1797" s="30" t="s">
        <v>726</v>
      </c>
      <c r="AB1797" s="30" t="s">
        <v>0</v>
      </c>
      <c r="AC1797" s="30" t="s">
        <v>4920</v>
      </c>
    </row>
    <row r="1798" spans="1:29">
      <c r="A1798" s="11" t="s">
        <v>4921</v>
      </c>
      <c r="B1798" s="11" t="str">
        <f>IF(ISNUMBER(SEARCH(E1798,A1798)),A1798,IF(OR(E1798="",E1798=""),A1798,A1798&amp;" - "&amp;E1798))</f>
        <v>enua 25/1 GPU - Gastro Pop Ultra</v>
      </c>
      <c r="C1798" s="24" t="s">
        <v>650</v>
      </c>
      <c r="D1798" s="24" t="s">
        <v>653</v>
      </c>
      <c r="E1798" s="41" t="s">
        <v>4691</v>
      </c>
      <c r="F1798" s="41" t="s">
        <v>177</v>
      </c>
      <c r="G1798" s="27" t="s">
        <v>26</v>
      </c>
      <c r="H1798" s="27">
        <v>1</v>
      </c>
      <c r="I1798" s="24" t="s">
        <v>0</v>
      </c>
      <c r="J1798" s="24" t="s">
        <v>0</v>
      </c>
      <c r="K1798" s="24" t="s">
        <v>52</v>
      </c>
      <c r="L1798" s="24" t="s">
        <v>53</v>
      </c>
      <c r="M1798" s="24" t="s">
        <v>121</v>
      </c>
      <c r="N1798" s="24" t="s">
        <v>72</v>
      </c>
      <c r="O1798" s="24" t="s">
        <v>0</v>
      </c>
      <c r="P1798" s="24" t="s">
        <v>104</v>
      </c>
      <c r="Q1798" s="24" t="s">
        <v>59</v>
      </c>
      <c r="R1798" s="24" t="s">
        <v>75</v>
      </c>
      <c r="S1798" s="24" t="s">
        <v>106</v>
      </c>
      <c r="T1798" s="24" t="s">
        <v>62</v>
      </c>
      <c r="U1798" s="24" t="s">
        <v>123</v>
      </c>
      <c r="V1798" s="24" t="s">
        <v>93</v>
      </c>
      <c r="W1798" s="24" t="s">
        <v>138</v>
      </c>
      <c r="X1798" s="24" t="s">
        <v>116</v>
      </c>
      <c r="Y1798" s="24" t="s">
        <v>1741</v>
      </c>
      <c r="Z1798" s="24" t="s">
        <v>64</v>
      </c>
      <c r="AA1798" s="24" t="s">
        <v>653</v>
      </c>
      <c r="AB1798" s="24" t="s">
        <v>0</v>
      </c>
      <c r="AC1798" s="24" t="s">
        <v>4922</v>
      </c>
    </row>
    <row r="1799" spans="1:29">
      <c r="A1799" s="11" t="s">
        <v>4923</v>
      </c>
      <c r="B1799" s="11" t="str">
        <f>IF(ISNUMBER(SEARCH(E1799,A1799)),A1799,IF(OR(E1799="",E1799=""),A1799,A1799&amp;" - "&amp;E1799))</f>
        <v>420 Evolution 22/1 CA MMI - Miracle Mint</v>
      </c>
      <c r="C1799" s="30" t="s">
        <v>463</v>
      </c>
      <c r="D1799" s="30" t="s">
        <v>468</v>
      </c>
      <c r="E1799" s="30" t="s">
        <v>1081</v>
      </c>
      <c r="F1799" s="30" t="s">
        <v>120</v>
      </c>
      <c r="G1799" s="30" t="s">
        <v>4126</v>
      </c>
      <c r="H1799" s="31">
        <v>1</v>
      </c>
      <c r="I1799" s="30" t="s">
        <v>0</v>
      </c>
      <c r="J1799" s="30" t="s">
        <v>0</v>
      </c>
      <c r="K1799" s="30" t="s">
        <v>52</v>
      </c>
      <c r="L1799" s="30" t="s">
        <v>53</v>
      </c>
      <c r="M1799" s="30" t="s">
        <v>54</v>
      </c>
      <c r="N1799" s="30" t="s">
        <v>178</v>
      </c>
      <c r="O1799" s="30" t="s">
        <v>88</v>
      </c>
      <c r="P1799" s="30" t="s">
        <v>113</v>
      </c>
      <c r="Q1799" s="30" t="s">
        <v>74</v>
      </c>
      <c r="R1799" s="30" t="s">
        <v>157</v>
      </c>
      <c r="S1799" s="30" t="s">
        <v>106</v>
      </c>
      <c r="T1799" s="30" t="s">
        <v>123</v>
      </c>
      <c r="U1799" s="30" t="s">
        <v>91</v>
      </c>
      <c r="V1799" s="30" t="s">
        <v>79</v>
      </c>
      <c r="W1799" s="30" t="s">
        <v>173</v>
      </c>
      <c r="X1799" s="30" t="s">
        <v>107</v>
      </c>
      <c r="Y1799" s="30" t="s">
        <v>1292</v>
      </c>
      <c r="Z1799" s="30" t="s">
        <v>64</v>
      </c>
      <c r="AA1799" s="30" t="s">
        <v>468</v>
      </c>
      <c r="AB1799" s="30" t="s">
        <v>0</v>
      </c>
      <c r="AC1799" s="30" t="s">
        <v>4924</v>
      </c>
    </row>
    <row r="1800" spans="1:29">
      <c r="A1800" s="11" t="s">
        <v>4925</v>
      </c>
      <c r="B1800" s="11" t="str">
        <f>IF(ISNUMBER(SEARCH(E1800,A1800)),A1800,IF(OR(E1800="",E1800=""),A1800,A1800&amp;" - "&amp;E1800))</f>
        <v>Remexian Balanced CNF MCC 11/17 - Mango Cheese</v>
      </c>
      <c r="C1800" s="30" t="s">
        <v>83</v>
      </c>
      <c r="D1800" s="30" t="s">
        <v>95</v>
      </c>
      <c r="E1800" s="32" t="s">
        <v>3661</v>
      </c>
      <c r="F1800" s="40" t="s">
        <v>86</v>
      </c>
      <c r="G1800" s="34" t="s">
        <v>14</v>
      </c>
      <c r="H1800" s="34" t="s">
        <v>4038</v>
      </c>
      <c r="I1800" s="30" t="s">
        <v>0</v>
      </c>
      <c r="J1800" s="30" t="s">
        <v>0</v>
      </c>
      <c r="K1800" s="30" t="s">
        <v>52</v>
      </c>
      <c r="L1800" s="30" t="s">
        <v>53</v>
      </c>
      <c r="M1800" s="30" t="s">
        <v>88</v>
      </c>
      <c r="N1800" s="30" t="s">
        <v>0</v>
      </c>
      <c r="O1800" s="30" t="s">
        <v>0</v>
      </c>
      <c r="P1800" s="30" t="s">
        <v>75</v>
      </c>
      <c r="Q1800" s="30" t="s">
        <v>136</v>
      </c>
      <c r="R1800" s="30" t="s">
        <v>58</v>
      </c>
      <c r="S1800" s="30" t="s">
        <v>128</v>
      </c>
      <c r="T1800" s="30" t="s">
        <v>62</v>
      </c>
      <c r="U1800" s="30" t="s">
        <v>192</v>
      </c>
      <c r="V1800" s="30" t="s">
        <v>79</v>
      </c>
      <c r="W1800" s="30" t="s">
        <v>93</v>
      </c>
      <c r="X1800" s="30" t="s">
        <v>107</v>
      </c>
      <c r="Y1800" s="30" t="s">
        <v>213</v>
      </c>
      <c r="Z1800" s="30" t="s">
        <v>64</v>
      </c>
      <c r="AA1800" s="30" t="s">
        <v>95</v>
      </c>
      <c r="AB1800" s="30" t="s">
        <v>0</v>
      </c>
      <c r="AC1800" s="30" t="s">
        <v>4926</v>
      </c>
    </row>
    <row r="1801" spans="1:29">
      <c r="A1801" s="11" t="s">
        <v>4927</v>
      </c>
      <c r="B1801" s="11" t="str">
        <f>IF(ISNUMBER(SEARCH(E1801,A1801)),A1801,IF(OR(E1801="",E1801=""),A1801,A1801&amp;" - "&amp;E1801))</f>
        <v>Tilray THC25 Sativa No 4 - Island Sweet Skunk</v>
      </c>
      <c r="C1801" s="24" t="s">
        <v>133</v>
      </c>
      <c r="D1801" s="24" t="s">
        <v>134</v>
      </c>
      <c r="E1801" s="26" t="s">
        <v>135</v>
      </c>
      <c r="F1801" s="41" t="s">
        <v>144</v>
      </c>
      <c r="G1801" s="27" t="s">
        <v>26</v>
      </c>
      <c r="H1801" s="27" t="s">
        <v>65</v>
      </c>
      <c r="I1801" s="24" t="s">
        <v>0</v>
      </c>
      <c r="J1801" s="24" t="s">
        <v>0</v>
      </c>
      <c r="K1801" s="24" t="s">
        <v>17</v>
      </c>
      <c r="L1801" s="24" t="s">
        <v>102</v>
      </c>
      <c r="M1801" s="24" t="s">
        <v>54</v>
      </c>
      <c r="N1801" s="24" t="s">
        <v>55</v>
      </c>
      <c r="O1801" s="24" t="s">
        <v>178</v>
      </c>
      <c r="P1801" s="24" t="s">
        <v>89</v>
      </c>
      <c r="Q1801" s="24" t="s">
        <v>136</v>
      </c>
      <c r="R1801" s="24" t="s">
        <v>58</v>
      </c>
      <c r="S1801" s="24" t="s">
        <v>90</v>
      </c>
      <c r="T1801" s="24" t="s">
        <v>128</v>
      </c>
      <c r="U1801" s="24" t="s">
        <v>179</v>
      </c>
      <c r="V1801" s="24" t="s">
        <v>107</v>
      </c>
      <c r="W1801" s="24" t="s">
        <v>77</v>
      </c>
      <c r="X1801" s="24" t="s">
        <v>79</v>
      </c>
      <c r="Y1801" s="24" t="s">
        <v>870</v>
      </c>
      <c r="Z1801" s="24" t="s">
        <v>64</v>
      </c>
      <c r="AA1801" s="24" t="s">
        <v>134</v>
      </c>
      <c r="AB1801" s="24" t="s">
        <v>0</v>
      </c>
      <c r="AC1801" s="24" t="s">
        <v>4928</v>
      </c>
    </row>
    <row r="1802" spans="1:29">
      <c r="A1802" s="11" t="s">
        <v>4929</v>
      </c>
      <c r="B1802" s="11" t="str">
        <f>IF(ISNUMBER(SEARCH(E1802,A1802)),A1802,IF(OR(E1802="",E1802=""),A1802,A1802&amp;" - "&amp;E1802))</f>
        <v>CannGo 24/1 BC Green A&amp;G Apples and Gas - Apples &amp; Gas</v>
      </c>
      <c r="C1802" s="30" t="s">
        <v>2522</v>
      </c>
      <c r="D1802" s="30" t="s">
        <v>2523</v>
      </c>
      <c r="E1802" s="32" t="s">
        <v>4930</v>
      </c>
      <c r="F1802" s="40" t="s">
        <v>144</v>
      </c>
      <c r="G1802" s="34" t="s">
        <v>448</v>
      </c>
      <c r="H1802" s="34" t="s">
        <v>65</v>
      </c>
      <c r="I1802" s="30" t="s">
        <v>0</v>
      </c>
      <c r="J1802" s="30" t="s">
        <v>0</v>
      </c>
      <c r="K1802" s="30" t="s">
        <v>52</v>
      </c>
      <c r="L1802" s="30" t="s">
        <v>102</v>
      </c>
      <c r="M1802" s="30" t="s">
        <v>72</v>
      </c>
      <c r="N1802" s="30" t="s">
        <v>71</v>
      </c>
      <c r="O1802" s="30" t="s">
        <v>88</v>
      </c>
      <c r="P1802" s="30" t="s">
        <v>73</v>
      </c>
      <c r="Q1802" s="30" t="s">
        <v>59</v>
      </c>
      <c r="R1802" s="30" t="s">
        <v>58</v>
      </c>
      <c r="S1802" s="30" t="s">
        <v>106</v>
      </c>
      <c r="T1802" s="30" t="s">
        <v>62</v>
      </c>
      <c r="U1802" s="30" t="s">
        <v>123</v>
      </c>
      <c r="V1802" s="30" t="s">
        <v>107</v>
      </c>
      <c r="W1802" s="30" t="s">
        <v>77</v>
      </c>
      <c r="X1802" s="30" t="s">
        <v>79</v>
      </c>
      <c r="Y1802" s="30" t="s">
        <v>4931</v>
      </c>
      <c r="Z1802" s="30" t="s">
        <v>64</v>
      </c>
      <c r="AA1802" s="30" t="s">
        <v>2523</v>
      </c>
      <c r="AB1802" s="30" t="s">
        <v>0</v>
      </c>
      <c r="AC1802" s="30" t="s">
        <v>4932</v>
      </c>
    </row>
    <row r="1803" spans="1:29">
      <c r="A1803" s="11" t="s">
        <v>4933</v>
      </c>
      <c r="B1803" s="11" t="str">
        <f>IF(ISNUMBER(SEARCH(E1803,A1803)),A1803,IF(OR(E1803="",E1803=""),A1803,A1803&amp;" - "&amp;E1803))</f>
        <v>Remexian 24/1 PRT MCR - Motor Crasher</v>
      </c>
      <c r="C1803" s="24" t="s">
        <v>83</v>
      </c>
      <c r="D1803" s="24" t="s">
        <v>95</v>
      </c>
      <c r="E1803" s="26" t="s">
        <v>4934</v>
      </c>
      <c r="F1803" s="41" t="s">
        <v>86</v>
      </c>
      <c r="G1803" s="27" t="s">
        <v>448</v>
      </c>
      <c r="H1803" s="27">
        <v>1</v>
      </c>
      <c r="I1803" s="24" t="s">
        <v>0</v>
      </c>
      <c r="J1803" s="24" t="s">
        <v>0</v>
      </c>
      <c r="K1803" s="24" t="s">
        <v>52</v>
      </c>
      <c r="L1803" s="24" t="s">
        <v>102</v>
      </c>
      <c r="M1803" s="24" t="s">
        <v>178</v>
      </c>
      <c r="N1803" s="24" t="s">
        <v>71</v>
      </c>
      <c r="O1803" s="24" t="s">
        <v>72</v>
      </c>
      <c r="P1803" s="24" t="s">
        <v>75</v>
      </c>
      <c r="Q1803" s="24" t="s">
        <v>74</v>
      </c>
      <c r="R1803" s="24" t="s">
        <v>73</v>
      </c>
      <c r="S1803" s="24" t="s">
        <v>106</v>
      </c>
      <c r="T1803" s="24" t="s">
        <v>62</v>
      </c>
      <c r="U1803" s="24" t="s">
        <v>147</v>
      </c>
      <c r="V1803" s="24" t="s">
        <v>93</v>
      </c>
      <c r="W1803" s="24" t="s">
        <v>77</v>
      </c>
      <c r="X1803" s="24" t="s">
        <v>180</v>
      </c>
      <c r="Y1803" s="24" t="s">
        <v>268</v>
      </c>
      <c r="Z1803" s="24" t="s">
        <v>64</v>
      </c>
      <c r="AA1803" s="24" t="s">
        <v>95</v>
      </c>
      <c r="AB1803" s="24" t="s">
        <v>4935</v>
      </c>
      <c r="AC1803" s="24" t="s">
        <v>4936</v>
      </c>
    </row>
    <row r="1804" spans="1:29">
      <c r="A1804" s="11" t="s">
        <v>4937</v>
      </c>
      <c r="B1804" s="11" t="str">
        <f>IF(ISNUMBER(SEARCH(E1804,A1804)),A1804,IF(OR(E1804="",E1804=""),A1804,A1804&amp;" - "&amp;E1804))</f>
        <v>enua 30/1 CCK-GBZ CA - Guava Barz</v>
      </c>
      <c r="C1804" s="30" t="s">
        <v>650</v>
      </c>
      <c r="D1804" s="30" t="s">
        <v>653</v>
      </c>
      <c r="E1804" s="32" t="s">
        <v>934</v>
      </c>
      <c r="F1804" s="40" t="s">
        <v>86</v>
      </c>
      <c r="G1804" s="34" t="s">
        <v>4057</v>
      </c>
      <c r="H1804" s="34">
        <v>1</v>
      </c>
      <c r="I1804" s="30" t="s">
        <v>0</v>
      </c>
      <c r="J1804" s="30" t="s">
        <v>0</v>
      </c>
      <c r="K1804" s="30" t="s">
        <v>52</v>
      </c>
      <c r="L1804" s="30" t="s">
        <v>53</v>
      </c>
      <c r="M1804" s="30" t="s">
        <v>72</v>
      </c>
      <c r="N1804" s="30" t="s">
        <v>55</v>
      </c>
      <c r="O1804" s="30" t="s">
        <v>0</v>
      </c>
      <c r="P1804" s="30" t="s">
        <v>73</v>
      </c>
      <c r="Q1804" s="30" t="s">
        <v>89</v>
      </c>
      <c r="R1804" s="30" t="s">
        <v>58</v>
      </c>
      <c r="S1804" s="30" t="s">
        <v>128</v>
      </c>
      <c r="T1804" s="30" t="s">
        <v>106</v>
      </c>
      <c r="U1804" s="30" t="s">
        <v>466</v>
      </c>
      <c r="V1804" s="30" t="s">
        <v>77</v>
      </c>
      <c r="W1804" s="30" t="s">
        <v>107</v>
      </c>
      <c r="X1804" s="30" t="s">
        <v>0</v>
      </c>
      <c r="Y1804" s="30" t="s">
        <v>539</v>
      </c>
      <c r="Z1804" s="30" t="s">
        <v>64</v>
      </c>
      <c r="AA1804" s="30" t="s">
        <v>653</v>
      </c>
      <c r="AB1804" s="30" t="s">
        <v>0</v>
      </c>
      <c r="AC1804" s="30" t="s">
        <v>4938</v>
      </c>
    </row>
    <row r="1805" spans="1:29">
      <c r="A1805" s="11" t="s">
        <v>4939</v>
      </c>
      <c r="B1805" s="11" t="str">
        <f>IF(ISNUMBER(SEARCH(E1805,A1805)),A1805,IF(OR(E1805="",E1805=""),A1805,A1805&amp;" - "&amp;E1805))</f>
        <v>Demecan Core OZK x CC 24:01 - OZ Kush x Coffin Candy</v>
      </c>
      <c r="C1805" s="24" t="s">
        <v>484</v>
      </c>
      <c r="D1805" s="24" t="s">
        <v>485</v>
      </c>
      <c r="E1805" s="26" t="s">
        <v>1807</v>
      </c>
      <c r="F1805" s="41" t="s">
        <v>177</v>
      </c>
      <c r="G1805" s="27" t="s">
        <v>448</v>
      </c>
      <c r="H1805" s="27">
        <v>1</v>
      </c>
      <c r="I1805" s="24" t="s">
        <v>0</v>
      </c>
      <c r="J1805" s="24" t="s">
        <v>0</v>
      </c>
      <c r="K1805" s="24" t="s">
        <v>52</v>
      </c>
      <c r="L1805" s="24" t="s">
        <v>527</v>
      </c>
      <c r="M1805" s="24" t="s">
        <v>72</v>
      </c>
      <c r="N1805" s="24" t="s">
        <v>88</v>
      </c>
      <c r="O1805" s="24" t="s">
        <v>121</v>
      </c>
      <c r="P1805" s="24" t="s">
        <v>59</v>
      </c>
      <c r="Q1805" s="24" t="s">
        <v>58</v>
      </c>
      <c r="R1805" s="24" t="s">
        <v>74</v>
      </c>
      <c r="S1805" s="24" t="s">
        <v>128</v>
      </c>
      <c r="T1805" s="24" t="s">
        <v>106</v>
      </c>
      <c r="U1805" s="24" t="s">
        <v>62</v>
      </c>
      <c r="V1805" s="24" t="s">
        <v>116</v>
      </c>
      <c r="W1805" s="24" t="s">
        <v>173</v>
      </c>
      <c r="X1805" s="24" t="s">
        <v>77</v>
      </c>
      <c r="Y1805" s="24" t="s">
        <v>431</v>
      </c>
      <c r="Z1805" s="24" t="s">
        <v>64</v>
      </c>
      <c r="AA1805" s="24" t="s">
        <v>485</v>
      </c>
      <c r="AB1805" s="24" t="s">
        <v>0</v>
      </c>
      <c r="AC1805" s="24" t="s">
        <v>4940</v>
      </c>
    </row>
    <row r="1806" spans="1:29">
      <c r="A1806" s="11" t="s">
        <v>4941</v>
      </c>
      <c r="B1806" s="11" t="str">
        <f>IF(ISNUMBER(SEARCH(E1806,A1806)),A1806,IF(OR(E1806="",E1806=""),A1806,A1806&amp;" - "&amp;E1806))</f>
        <v>Enua 25/1 WCK CA 100 - LA Kush Cake</v>
      </c>
      <c r="C1806" s="30" t="s">
        <v>650</v>
      </c>
      <c r="D1806" s="30" t="s">
        <v>653</v>
      </c>
      <c r="E1806" s="32" t="s">
        <v>578</v>
      </c>
      <c r="F1806" s="40" t="s">
        <v>177</v>
      </c>
      <c r="G1806" s="34" t="s">
        <v>26</v>
      </c>
      <c r="H1806" s="34" t="s">
        <v>65</v>
      </c>
      <c r="I1806" s="30" t="s">
        <v>0</v>
      </c>
      <c r="J1806" s="30" t="s">
        <v>0</v>
      </c>
      <c r="K1806" s="30" t="s">
        <v>52</v>
      </c>
      <c r="L1806" s="30" t="s">
        <v>53</v>
      </c>
      <c r="M1806" s="30" t="s">
        <v>156</v>
      </c>
      <c r="N1806" s="30" t="s">
        <v>121</v>
      </c>
      <c r="O1806" s="30" t="s">
        <v>72</v>
      </c>
      <c r="P1806" s="30" t="s">
        <v>112</v>
      </c>
      <c r="Q1806" s="30" t="s">
        <v>59</v>
      </c>
      <c r="R1806" s="30" t="s">
        <v>57</v>
      </c>
      <c r="S1806" s="30" t="s">
        <v>128</v>
      </c>
      <c r="T1806" s="30" t="s">
        <v>106</v>
      </c>
      <c r="U1806" s="30" t="s">
        <v>123</v>
      </c>
      <c r="V1806" s="30" t="s">
        <v>107</v>
      </c>
      <c r="W1806" s="30" t="s">
        <v>79</v>
      </c>
      <c r="X1806" s="30" t="s">
        <v>173</v>
      </c>
      <c r="Y1806" s="30" t="s">
        <v>3510</v>
      </c>
      <c r="Z1806" s="30" t="s">
        <v>64</v>
      </c>
      <c r="AA1806" s="30" t="s">
        <v>653</v>
      </c>
      <c r="AB1806" s="30" t="s">
        <v>0</v>
      </c>
      <c r="AC1806" s="30" t="s">
        <v>4942</v>
      </c>
    </row>
    <row r="1807" spans="1:29">
      <c r="A1807" s="11" t="s">
        <v>1541</v>
      </c>
      <c r="B1807" s="11" t="str">
        <f>IF(ISNUMBER(SEARCH(E1807,A1807)),A1807,IF(OR(E1807="",E1807=""),A1807,A1807&amp;" - "&amp;E1807))</f>
        <v>Tilray THC22 Spotlight Porto - Frosted Cherry Cookies</v>
      </c>
      <c r="C1807" s="24" t="s">
        <v>133</v>
      </c>
      <c r="D1807" s="24" t="s">
        <v>134</v>
      </c>
      <c r="E1807" s="26" t="s">
        <v>4780</v>
      </c>
      <c r="F1807" s="41" t="s">
        <v>177</v>
      </c>
      <c r="G1807" s="27" t="s">
        <v>4126</v>
      </c>
      <c r="H1807" s="27">
        <v>1</v>
      </c>
      <c r="I1807" s="24" t="s">
        <v>0</v>
      </c>
      <c r="J1807" s="24" t="s">
        <v>0</v>
      </c>
      <c r="K1807" s="24" t="s">
        <v>52</v>
      </c>
      <c r="L1807" s="24" t="s">
        <v>102</v>
      </c>
      <c r="M1807" s="24" t="s">
        <v>88</v>
      </c>
      <c r="N1807" s="24" t="s">
        <v>72</v>
      </c>
      <c r="O1807" s="24" t="s">
        <v>54</v>
      </c>
      <c r="P1807" s="24" t="s">
        <v>59</v>
      </c>
      <c r="Q1807" s="24" t="s">
        <v>74</v>
      </c>
      <c r="R1807" s="24" t="s">
        <v>58</v>
      </c>
      <c r="S1807" s="24" t="s">
        <v>106</v>
      </c>
      <c r="T1807" s="24" t="s">
        <v>147</v>
      </c>
      <c r="U1807" s="24" t="s">
        <v>192</v>
      </c>
      <c r="V1807" s="24" t="s">
        <v>107</v>
      </c>
      <c r="W1807" s="24" t="s">
        <v>116</v>
      </c>
      <c r="X1807" s="24" t="s">
        <v>93</v>
      </c>
      <c r="Y1807" s="24" t="s">
        <v>130</v>
      </c>
      <c r="Z1807" s="24" t="s">
        <v>64</v>
      </c>
      <c r="AA1807" s="24" t="s">
        <v>134</v>
      </c>
      <c r="AB1807" s="24" t="s">
        <v>0</v>
      </c>
      <c r="AC1807" s="24" t="s">
        <v>4943</v>
      </c>
    </row>
    <row r="1808" spans="1:29">
      <c r="A1808" s="11" t="s">
        <v>4944</v>
      </c>
      <c r="B1808" s="11" t="str">
        <f>IF(ISNUMBER(SEARCH(E1808,A1808)),A1808,IF(OR(E1808="",E1808=""),A1808,A1808&amp;" - "&amp;E1808))</f>
        <v>Tilray Craft Cannabisblüten THC25 BBD Blueberry Donuts 29</v>
      </c>
      <c r="C1808" s="30" t="s">
        <v>133</v>
      </c>
      <c r="D1808" s="30" t="s">
        <v>134</v>
      </c>
      <c r="E1808" s="32" t="s">
        <v>4945</v>
      </c>
      <c r="F1808" s="40" t="s">
        <v>86</v>
      </c>
      <c r="G1808" s="34" t="s">
        <v>26</v>
      </c>
      <c r="H1808" s="34">
        <v>1</v>
      </c>
      <c r="I1808" s="30" t="s">
        <v>0</v>
      </c>
      <c r="J1808" s="30" t="s">
        <v>0</v>
      </c>
      <c r="K1808" s="30" t="s">
        <v>52</v>
      </c>
      <c r="L1808" s="30" t="s">
        <v>53</v>
      </c>
      <c r="M1808" s="30" t="s">
        <v>54</v>
      </c>
      <c r="N1808" s="30" t="s">
        <v>71</v>
      </c>
      <c r="O1808" s="30" t="s">
        <v>72</v>
      </c>
      <c r="P1808" s="30" t="s">
        <v>75</v>
      </c>
      <c r="Q1808" s="30" t="s">
        <v>58</v>
      </c>
      <c r="R1808" s="30" t="s">
        <v>89</v>
      </c>
      <c r="S1808" s="30" t="s">
        <v>106</v>
      </c>
      <c r="T1808" s="30" t="s">
        <v>62</v>
      </c>
      <c r="U1808" s="30" t="s">
        <v>147</v>
      </c>
      <c r="V1808" s="30" t="s">
        <v>79</v>
      </c>
      <c r="W1808" s="30" t="s">
        <v>208</v>
      </c>
      <c r="X1808" s="30" t="s">
        <v>180</v>
      </c>
      <c r="Y1808" s="30" t="s">
        <v>1907</v>
      </c>
      <c r="Z1808" s="30" t="s">
        <v>64</v>
      </c>
      <c r="AA1808" s="30" t="s">
        <v>134</v>
      </c>
      <c r="AB1808" s="30" t="s">
        <v>0</v>
      </c>
      <c r="AC1808" s="30" t="s">
        <v>4946</v>
      </c>
    </row>
    <row r="1809" spans="1:29">
      <c r="A1809" s="11" t="s">
        <v>4947</v>
      </c>
      <c r="B1809" s="11" t="str">
        <f>IF(ISNUMBER(SEARCH(E1809,A1809)),A1809,IF(OR(E1809="",E1809=""),A1809,A1809&amp;" - "&amp;E1809))</f>
        <v>Tilray Craft Cannabisblüten THC25 BCR - Beach Crasher</v>
      </c>
      <c r="C1809" s="24" t="s">
        <v>133</v>
      </c>
      <c r="D1809" s="24" t="s">
        <v>134</v>
      </c>
      <c r="E1809" s="26" t="s">
        <v>4948</v>
      </c>
      <c r="F1809" s="41" t="s">
        <v>86</v>
      </c>
      <c r="G1809" s="27" t="s">
        <v>26</v>
      </c>
      <c r="H1809" s="27">
        <v>1</v>
      </c>
      <c r="I1809" s="24" t="s">
        <v>0</v>
      </c>
      <c r="J1809" s="24" t="s">
        <v>0</v>
      </c>
      <c r="K1809" s="24" t="s">
        <v>52</v>
      </c>
      <c r="L1809" s="24" t="s">
        <v>53</v>
      </c>
      <c r="M1809" s="24" t="s">
        <v>88</v>
      </c>
      <c r="N1809" s="24" t="s">
        <v>54</v>
      </c>
      <c r="O1809" s="24" t="s">
        <v>72</v>
      </c>
      <c r="P1809" s="24" t="s">
        <v>1100</v>
      </c>
      <c r="Q1809" s="24" t="s">
        <v>75</v>
      </c>
      <c r="R1809" s="24" t="s">
        <v>74</v>
      </c>
      <c r="S1809" s="24" t="s">
        <v>90</v>
      </c>
      <c r="T1809" s="24" t="s">
        <v>106</v>
      </c>
      <c r="U1809" s="24" t="s">
        <v>62</v>
      </c>
      <c r="V1809" s="24" t="s">
        <v>173</v>
      </c>
      <c r="W1809" s="24" t="s">
        <v>77</v>
      </c>
      <c r="X1809" s="24" t="s">
        <v>116</v>
      </c>
      <c r="Y1809" s="24" t="s">
        <v>1907</v>
      </c>
      <c r="Z1809" s="24" t="s">
        <v>64</v>
      </c>
      <c r="AA1809" s="24" t="s">
        <v>134</v>
      </c>
      <c r="AB1809" s="24" t="s">
        <v>0</v>
      </c>
      <c r="AC1809" s="24" t="s">
        <v>4949</v>
      </c>
    </row>
    <row r="1810" spans="1:29">
      <c r="A1810" s="11" t="s">
        <v>4950</v>
      </c>
      <c r="B1810" s="11" t="str">
        <f>IF(ISNUMBER(SEARCH(E1810,A1810)),A1810,IF(OR(E1810="",E1810=""),A1810,A1810&amp;" - "&amp;E1810))</f>
        <v>Remexian 21/1 CCU SBE  - Super Berry</v>
      </c>
      <c r="C1810" s="30" t="s">
        <v>83</v>
      </c>
      <c r="D1810" s="30" t="s">
        <v>95</v>
      </c>
      <c r="E1810" s="32" t="s">
        <v>4951</v>
      </c>
      <c r="F1810" s="40" t="s">
        <v>86</v>
      </c>
      <c r="G1810" s="34" t="s">
        <v>452</v>
      </c>
      <c r="H1810" s="34">
        <v>1</v>
      </c>
      <c r="I1810" s="30" t="s">
        <v>0</v>
      </c>
      <c r="J1810" s="30" t="s">
        <v>0</v>
      </c>
      <c r="K1810" s="30" t="s">
        <v>52</v>
      </c>
      <c r="L1810" s="30" t="s">
        <v>53</v>
      </c>
      <c r="M1810" s="30" t="s">
        <v>71</v>
      </c>
      <c r="N1810" s="30" t="s">
        <v>72</v>
      </c>
      <c r="O1810" s="30" t="s">
        <v>0</v>
      </c>
      <c r="P1810" s="30" t="s">
        <v>104</v>
      </c>
      <c r="Q1810" s="30" t="s">
        <v>74</v>
      </c>
      <c r="R1810" s="30" t="s">
        <v>75</v>
      </c>
      <c r="S1810" s="30" t="s">
        <v>106</v>
      </c>
      <c r="T1810" s="30" t="s">
        <v>179</v>
      </c>
      <c r="U1810" s="30" t="s">
        <v>105</v>
      </c>
      <c r="V1810" s="30" t="s">
        <v>173</v>
      </c>
      <c r="W1810" s="30" t="s">
        <v>93</v>
      </c>
      <c r="X1810" s="30" t="s">
        <v>180</v>
      </c>
      <c r="Y1810" s="30" t="s">
        <v>307</v>
      </c>
      <c r="Z1810" s="30" t="s">
        <v>64</v>
      </c>
      <c r="AA1810" s="30" t="s">
        <v>95</v>
      </c>
      <c r="AB1810" s="30" t="s">
        <v>0</v>
      </c>
      <c r="AC1810" s="30" t="s">
        <v>4952</v>
      </c>
    </row>
    <row r="1811" spans="1:29">
      <c r="A1811" s="11" t="s">
        <v>4953</v>
      </c>
      <c r="B1811" s="11" t="str">
        <f>IF(ISNUMBER(SEARCH(E1811,A1811)),A1811,IF(OR(E1811="",E1811=""),A1811,A1811&amp;" - "&amp;E1811))</f>
        <v>Enua 22/1 SAM CA - Super Alien Mints</v>
      </c>
      <c r="C1811" s="24" t="s">
        <v>650</v>
      </c>
      <c r="D1811" s="24" t="s">
        <v>653</v>
      </c>
      <c r="E1811" s="26" t="s">
        <v>4954</v>
      </c>
      <c r="F1811" s="41" t="s">
        <v>177</v>
      </c>
      <c r="G1811" s="27" t="s">
        <v>4126</v>
      </c>
      <c r="H1811" s="27" t="s">
        <v>65</v>
      </c>
      <c r="I1811" s="24" t="s">
        <v>0</v>
      </c>
      <c r="J1811" s="24" t="s">
        <v>0</v>
      </c>
      <c r="K1811" s="24" t="s">
        <v>52</v>
      </c>
      <c r="L1811" s="24" t="s">
        <v>53</v>
      </c>
      <c r="M1811" s="24" t="s">
        <v>88</v>
      </c>
      <c r="N1811" s="24" t="s">
        <v>72</v>
      </c>
      <c r="O1811" s="24" t="s">
        <v>0</v>
      </c>
      <c r="P1811" s="24" t="s">
        <v>112</v>
      </c>
      <c r="Q1811" s="24" t="s">
        <v>89</v>
      </c>
      <c r="R1811" s="24" t="s">
        <v>58</v>
      </c>
      <c r="S1811" s="24" t="s">
        <v>128</v>
      </c>
      <c r="T1811" s="24" t="s">
        <v>76</v>
      </c>
      <c r="U1811" s="24" t="s">
        <v>164</v>
      </c>
      <c r="V1811" s="24" t="s">
        <v>180</v>
      </c>
      <c r="W1811" s="24" t="s">
        <v>208</v>
      </c>
      <c r="X1811" s="24" t="s">
        <v>93</v>
      </c>
      <c r="Y1811" s="24" t="s">
        <v>1681</v>
      </c>
      <c r="Z1811" s="24" t="s">
        <v>64</v>
      </c>
      <c r="AA1811" s="24" t="s">
        <v>653</v>
      </c>
      <c r="AB1811" s="24" t="s">
        <v>0</v>
      </c>
      <c r="AC1811" s="24" t="s">
        <v>4955</v>
      </c>
    </row>
    <row r="1812" spans="1:29">
      <c r="A1812" s="11" t="s">
        <v>4956</v>
      </c>
      <c r="B1812" s="11" t="str">
        <f>IF(ISNUMBER(SEARCH(E1812,A1812)),A1812,IF(OR(E1812="",E1812=""),A1812,A1812&amp;" - "&amp;E1812))</f>
        <v>Remexian Balanced CNF MCC 11/17 CBD Mango Cream Cheese - Mango Cheese</v>
      </c>
      <c r="C1812" s="30" t="s">
        <v>83</v>
      </c>
      <c r="D1812" s="30" t="s">
        <v>95</v>
      </c>
      <c r="E1812" s="32" t="s">
        <v>3661</v>
      </c>
      <c r="F1812" s="40" t="s">
        <v>86</v>
      </c>
      <c r="G1812" s="34" t="s">
        <v>14</v>
      </c>
      <c r="H1812" s="34" t="s">
        <v>4038</v>
      </c>
      <c r="I1812" s="30" t="s">
        <v>0</v>
      </c>
      <c r="J1812" s="30" t="s">
        <v>0</v>
      </c>
      <c r="K1812" s="30" t="s">
        <v>52</v>
      </c>
      <c r="L1812" s="30" t="s">
        <v>102</v>
      </c>
      <c r="M1812" s="30" t="s">
        <v>88</v>
      </c>
      <c r="N1812" s="30" t="s">
        <v>0</v>
      </c>
      <c r="O1812" s="30" t="s">
        <v>0</v>
      </c>
      <c r="P1812" s="30" t="s">
        <v>75</v>
      </c>
      <c r="Q1812" s="30" t="s">
        <v>136</v>
      </c>
      <c r="R1812" s="30" t="s">
        <v>58</v>
      </c>
      <c r="S1812" s="30" t="s">
        <v>128</v>
      </c>
      <c r="T1812" s="30" t="s">
        <v>62</v>
      </c>
      <c r="U1812" s="30" t="s">
        <v>192</v>
      </c>
      <c r="V1812" s="30" t="s">
        <v>79</v>
      </c>
      <c r="W1812" s="30" t="s">
        <v>93</v>
      </c>
      <c r="X1812" s="30" t="s">
        <v>107</v>
      </c>
      <c r="Y1812" s="30" t="s">
        <v>213</v>
      </c>
      <c r="Z1812" s="30" t="s">
        <v>64</v>
      </c>
      <c r="AA1812" s="30" t="s">
        <v>95</v>
      </c>
      <c r="AB1812" s="30" t="s">
        <v>0</v>
      </c>
      <c r="AC1812" s="30" t="s">
        <v>4957</v>
      </c>
    </row>
    <row r="1813" spans="1:29">
      <c r="A1813" s="11" t="s">
        <v>4958</v>
      </c>
      <c r="B1813" s="11" t="str">
        <f>IF(ISNUMBER(SEARCH(E1813,A1813)),A1813,IF(OR(E1813="",E1813=""),A1813,A1813&amp;" - "&amp;E1813))</f>
        <v>Sibanax GMO Zkittlez 20/1</v>
      </c>
      <c r="C1813" s="24" t="s">
        <v>2296</v>
      </c>
      <c r="D1813" s="24" t="s">
        <v>2298</v>
      </c>
      <c r="E1813" s="26" t="s">
        <v>3335</v>
      </c>
      <c r="F1813" s="41" t="s">
        <v>177</v>
      </c>
      <c r="G1813" s="27">
        <v>20</v>
      </c>
      <c r="H1813" s="27">
        <v>1</v>
      </c>
      <c r="I1813" s="24" t="s">
        <v>0</v>
      </c>
      <c r="J1813" s="24" t="s">
        <v>0</v>
      </c>
      <c r="K1813" s="24" t="s">
        <v>52</v>
      </c>
      <c r="L1813" s="24" t="s">
        <v>87</v>
      </c>
      <c r="M1813" s="24" t="s">
        <v>72</v>
      </c>
      <c r="N1813" s="24" t="s">
        <v>88</v>
      </c>
      <c r="O1813" s="24" t="s">
        <v>71</v>
      </c>
      <c r="P1813" s="24" t="s">
        <v>104</v>
      </c>
      <c r="Q1813" s="24" t="s">
        <v>74</v>
      </c>
      <c r="R1813" s="24" t="s">
        <v>73</v>
      </c>
      <c r="S1813" s="24" t="s">
        <v>90</v>
      </c>
      <c r="T1813" s="24" t="s">
        <v>128</v>
      </c>
      <c r="U1813" s="24" t="s">
        <v>62</v>
      </c>
      <c r="V1813" s="24" t="s">
        <v>107</v>
      </c>
      <c r="W1813" s="24" t="s">
        <v>77</v>
      </c>
      <c r="X1813" s="24" t="s">
        <v>116</v>
      </c>
      <c r="Y1813" s="24" t="s">
        <v>418</v>
      </c>
      <c r="Z1813" s="24" t="s">
        <v>64</v>
      </c>
      <c r="AA1813" s="24" t="s">
        <v>2298</v>
      </c>
      <c r="AB1813" s="24" t="s">
        <v>0</v>
      </c>
      <c r="AC1813" s="24" t="s">
        <v>4959</v>
      </c>
    </row>
    <row r="1814" spans="1:29">
      <c r="A1814" s="11" t="s">
        <v>4960</v>
      </c>
      <c r="B1814" s="11" t="str">
        <f>IF(ISNUMBER(SEARCH(E1814,A1814)),A1814,IF(OR(E1814="",E1814=""),A1814,A1814&amp;" - "&amp;E1814))</f>
        <v>Remexian 33/1 GJY FLJ Flap Jack - Flap Jacks</v>
      </c>
      <c r="C1814" s="30" t="s">
        <v>83</v>
      </c>
      <c r="D1814" s="30" t="s">
        <v>95</v>
      </c>
      <c r="E1814" s="32" t="s">
        <v>1709</v>
      </c>
      <c r="F1814" s="40" t="s">
        <v>177</v>
      </c>
      <c r="G1814" s="34" t="s">
        <v>4169</v>
      </c>
      <c r="H1814" s="34" t="s">
        <v>65</v>
      </c>
      <c r="I1814" s="30" t="s">
        <v>0</v>
      </c>
      <c r="J1814" s="30" t="s">
        <v>0</v>
      </c>
      <c r="K1814" s="30" t="s">
        <v>52</v>
      </c>
      <c r="L1814" s="30" t="s">
        <v>53</v>
      </c>
      <c r="M1814" s="30" t="s">
        <v>54</v>
      </c>
      <c r="N1814" s="30" t="s">
        <v>178</v>
      </c>
      <c r="O1814" s="30" t="s">
        <v>88</v>
      </c>
      <c r="P1814" s="30" t="s">
        <v>59</v>
      </c>
      <c r="Q1814" s="30" t="s">
        <v>74</v>
      </c>
      <c r="R1814" s="30" t="s">
        <v>146</v>
      </c>
      <c r="S1814" s="30" t="s">
        <v>106</v>
      </c>
      <c r="T1814" s="30" t="s">
        <v>123</v>
      </c>
      <c r="U1814" s="30" t="s">
        <v>493</v>
      </c>
      <c r="V1814" s="30" t="s">
        <v>77</v>
      </c>
      <c r="W1814" s="30" t="s">
        <v>107</v>
      </c>
      <c r="X1814" s="30" t="s">
        <v>116</v>
      </c>
      <c r="Y1814" s="30" t="s">
        <v>335</v>
      </c>
      <c r="Z1814" s="30" t="s">
        <v>64</v>
      </c>
      <c r="AA1814" s="30" t="s">
        <v>95</v>
      </c>
      <c r="AB1814" s="30" t="s">
        <v>4961</v>
      </c>
      <c r="AC1814" s="30" t="s">
        <v>4962</v>
      </c>
    </row>
    <row r="1815" spans="1:29">
      <c r="A1815" s="11" t="s">
        <v>4963</v>
      </c>
      <c r="B1815" s="11" t="str">
        <f>IF(ISNUMBER(SEARCH(E1815,A1815)),A1815,IF(OR(E1815="",E1815=""),A1815,A1815&amp;" - "&amp;E1815))</f>
        <v>NICE 20/1 JS - Jack Skunkset</v>
      </c>
      <c r="C1815" s="24" t="s">
        <v>996</v>
      </c>
      <c r="D1815" s="24" t="s">
        <v>997</v>
      </c>
      <c r="E1815" s="26" t="s">
        <v>3730</v>
      </c>
      <c r="F1815" s="41" t="s">
        <v>86</v>
      </c>
      <c r="G1815" s="27" t="s">
        <v>460</v>
      </c>
      <c r="H1815" s="27" t="s">
        <v>65</v>
      </c>
      <c r="I1815" s="24" t="s">
        <v>0</v>
      </c>
      <c r="J1815" s="24" t="s">
        <v>0</v>
      </c>
      <c r="K1815" s="24" t="s">
        <v>52</v>
      </c>
      <c r="L1815" s="24" t="s">
        <v>202</v>
      </c>
      <c r="M1815" s="24" t="s">
        <v>178</v>
      </c>
      <c r="N1815" s="24" t="s">
        <v>111</v>
      </c>
      <c r="O1815" s="24" t="s">
        <v>88</v>
      </c>
      <c r="P1815" s="24" t="s">
        <v>74</v>
      </c>
      <c r="Q1815" s="24" t="s">
        <v>157</v>
      </c>
      <c r="R1815" s="24" t="s">
        <v>89</v>
      </c>
      <c r="S1815" s="24" t="s">
        <v>90</v>
      </c>
      <c r="T1815" s="24" t="s">
        <v>62</v>
      </c>
      <c r="U1815" s="24" t="s">
        <v>192</v>
      </c>
      <c r="V1815" s="24" t="s">
        <v>93</v>
      </c>
      <c r="W1815" s="24" t="s">
        <v>711</v>
      </c>
      <c r="X1815" s="24" t="s">
        <v>107</v>
      </c>
      <c r="Y1815" s="24" t="s">
        <v>188</v>
      </c>
      <c r="Z1815" s="24" t="s">
        <v>64</v>
      </c>
      <c r="AA1815" s="24" t="s">
        <v>997</v>
      </c>
      <c r="AB1815" s="24" t="s">
        <v>0</v>
      </c>
      <c r="AC1815" s="24" t="s">
        <v>4964</v>
      </c>
    </row>
    <row r="1816" spans="1:29">
      <c r="A1816" s="11" t="s">
        <v>4965</v>
      </c>
      <c r="B1816" s="11" t="str">
        <f>IF(ISNUMBER(SEARCH(E1816,A1816)),A1816,IF(OR(E1816="",E1816=""),A1816,A1816&amp;" - "&amp;E1816))</f>
        <v>Cannamedical Indica Forte BC TB - Tangelo Boost</v>
      </c>
      <c r="C1816" s="30" t="s">
        <v>48</v>
      </c>
      <c r="D1816" s="30" t="s">
        <v>49</v>
      </c>
      <c r="E1816" s="32" t="s">
        <v>789</v>
      </c>
      <c r="F1816" s="40" t="s">
        <v>177</v>
      </c>
      <c r="G1816" s="34" t="s">
        <v>448</v>
      </c>
      <c r="H1816" s="34">
        <v>1</v>
      </c>
      <c r="I1816" s="30" t="s">
        <v>0</v>
      </c>
      <c r="J1816" s="30" t="s">
        <v>0</v>
      </c>
      <c r="K1816" s="30" t="s">
        <v>52</v>
      </c>
      <c r="L1816" s="30" t="s">
        <v>497</v>
      </c>
      <c r="M1816" s="30" t="s">
        <v>72</v>
      </c>
      <c r="N1816" s="30" t="s">
        <v>88</v>
      </c>
      <c r="O1816" s="30" t="s">
        <v>0</v>
      </c>
      <c r="P1816" s="30" t="s">
        <v>89</v>
      </c>
      <c r="Q1816" s="30" t="s">
        <v>58</v>
      </c>
      <c r="R1816" s="30" t="s">
        <v>186</v>
      </c>
      <c r="S1816" s="30" t="s">
        <v>106</v>
      </c>
      <c r="T1816" s="30" t="s">
        <v>147</v>
      </c>
      <c r="U1816" s="30" t="s">
        <v>493</v>
      </c>
      <c r="V1816" s="30" t="s">
        <v>116</v>
      </c>
      <c r="W1816" s="30" t="s">
        <v>79</v>
      </c>
      <c r="X1816" s="30" t="s">
        <v>107</v>
      </c>
      <c r="Y1816" s="30" t="s">
        <v>523</v>
      </c>
      <c r="Z1816" s="30" t="s">
        <v>64</v>
      </c>
      <c r="AA1816" s="30" t="s">
        <v>49</v>
      </c>
      <c r="AB1816" s="30" t="s">
        <v>0</v>
      </c>
      <c r="AC1816" s="30" t="s">
        <v>4966</v>
      </c>
    </row>
    <row r="1817" spans="1:29">
      <c r="A1817" s="11" t="s">
        <v>4967</v>
      </c>
      <c r="B1817" s="11" t="str">
        <f>IF(ISNUMBER(SEARCH(E1817,A1817)),A1817,IF(OR(E1817="",E1817=""),A1817,A1817&amp;" - "&amp;E1817))</f>
        <v>Medicus 30/1 EVS WHP Smalls - White Poison</v>
      </c>
      <c r="C1817" s="24" t="s">
        <v>564</v>
      </c>
      <c r="D1817" s="24" t="s">
        <v>565</v>
      </c>
      <c r="E1817" s="26" t="s">
        <v>4968</v>
      </c>
      <c r="F1817" s="41" t="s">
        <v>144</v>
      </c>
      <c r="G1817" s="27" t="s">
        <v>4057</v>
      </c>
      <c r="H1817" s="27" t="s">
        <v>65</v>
      </c>
      <c r="I1817" s="24" t="s">
        <v>0</v>
      </c>
      <c r="J1817" s="24" t="s">
        <v>0</v>
      </c>
      <c r="K1817" s="24" t="s">
        <v>52</v>
      </c>
      <c r="L1817" s="24" t="s">
        <v>1506</v>
      </c>
      <c r="M1817" s="24" t="s">
        <v>178</v>
      </c>
      <c r="N1817" s="24" t="s">
        <v>111</v>
      </c>
      <c r="O1817" s="24" t="s">
        <v>54</v>
      </c>
      <c r="P1817" s="24" t="s">
        <v>157</v>
      </c>
      <c r="Q1817" s="24" t="s">
        <v>74</v>
      </c>
      <c r="R1817" s="24" t="s">
        <v>104</v>
      </c>
      <c r="S1817" s="24" t="s">
        <v>106</v>
      </c>
      <c r="T1817" s="24" t="s">
        <v>62</v>
      </c>
      <c r="U1817" s="24" t="s">
        <v>123</v>
      </c>
      <c r="V1817" s="24" t="s">
        <v>77</v>
      </c>
      <c r="W1817" s="24" t="s">
        <v>79</v>
      </c>
      <c r="X1817" s="24" t="s">
        <v>116</v>
      </c>
      <c r="Y1817" s="24" t="s">
        <v>314</v>
      </c>
      <c r="Z1817" s="24" t="s">
        <v>64</v>
      </c>
      <c r="AA1817" s="24" t="s">
        <v>565</v>
      </c>
      <c r="AB1817" s="24" t="s">
        <v>4969</v>
      </c>
      <c r="AC1817" s="24" t="s">
        <v>4970</v>
      </c>
    </row>
    <row r="1818" spans="1:29">
      <c r="A1818" s="11" t="s">
        <v>4971</v>
      </c>
      <c r="B1818" s="11" t="str">
        <f>IF(ISNUMBER(SEARCH(E1818,A1818)),A1818,IF(OR(E1818="",E1818=""),A1818,A1818&amp;" - "&amp;E1818))</f>
        <v>Remexian 21/1 CCU LAR - LA Runtz</v>
      </c>
      <c r="C1818" s="30" t="s">
        <v>83</v>
      </c>
      <c r="D1818" s="30" t="s">
        <v>95</v>
      </c>
      <c r="E1818" s="32" t="s">
        <v>4972</v>
      </c>
      <c r="F1818" s="40" t="s">
        <v>86</v>
      </c>
      <c r="G1818" s="34" t="s">
        <v>452</v>
      </c>
      <c r="H1818" s="34">
        <v>1</v>
      </c>
      <c r="I1818" s="30" t="s">
        <v>0</v>
      </c>
      <c r="J1818" s="30" t="s">
        <v>0</v>
      </c>
      <c r="K1818" s="30" t="s">
        <v>52</v>
      </c>
      <c r="L1818" s="30" t="s">
        <v>53</v>
      </c>
      <c r="M1818" s="30" t="s">
        <v>72</v>
      </c>
      <c r="N1818" s="30" t="s">
        <v>54</v>
      </c>
      <c r="O1818" s="30" t="s">
        <v>88</v>
      </c>
      <c r="P1818" s="30" t="s">
        <v>59</v>
      </c>
      <c r="Q1818" s="30" t="s">
        <v>57</v>
      </c>
      <c r="R1818" s="30" t="s">
        <v>75</v>
      </c>
      <c r="S1818" s="30" t="s">
        <v>106</v>
      </c>
      <c r="T1818" s="30" t="s">
        <v>62</v>
      </c>
      <c r="U1818" s="30" t="s">
        <v>123</v>
      </c>
      <c r="V1818" s="30" t="s">
        <v>79</v>
      </c>
      <c r="W1818" s="30" t="s">
        <v>107</v>
      </c>
      <c r="X1818" s="30" t="s">
        <v>116</v>
      </c>
      <c r="Y1818" s="30" t="s">
        <v>358</v>
      </c>
      <c r="Z1818" s="30" t="s">
        <v>64</v>
      </c>
      <c r="AA1818" s="30" t="s">
        <v>95</v>
      </c>
      <c r="AB1818" s="30" t="s">
        <v>0</v>
      </c>
      <c r="AC1818" s="30" t="s">
        <v>4973</v>
      </c>
    </row>
    <row r="1819" spans="1:29">
      <c r="A1819" s="11" t="s">
        <v>4974</v>
      </c>
      <c r="B1819" s="11" t="str">
        <f>IF(ISNUMBER(SEARCH(E1819,A1819)),A1819,IF(OR(E1819="",E1819=""),A1819,A1819&amp;" - "&amp;E1819))</f>
        <v>enua 22/1 MAC 1 CA - Miracle Alien Cookies</v>
      </c>
      <c r="C1819" s="24" t="s">
        <v>650</v>
      </c>
      <c r="D1819" s="24" t="s">
        <v>653</v>
      </c>
      <c r="E1819" s="26" t="s">
        <v>3853</v>
      </c>
      <c r="F1819" s="41" t="s">
        <v>2560</v>
      </c>
      <c r="G1819" s="27" t="s">
        <v>4126</v>
      </c>
      <c r="H1819" s="27" t="s">
        <v>65</v>
      </c>
      <c r="I1819" s="24" t="s">
        <v>0</v>
      </c>
      <c r="J1819" s="24" t="s">
        <v>0</v>
      </c>
      <c r="K1819" s="24" t="s">
        <v>52</v>
      </c>
      <c r="L1819" s="24" t="s">
        <v>202</v>
      </c>
      <c r="M1819" s="24" t="s">
        <v>72</v>
      </c>
      <c r="N1819" s="24" t="s">
        <v>54</v>
      </c>
      <c r="O1819" s="24" t="s">
        <v>88</v>
      </c>
      <c r="P1819" s="24" t="s">
        <v>104</v>
      </c>
      <c r="Q1819" s="24" t="s">
        <v>59</v>
      </c>
      <c r="R1819" s="24" t="s">
        <v>74</v>
      </c>
      <c r="S1819" s="24" t="s">
        <v>106</v>
      </c>
      <c r="T1819" s="24" t="s">
        <v>62</v>
      </c>
      <c r="U1819" s="24" t="s">
        <v>192</v>
      </c>
      <c r="V1819" s="24" t="s">
        <v>107</v>
      </c>
      <c r="W1819" s="24" t="s">
        <v>77</v>
      </c>
      <c r="X1819" s="24" t="s">
        <v>93</v>
      </c>
      <c r="Y1819" s="24" t="s">
        <v>413</v>
      </c>
      <c r="Z1819" s="24" t="s">
        <v>64</v>
      </c>
      <c r="AA1819" s="24" t="s">
        <v>653</v>
      </c>
      <c r="AB1819" s="24" t="s">
        <v>0</v>
      </c>
      <c r="AC1819" s="24" t="s">
        <v>4975</v>
      </c>
    </row>
    <row r="1820" spans="1:29">
      <c r="A1820" s="11" t="s">
        <v>4976</v>
      </c>
      <c r="B1820" s="11" t="str">
        <f>IF(ISNUMBER(SEARCH(E1820,A1820)),A1820,IF(OR(E1820="",E1820=""),A1820,A1820&amp;" - "&amp;E1820))</f>
        <v>enua 25/1 GTHZ - Ghost Train Haze</v>
      </c>
      <c r="C1820" s="30" t="s">
        <v>650</v>
      </c>
      <c r="D1820" s="30" t="s">
        <v>653</v>
      </c>
      <c r="E1820" s="32" t="s">
        <v>343</v>
      </c>
      <c r="F1820" s="40" t="s">
        <v>69</v>
      </c>
      <c r="G1820" s="34" t="s">
        <v>26</v>
      </c>
      <c r="H1820" s="34">
        <v>1</v>
      </c>
      <c r="I1820" s="30" t="s">
        <v>0</v>
      </c>
      <c r="J1820" s="30" t="s">
        <v>0</v>
      </c>
      <c r="K1820" s="30" t="s">
        <v>52</v>
      </c>
      <c r="L1820" s="30" t="s">
        <v>53</v>
      </c>
      <c r="M1820" s="30" t="s">
        <v>55</v>
      </c>
      <c r="N1820" s="30" t="s">
        <v>111</v>
      </c>
      <c r="O1820" s="30" t="s">
        <v>178</v>
      </c>
      <c r="P1820" s="30" t="s">
        <v>75</v>
      </c>
      <c r="Q1820" s="30" t="s">
        <v>59</v>
      </c>
      <c r="R1820" s="30" t="s">
        <v>146</v>
      </c>
      <c r="S1820" s="30" t="s">
        <v>90</v>
      </c>
      <c r="T1820" s="30" t="s">
        <v>106</v>
      </c>
      <c r="U1820" s="30" t="s">
        <v>61</v>
      </c>
      <c r="V1820" s="30" t="s">
        <v>107</v>
      </c>
      <c r="W1820" s="30" t="s">
        <v>77</v>
      </c>
      <c r="X1820" s="30" t="s">
        <v>79</v>
      </c>
      <c r="Y1820" s="30" t="s">
        <v>268</v>
      </c>
      <c r="Z1820" s="30" t="s">
        <v>64</v>
      </c>
      <c r="AA1820" s="30" t="s">
        <v>653</v>
      </c>
      <c r="AB1820" s="30" t="s">
        <v>0</v>
      </c>
      <c r="AC1820" s="30" t="s">
        <v>4977</v>
      </c>
    </row>
    <row r="1821" spans="1:29">
      <c r="A1821" s="11" t="s">
        <v>4978</v>
      </c>
      <c r="B1821" s="11" t="str">
        <f>IF(ISNUMBER(SEARCH(E1821,A1821)),A1821,IF(OR(E1821="",E1821=""),A1821,A1821&amp;" - "&amp;E1821))</f>
        <v>Materia SIS 20/0</v>
      </c>
      <c r="C1821" s="24" t="s">
        <v>3071</v>
      </c>
      <c r="D1821" s="24" t="s">
        <v>3072</v>
      </c>
      <c r="E1821" s="26" t="s">
        <v>0</v>
      </c>
      <c r="F1821" s="41" t="s">
        <v>177</v>
      </c>
      <c r="G1821" s="27" t="s">
        <v>0</v>
      </c>
      <c r="H1821" s="28" t="s">
        <v>0</v>
      </c>
      <c r="I1821" s="24" t="s">
        <v>460</v>
      </c>
      <c r="J1821" s="25">
        <v>1</v>
      </c>
      <c r="K1821" s="24" t="s">
        <v>1918</v>
      </c>
      <c r="L1821" s="24"/>
      <c r="M1821" s="24" t="s">
        <v>0</v>
      </c>
      <c r="N1821" s="24" t="s">
        <v>0</v>
      </c>
      <c r="O1821" s="24" t="s">
        <v>0</v>
      </c>
      <c r="P1821" s="24" t="s">
        <v>0</v>
      </c>
      <c r="Q1821" s="24" t="s">
        <v>0</v>
      </c>
      <c r="R1821" s="24" t="s">
        <v>0</v>
      </c>
      <c r="S1821" s="24" t="s">
        <v>62</v>
      </c>
      <c r="T1821" s="24" t="s">
        <v>430</v>
      </c>
      <c r="U1821" s="24" t="s">
        <v>114</v>
      </c>
      <c r="V1821" s="24" t="s">
        <v>0</v>
      </c>
      <c r="W1821" s="24" t="s">
        <v>0</v>
      </c>
      <c r="X1821" s="24" t="s">
        <v>0</v>
      </c>
      <c r="Y1821" s="24" t="s">
        <v>4979</v>
      </c>
      <c r="Z1821" s="24" t="s">
        <v>1915</v>
      </c>
      <c r="AA1821" s="24" t="s">
        <v>3072</v>
      </c>
      <c r="AB1821" s="24" t="s">
        <v>0</v>
      </c>
      <c r="AC1821" s="24" t="s">
        <v>4980</v>
      </c>
    </row>
    <row r="1822" spans="1:29">
      <c r="A1822" s="11" t="s">
        <v>4981</v>
      </c>
      <c r="B1822" s="11" t="str">
        <f>IF(ISNUMBER(SEARCH(E1822,A1822)),A1822,IF(OR(E1822="",E1822=""),A1822,A1822&amp;" - "&amp;E1822))</f>
        <v>Materia SIS 10/10</v>
      </c>
      <c r="C1822" s="30" t="s">
        <v>3071</v>
      </c>
      <c r="D1822" s="30" t="s">
        <v>3072</v>
      </c>
      <c r="E1822" s="32" t="s">
        <v>0</v>
      </c>
      <c r="F1822" s="40" t="s">
        <v>177</v>
      </c>
      <c r="G1822" s="34" t="s">
        <v>0</v>
      </c>
      <c r="H1822" s="35" t="s">
        <v>0</v>
      </c>
      <c r="I1822" s="30" t="s">
        <v>12</v>
      </c>
      <c r="J1822" s="30" t="s">
        <v>12</v>
      </c>
      <c r="K1822" s="30" t="s">
        <v>1918</v>
      </c>
      <c r="L1822" s="30"/>
      <c r="M1822" s="30" t="s">
        <v>0</v>
      </c>
      <c r="N1822" s="30" t="s">
        <v>0</v>
      </c>
      <c r="O1822" s="30" t="s">
        <v>0</v>
      </c>
      <c r="P1822" s="30" t="s">
        <v>0</v>
      </c>
      <c r="Q1822" s="30" t="s">
        <v>0</v>
      </c>
      <c r="R1822" s="30" t="s">
        <v>0</v>
      </c>
      <c r="S1822" s="30" t="s">
        <v>106</v>
      </c>
      <c r="T1822" s="30" t="s">
        <v>234</v>
      </c>
      <c r="U1822" s="30" t="s">
        <v>147</v>
      </c>
      <c r="V1822" s="30" t="s">
        <v>0</v>
      </c>
      <c r="W1822" s="30" t="s">
        <v>0</v>
      </c>
      <c r="X1822" s="30" t="s">
        <v>0</v>
      </c>
      <c r="Y1822" s="30" t="s">
        <v>4979</v>
      </c>
      <c r="Z1822" s="30" t="s">
        <v>1915</v>
      </c>
      <c r="AA1822" s="30" t="s">
        <v>3072</v>
      </c>
      <c r="AB1822" s="30" t="s">
        <v>0</v>
      </c>
      <c r="AC1822" s="30" t="s">
        <v>4982</v>
      </c>
    </row>
    <row r="1823" spans="1:29">
      <c r="A1823" s="11" t="s">
        <v>4983</v>
      </c>
      <c r="B1823" s="11" t="str">
        <f>IF(ISNUMBER(SEARCH(E1823,A1823)),A1823,IF(OR(E1823="",E1823=""),A1823,A1823&amp;" - "&amp;E1823))</f>
        <v>Materia 10/1 30 ml</v>
      </c>
      <c r="C1823" s="24" t="s">
        <v>3071</v>
      </c>
      <c r="D1823" s="24" t="s">
        <v>3072</v>
      </c>
      <c r="E1823" s="26" t="s">
        <v>0</v>
      </c>
      <c r="F1823" s="41"/>
      <c r="G1823" s="27" t="s">
        <v>0</v>
      </c>
      <c r="H1823" s="28" t="s">
        <v>0</v>
      </c>
      <c r="I1823" s="24" t="s">
        <v>12</v>
      </c>
      <c r="J1823" s="24" t="s">
        <v>65</v>
      </c>
      <c r="K1823" s="24"/>
      <c r="L1823" s="24"/>
      <c r="M1823" s="24" t="s">
        <v>0</v>
      </c>
      <c r="N1823" s="24" t="s">
        <v>0</v>
      </c>
      <c r="O1823" s="24" t="s">
        <v>0</v>
      </c>
      <c r="P1823" s="24" t="s">
        <v>0</v>
      </c>
      <c r="Q1823" s="24" t="s">
        <v>0</v>
      </c>
      <c r="R1823" s="24" t="s">
        <v>0</v>
      </c>
      <c r="S1823" s="24" t="s">
        <v>128</v>
      </c>
      <c r="T1823" s="24" t="s">
        <v>179</v>
      </c>
      <c r="U1823" s="24" t="s">
        <v>61</v>
      </c>
      <c r="V1823" s="24" t="s">
        <v>0</v>
      </c>
      <c r="W1823" s="24" t="s">
        <v>0</v>
      </c>
      <c r="X1823" s="24" t="s">
        <v>0</v>
      </c>
      <c r="Y1823" s="24" t="s">
        <v>0</v>
      </c>
      <c r="Z1823" s="24" t="s">
        <v>1915</v>
      </c>
      <c r="AA1823" s="24" t="s">
        <v>3072</v>
      </c>
      <c r="AB1823" s="24" t="s">
        <v>0</v>
      </c>
      <c r="AC1823" s="24" t="s">
        <v>4984</v>
      </c>
    </row>
    <row r="1824" spans="1:29">
      <c r="A1824" s="11" t="s">
        <v>4985</v>
      </c>
      <c r="B1824" s="11" t="str">
        <f>IF(ISNUMBER(SEARCH(E1824,A1824)),A1824,IF(OR(E1824="",E1824=""),A1824,A1824&amp;" - "&amp;E1824))</f>
        <v>Materia 20/1 30 ml</v>
      </c>
      <c r="C1824" s="30" t="s">
        <v>3071</v>
      </c>
      <c r="D1824" s="30" t="s">
        <v>3072</v>
      </c>
      <c r="E1824" s="32" t="s">
        <v>0</v>
      </c>
      <c r="F1824" s="40"/>
      <c r="G1824" s="34" t="s">
        <v>0</v>
      </c>
      <c r="H1824" s="35" t="s">
        <v>0</v>
      </c>
      <c r="I1824" s="30" t="s">
        <v>460</v>
      </c>
      <c r="J1824" s="30" t="s">
        <v>65</v>
      </c>
      <c r="K1824" s="30"/>
      <c r="L1824" s="30"/>
      <c r="M1824" s="30" t="s">
        <v>0</v>
      </c>
      <c r="N1824" s="30" t="s">
        <v>0</v>
      </c>
      <c r="O1824" s="30" t="s">
        <v>0</v>
      </c>
      <c r="P1824" s="30" t="s">
        <v>0</v>
      </c>
      <c r="Q1824" s="30" t="s">
        <v>0</v>
      </c>
      <c r="R1824" s="30" t="s">
        <v>0</v>
      </c>
      <c r="S1824" s="30" t="s">
        <v>62</v>
      </c>
      <c r="T1824" s="30" t="s">
        <v>430</v>
      </c>
      <c r="U1824" s="30" t="s">
        <v>114</v>
      </c>
      <c r="V1824" s="30" t="s">
        <v>0</v>
      </c>
      <c r="W1824" s="30" t="s">
        <v>0</v>
      </c>
      <c r="X1824" s="30" t="s">
        <v>0</v>
      </c>
      <c r="Y1824" s="30" t="s">
        <v>0</v>
      </c>
      <c r="Z1824" s="30" t="s">
        <v>1915</v>
      </c>
      <c r="AA1824" s="30" t="s">
        <v>3072</v>
      </c>
      <c r="AB1824" s="30" t="s">
        <v>0</v>
      </c>
      <c r="AC1824" s="30" t="s">
        <v>4986</v>
      </c>
    </row>
    <row r="1825" spans="1:29">
      <c r="A1825" s="11" t="s">
        <v>4987</v>
      </c>
      <c r="B1825" s="11" t="str">
        <f>IF(ISNUMBER(SEARCH(E1825,A1825)),A1825,IF(OR(E1825="",E1825=""),A1825,A1825&amp;" - "&amp;E1825))</f>
        <v>Demecan Core PULSE 27:01 Zativa - Tangelo Boost</v>
      </c>
      <c r="C1825" s="30" t="s">
        <v>484</v>
      </c>
      <c r="D1825" s="30" t="s">
        <v>485</v>
      </c>
      <c r="E1825" s="32" t="s">
        <v>789</v>
      </c>
      <c r="F1825" s="40" t="s">
        <v>144</v>
      </c>
      <c r="G1825" s="34" t="s">
        <v>33</v>
      </c>
      <c r="H1825" s="34">
        <v>1</v>
      </c>
      <c r="I1825" s="30" t="s">
        <v>0</v>
      </c>
      <c r="J1825" s="30" t="s">
        <v>0</v>
      </c>
      <c r="K1825" s="30" t="s">
        <v>52</v>
      </c>
      <c r="L1825" s="30" t="s">
        <v>53</v>
      </c>
      <c r="M1825" s="30" t="s">
        <v>72</v>
      </c>
      <c r="N1825" s="30" t="s">
        <v>88</v>
      </c>
      <c r="O1825" s="30" t="s">
        <v>0</v>
      </c>
      <c r="P1825" s="30" t="s">
        <v>89</v>
      </c>
      <c r="Q1825" s="30" t="s">
        <v>58</v>
      </c>
      <c r="R1825" s="30" t="s">
        <v>186</v>
      </c>
      <c r="S1825" s="30" t="s">
        <v>106</v>
      </c>
      <c r="T1825" s="30" t="s">
        <v>62</v>
      </c>
      <c r="U1825" s="30" t="s">
        <v>147</v>
      </c>
      <c r="V1825" s="30" t="s">
        <v>116</v>
      </c>
      <c r="W1825" s="30" t="s">
        <v>79</v>
      </c>
      <c r="X1825" s="30" t="s">
        <v>107</v>
      </c>
      <c r="Y1825" s="30" t="s">
        <v>3044</v>
      </c>
      <c r="Z1825" s="30" t="s">
        <v>64</v>
      </c>
      <c r="AA1825" s="30" t="s">
        <v>485</v>
      </c>
      <c r="AB1825" s="30" t="s">
        <v>0</v>
      </c>
      <c r="AC1825" s="30" t="s">
        <v>4988</v>
      </c>
    </row>
    <row r="1826" spans="1:29">
      <c r="A1826" s="11" t="s">
        <v>4989</v>
      </c>
      <c r="B1826" s="11" t="str">
        <f>IF(ISNUMBER(SEARCH(E1826,A1826)),A1826,IF(OR(E1826="",E1826=""),A1826,A1826&amp;" - "&amp;E1826))</f>
        <v>Remexian 24/1 PRT MTP - Mokum's Tulip</v>
      </c>
      <c r="C1826" s="24" t="s">
        <v>83</v>
      </c>
      <c r="D1826" s="24" t="s">
        <v>95</v>
      </c>
      <c r="E1826" s="26" t="s">
        <v>1163</v>
      </c>
      <c r="F1826" s="41" t="s">
        <v>144</v>
      </c>
      <c r="G1826" s="27" t="s">
        <v>448</v>
      </c>
      <c r="H1826" s="27" t="s">
        <v>65</v>
      </c>
      <c r="I1826" s="24" t="s">
        <v>0</v>
      </c>
      <c r="J1826" s="24" t="s">
        <v>0</v>
      </c>
      <c r="K1826" s="24" t="s">
        <v>52</v>
      </c>
      <c r="L1826" s="24" t="s">
        <v>102</v>
      </c>
      <c r="M1826" s="24" t="s">
        <v>111</v>
      </c>
      <c r="N1826" s="24" t="s">
        <v>54</v>
      </c>
      <c r="O1826" s="24" t="s">
        <v>178</v>
      </c>
      <c r="P1826" s="24" t="s">
        <v>74</v>
      </c>
      <c r="Q1826" s="24" t="s">
        <v>104</v>
      </c>
      <c r="R1826" s="24" t="s">
        <v>57</v>
      </c>
      <c r="S1826" s="24" t="s">
        <v>106</v>
      </c>
      <c r="T1826" s="24" t="s">
        <v>76</v>
      </c>
      <c r="U1826" s="24" t="s">
        <v>62</v>
      </c>
      <c r="V1826" s="24" t="s">
        <v>116</v>
      </c>
      <c r="W1826" s="24" t="s">
        <v>107</v>
      </c>
      <c r="X1826" s="24" t="s">
        <v>79</v>
      </c>
      <c r="Y1826" s="24" t="s">
        <v>355</v>
      </c>
      <c r="Z1826" s="24" t="s">
        <v>64</v>
      </c>
      <c r="AA1826" s="24" t="s">
        <v>95</v>
      </c>
      <c r="AB1826" s="24" t="s">
        <v>0</v>
      </c>
      <c r="AC1826" s="24" t="s">
        <v>4990</v>
      </c>
    </row>
    <row r="1827" spans="1:29">
      <c r="A1827" s="11" t="s">
        <v>4991</v>
      </c>
      <c r="B1827" s="11" t="str">
        <f>IF(ISNUMBER(SEARCH(E1827,A1827)),A1827,IF(OR(E1827="",E1827=""),A1827,A1827&amp;" - "&amp;E1827))</f>
        <v>Remexian 30/1 PRT WEC - Wedding Cake</v>
      </c>
      <c r="C1827" s="30" t="s">
        <v>83</v>
      </c>
      <c r="D1827" s="30" t="s">
        <v>95</v>
      </c>
      <c r="E1827" s="32" t="s">
        <v>1195</v>
      </c>
      <c r="F1827" s="40" t="s">
        <v>86</v>
      </c>
      <c r="G1827" s="34" t="s">
        <v>4057</v>
      </c>
      <c r="H1827" s="34" t="s">
        <v>65</v>
      </c>
      <c r="I1827" s="30" t="s">
        <v>0</v>
      </c>
      <c r="J1827" s="30" t="s">
        <v>0</v>
      </c>
      <c r="K1827" s="30" t="s">
        <v>52</v>
      </c>
      <c r="L1827" s="30" t="s">
        <v>102</v>
      </c>
      <c r="M1827" s="30" t="s">
        <v>156</v>
      </c>
      <c r="N1827" s="30" t="s">
        <v>72</v>
      </c>
      <c r="O1827" s="30" t="s">
        <v>0</v>
      </c>
      <c r="P1827" s="30" t="s">
        <v>59</v>
      </c>
      <c r="Q1827" s="30" t="s">
        <v>89</v>
      </c>
      <c r="R1827" s="30" t="s">
        <v>57</v>
      </c>
      <c r="S1827" s="30" t="s">
        <v>106</v>
      </c>
      <c r="T1827" s="30" t="s">
        <v>234</v>
      </c>
      <c r="U1827" s="30" t="s">
        <v>147</v>
      </c>
      <c r="V1827" s="30" t="s">
        <v>93</v>
      </c>
      <c r="W1827" s="30" t="s">
        <v>107</v>
      </c>
      <c r="X1827" s="30" t="s">
        <v>116</v>
      </c>
      <c r="Y1827" s="30" t="s">
        <v>248</v>
      </c>
      <c r="Z1827" s="30" t="s">
        <v>64</v>
      </c>
      <c r="AA1827" s="30" t="s">
        <v>95</v>
      </c>
      <c r="AB1827" s="30" t="s">
        <v>0</v>
      </c>
      <c r="AC1827" s="30" t="s">
        <v>4992</v>
      </c>
    </row>
    <row r="1828" spans="1:29">
      <c r="A1828" s="11" t="s">
        <v>4993</v>
      </c>
      <c r="B1828" s="11" t="str">
        <f>IF(ISNUMBER(SEARCH(E1828,A1828)),A1828,IF(OR(E1828="",E1828=""),A1828,A1828&amp;" - "&amp;E1828))</f>
        <v>MCOS Strong 27/1 MDOC PXY - Proxy</v>
      </c>
      <c r="C1828" s="24" t="s">
        <v>83</v>
      </c>
      <c r="D1828" s="24" t="s">
        <v>95</v>
      </c>
      <c r="E1828" s="26" t="s">
        <v>4994</v>
      </c>
      <c r="F1828" s="41" t="s">
        <v>86</v>
      </c>
      <c r="G1828" s="27" t="s">
        <v>26</v>
      </c>
      <c r="H1828" s="27">
        <v>1</v>
      </c>
      <c r="I1828" s="24" t="s">
        <v>0</v>
      </c>
      <c r="J1828" s="24" t="s">
        <v>0</v>
      </c>
      <c r="K1828" s="24" t="s">
        <v>52</v>
      </c>
      <c r="L1828" s="24" t="s">
        <v>1506</v>
      </c>
      <c r="M1828" s="24" t="s">
        <v>88</v>
      </c>
      <c r="N1828" s="24" t="s">
        <v>178</v>
      </c>
      <c r="O1828" s="24" t="s">
        <v>72</v>
      </c>
      <c r="P1828" s="24" t="s">
        <v>58</v>
      </c>
      <c r="Q1828" s="24" t="s">
        <v>74</v>
      </c>
      <c r="R1828" s="24" t="s">
        <v>89</v>
      </c>
      <c r="S1828" s="24" t="s">
        <v>106</v>
      </c>
      <c r="T1828" s="24" t="s">
        <v>62</v>
      </c>
      <c r="U1828" s="24" t="s">
        <v>147</v>
      </c>
      <c r="V1828" s="24" t="s">
        <v>180</v>
      </c>
      <c r="W1828" s="24" t="s">
        <v>208</v>
      </c>
      <c r="X1828" s="24" t="s">
        <v>93</v>
      </c>
      <c r="Y1828" s="24" t="s">
        <v>4995</v>
      </c>
      <c r="Z1828" s="24" t="s">
        <v>64</v>
      </c>
      <c r="AA1828" s="24" t="s">
        <v>95</v>
      </c>
      <c r="AB1828" s="24" t="s">
        <v>4996</v>
      </c>
      <c r="AC1828" s="24" t="s">
        <v>4997</v>
      </c>
    </row>
    <row r="1829" spans="1:29">
      <c r="A1829" s="11" t="s">
        <v>4998</v>
      </c>
      <c r="B1829" s="11" t="str">
        <f>IF(ISNUMBER(SEARCH(E1829,A1829)),A1829,IF(OR(E1829="",E1829=""),A1829,A1829&amp;" - "&amp;E1829))</f>
        <v>Demecan CRAFT Walkie Talkie 27:01 - Sugar Cake</v>
      </c>
      <c r="C1829" s="30" t="s">
        <v>484</v>
      </c>
      <c r="D1829" s="30" t="s">
        <v>485</v>
      </c>
      <c r="E1829" s="32" t="s">
        <v>919</v>
      </c>
      <c r="F1829" s="40" t="s">
        <v>177</v>
      </c>
      <c r="G1829" s="34" t="s">
        <v>33</v>
      </c>
      <c r="H1829" s="34">
        <v>1</v>
      </c>
      <c r="I1829" s="30" t="s">
        <v>0</v>
      </c>
      <c r="J1829" s="30" t="s">
        <v>0</v>
      </c>
      <c r="K1829" s="30" t="s">
        <v>52</v>
      </c>
      <c r="L1829" s="30" t="s">
        <v>53</v>
      </c>
      <c r="M1829" s="30" t="s">
        <v>72</v>
      </c>
      <c r="N1829" s="30" t="s">
        <v>71</v>
      </c>
      <c r="O1829" s="30" t="s">
        <v>88</v>
      </c>
      <c r="P1829" s="30" t="s">
        <v>57</v>
      </c>
      <c r="Q1829" s="30" t="s">
        <v>58</v>
      </c>
      <c r="R1829" s="30" t="s">
        <v>89</v>
      </c>
      <c r="S1829" s="30" t="s">
        <v>128</v>
      </c>
      <c r="T1829" s="30" t="s">
        <v>106</v>
      </c>
      <c r="U1829" s="30" t="s">
        <v>62</v>
      </c>
      <c r="V1829" s="30" t="s">
        <v>92</v>
      </c>
      <c r="W1829" s="30" t="s">
        <v>138</v>
      </c>
      <c r="X1829" s="30" t="s">
        <v>107</v>
      </c>
      <c r="Y1829" s="30" t="s">
        <v>715</v>
      </c>
      <c r="Z1829" s="30" t="s">
        <v>64</v>
      </c>
      <c r="AA1829" s="30" t="s">
        <v>485</v>
      </c>
      <c r="AB1829" s="30" t="s">
        <v>0</v>
      </c>
      <c r="AC1829" s="30" t="s">
        <v>4999</v>
      </c>
    </row>
    <row r="1830" spans="1:29">
      <c r="A1830" s="11" t="s">
        <v>5000</v>
      </c>
      <c r="B1830" s="11" t="str">
        <f>IF(ISNUMBER(SEARCH(E1830,A1830)),A1830,IF(OR(E1830="",E1830=""),A1830,A1830&amp;" - "&amp;E1830))</f>
        <v>avaay 28/1 CK - Critical Kush</v>
      </c>
      <c r="C1830" s="24" t="s">
        <v>4601</v>
      </c>
      <c r="D1830" s="24" t="s">
        <v>572</v>
      </c>
      <c r="E1830" s="26" t="s">
        <v>571</v>
      </c>
      <c r="F1830" s="41" t="s">
        <v>86</v>
      </c>
      <c r="G1830" s="27" t="s">
        <v>4164</v>
      </c>
      <c r="H1830" s="27">
        <v>1</v>
      </c>
      <c r="I1830" s="24" t="s">
        <v>0</v>
      </c>
      <c r="J1830" s="24" t="s">
        <v>0</v>
      </c>
      <c r="K1830" s="24" t="s">
        <v>52</v>
      </c>
      <c r="L1830" s="24" t="s">
        <v>497</v>
      </c>
      <c r="M1830" s="24" t="s">
        <v>121</v>
      </c>
      <c r="N1830" s="24" t="s">
        <v>72</v>
      </c>
      <c r="O1830" s="24" t="s">
        <v>103</v>
      </c>
      <c r="P1830" s="24" t="s">
        <v>113</v>
      </c>
      <c r="Q1830" s="24" t="s">
        <v>59</v>
      </c>
      <c r="R1830" s="24" t="s">
        <v>74</v>
      </c>
      <c r="S1830" s="24" t="s">
        <v>128</v>
      </c>
      <c r="T1830" s="24" t="s">
        <v>106</v>
      </c>
      <c r="U1830" s="24" t="s">
        <v>62</v>
      </c>
      <c r="V1830" s="24" t="s">
        <v>107</v>
      </c>
      <c r="W1830" s="24" t="s">
        <v>77</v>
      </c>
      <c r="X1830" s="24" t="s">
        <v>0</v>
      </c>
      <c r="Y1830" s="24" t="s">
        <v>978</v>
      </c>
      <c r="Z1830" s="24" t="s">
        <v>64</v>
      </c>
      <c r="AA1830" s="24" t="s">
        <v>572</v>
      </c>
      <c r="AB1830" s="24" t="s">
        <v>5001</v>
      </c>
      <c r="AC1830" s="24" t="s">
        <v>5002</v>
      </c>
    </row>
    <row r="1831" spans="1:29">
      <c r="A1831" s="11" t="s">
        <v>5003</v>
      </c>
      <c r="B1831" s="11" t="str">
        <f>IF(ISNUMBER(SEARCH(E1831,A1831)),A1831,IF(OR(E1831="",E1831=""),A1831,A1831&amp;" - "&amp;E1831))</f>
        <v>Demecan Core Cros 26:01 - Crossbow</v>
      </c>
      <c r="C1831" s="30" t="s">
        <v>484</v>
      </c>
      <c r="D1831" s="30" t="s">
        <v>485</v>
      </c>
      <c r="E1831" s="30" t="s">
        <v>5004</v>
      </c>
      <c r="F1831" s="30" t="s">
        <v>86</v>
      </c>
      <c r="G1831" s="30" t="s">
        <v>4086</v>
      </c>
      <c r="H1831" s="31">
        <v>1</v>
      </c>
      <c r="I1831" s="30" t="s">
        <v>0</v>
      </c>
      <c r="J1831" s="30" t="s">
        <v>0</v>
      </c>
      <c r="K1831" s="30" t="s">
        <v>52</v>
      </c>
      <c r="L1831" s="30" t="s">
        <v>53</v>
      </c>
      <c r="M1831" s="30" t="s">
        <v>88</v>
      </c>
      <c r="N1831" s="30" t="s">
        <v>71</v>
      </c>
      <c r="O1831" s="30" t="s">
        <v>72</v>
      </c>
      <c r="P1831" s="30" t="s">
        <v>104</v>
      </c>
      <c r="Q1831" s="30" t="s">
        <v>73</v>
      </c>
      <c r="R1831" s="30" t="s">
        <v>89</v>
      </c>
      <c r="S1831" s="30" t="s">
        <v>128</v>
      </c>
      <c r="T1831" s="30" t="s">
        <v>106</v>
      </c>
      <c r="U1831" s="30" t="s">
        <v>164</v>
      </c>
      <c r="V1831" s="30" t="s">
        <v>77</v>
      </c>
      <c r="W1831" s="30" t="s">
        <v>138</v>
      </c>
      <c r="X1831" s="30" t="s">
        <v>93</v>
      </c>
      <c r="Y1831" s="30" t="s">
        <v>3080</v>
      </c>
      <c r="Z1831" s="30" t="s">
        <v>64</v>
      </c>
      <c r="AA1831" s="30" t="s">
        <v>485</v>
      </c>
      <c r="AB1831" s="30" t="s">
        <v>0</v>
      </c>
      <c r="AC1831" s="30" t="s">
        <v>5005</v>
      </c>
    </row>
    <row r="1832" spans="1:29">
      <c r="A1832" s="11" t="s">
        <v>5006</v>
      </c>
      <c r="B1832" s="11" t="str">
        <f>IF(ISNUMBER(SEARCH(E1832,A1832)),A1832,IF(OR(E1832="",E1832=""),A1832,A1832&amp;" - "&amp;E1832))</f>
        <v>avaay 25/1 RG - Royal Gorilla</v>
      </c>
      <c r="C1832" s="24" t="s">
        <v>4601</v>
      </c>
      <c r="D1832" s="24" t="s">
        <v>572</v>
      </c>
      <c r="E1832" s="26" t="s">
        <v>584</v>
      </c>
      <c r="F1832" s="41" t="s">
        <v>86</v>
      </c>
      <c r="G1832" s="27" t="s">
        <v>26</v>
      </c>
      <c r="H1832" s="27">
        <v>1</v>
      </c>
      <c r="I1832" s="24" t="s">
        <v>0</v>
      </c>
      <c r="J1832" s="24" t="s">
        <v>0</v>
      </c>
      <c r="K1832" s="24" t="s">
        <v>52</v>
      </c>
      <c r="L1832" s="24" t="s">
        <v>497</v>
      </c>
      <c r="M1832" s="24" t="s">
        <v>121</v>
      </c>
      <c r="N1832" s="24" t="s">
        <v>72</v>
      </c>
      <c r="O1832" s="24" t="s">
        <v>71</v>
      </c>
      <c r="P1832" s="24" t="s">
        <v>112</v>
      </c>
      <c r="Q1832" s="24" t="s">
        <v>75</v>
      </c>
      <c r="R1832" s="24" t="s">
        <v>59</v>
      </c>
      <c r="S1832" s="24" t="s">
        <v>128</v>
      </c>
      <c r="T1832" s="24" t="s">
        <v>106</v>
      </c>
      <c r="U1832" s="24" t="s">
        <v>62</v>
      </c>
      <c r="V1832" s="24" t="s">
        <v>116</v>
      </c>
      <c r="W1832" s="24" t="s">
        <v>79</v>
      </c>
      <c r="X1832" s="24" t="s">
        <v>77</v>
      </c>
      <c r="Y1832" s="24" t="s">
        <v>539</v>
      </c>
      <c r="Z1832" s="24" t="s">
        <v>64</v>
      </c>
      <c r="AA1832" s="24" t="s">
        <v>572</v>
      </c>
      <c r="AB1832" s="24" t="s">
        <v>5001</v>
      </c>
      <c r="AC1832" s="24" t="s">
        <v>5007</v>
      </c>
    </row>
    <row r="1833" spans="1:29">
      <c r="A1833" s="11" t="s">
        <v>5008</v>
      </c>
      <c r="B1833" s="11" t="str">
        <f>IF(ISNUMBER(SEARCH(E1833,A1833)),A1833,IF(OR(E1833="",E1833=""),A1833,A1833&amp;" - "&amp;E1833))</f>
        <v>Remexian 27/1 BRC TRE - Tropical Breath</v>
      </c>
      <c r="C1833" s="30" t="s">
        <v>83</v>
      </c>
      <c r="D1833" s="30" t="s">
        <v>95</v>
      </c>
      <c r="E1833" s="32" t="s">
        <v>5009</v>
      </c>
      <c r="F1833" s="40" t="s">
        <v>86</v>
      </c>
      <c r="G1833" s="34" t="s">
        <v>33</v>
      </c>
      <c r="H1833" s="34">
        <v>1</v>
      </c>
      <c r="I1833" s="30" t="s">
        <v>0</v>
      </c>
      <c r="J1833" s="30" t="s">
        <v>0</v>
      </c>
      <c r="K1833" s="30" t="s">
        <v>52</v>
      </c>
      <c r="L1833" s="30" t="s">
        <v>53</v>
      </c>
      <c r="M1833" s="30" t="s">
        <v>72</v>
      </c>
      <c r="N1833" s="30" t="s">
        <v>0</v>
      </c>
      <c r="O1833" s="30" t="s">
        <v>0</v>
      </c>
      <c r="P1833" s="30" t="s">
        <v>75</v>
      </c>
      <c r="Q1833" s="30" t="s">
        <v>104</v>
      </c>
      <c r="R1833" s="30" t="s">
        <v>74</v>
      </c>
      <c r="S1833" s="30" t="s">
        <v>106</v>
      </c>
      <c r="T1833" s="30" t="s">
        <v>62</v>
      </c>
      <c r="U1833" s="30" t="s">
        <v>123</v>
      </c>
      <c r="V1833" s="30" t="s">
        <v>77</v>
      </c>
      <c r="W1833" s="30" t="s">
        <v>129</v>
      </c>
      <c r="X1833" s="30" t="s">
        <v>107</v>
      </c>
      <c r="Y1833" s="30" t="s">
        <v>396</v>
      </c>
      <c r="Z1833" s="30" t="s">
        <v>64</v>
      </c>
      <c r="AA1833" s="30" t="s">
        <v>95</v>
      </c>
      <c r="AB1833" s="30" t="s">
        <v>0</v>
      </c>
      <c r="AC1833" s="30" t="s">
        <v>5010</v>
      </c>
    </row>
    <row r="1834" spans="1:29">
      <c r="A1834" s="11" t="s">
        <v>5011</v>
      </c>
      <c r="B1834" s="11" t="str">
        <f>IF(ISNUMBER(SEARCH(E1834,A1834)),A1834,IF(OR(E1834="",E1834=""),A1834,A1834&amp;" - "&amp;E1834))</f>
        <v>30/1 Amici TR - Tropical Reign</v>
      </c>
      <c r="C1834" s="24" t="s">
        <v>996</v>
      </c>
      <c r="D1834" s="24" t="s">
        <v>997</v>
      </c>
      <c r="E1834" s="26" t="s">
        <v>5012</v>
      </c>
      <c r="F1834" s="41" t="s">
        <v>144</v>
      </c>
      <c r="G1834" s="27" t="s">
        <v>4057</v>
      </c>
      <c r="H1834" s="27">
        <v>1</v>
      </c>
      <c r="I1834" s="24" t="s">
        <v>0</v>
      </c>
      <c r="J1834" s="24" t="s">
        <v>0</v>
      </c>
      <c r="K1834" s="24" t="s">
        <v>52</v>
      </c>
      <c r="L1834" s="24" t="s">
        <v>53</v>
      </c>
      <c r="M1834" s="24" t="s">
        <v>72</v>
      </c>
      <c r="N1834" s="24" t="s">
        <v>178</v>
      </c>
      <c r="O1834" s="24" t="s">
        <v>0</v>
      </c>
      <c r="P1834" s="24" t="s">
        <v>75</v>
      </c>
      <c r="Q1834" s="24" t="s">
        <v>136</v>
      </c>
      <c r="R1834" s="24" t="s">
        <v>58</v>
      </c>
      <c r="S1834" s="24" t="s">
        <v>90</v>
      </c>
      <c r="T1834" s="24" t="s">
        <v>106</v>
      </c>
      <c r="U1834" s="24" t="s">
        <v>62</v>
      </c>
      <c r="V1834" s="24" t="s">
        <v>173</v>
      </c>
      <c r="W1834" s="24" t="s">
        <v>93</v>
      </c>
      <c r="X1834" s="24" t="s">
        <v>0</v>
      </c>
      <c r="Y1834" s="24" t="s">
        <v>4495</v>
      </c>
      <c r="Z1834" s="24" t="s">
        <v>64</v>
      </c>
      <c r="AA1834" s="24" t="s">
        <v>997</v>
      </c>
      <c r="AB1834" s="24" t="s">
        <v>0</v>
      </c>
      <c r="AC1834" s="24" t="s">
        <v>5013</v>
      </c>
    </row>
    <row r="1835" spans="1:29">
      <c r="A1835" s="11" t="s">
        <v>5014</v>
      </c>
      <c r="B1835" s="11" t="str">
        <f>IF(ISNUMBER(SEARCH(E1835,A1835)),A1835,IF(OR(E1835="",E1835=""),A1835,A1835&amp;" - "&amp;E1835))</f>
        <v>Demecan Core ICC 20:01 - Ice Cream Cake</v>
      </c>
      <c r="C1835" s="30" t="s">
        <v>484</v>
      </c>
      <c r="D1835" s="30" t="s">
        <v>485</v>
      </c>
      <c r="E1835" s="32" t="s">
        <v>1214</v>
      </c>
      <c r="F1835" s="40" t="s">
        <v>177</v>
      </c>
      <c r="G1835" s="34" t="s">
        <v>460</v>
      </c>
      <c r="H1835" s="34">
        <v>1</v>
      </c>
      <c r="I1835" s="30" t="s">
        <v>0</v>
      </c>
      <c r="J1835" s="30" t="s">
        <v>0</v>
      </c>
      <c r="K1835" s="30" t="s">
        <v>52</v>
      </c>
      <c r="L1835" s="30" t="s">
        <v>527</v>
      </c>
      <c r="M1835" s="30" t="s">
        <v>121</v>
      </c>
      <c r="N1835" s="30" t="s">
        <v>72</v>
      </c>
      <c r="O1835" s="30" t="s">
        <v>103</v>
      </c>
      <c r="P1835" s="30" t="s">
        <v>89</v>
      </c>
      <c r="Q1835" s="30" t="s">
        <v>57</v>
      </c>
      <c r="R1835" s="30" t="s">
        <v>0</v>
      </c>
      <c r="S1835" s="30" t="s">
        <v>128</v>
      </c>
      <c r="T1835" s="30" t="s">
        <v>61</v>
      </c>
      <c r="U1835" s="30" t="s">
        <v>76</v>
      </c>
      <c r="V1835" s="30" t="s">
        <v>107</v>
      </c>
      <c r="W1835" s="30" t="s">
        <v>77</v>
      </c>
      <c r="X1835" s="30" t="s">
        <v>173</v>
      </c>
      <c r="Y1835" s="30" t="s">
        <v>335</v>
      </c>
      <c r="Z1835" s="30" t="s">
        <v>64</v>
      </c>
      <c r="AA1835" s="30" t="s">
        <v>485</v>
      </c>
      <c r="AB1835" s="30" t="s">
        <v>0</v>
      </c>
      <c r="AC1835" s="30" t="s">
        <v>5015</v>
      </c>
    </row>
    <row r="1836" spans="1:29">
      <c r="A1836" s="11" t="s">
        <v>5016</v>
      </c>
      <c r="B1836" s="11" t="str">
        <f>IF(ISNUMBER(SEARCH(E1836,A1836)),A1836,IF(OR(E1836="",E1836=""),A1836,A1836&amp;" - "&amp;E1836))</f>
        <v>Together Pharma GB 18/1 - Glueberry OG</v>
      </c>
      <c r="C1836" s="24" t="s">
        <v>564</v>
      </c>
      <c r="D1836" s="24" t="s">
        <v>565</v>
      </c>
      <c r="E1836" s="26" t="s">
        <v>2559</v>
      </c>
      <c r="F1836" s="41" t="s">
        <v>86</v>
      </c>
      <c r="G1836" s="27" t="s">
        <v>8</v>
      </c>
      <c r="H1836" s="27">
        <v>1</v>
      </c>
      <c r="I1836" s="24" t="s">
        <v>0</v>
      </c>
      <c r="J1836" s="24" t="s">
        <v>0</v>
      </c>
      <c r="K1836" s="24" t="s">
        <v>52</v>
      </c>
      <c r="L1836" s="24" t="s">
        <v>3417</v>
      </c>
      <c r="M1836" s="24" t="s">
        <v>156</v>
      </c>
      <c r="N1836" s="24" t="s">
        <v>111</v>
      </c>
      <c r="O1836" s="24" t="s">
        <v>178</v>
      </c>
      <c r="P1836" s="24" t="s">
        <v>104</v>
      </c>
      <c r="Q1836" s="24" t="s">
        <v>58</v>
      </c>
      <c r="R1836" s="24" t="s">
        <v>122</v>
      </c>
      <c r="S1836" s="24" t="s">
        <v>128</v>
      </c>
      <c r="T1836" s="24" t="s">
        <v>179</v>
      </c>
      <c r="U1836" s="24" t="s">
        <v>62</v>
      </c>
      <c r="V1836" s="24" t="s">
        <v>165</v>
      </c>
      <c r="W1836" s="24" t="s">
        <v>79</v>
      </c>
      <c r="X1836" s="24" t="s">
        <v>0</v>
      </c>
      <c r="Y1836" s="24" t="s">
        <v>245</v>
      </c>
      <c r="Z1836" s="24" t="s">
        <v>64</v>
      </c>
      <c r="AA1836" s="24" t="s">
        <v>565</v>
      </c>
      <c r="AB1836" s="24" t="s">
        <v>0</v>
      </c>
      <c r="AC1836" s="24" t="s">
        <v>5017</v>
      </c>
    </row>
    <row r="1837" spans="1:29">
      <c r="A1837" s="11" t="s">
        <v>5018</v>
      </c>
      <c r="B1837" s="11" t="str">
        <f>IF(ISNUMBER(SEARCH(E1837,A1837)),A1837,IF(OR(E1837="",E1837=""),A1837,A1837&amp;" - "&amp;E1837))</f>
        <v>Canify Cannabis Flos 10/14 - Midnight</v>
      </c>
      <c r="C1837" s="30" t="s">
        <v>99</v>
      </c>
      <c r="D1837" s="30" t="s">
        <v>100</v>
      </c>
      <c r="E1837" s="32" t="s">
        <v>4077</v>
      </c>
      <c r="F1837" s="40" t="s">
        <v>144</v>
      </c>
      <c r="G1837" s="34" t="s">
        <v>12</v>
      </c>
      <c r="H1837" s="34" t="s">
        <v>40</v>
      </c>
      <c r="I1837" s="30" t="s">
        <v>0</v>
      </c>
      <c r="J1837" s="30" t="s">
        <v>0</v>
      </c>
      <c r="K1837" s="30" t="s">
        <v>52</v>
      </c>
      <c r="L1837" s="30" t="s">
        <v>4567</v>
      </c>
      <c r="M1837" s="30" t="s">
        <v>111</v>
      </c>
      <c r="N1837" s="30" t="s">
        <v>72</v>
      </c>
      <c r="O1837" s="30" t="s">
        <v>0</v>
      </c>
      <c r="P1837" s="30" t="s">
        <v>75</v>
      </c>
      <c r="Q1837" s="30" t="s">
        <v>74</v>
      </c>
      <c r="R1837" s="30" t="s">
        <v>0</v>
      </c>
      <c r="S1837" s="30" t="s">
        <v>128</v>
      </c>
      <c r="T1837" s="30" t="s">
        <v>106</v>
      </c>
      <c r="U1837" s="30" t="s">
        <v>123</v>
      </c>
      <c r="V1837" s="30" t="s">
        <v>107</v>
      </c>
      <c r="W1837" s="30" t="s">
        <v>635</v>
      </c>
      <c r="X1837" s="30" t="s">
        <v>173</v>
      </c>
      <c r="Y1837" s="30" t="s">
        <v>344</v>
      </c>
      <c r="Z1837" s="30" t="s">
        <v>64</v>
      </c>
      <c r="AA1837" s="30" t="s">
        <v>100</v>
      </c>
      <c r="AB1837" s="30" t="s">
        <v>0</v>
      </c>
      <c r="AC1837" s="30" t="s">
        <v>5019</v>
      </c>
    </row>
    <row r="1838" spans="1:29">
      <c r="A1838" s="11" t="s">
        <v>5020</v>
      </c>
      <c r="B1838" s="11" t="str">
        <f>IF(ISNUMBER(SEARCH(E1838,A1838)),A1838,IF(OR(E1838="",E1838=""),A1838,A1838&amp;" - "&amp;E1838))</f>
        <v>avaay 34/1 SCP - Sour Cherry Punch</v>
      </c>
      <c r="C1838" s="24" t="s">
        <v>4601</v>
      </c>
      <c r="D1838" s="24" t="s">
        <v>572</v>
      </c>
      <c r="E1838" s="26" t="s">
        <v>1786</v>
      </c>
      <c r="F1838" s="41" t="s">
        <v>177</v>
      </c>
      <c r="G1838" s="27" t="s">
        <v>5021</v>
      </c>
      <c r="H1838" s="27">
        <v>1</v>
      </c>
      <c r="I1838" s="24" t="s">
        <v>0</v>
      </c>
      <c r="J1838" s="24" t="s">
        <v>0</v>
      </c>
      <c r="K1838" s="24" t="s">
        <v>52</v>
      </c>
      <c r="L1838" s="24" t="s">
        <v>53</v>
      </c>
      <c r="M1838" s="24" t="s">
        <v>72</v>
      </c>
      <c r="N1838" s="24" t="s">
        <v>0</v>
      </c>
      <c r="O1838" s="24" t="s">
        <v>0</v>
      </c>
      <c r="P1838" s="24" t="s">
        <v>59</v>
      </c>
      <c r="Q1838" s="24" t="s">
        <v>89</v>
      </c>
      <c r="R1838" s="24" t="s">
        <v>74</v>
      </c>
      <c r="S1838" s="24" t="s">
        <v>106</v>
      </c>
      <c r="T1838" s="24" t="s">
        <v>62</v>
      </c>
      <c r="U1838" s="24" t="s">
        <v>123</v>
      </c>
      <c r="V1838" s="24" t="s">
        <v>77</v>
      </c>
      <c r="W1838" s="24" t="s">
        <v>107</v>
      </c>
      <c r="X1838" s="24" t="s">
        <v>116</v>
      </c>
      <c r="Y1838" s="24" t="s">
        <v>1787</v>
      </c>
      <c r="Z1838" s="24" t="s">
        <v>64</v>
      </c>
      <c r="AA1838" s="24" t="s">
        <v>572</v>
      </c>
      <c r="AB1838" s="24" t="s">
        <v>4622</v>
      </c>
      <c r="AC1838" s="24" t="s">
        <v>5022</v>
      </c>
    </row>
    <row r="1839" spans="1:29">
      <c r="A1839" s="11" t="s">
        <v>4904</v>
      </c>
      <c r="B1839" s="11" t="str">
        <f>IF(ISNUMBER(SEARCH(E1839,A1839)),A1839,IF(OR(E1839="",E1839=""),A1839,A1839&amp;" - "&amp;E1839))</f>
        <v>Buuo 26/1 SL - Keylime Kush</v>
      </c>
      <c r="C1839" s="30" t="s">
        <v>641</v>
      </c>
      <c r="D1839" s="30" t="s">
        <v>642</v>
      </c>
      <c r="E1839" s="32" t="s">
        <v>5023</v>
      </c>
      <c r="F1839" s="40" t="s">
        <v>86</v>
      </c>
      <c r="G1839" s="34" t="s">
        <v>26</v>
      </c>
      <c r="H1839" s="34">
        <v>1</v>
      </c>
      <c r="I1839" s="30" t="s">
        <v>0</v>
      </c>
      <c r="J1839" s="30" t="s">
        <v>0</v>
      </c>
      <c r="K1839" s="30" t="s">
        <v>52</v>
      </c>
      <c r="L1839" s="30" t="s">
        <v>53</v>
      </c>
      <c r="M1839" s="30" t="s">
        <v>54</v>
      </c>
      <c r="N1839" s="30" t="s">
        <v>88</v>
      </c>
      <c r="O1839" s="30" t="s">
        <v>72</v>
      </c>
      <c r="P1839" s="30" t="s">
        <v>59</v>
      </c>
      <c r="Q1839" s="30" t="s">
        <v>74</v>
      </c>
      <c r="R1839" s="30" t="s">
        <v>89</v>
      </c>
      <c r="S1839" s="30" t="s">
        <v>106</v>
      </c>
      <c r="T1839" s="30" t="s">
        <v>164</v>
      </c>
      <c r="U1839" s="30" t="s">
        <v>123</v>
      </c>
      <c r="V1839" s="30" t="s">
        <v>107</v>
      </c>
      <c r="W1839" s="30" t="s">
        <v>77</v>
      </c>
      <c r="X1839" s="30" t="s">
        <v>116</v>
      </c>
      <c r="Y1839" s="30" t="s">
        <v>413</v>
      </c>
      <c r="Z1839" s="30" t="s">
        <v>64</v>
      </c>
      <c r="AA1839" s="30" t="s">
        <v>642</v>
      </c>
      <c r="AB1839" s="30" t="s">
        <v>0</v>
      </c>
      <c r="AC1839" s="30" t="s">
        <v>5024</v>
      </c>
    </row>
    <row r="1840" spans="1:29">
      <c r="A1840" s="11" t="s">
        <v>5025</v>
      </c>
      <c r="B1840" s="11" t="str">
        <f>IF(ISNUMBER(SEARCH(E1840,A1840)),A1840,IF(OR(E1840="",E1840=""),A1840,A1840&amp;" - "&amp;E1840))</f>
        <v>Remexian 27/1 TRF CHM - Pink Champagne</v>
      </c>
      <c r="C1840" s="24" t="s">
        <v>83</v>
      </c>
      <c r="D1840" s="24" t="s">
        <v>95</v>
      </c>
      <c r="E1840" s="26" t="s">
        <v>5026</v>
      </c>
      <c r="F1840" s="41" t="s">
        <v>86</v>
      </c>
      <c r="G1840" s="27" t="s">
        <v>33</v>
      </c>
      <c r="H1840" s="27">
        <v>1</v>
      </c>
      <c r="I1840" s="24" t="s">
        <v>0</v>
      </c>
      <c r="J1840" s="24" t="s">
        <v>0</v>
      </c>
      <c r="K1840" s="24" t="s">
        <v>52</v>
      </c>
      <c r="L1840" s="24" t="s">
        <v>53</v>
      </c>
      <c r="M1840" s="24" t="s">
        <v>54</v>
      </c>
      <c r="N1840" s="24" t="s">
        <v>88</v>
      </c>
      <c r="O1840" s="24" t="s">
        <v>103</v>
      </c>
      <c r="P1840" s="24" t="s">
        <v>58</v>
      </c>
      <c r="Q1840" s="24" t="s">
        <v>89</v>
      </c>
      <c r="R1840" s="24" t="s">
        <v>157</v>
      </c>
      <c r="S1840" s="24" t="s">
        <v>106</v>
      </c>
      <c r="T1840" s="24" t="s">
        <v>123</v>
      </c>
      <c r="U1840" s="24" t="s">
        <v>147</v>
      </c>
      <c r="V1840" s="24" t="s">
        <v>107</v>
      </c>
      <c r="W1840" s="24" t="s">
        <v>129</v>
      </c>
      <c r="X1840" s="24" t="s">
        <v>116</v>
      </c>
      <c r="Y1840" s="24" t="s">
        <v>5027</v>
      </c>
      <c r="Z1840" s="24" t="s">
        <v>64</v>
      </c>
      <c r="AA1840" s="24" t="s">
        <v>95</v>
      </c>
      <c r="AB1840" s="24" t="s">
        <v>0</v>
      </c>
      <c r="AC1840" s="24" t="s">
        <v>5028</v>
      </c>
    </row>
    <row r="1841" spans="1:29">
      <c r="A1841" s="11" t="s">
        <v>5029</v>
      </c>
      <c r="B1841" s="11" t="str">
        <f>IF(ISNUMBER(SEARCH(E1841,A1841)),A1841,IF(OR(E1841="",E1841=""),A1841,A1841&amp;" - "&amp;E1841))</f>
        <v>avaay Signature 23/1 WB - Waffle Bites</v>
      </c>
      <c r="C1841" s="30" t="s">
        <v>4601</v>
      </c>
      <c r="D1841" s="30" t="s">
        <v>572</v>
      </c>
      <c r="E1841" s="32" t="s">
        <v>737</v>
      </c>
      <c r="F1841" s="40" t="s">
        <v>120</v>
      </c>
      <c r="G1841" s="34" t="s">
        <v>436</v>
      </c>
      <c r="H1841" s="34">
        <v>1</v>
      </c>
      <c r="I1841" s="30" t="s">
        <v>0</v>
      </c>
      <c r="J1841" s="30" t="s">
        <v>0</v>
      </c>
      <c r="K1841" s="30" t="s">
        <v>52</v>
      </c>
      <c r="L1841" s="30" t="s">
        <v>53</v>
      </c>
      <c r="M1841" s="30" t="s">
        <v>71</v>
      </c>
      <c r="N1841" s="30" t="s">
        <v>88</v>
      </c>
      <c r="O1841" s="30" t="s">
        <v>72</v>
      </c>
      <c r="P1841" s="30" t="s">
        <v>186</v>
      </c>
      <c r="Q1841" s="30" t="s">
        <v>89</v>
      </c>
      <c r="R1841" s="30" t="s">
        <v>0</v>
      </c>
      <c r="S1841" s="30" t="s">
        <v>123</v>
      </c>
      <c r="T1841" s="30" t="s">
        <v>147</v>
      </c>
      <c r="U1841" s="30" t="s">
        <v>224</v>
      </c>
      <c r="V1841" s="30" t="s">
        <v>107</v>
      </c>
      <c r="W1841" s="30" t="s">
        <v>79</v>
      </c>
      <c r="X1841" s="30" t="s">
        <v>0</v>
      </c>
      <c r="Y1841" s="30" t="s">
        <v>80</v>
      </c>
      <c r="Z1841" s="30" t="s">
        <v>64</v>
      </c>
      <c r="AA1841" s="30" t="s">
        <v>572</v>
      </c>
      <c r="AB1841" s="30" t="s">
        <v>4622</v>
      </c>
      <c r="AC1841" s="30" t="s">
        <v>5030</v>
      </c>
    </row>
    <row r="1842" spans="1:29">
      <c r="A1842" s="11" t="s">
        <v>5031</v>
      </c>
      <c r="B1842" s="11" t="str">
        <f>IF(ISNUMBER(SEARCH(E1842,A1842)),A1842,IF(OR(E1842="",E1842=""),A1842,A1842&amp;" - "&amp;E1842))</f>
        <v>Remexian 24/1 CKE FLV - Flawless Victory</v>
      </c>
      <c r="C1842" s="24" t="s">
        <v>83</v>
      </c>
      <c r="D1842" s="24" t="s">
        <v>95</v>
      </c>
      <c r="E1842" s="26" t="s">
        <v>1221</v>
      </c>
      <c r="F1842" s="41" t="s">
        <v>177</v>
      </c>
      <c r="G1842" s="27" t="s">
        <v>448</v>
      </c>
      <c r="H1842" s="27" t="s">
        <v>65</v>
      </c>
      <c r="I1842" s="24" t="s">
        <v>0</v>
      </c>
      <c r="J1842" s="24" t="s">
        <v>0</v>
      </c>
      <c r="K1842" s="24" t="s">
        <v>52</v>
      </c>
      <c r="L1842" s="24" t="s">
        <v>53</v>
      </c>
      <c r="M1842" s="24" t="s">
        <v>121</v>
      </c>
      <c r="N1842" s="24" t="s">
        <v>88</v>
      </c>
      <c r="O1842" s="24" t="s">
        <v>72</v>
      </c>
      <c r="P1842" s="24" t="s">
        <v>59</v>
      </c>
      <c r="Q1842" s="24" t="s">
        <v>73</v>
      </c>
      <c r="R1842" s="24" t="s">
        <v>0</v>
      </c>
      <c r="S1842" s="24" t="s">
        <v>128</v>
      </c>
      <c r="T1842" s="24" t="s">
        <v>106</v>
      </c>
      <c r="U1842" s="24" t="s">
        <v>62</v>
      </c>
      <c r="V1842" s="24" t="s">
        <v>107</v>
      </c>
      <c r="W1842" s="24" t="s">
        <v>138</v>
      </c>
      <c r="X1842" s="24" t="s">
        <v>116</v>
      </c>
      <c r="Y1842" s="24" t="s">
        <v>2894</v>
      </c>
      <c r="Z1842" s="24" t="s">
        <v>64</v>
      </c>
      <c r="AA1842" s="24" t="s">
        <v>95</v>
      </c>
      <c r="AB1842" s="24" t="s">
        <v>5032</v>
      </c>
      <c r="AC1842" s="24" t="s">
        <v>5033</v>
      </c>
    </row>
    <row r="1843" spans="1:29">
      <c r="A1843" s="11" t="s">
        <v>5034</v>
      </c>
      <c r="B1843" s="11" t="str">
        <f>IF(ISNUMBER(SEARCH(E1843,A1843)),A1843,IF(OR(E1843="",E1843=""),A1843,A1843&amp;" - "&amp;E1843))</f>
        <v>Buuo 24/1 DC - Rainbow Lava</v>
      </c>
      <c r="C1843" s="30" t="s">
        <v>641</v>
      </c>
      <c r="D1843" s="30" t="s">
        <v>642</v>
      </c>
      <c r="E1843" s="32" t="s">
        <v>5035</v>
      </c>
      <c r="F1843" s="40" t="s">
        <v>86</v>
      </c>
      <c r="G1843" s="34" t="s">
        <v>448</v>
      </c>
      <c r="H1843" s="34">
        <v>1</v>
      </c>
      <c r="I1843" s="30" t="s">
        <v>0</v>
      </c>
      <c r="J1843" s="30" t="s">
        <v>0</v>
      </c>
      <c r="K1843" s="30" t="s">
        <v>52</v>
      </c>
      <c r="L1843" s="30" t="s">
        <v>53</v>
      </c>
      <c r="M1843" s="30" t="s">
        <v>54</v>
      </c>
      <c r="N1843" s="30" t="s">
        <v>72</v>
      </c>
      <c r="O1843" s="30" t="s">
        <v>103</v>
      </c>
      <c r="P1843" s="30" t="s">
        <v>113</v>
      </c>
      <c r="Q1843" s="30" t="s">
        <v>59</v>
      </c>
      <c r="R1843" s="30" t="s">
        <v>89</v>
      </c>
      <c r="S1843" s="30" t="s">
        <v>106</v>
      </c>
      <c r="T1843" s="30" t="s">
        <v>62</v>
      </c>
      <c r="U1843" s="30" t="s">
        <v>147</v>
      </c>
      <c r="V1843" s="30" t="s">
        <v>107</v>
      </c>
      <c r="W1843" s="30" t="s">
        <v>173</v>
      </c>
      <c r="X1843" s="30" t="s">
        <v>77</v>
      </c>
      <c r="Y1843" s="30" t="s">
        <v>188</v>
      </c>
      <c r="Z1843" s="30" t="s">
        <v>64</v>
      </c>
      <c r="AA1843" s="30" t="s">
        <v>642</v>
      </c>
      <c r="AB1843" s="30" t="s">
        <v>0</v>
      </c>
      <c r="AC1843" s="30" t="s">
        <v>5036</v>
      </c>
    </row>
    <row r="1844" spans="1:29">
      <c r="A1844" s="11" t="s">
        <v>5037</v>
      </c>
      <c r="B1844" s="11" t="str">
        <f>IF(ISNUMBER(SEARCH(E1844,A1844)),A1844,IF(OR(E1844="",E1844=""),A1844,A1844&amp;" - "&amp;E1844))</f>
        <v>Buuo 26/1 GP - Gastro Pop</v>
      </c>
      <c r="C1844" s="24" t="s">
        <v>641</v>
      </c>
      <c r="D1844" s="24" t="s">
        <v>642</v>
      </c>
      <c r="E1844" s="26" t="s">
        <v>1564</v>
      </c>
      <c r="F1844" s="41" t="s">
        <v>177</v>
      </c>
      <c r="G1844" s="27" t="s">
        <v>4086</v>
      </c>
      <c r="H1844" s="27">
        <v>1</v>
      </c>
      <c r="I1844" s="24" t="s">
        <v>0</v>
      </c>
      <c r="J1844" s="24" t="s">
        <v>0</v>
      </c>
      <c r="K1844" s="24" t="s">
        <v>52</v>
      </c>
      <c r="L1844" s="24" t="s">
        <v>53</v>
      </c>
      <c r="M1844" s="24" t="s">
        <v>156</v>
      </c>
      <c r="N1844" s="24" t="s">
        <v>103</v>
      </c>
      <c r="O1844" s="24" t="s">
        <v>0</v>
      </c>
      <c r="P1844" s="24" t="s">
        <v>58</v>
      </c>
      <c r="Q1844" s="24" t="s">
        <v>89</v>
      </c>
      <c r="R1844" s="24" t="s">
        <v>59</v>
      </c>
      <c r="S1844" s="24" t="s">
        <v>106</v>
      </c>
      <c r="T1844" s="24" t="s">
        <v>62</v>
      </c>
      <c r="U1844" s="24" t="s">
        <v>147</v>
      </c>
      <c r="V1844" s="24" t="s">
        <v>77</v>
      </c>
      <c r="W1844" s="24" t="s">
        <v>107</v>
      </c>
      <c r="X1844" s="24" t="s">
        <v>173</v>
      </c>
      <c r="Y1844" s="24" t="s">
        <v>3752</v>
      </c>
      <c r="Z1844" s="24" t="s">
        <v>64</v>
      </c>
      <c r="AA1844" s="24" t="s">
        <v>642</v>
      </c>
      <c r="AB1844" s="24" t="s">
        <v>0</v>
      </c>
      <c r="AC1844" s="37" t="s">
        <v>5038</v>
      </c>
    </row>
    <row r="1845" spans="1:29">
      <c r="A1845" s="11" t="s">
        <v>5039</v>
      </c>
      <c r="B1845" s="11" t="str">
        <f>IF(ISNUMBER(SEARCH(E1845,A1845)),A1845,IF(OR(E1845="",E1845=""),A1845,A1845&amp;" - "&amp;E1845))</f>
        <v>Buuo 24/1 Sudz</v>
      </c>
      <c r="C1845" s="30" t="s">
        <v>641</v>
      </c>
      <c r="D1845" s="30" t="s">
        <v>642</v>
      </c>
      <c r="E1845" s="32" t="s">
        <v>4491</v>
      </c>
      <c r="F1845" s="40" t="s">
        <v>86</v>
      </c>
      <c r="G1845" s="34" t="s">
        <v>448</v>
      </c>
      <c r="H1845" s="34">
        <v>1</v>
      </c>
      <c r="I1845" s="30" t="s">
        <v>0</v>
      </c>
      <c r="J1845" s="30" t="s">
        <v>0</v>
      </c>
      <c r="K1845" s="30" t="s">
        <v>52</v>
      </c>
      <c r="L1845" s="30" t="s">
        <v>53</v>
      </c>
      <c r="M1845" s="30" t="s">
        <v>71</v>
      </c>
      <c r="N1845" s="30" t="s">
        <v>72</v>
      </c>
      <c r="O1845" s="30" t="s">
        <v>54</v>
      </c>
      <c r="P1845" s="30" t="s">
        <v>89</v>
      </c>
      <c r="Q1845" s="30" t="s">
        <v>112</v>
      </c>
      <c r="R1845" s="30" t="s">
        <v>75</v>
      </c>
      <c r="S1845" s="30" t="s">
        <v>106</v>
      </c>
      <c r="T1845" s="30" t="s">
        <v>62</v>
      </c>
      <c r="U1845" s="30" t="s">
        <v>123</v>
      </c>
      <c r="V1845" s="30" t="s">
        <v>79</v>
      </c>
      <c r="W1845" s="30" t="s">
        <v>173</v>
      </c>
      <c r="X1845" s="30" t="s">
        <v>93</v>
      </c>
      <c r="Y1845" s="30" t="s">
        <v>307</v>
      </c>
      <c r="Z1845" s="30" t="s">
        <v>64</v>
      </c>
      <c r="AA1845" s="30" t="s">
        <v>642</v>
      </c>
      <c r="AB1845" s="30" t="s">
        <v>0</v>
      </c>
      <c r="AC1845" s="30" t="s">
        <v>5040</v>
      </c>
    </row>
    <row r="1846" spans="1:29">
      <c r="A1846" s="11" t="s">
        <v>5041</v>
      </c>
      <c r="B1846" s="11" t="str">
        <f>IF(ISNUMBER(SEARCH(E1846,A1846)),A1846,IF(OR(E1846="",E1846=""),A1846,A1846&amp;" - "&amp;E1846))</f>
        <v>Barongo 26/1 BM - Kandi Klouds Kush</v>
      </c>
      <c r="C1846" s="24" t="s">
        <v>641</v>
      </c>
      <c r="D1846" s="24" t="s">
        <v>642</v>
      </c>
      <c r="E1846" s="26" t="s">
        <v>5042</v>
      </c>
      <c r="F1846" s="41" t="s">
        <v>177</v>
      </c>
      <c r="G1846" s="27" t="s">
        <v>4086</v>
      </c>
      <c r="H1846" s="27">
        <v>1</v>
      </c>
      <c r="I1846" s="24" t="s">
        <v>0</v>
      </c>
      <c r="J1846" s="24" t="s">
        <v>0</v>
      </c>
      <c r="K1846" s="24" t="s">
        <v>52</v>
      </c>
      <c r="L1846" s="24" t="s">
        <v>53</v>
      </c>
      <c r="M1846" s="24" t="s">
        <v>72</v>
      </c>
      <c r="N1846" s="24" t="s">
        <v>54</v>
      </c>
      <c r="O1846" s="24" t="s">
        <v>88</v>
      </c>
      <c r="P1846" s="24" t="s">
        <v>58</v>
      </c>
      <c r="Q1846" s="24" t="s">
        <v>89</v>
      </c>
      <c r="R1846" s="24" t="s">
        <v>0</v>
      </c>
      <c r="S1846" s="24" t="s">
        <v>106</v>
      </c>
      <c r="T1846" s="24" t="s">
        <v>62</v>
      </c>
      <c r="U1846" s="24" t="s">
        <v>123</v>
      </c>
      <c r="V1846" s="24" t="s">
        <v>93</v>
      </c>
      <c r="W1846" s="24" t="s">
        <v>79</v>
      </c>
      <c r="X1846" s="24" t="s">
        <v>173</v>
      </c>
      <c r="Y1846" s="24" t="s">
        <v>314</v>
      </c>
      <c r="Z1846" s="24" t="s">
        <v>64</v>
      </c>
      <c r="AA1846" s="24" t="s">
        <v>642</v>
      </c>
      <c r="AB1846" s="24" t="s">
        <v>0</v>
      </c>
      <c r="AC1846" s="24" t="s">
        <v>5043</v>
      </c>
    </row>
    <row r="1847" spans="1:29">
      <c r="A1847" s="11" t="s">
        <v>5041</v>
      </c>
      <c r="B1847" s="11" t="str">
        <f>IF(ISNUMBER(SEARCH(E1847,A1847)),A1847,IF(OR(E1847="",E1847=""),A1847,A1847&amp;" - "&amp;E1847))</f>
        <v>Barongo 26/1 BM - Tropic Boom</v>
      </c>
      <c r="C1847" s="30" t="s">
        <v>641</v>
      </c>
      <c r="D1847" s="30" t="s">
        <v>642</v>
      </c>
      <c r="E1847" s="32" t="s">
        <v>5044</v>
      </c>
      <c r="F1847" s="40" t="s">
        <v>86</v>
      </c>
      <c r="G1847" s="34" t="s">
        <v>4086</v>
      </c>
      <c r="H1847" s="34">
        <v>1</v>
      </c>
      <c r="I1847" s="30" t="s">
        <v>0</v>
      </c>
      <c r="J1847" s="30" t="s">
        <v>0</v>
      </c>
      <c r="K1847" s="30" t="s">
        <v>52</v>
      </c>
      <c r="L1847" s="30" t="s">
        <v>53</v>
      </c>
      <c r="M1847" s="30" t="s">
        <v>111</v>
      </c>
      <c r="N1847" s="30" t="s">
        <v>72</v>
      </c>
      <c r="O1847" s="30" t="s">
        <v>54</v>
      </c>
      <c r="P1847" s="30" t="s">
        <v>58</v>
      </c>
      <c r="Q1847" s="30" t="s">
        <v>89</v>
      </c>
      <c r="R1847" s="30" t="s">
        <v>0</v>
      </c>
      <c r="S1847" s="30" t="s">
        <v>106</v>
      </c>
      <c r="T1847" s="30" t="s">
        <v>62</v>
      </c>
      <c r="U1847" s="30" t="s">
        <v>147</v>
      </c>
      <c r="V1847" s="30" t="s">
        <v>93</v>
      </c>
      <c r="W1847" s="30" t="s">
        <v>79</v>
      </c>
      <c r="X1847" s="30" t="s">
        <v>173</v>
      </c>
      <c r="Y1847" s="30" t="s">
        <v>314</v>
      </c>
      <c r="Z1847" s="30" t="s">
        <v>64</v>
      </c>
      <c r="AA1847" s="30" t="s">
        <v>642</v>
      </c>
      <c r="AB1847" s="30" t="s">
        <v>0</v>
      </c>
      <c r="AC1847" s="30" t="s">
        <v>5045</v>
      </c>
    </row>
    <row r="1848" spans="1:29">
      <c r="A1848" s="11" t="s">
        <v>5046</v>
      </c>
      <c r="B1848" s="11" t="str">
        <f>IF(ISNUMBER(SEARCH(E1848,A1848)),A1848,IF(OR(E1848="",E1848=""),A1848,A1848&amp;" - "&amp;E1848))</f>
        <v>Barongo 24/1 UDC - Upside Down Cake</v>
      </c>
      <c r="C1848" s="24" t="s">
        <v>641</v>
      </c>
      <c r="D1848" s="24" t="s">
        <v>642</v>
      </c>
      <c r="E1848" s="26" t="s">
        <v>3677</v>
      </c>
      <c r="F1848" s="41" t="s">
        <v>86</v>
      </c>
      <c r="G1848" s="27" t="s">
        <v>448</v>
      </c>
      <c r="H1848" s="27">
        <v>1</v>
      </c>
      <c r="I1848" s="24" t="s">
        <v>0</v>
      </c>
      <c r="J1848" s="24" t="s">
        <v>0</v>
      </c>
      <c r="K1848" s="24" t="s">
        <v>52</v>
      </c>
      <c r="L1848" s="24" t="s">
        <v>53</v>
      </c>
      <c r="M1848" s="24" t="s">
        <v>178</v>
      </c>
      <c r="N1848" s="24" t="s">
        <v>72</v>
      </c>
      <c r="O1848" s="24" t="s">
        <v>88</v>
      </c>
      <c r="P1848" s="24" t="s">
        <v>59</v>
      </c>
      <c r="Q1848" s="24" t="s">
        <v>73</v>
      </c>
      <c r="R1848" s="24" t="s">
        <v>136</v>
      </c>
      <c r="S1848" s="24" t="s">
        <v>106</v>
      </c>
      <c r="T1848" s="24" t="s">
        <v>62</v>
      </c>
      <c r="U1848" s="24" t="s">
        <v>123</v>
      </c>
      <c r="V1848" s="24" t="s">
        <v>116</v>
      </c>
      <c r="W1848" s="24" t="s">
        <v>93</v>
      </c>
      <c r="X1848" s="24" t="s">
        <v>107</v>
      </c>
      <c r="Y1848" s="24" t="s">
        <v>117</v>
      </c>
      <c r="Z1848" s="24" t="s">
        <v>64</v>
      </c>
      <c r="AA1848" s="24" t="s">
        <v>642</v>
      </c>
      <c r="AB1848" s="24" t="s">
        <v>0</v>
      </c>
      <c r="AC1848" s="24" t="s">
        <v>5047</v>
      </c>
    </row>
    <row r="1849" spans="1:29">
      <c r="A1849" s="11" t="s">
        <v>5034</v>
      </c>
      <c r="B1849" s="11" t="str">
        <f>IF(ISNUMBER(SEARCH(E1849,A1849)),A1849,IF(OR(E1849="",E1849=""),A1849,A1849&amp;" - "&amp;E1849))</f>
        <v>Buuo 24/1 DC - Cookies &amp; Cream</v>
      </c>
      <c r="C1849" s="30" t="s">
        <v>641</v>
      </c>
      <c r="D1849" s="30" t="s">
        <v>642</v>
      </c>
      <c r="E1849" s="32" t="s">
        <v>1897</v>
      </c>
      <c r="F1849" s="40" t="s">
        <v>86</v>
      </c>
      <c r="G1849" s="34" t="s">
        <v>448</v>
      </c>
      <c r="H1849" s="34">
        <v>1</v>
      </c>
      <c r="I1849" s="30" t="s">
        <v>0</v>
      </c>
      <c r="J1849" s="30" t="s">
        <v>0</v>
      </c>
      <c r="K1849" s="30" t="s">
        <v>52</v>
      </c>
      <c r="L1849" s="30" t="s">
        <v>53</v>
      </c>
      <c r="M1849" s="30" t="s">
        <v>178</v>
      </c>
      <c r="N1849" s="30" t="s">
        <v>54</v>
      </c>
      <c r="O1849" s="30" t="s">
        <v>111</v>
      </c>
      <c r="P1849" s="30" t="s">
        <v>74</v>
      </c>
      <c r="Q1849" s="30" t="s">
        <v>89</v>
      </c>
      <c r="R1849" s="30" t="s">
        <v>0</v>
      </c>
      <c r="S1849" s="30" t="s">
        <v>106</v>
      </c>
      <c r="T1849" s="30" t="s">
        <v>62</v>
      </c>
      <c r="U1849" s="30" t="s">
        <v>147</v>
      </c>
      <c r="V1849" s="30" t="s">
        <v>79</v>
      </c>
      <c r="W1849" s="30" t="s">
        <v>116</v>
      </c>
      <c r="X1849" s="30" t="s">
        <v>107</v>
      </c>
      <c r="Y1849" s="30" t="s">
        <v>3752</v>
      </c>
      <c r="Z1849" s="30" t="s">
        <v>64</v>
      </c>
      <c r="AA1849" s="30" t="s">
        <v>642</v>
      </c>
      <c r="AB1849" s="30" t="s">
        <v>0</v>
      </c>
      <c r="AC1849" s="30" t="s">
        <v>5048</v>
      </c>
    </row>
    <row r="1850" spans="1:29">
      <c r="A1850" s="60" t="s">
        <v>5049</v>
      </c>
      <c r="B1850" s="11" t="str">
        <f>IF(ISNUMBER(SEARCH(E1850,A1850)),A1850,IF(OR(E1850="",E1850=""),A1850,A1850&amp;" - "&amp;E1850))</f>
        <v>Demecan Craft Rocket 31:01 Pave x Gastro Pop - Facetz</v>
      </c>
      <c r="C1850" s="30" t="s">
        <v>484</v>
      </c>
      <c r="D1850" s="30" t="s">
        <v>485</v>
      </c>
      <c r="E1850" s="32" t="s">
        <v>1148</v>
      </c>
      <c r="F1850" s="40" t="s">
        <v>86</v>
      </c>
      <c r="G1850" s="34" t="s">
        <v>4488</v>
      </c>
      <c r="H1850" s="34">
        <v>1</v>
      </c>
      <c r="I1850" s="30" t="s">
        <v>0</v>
      </c>
      <c r="J1850" s="30" t="s">
        <v>0</v>
      </c>
      <c r="K1850" s="30" t="s">
        <v>52</v>
      </c>
      <c r="L1850" s="30" t="s">
        <v>53</v>
      </c>
      <c r="M1850" s="30" t="s">
        <v>72</v>
      </c>
      <c r="N1850" s="30" t="s">
        <v>178</v>
      </c>
      <c r="O1850" s="30" t="s">
        <v>54</v>
      </c>
      <c r="P1850" s="30" t="s">
        <v>59</v>
      </c>
      <c r="Q1850" s="30" t="s">
        <v>74</v>
      </c>
      <c r="R1850" s="30" t="s">
        <v>58</v>
      </c>
      <c r="S1850" s="30" t="s">
        <v>128</v>
      </c>
      <c r="T1850" s="30" t="s">
        <v>106</v>
      </c>
      <c r="U1850" s="30" t="s">
        <v>123</v>
      </c>
      <c r="V1850" s="30" t="s">
        <v>77</v>
      </c>
      <c r="W1850" s="30" t="s">
        <v>79</v>
      </c>
      <c r="X1850" s="30" t="s">
        <v>107</v>
      </c>
      <c r="Y1850" s="30" t="s">
        <v>1834</v>
      </c>
      <c r="Z1850" s="30" t="s">
        <v>64</v>
      </c>
      <c r="AA1850" s="30" t="s">
        <v>485</v>
      </c>
      <c r="AB1850" s="30" t="s">
        <v>0</v>
      </c>
      <c r="AC1850" s="30" t="s">
        <v>5050</v>
      </c>
    </row>
    <row r="1851" spans="1:29">
      <c r="A1851" s="60" t="s">
        <v>3977</v>
      </c>
      <c r="B1851" s="11" t="str">
        <f>IF(ISNUMBER(SEARCH(E1851,A1851)),A1851,IF(OR(E1851="",E1851=""),A1851,A1851&amp;" - "&amp;E1851))</f>
        <v>Cannamedical Sativa Light - Fast Orange</v>
      </c>
      <c r="C1851" s="24" t="s">
        <v>48</v>
      </c>
      <c r="D1851" s="24" t="s">
        <v>49</v>
      </c>
      <c r="E1851" s="26" t="s">
        <v>429</v>
      </c>
      <c r="F1851" s="41" t="s">
        <v>69</v>
      </c>
      <c r="G1851" s="27" t="s">
        <v>40</v>
      </c>
      <c r="H1851" s="27">
        <v>1</v>
      </c>
      <c r="I1851" s="24" t="s">
        <v>0</v>
      </c>
      <c r="J1851" s="24" t="s">
        <v>0</v>
      </c>
      <c r="K1851" s="24" t="s">
        <v>52</v>
      </c>
      <c r="L1851" s="24" t="s">
        <v>53</v>
      </c>
      <c r="M1851" s="24" t="s">
        <v>111</v>
      </c>
      <c r="N1851" s="24" t="s">
        <v>178</v>
      </c>
      <c r="O1851" s="24" t="s">
        <v>55</v>
      </c>
      <c r="P1851" s="24" t="s">
        <v>73</v>
      </c>
      <c r="Q1851" s="24" t="s">
        <v>58</v>
      </c>
      <c r="R1851" s="24" t="s">
        <v>74</v>
      </c>
      <c r="S1851" s="24" t="s">
        <v>90</v>
      </c>
      <c r="T1851" s="24" t="s">
        <v>128</v>
      </c>
      <c r="U1851" s="24" t="s">
        <v>430</v>
      </c>
      <c r="V1851" s="24" t="s">
        <v>77</v>
      </c>
      <c r="W1851" s="24" t="s">
        <v>107</v>
      </c>
      <c r="X1851" s="24" t="s">
        <v>79</v>
      </c>
      <c r="Y1851" s="24" t="s">
        <v>371</v>
      </c>
      <c r="Z1851" s="24" t="s">
        <v>64</v>
      </c>
      <c r="AA1851" s="24" t="s">
        <v>49</v>
      </c>
      <c r="AB1851" s="24" t="s">
        <v>0</v>
      </c>
      <c r="AC1851" s="24" t="s">
        <v>5051</v>
      </c>
    </row>
    <row r="1852" spans="1:29">
      <c r="A1852" s="60" t="s">
        <v>5052</v>
      </c>
      <c r="B1852" s="11" t="str">
        <f>IF(ISNUMBER(SEARCH(E1852,A1852)),A1852,IF(OR(E1852="",E1852=""),A1852,A1852&amp;" - "&amp;E1852))</f>
        <v>Demecan Core ICC 22:01 - Ice Cream Cake</v>
      </c>
      <c r="C1852" s="30" t="s">
        <v>484</v>
      </c>
      <c r="D1852" s="30" t="s">
        <v>485</v>
      </c>
      <c r="E1852" s="32" t="s">
        <v>1214</v>
      </c>
      <c r="F1852" s="40" t="s">
        <v>177</v>
      </c>
      <c r="G1852" s="34" t="s">
        <v>4126</v>
      </c>
      <c r="H1852" s="34">
        <v>1</v>
      </c>
      <c r="I1852" s="30" t="s">
        <v>0</v>
      </c>
      <c r="J1852" s="30" t="s">
        <v>0</v>
      </c>
      <c r="K1852" s="30" t="s">
        <v>52</v>
      </c>
      <c r="L1852" s="30" t="s">
        <v>527</v>
      </c>
      <c r="M1852" s="30" t="s">
        <v>121</v>
      </c>
      <c r="N1852" s="30" t="s">
        <v>72</v>
      </c>
      <c r="O1852" s="30" t="s">
        <v>103</v>
      </c>
      <c r="P1852" s="30" t="s">
        <v>89</v>
      </c>
      <c r="Q1852" s="30" t="s">
        <v>57</v>
      </c>
      <c r="R1852" s="30" t="s">
        <v>0</v>
      </c>
      <c r="S1852" s="30" t="s">
        <v>128</v>
      </c>
      <c r="T1852" s="30" t="s">
        <v>61</v>
      </c>
      <c r="U1852" s="30" t="s">
        <v>76</v>
      </c>
      <c r="V1852" s="30" t="s">
        <v>107</v>
      </c>
      <c r="W1852" s="30" t="s">
        <v>77</v>
      </c>
      <c r="X1852" s="30" t="s">
        <v>173</v>
      </c>
      <c r="Y1852" s="30" t="s">
        <v>1464</v>
      </c>
      <c r="Z1852" s="30" t="s">
        <v>64</v>
      </c>
      <c r="AA1852" s="30" t="s">
        <v>485</v>
      </c>
      <c r="AB1852" s="30" t="s">
        <v>0</v>
      </c>
      <c r="AC1852" s="30" t="s">
        <v>5053</v>
      </c>
    </row>
    <row r="1853" spans="1:29">
      <c r="A1853" s="60" t="s">
        <v>5054</v>
      </c>
      <c r="B1853" s="11" t="str">
        <f>IF(ISNUMBER(SEARCH(E1853,A1853)),A1853,IF(OR(E1853="",E1853=""),A1853,A1853&amp;" - "&amp;E1853))</f>
        <v>Remexian 27/1 TRF GRC - Grape Crusher</v>
      </c>
      <c r="C1853" s="24" t="s">
        <v>83</v>
      </c>
      <c r="D1853" s="24" t="s">
        <v>95</v>
      </c>
      <c r="E1853" s="24" t="s">
        <v>5055</v>
      </c>
      <c r="F1853" s="24" t="s">
        <v>120</v>
      </c>
      <c r="G1853" s="24" t="s">
        <v>33</v>
      </c>
      <c r="H1853" s="25">
        <v>1</v>
      </c>
      <c r="I1853" s="24" t="s">
        <v>0</v>
      </c>
      <c r="J1853" s="24" t="s">
        <v>0</v>
      </c>
      <c r="K1853" s="24" t="s">
        <v>52</v>
      </c>
      <c r="L1853" s="24" t="s">
        <v>53</v>
      </c>
      <c r="M1853" s="24" t="s">
        <v>121</v>
      </c>
      <c r="N1853" s="24" t="s">
        <v>88</v>
      </c>
      <c r="O1853" s="24" t="s">
        <v>72</v>
      </c>
      <c r="P1853" s="24" t="s">
        <v>89</v>
      </c>
      <c r="Q1853" s="24" t="s">
        <v>73</v>
      </c>
      <c r="R1853" s="24" t="s">
        <v>75</v>
      </c>
      <c r="S1853" s="24" t="s">
        <v>106</v>
      </c>
      <c r="T1853" s="24" t="s">
        <v>62</v>
      </c>
      <c r="U1853" s="24" t="s">
        <v>147</v>
      </c>
      <c r="V1853" s="24" t="s">
        <v>93</v>
      </c>
      <c r="W1853" s="24" t="s">
        <v>165</v>
      </c>
      <c r="X1853" s="24" t="s">
        <v>79</v>
      </c>
      <c r="Y1853" s="24" t="s">
        <v>311</v>
      </c>
      <c r="Z1853" s="24" t="s">
        <v>64</v>
      </c>
      <c r="AA1853" s="24" t="s">
        <v>95</v>
      </c>
      <c r="AB1853" s="24" t="s">
        <v>5056</v>
      </c>
      <c r="AC1853" s="24" t="s">
        <v>5057</v>
      </c>
    </row>
    <row r="1854" spans="1:29">
      <c r="A1854" s="60" t="s">
        <v>5058</v>
      </c>
      <c r="B1854" s="11" t="str">
        <f>IF(ISNUMBER(SEARCH(E1854,A1854)),A1854,IF(OR(E1854="",E1854=""),A1854,A1854&amp;" - "&amp;E1854))</f>
        <v>enua 27/1 GPP CA - Gelly Popper</v>
      </c>
      <c r="C1854" s="30" t="s">
        <v>650</v>
      </c>
      <c r="D1854" s="30" t="s">
        <v>653</v>
      </c>
      <c r="E1854" s="32" t="s">
        <v>1518</v>
      </c>
      <c r="F1854" s="40" t="s">
        <v>144</v>
      </c>
      <c r="G1854" s="34" t="s">
        <v>33</v>
      </c>
      <c r="H1854" s="34" t="s">
        <v>65</v>
      </c>
      <c r="I1854" s="30" t="s">
        <v>0</v>
      </c>
      <c r="J1854" s="30" t="s">
        <v>0</v>
      </c>
      <c r="K1854" s="30" t="s">
        <v>52</v>
      </c>
      <c r="L1854" s="30" t="s">
        <v>53</v>
      </c>
      <c r="M1854" s="30" t="s">
        <v>178</v>
      </c>
      <c r="N1854" s="30" t="s">
        <v>111</v>
      </c>
      <c r="O1854" s="30" t="s">
        <v>54</v>
      </c>
      <c r="P1854" s="30" t="s">
        <v>57</v>
      </c>
      <c r="Q1854" s="30" t="s">
        <v>59</v>
      </c>
      <c r="R1854" s="30" t="s">
        <v>74</v>
      </c>
      <c r="S1854" s="30" t="s">
        <v>128</v>
      </c>
      <c r="T1854" s="30" t="s">
        <v>62</v>
      </c>
      <c r="U1854" s="30" t="s">
        <v>164</v>
      </c>
      <c r="V1854" s="30" t="s">
        <v>107</v>
      </c>
      <c r="W1854" s="30" t="s">
        <v>77</v>
      </c>
      <c r="X1854" s="30" t="s">
        <v>0</v>
      </c>
      <c r="Y1854" s="30" t="s">
        <v>331</v>
      </c>
      <c r="Z1854" s="30" t="s">
        <v>64</v>
      </c>
      <c r="AA1854" s="30" t="s">
        <v>653</v>
      </c>
      <c r="AB1854" s="30" t="s">
        <v>0</v>
      </c>
      <c r="AC1854" s="30" t="s">
        <v>5059</v>
      </c>
    </row>
    <row r="1855" spans="1:29">
      <c r="A1855" s="60" t="s">
        <v>1541</v>
      </c>
      <c r="B1855" s="11" t="str">
        <f>IF(ISNUMBER(SEARCH(E1855,A1855)),A1855,IF(OR(E1855="",E1855=""),A1855,A1855&amp;" - "&amp;E1855))</f>
        <v>Tilray THC22 Spotlight Porto - Beach Crasher</v>
      </c>
      <c r="C1855" s="24" t="s">
        <v>133</v>
      </c>
      <c r="D1855" s="24" t="s">
        <v>134</v>
      </c>
      <c r="E1855" s="26" t="s">
        <v>4948</v>
      </c>
      <c r="F1855" s="41" t="s">
        <v>177</v>
      </c>
      <c r="G1855" s="27" t="s">
        <v>4126</v>
      </c>
      <c r="H1855" s="27">
        <v>1</v>
      </c>
      <c r="I1855" s="24" t="s">
        <v>0</v>
      </c>
      <c r="J1855" s="24" t="s">
        <v>0</v>
      </c>
      <c r="K1855" s="24" t="s">
        <v>52</v>
      </c>
      <c r="L1855" s="24" t="s">
        <v>53</v>
      </c>
      <c r="M1855" s="24" t="s">
        <v>88</v>
      </c>
      <c r="N1855" s="24" t="s">
        <v>54</v>
      </c>
      <c r="O1855" s="24" t="s">
        <v>72</v>
      </c>
      <c r="P1855" s="24" t="s">
        <v>1100</v>
      </c>
      <c r="Q1855" s="24" t="s">
        <v>75</v>
      </c>
      <c r="R1855" s="24" t="s">
        <v>74</v>
      </c>
      <c r="S1855" s="24" t="s">
        <v>90</v>
      </c>
      <c r="T1855" s="24" t="s">
        <v>106</v>
      </c>
      <c r="U1855" s="24" t="s">
        <v>62</v>
      </c>
      <c r="V1855" s="24" t="s">
        <v>173</v>
      </c>
      <c r="W1855" s="24" t="s">
        <v>77</v>
      </c>
      <c r="X1855" s="24" t="s">
        <v>116</v>
      </c>
      <c r="Y1855" s="24" t="s">
        <v>5060</v>
      </c>
      <c r="Z1855" s="24" t="s">
        <v>64</v>
      </c>
      <c r="AA1855" s="24" t="s">
        <v>134</v>
      </c>
      <c r="AB1855" s="24" t="s">
        <v>0</v>
      </c>
      <c r="AC1855" s="24" t="s">
        <v>5061</v>
      </c>
    </row>
    <row r="1856" spans="1:29">
      <c r="A1856" s="60" t="s">
        <v>5062</v>
      </c>
      <c r="B1856" s="11" t="str">
        <f>IF(ISNUMBER(SEARCH(E1856,A1856)),A1856,IF(OR(E1856="",E1856=""),A1856,A1856&amp;" - "&amp;E1856))</f>
        <v>Balancial 18/1 PT-S1 - Old Skool</v>
      </c>
      <c r="C1856" s="30" t="s">
        <v>996</v>
      </c>
      <c r="D1856" s="30" t="s">
        <v>997</v>
      </c>
      <c r="E1856" s="32" t="s">
        <v>5063</v>
      </c>
      <c r="F1856" s="40" t="s">
        <v>177</v>
      </c>
      <c r="G1856" s="34" t="s">
        <v>8</v>
      </c>
      <c r="H1856" s="34" t="s">
        <v>65</v>
      </c>
      <c r="I1856" s="30" t="s">
        <v>0</v>
      </c>
      <c r="J1856" s="30" t="s">
        <v>0</v>
      </c>
      <c r="K1856" s="30" t="s">
        <v>52</v>
      </c>
      <c r="L1856" s="30" t="s">
        <v>102</v>
      </c>
      <c r="M1856" s="30" t="s">
        <v>88</v>
      </c>
      <c r="N1856" s="30" t="s">
        <v>111</v>
      </c>
      <c r="O1856" s="30" t="s">
        <v>72</v>
      </c>
      <c r="P1856" s="30" t="s">
        <v>146</v>
      </c>
      <c r="Q1856" s="30" t="s">
        <v>113</v>
      </c>
      <c r="R1856" s="30" t="s">
        <v>89</v>
      </c>
      <c r="S1856" s="30" t="s">
        <v>128</v>
      </c>
      <c r="T1856" s="30" t="s">
        <v>62</v>
      </c>
      <c r="U1856" s="30" t="s">
        <v>0</v>
      </c>
      <c r="V1856" s="30" t="s">
        <v>107</v>
      </c>
      <c r="W1856" s="30" t="s">
        <v>116</v>
      </c>
      <c r="X1856" s="30" t="s">
        <v>77</v>
      </c>
      <c r="Y1856" s="30" t="s">
        <v>5064</v>
      </c>
      <c r="Z1856" s="30" t="s">
        <v>64</v>
      </c>
      <c r="AA1856" s="30" t="s">
        <v>997</v>
      </c>
      <c r="AB1856" s="30" t="s">
        <v>0</v>
      </c>
      <c r="AC1856" s="30" t="s">
        <v>5065</v>
      </c>
    </row>
    <row r="1857" spans="1:29">
      <c r="A1857" s="60" t="s">
        <v>5066</v>
      </c>
      <c r="B1857" s="11" t="str">
        <f>IF(ISNUMBER(SEARCH(E1857,A1857)),A1857,IF(OR(E1857="",E1857=""),A1857,A1857&amp;" - "&amp;E1857))</f>
        <v>GROW 9/12 AM - Apricot Mints</v>
      </c>
      <c r="C1857" s="24" t="s">
        <v>141</v>
      </c>
      <c r="D1857" s="24" t="s">
        <v>149</v>
      </c>
      <c r="E1857" s="26" t="s">
        <v>5067</v>
      </c>
      <c r="F1857" s="41" t="s">
        <v>177</v>
      </c>
      <c r="G1857" s="27" t="s">
        <v>10</v>
      </c>
      <c r="H1857" s="27" t="s">
        <v>16</v>
      </c>
      <c r="I1857" s="24" t="s">
        <v>0</v>
      </c>
      <c r="J1857" s="24" t="s">
        <v>0</v>
      </c>
      <c r="K1857" s="24" t="s">
        <v>52</v>
      </c>
      <c r="L1857" s="24" t="s">
        <v>102</v>
      </c>
      <c r="M1857" s="24" t="s">
        <v>178</v>
      </c>
      <c r="N1857" s="24" t="s">
        <v>55</v>
      </c>
      <c r="O1857" s="24" t="s">
        <v>88</v>
      </c>
      <c r="P1857" s="24" t="s">
        <v>74</v>
      </c>
      <c r="Q1857" s="24" t="s">
        <v>112</v>
      </c>
      <c r="R1857" s="24" t="s">
        <v>157</v>
      </c>
      <c r="S1857" s="24" t="s">
        <v>62</v>
      </c>
      <c r="T1857" s="24" t="s">
        <v>91</v>
      </c>
      <c r="U1857" s="24" t="s">
        <v>147</v>
      </c>
      <c r="V1857" s="24" t="s">
        <v>92</v>
      </c>
      <c r="W1857" s="24" t="s">
        <v>93</v>
      </c>
      <c r="X1857" s="24" t="s">
        <v>253</v>
      </c>
      <c r="Y1857" s="24" t="s">
        <v>1762</v>
      </c>
      <c r="Z1857" s="24" t="s">
        <v>64</v>
      </c>
      <c r="AA1857" s="24" t="s">
        <v>149</v>
      </c>
      <c r="AB1857" s="24" t="s">
        <v>0</v>
      </c>
      <c r="AC1857" s="24" t="s">
        <v>5068</v>
      </c>
    </row>
    <row r="1858" spans="1:29">
      <c r="A1858" s="60" t="s">
        <v>5069</v>
      </c>
      <c r="B1858" s="11" t="str">
        <f>IF(ISNUMBER(SEARCH(E1858,A1858)),A1858,IF(OR(E1858="",E1858=""),A1858,A1858&amp;" - "&amp;E1858))</f>
        <v>Tilray Craft Cannabisblüten THC25 PPV - Platinum Pave</v>
      </c>
      <c r="C1858" s="30" t="s">
        <v>133</v>
      </c>
      <c r="D1858" s="30" t="s">
        <v>134</v>
      </c>
      <c r="E1858" s="32" t="s">
        <v>5070</v>
      </c>
      <c r="F1858" s="40" t="s">
        <v>86</v>
      </c>
      <c r="G1858" s="34" t="s">
        <v>26</v>
      </c>
      <c r="H1858" s="34">
        <v>1</v>
      </c>
      <c r="I1858" s="30" t="s">
        <v>0</v>
      </c>
      <c r="J1858" s="30" t="s">
        <v>0</v>
      </c>
      <c r="K1858" s="30" t="s">
        <v>52</v>
      </c>
      <c r="L1858" s="30" t="s">
        <v>53</v>
      </c>
      <c r="M1858" s="30" t="s">
        <v>54</v>
      </c>
      <c r="N1858" s="30" t="s">
        <v>88</v>
      </c>
      <c r="O1858" s="30" t="s">
        <v>0</v>
      </c>
      <c r="P1858" s="30" t="s">
        <v>75</v>
      </c>
      <c r="Q1858" s="30" t="s">
        <v>73</v>
      </c>
      <c r="R1858" s="30" t="s">
        <v>157</v>
      </c>
      <c r="S1858" s="30" t="s">
        <v>106</v>
      </c>
      <c r="T1858" s="30" t="s">
        <v>62</v>
      </c>
      <c r="U1858" s="30" t="s">
        <v>123</v>
      </c>
      <c r="V1858" s="30" t="s">
        <v>116</v>
      </c>
      <c r="W1858" s="30" t="s">
        <v>173</v>
      </c>
      <c r="X1858" s="30" t="s">
        <v>77</v>
      </c>
      <c r="Y1858" s="30" t="s">
        <v>80</v>
      </c>
      <c r="Z1858" s="30" t="s">
        <v>64</v>
      </c>
      <c r="AA1858" s="30" t="s">
        <v>134</v>
      </c>
      <c r="AB1858" s="30" t="s">
        <v>0</v>
      </c>
      <c r="AC1858" s="30" t="s">
        <v>5071</v>
      </c>
    </row>
    <row r="1859" spans="1:29">
      <c r="A1859" s="60" t="s">
        <v>5072</v>
      </c>
      <c r="B1859" s="11" t="str">
        <f>IF(ISNUMBER(SEARCH(E1859,A1859)),A1859,IF(OR(E1859="",E1859=""),A1859,A1859&amp;" - "&amp;E1859))</f>
        <v>Craft Botanics 25/1 - Georgia Pie</v>
      </c>
      <c r="C1859" s="24" t="s">
        <v>440</v>
      </c>
      <c r="D1859" s="24" t="s">
        <v>441</v>
      </c>
      <c r="E1859" s="26" t="s">
        <v>5073</v>
      </c>
      <c r="F1859" s="41" t="s">
        <v>177</v>
      </c>
      <c r="G1859" s="27" t="s">
        <v>26</v>
      </c>
      <c r="H1859" s="27">
        <v>1</v>
      </c>
      <c r="I1859" s="24" t="s">
        <v>0</v>
      </c>
      <c r="J1859" s="24" t="s">
        <v>0</v>
      </c>
      <c r="K1859" s="24" t="s">
        <v>52</v>
      </c>
      <c r="L1859" s="24" t="s">
        <v>53</v>
      </c>
      <c r="M1859" s="24" t="s">
        <v>111</v>
      </c>
      <c r="N1859" s="24" t="s">
        <v>55</v>
      </c>
      <c r="O1859" s="24" t="s">
        <v>156</v>
      </c>
      <c r="P1859" s="24" t="s">
        <v>104</v>
      </c>
      <c r="Q1859" s="24" t="s">
        <v>75</v>
      </c>
      <c r="R1859" s="24" t="s">
        <v>112</v>
      </c>
      <c r="S1859" s="24" t="s">
        <v>106</v>
      </c>
      <c r="T1859" s="24" t="s">
        <v>62</v>
      </c>
      <c r="U1859" s="24" t="s">
        <v>91</v>
      </c>
      <c r="V1859" s="24" t="s">
        <v>92</v>
      </c>
      <c r="W1859" s="24" t="s">
        <v>93</v>
      </c>
      <c r="X1859" s="24" t="s">
        <v>116</v>
      </c>
      <c r="Y1859" s="24" t="s">
        <v>311</v>
      </c>
      <c r="Z1859" s="24" t="s">
        <v>64</v>
      </c>
      <c r="AA1859" s="24" t="s">
        <v>441</v>
      </c>
      <c r="AB1859" s="24" t="s">
        <v>0</v>
      </c>
      <c r="AC1859" s="24" t="s">
        <v>5074</v>
      </c>
    </row>
    <row r="1860" spans="1:29">
      <c r="A1860" s="60" t="s">
        <v>5075</v>
      </c>
      <c r="B1860" s="11" t="str">
        <f>IF(ISNUMBER(SEARCH(E1860,A1860)),A1860,IF(OR(E1860="",E1860=""),A1860,A1860&amp;" - "&amp;E1860))</f>
        <v>Demecan Core Cros 29:01 - Crossbow</v>
      </c>
      <c r="C1860" s="30" t="s">
        <v>484</v>
      </c>
      <c r="D1860" s="30" t="s">
        <v>485</v>
      </c>
      <c r="E1860" s="32" t="s">
        <v>5004</v>
      </c>
      <c r="F1860" s="40" t="s">
        <v>86</v>
      </c>
      <c r="G1860" s="34" t="s">
        <v>443</v>
      </c>
      <c r="H1860" s="34">
        <v>1</v>
      </c>
      <c r="I1860" s="30" t="s">
        <v>0</v>
      </c>
      <c r="J1860" s="30" t="s">
        <v>0</v>
      </c>
      <c r="K1860" s="30" t="s">
        <v>52</v>
      </c>
      <c r="L1860" s="30" t="s">
        <v>53</v>
      </c>
      <c r="M1860" s="30" t="s">
        <v>88</v>
      </c>
      <c r="N1860" s="30" t="s">
        <v>71</v>
      </c>
      <c r="O1860" s="30" t="s">
        <v>72</v>
      </c>
      <c r="P1860" s="30" t="s">
        <v>104</v>
      </c>
      <c r="Q1860" s="30" t="s">
        <v>73</v>
      </c>
      <c r="R1860" s="30" t="s">
        <v>89</v>
      </c>
      <c r="S1860" s="30" t="s">
        <v>128</v>
      </c>
      <c r="T1860" s="30" t="s">
        <v>106</v>
      </c>
      <c r="U1860" s="30" t="s">
        <v>164</v>
      </c>
      <c r="V1860" s="30" t="s">
        <v>77</v>
      </c>
      <c r="W1860" s="30" t="s">
        <v>138</v>
      </c>
      <c r="X1860" s="30" t="s">
        <v>93</v>
      </c>
      <c r="Y1860" s="30" t="s">
        <v>213</v>
      </c>
      <c r="Z1860" s="30" t="s">
        <v>64</v>
      </c>
      <c r="AA1860" s="30" t="s">
        <v>485</v>
      </c>
      <c r="AB1860" s="30" t="s">
        <v>0</v>
      </c>
      <c r="AC1860" s="30" t="s">
        <v>5076</v>
      </c>
    </row>
    <row r="1861" spans="1:29">
      <c r="A1861" s="60" t="s">
        <v>5077</v>
      </c>
      <c r="B1861" s="11" t="str">
        <f>IF(ISNUMBER(SEARCH(E1861,A1861)),A1861,IF(OR(E1861="",E1861=""),A1861,A1861&amp;" - "&amp;E1861))</f>
        <v>All Nations AKM 18/1 - Alien Kush Mintz</v>
      </c>
      <c r="C1861" s="24" t="s">
        <v>564</v>
      </c>
      <c r="D1861" s="24" t="s">
        <v>565</v>
      </c>
      <c r="E1861" s="26" t="s">
        <v>4023</v>
      </c>
      <c r="F1861" s="41" t="s">
        <v>177</v>
      </c>
      <c r="G1861" s="27" t="s">
        <v>8</v>
      </c>
      <c r="H1861" s="27">
        <v>1</v>
      </c>
      <c r="I1861" s="24" t="s">
        <v>0</v>
      </c>
      <c r="J1861" s="24" t="s">
        <v>0</v>
      </c>
      <c r="K1861" s="24" t="s">
        <v>52</v>
      </c>
      <c r="L1861" s="24" t="s">
        <v>53</v>
      </c>
      <c r="M1861" s="24" t="s">
        <v>54</v>
      </c>
      <c r="N1861" s="24" t="s">
        <v>71</v>
      </c>
      <c r="O1861" s="24" t="s">
        <v>72</v>
      </c>
      <c r="P1861" s="24" t="s">
        <v>73</v>
      </c>
      <c r="Q1861" s="24" t="s">
        <v>59</v>
      </c>
      <c r="R1861" s="24" t="s">
        <v>112</v>
      </c>
      <c r="S1861" s="24" t="s">
        <v>90</v>
      </c>
      <c r="T1861" s="24" t="s">
        <v>106</v>
      </c>
      <c r="U1861" s="24" t="s">
        <v>105</v>
      </c>
      <c r="V1861" s="24" t="s">
        <v>180</v>
      </c>
      <c r="W1861" s="24" t="s">
        <v>173</v>
      </c>
      <c r="X1861" s="24" t="s">
        <v>77</v>
      </c>
      <c r="Y1861" s="24" t="s">
        <v>413</v>
      </c>
      <c r="Z1861" s="24" t="s">
        <v>64</v>
      </c>
      <c r="AA1861" s="24" t="s">
        <v>565</v>
      </c>
      <c r="AB1861" s="24" t="s">
        <v>1232</v>
      </c>
      <c r="AC1861" s="24" t="s">
        <v>5078</v>
      </c>
    </row>
    <row r="1862" spans="1:29">
      <c r="A1862" s="60" t="s">
        <v>5079</v>
      </c>
      <c r="B1862" s="11" t="str">
        <f>IF(ISNUMBER(SEARCH(E1862,A1862)),A1862,IF(OR(E1862="",E1862=""),A1862,A1862&amp;" - "&amp;E1862))</f>
        <v>South African  23/1 Mungo</v>
      </c>
      <c r="C1862" s="30" t="s">
        <v>1879</v>
      </c>
      <c r="D1862" s="30" t="s">
        <v>1880</v>
      </c>
      <c r="E1862" s="32" t="s">
        <v>1884</v>
      </c>
      <c r="F1862" s="40" t="s">
        <v>177</v>
      </c>
      <c r="G1862" s="34" t="s">
        <v>436</v>
      </c>
      <c r="H1862" s="34" t="s">
        <v>65</v>
      </c>
      <c r="I1862" s="30" t="s">
        <v>0</v>
      </c>
      <c r="J1862" s="30" t="s">
        <v>0</v>
      </c>
      <c r="K1862" s="30" t="s">
        <v>52</v>
      </c>
      <c r="L1862" s="30" t="s">
        <v>497</v>
      </c>
      <c r="M1862" s="30" t="s">
        <v>54</v>
      </c>
      <c r="N1862" s="30" t="s">
        <v>88</v>
      </c>
      <c r="O1862" s="30" t="s">
        <v>72</v>
      </c>
      <c r="P1862" s="30" t="s">
        <v>157</v>
      </c>
      <c r="Q1862" s="30" t="s">
        <v>58</v>
      </c>
      <c r="R1862" s="30" t="s">
        <v>59</v>
      </c>
      <c r="S1862" s="30" t="s">
        <v>106</v>
      </c>
      <c r="T1862" s="30" t="s">
        <v>179</v>
      </c>
      <c r="U1862" s="30" t="s">
        <v>76</v>
      </c>
      <c r="V1862" s="30" t="s">
        <v>77</v>
      </c>
      <c r="W1862" s="30" t="s">
        <v>0</v>
      </c>
      <c r="X1862" s="30" t="s">
        <v>0</v>
      </c>
      <c r="Y1862" s="30" t="s">
        <v>322</v>
      </c>
      <c r="Z1862" s="30" t="s">
        <v>64</v>
      </c>
      <c r="AA1862" s="30" t="s">
        <v>1880</v>
      </c>
      <c r="AB1862" s="30" t="s">
        <v>0</v>
      </c>
      <c r="AC1862" s="30" t="s">
        <v>5080</v>
      </c>
    </row>
    <row r="1863" spans="1:29">
      <c r="A1863" s="60" t="s">
        <v>5081</v>
      </c>
      <c r="B1863" s="11" t="str">
        <f>IF(ISNUMBER(SEARCH(E1863,A1863)),A1863,IF(OR(E1863="",E1863=""),A1863,A1863&amp;" - "&amp;E1863))</f>
        <v>Tilray Craft Cannabisblüten THC28 BBD Blueberry Donuts 29</v>
      </c>
      <c r="C1863" s="24" t="s">
        <v>133</v>
      </c>
      <c r="D1863" s="24" t="s">
        <v>134</v>
      </c>
      <c r="E1863" s="26" t="s">
        <v>4945</v>
      </c>
      <c r="F1863" s="41" t="s">
        <v>86</v>
      </c>
      <c r="G1863" s="27" t="s">
        <v>443</v>
      </c>
      <c r="H1863" s="27">
        <v>1</v>
      </c>
      <c r="I1863" s="24" t="s">
        <v>0</v>
      </c>
      <c r="J1863" s="24" t="s">
        <v>0</v>
      </c>
      <c r="K1863" s="24" t="s">
        <v>52</v>
      </c>
      <c r="L1863" s="24" t="s">
        <v>53</v>
      </c>
      <c r="M1863" s="24" t="s">
        <v>54</v>
      </c>
      <c r="N1863" s="24" t="s">
        <v>71</v>
      </c>
      <c r="O1863" s="24" t="s">
        <v>72</v>
      </c>
      <c r="P1863" s="24" t="s">
        <v>75</v>
      </c>
      <c r="Q1863" s="24" t="s">
        <v>58</v>
      </c>
      <c r="R1863" s="24" t="s">
        <v>89</v>
      </c>
      <c r="S1863" s="24" t="s">
        <v>106</v>
      </c>
      <c r="T1863" s="24" t="s">
        <v>62</v>
      </c>
      <c r="U1863" s="24" t="s">
        <v>147</v>
      </c>
      <c r="V1863" s="24" t="s">
        <v>79</v>
      </c>
      <c r="W1863" s="24" t="s">
        <v>208</v>
      </c>
      <c r="X1863" s="24" t="s">
        <v>180</v>
      </c>
      <c r="Y1863" s="24" t="s">
        <v>80</v>
      </c>
      <c r="Z1863" s="24" t="s">
        <v>64</v>
      </c>
      <c r="AA1863" s="24" t="s">
        <v>134</v>
      </c>
      <c r="AB1863" s="24" t="s">
        <v>0</v>
      </c>
      <c r="AC1863" s="24" t="s">
        <v>5082</v>
      </c>
    </row>
    <row r="1864" spans="1:29">
      <c r="A1864" s="60" t="s">
        <v>5083</v>
      </c>
      <c r="B1864" s="11" t="str">
        <f>IF(ISNUMBER(SEARCH(E1864,A1864)),A1864,IF(OR(E1864="",E1864=""),A1864,A1864&amp;" - "&amp;E1864))</f>
        <v>Demecan SC Light Drop 20:01 - Mimosa</v>
      </c>
      <c r="C1864" s="30" t="s">
        <v>484</v>
      </c>
      <c r="D1864" s="30" t="s">
        <v>485</v>
      </c>
      <c r="E1864" s="32" t="s">
        <v>442</v>
      </c>
      <c r="F1864" s="40" t="s">
        <v>86</v>
      </c>
      <c r="G1864" s="34" t="s">
        <v>460</v>
      </c>
      <c r="H1864" s="34">
        <v>1</v>
      </c>
      <c r="I1864" s="30" t="s">
        <v>0</v>
      </c>
      <c r="J1864" s="30" t="s">
        <v>0</v>
      </c>
      <c r="K1864" s="30" t="s">
        <v>52</v>
      </c>
      <c r="L1864" s="30" t="s">
        <v>145</v>
      </c>
      <c r="M1864" s="30" t="s">
        <v>88</v>
      </c>
      <c r="N1864" s="30" t="s">
        <v>72</v>
      </c>
      <c r="O1864" s="30" t="s">
        <v>111</v>
      </c>
      <c r="P1864" s="30" t="s">
        <v>75</v>
      </c>
      <c r="Q1864" s="30" t="s">
        <v>58</v>
      </c>
      <c r="R1864" s="30" t="s">
        <v>89</v>
      </c>
      <c r="S1864" s="30" t="s">
        <v>62</v>
      </c>
      <c r="T1864" s="30" t="s">
        <v>147</v>
      </c>
      <c r="U1864" s="30" t="s">
        <v>192</v>
      </c>
      <c r="V1864" s="30" t="s">
        <v>79</v>
      </c>
      <c r="W1864" s="30" t="s">
        <v>173</v>
      </c>
      <c r="X1864" s="30" t="s">
        <v>93</v>
      </c>
      <c r="Y1864" s="30" t="s">
        <v>413</v>
      </c>
      <c r="Z1864" s="30" t="s">
        <v>64</v>
      </c>
      <c r="AA1864" s="30" t="s">
        <v>485</v>
      </c>
      <c r="AB1864" s="30" t="s">
        <v>0</v>
      </c>
      <c r="AC1864" s="30" t="s">
        <v>5084</v>
      </c>
    </row>
    <row r="1865" spans="1:29">
      <c r="A1865" s="60" t="s">
        <v>5085</v>
      </c>
      <c r="B1865" s="11" t="str">
        <f>IF(ISNUMBER(SEARCH(E1865,A1865)),A1865,IF(OR(E1865="",E1865=""),A1865,A1865&amp;" - "&amp;E1865))</f>
        <v>BC Green  25/1 HGH</v>
      </c>
      <c r="C1865" s="24" t="s">
        <v>2522</v>
      </c>
      <c r="D1865" s="24" t="s">
        <v>2523</v>
      </c>
      <c r="E1865" s="26" t="s">
        <v>2524</v>
      </c>
      <c r="F1865" s="41" t="s">
        <v>120</v>
      </c>
      <c r="G1865" s="27" t="s">
        <v>26</v>
      </c>
      <c r="H1865" s="27">
        <v>1</v>
      </c>
      <c r="I1865" s="24" t="s">
        <v>0</v>
      </c>
      <c r="J1865" s="24" t="s">
        <v>0</v>
      </c>
      <c r="K1865" s="24" t="s">
        <v>52</v>
      </c>
      <c r="L1865" s="24" t="s">
        <v>53</v>
      </c>
      <c r="M1865" s="24" t="s">
        <v>72</v>
      </c>
      <c r="N1865" s="24" t="s">
        <v>0</v>
      </c>
      <c r="O1865" s="24" t="s">
        <v>0</v>
      </c>
      <c r="P1865" s="24" t="s">
        <v>73</v>
      </c>
      <c r="Q1865" s="24" t="s">
        <v>104</v>
      </c>
      <c r="R1865" s="24" t="s">
        <v>75</v>
      </c>
      <c r="S1865" s="24" t="s">
        <v>128</v>
      </c>
      <c r="T1865" s="24" t="s">
        <v>106</v>
      </c>
      <c r="U1865" s="24" t="s">
        <v>62</v>
      </c>
      <c r="V1865" s="24" t="s">
        <v>107</v>
      </c>
      <c r="W1865" s="24" t="s">
        <v>77</v>
      </c>
      <c r="X1865" s="24" t="s">
        <v>0</v>
      </c>
      <c r="Y1865" s="24" t="s">
        <v>631</v>
      </c>
      <c r="Z1865" s="24" t="s">
        <v>64</v>
      </c>
      <c r="AA1865" s="24" t="s">
        <v>2523</v>
      </c>
      <c r="AB1865" s="24" t="s">
        <v>0</v>
      </c>
      <c r="AC1865" s="24" t="s">
        <v>5086</v>
      </c>
    </row>
    <row r="1866" spans="1:29">
      <c r="A1866" s="60" t="s">
        <v>5087</v>
      </c>
      <c r="B1866" s="11" t="str">
        <f>IF(ISNUMBER(SEARCH(E1866,A1866)),A1866,IF(OR(E1866="",E1866=""),A1866,A1866&amp;" - "&amp;E1866))</f>
        <v>avaay 24/1 PNK - Pineapple Nuken</v>
      </c>
      <c r="C1866" s="30" t="s">
        <v>4601</v>
      </c>
      <c r="D1866" s="30" t="s">
        <v>572</v>
      </c>
      <c r="E1866" s="32" t="s">
        <v>3502</v>
      </c>
      <c r="F1866" s="40" t="s">
        <v>86</v>
      </c>
      <c r="G1866" s="34" t="s">
        <v>448</v>
      </c>
      <c r="H1866" s="34" t="s">
        <v>65</v>
      </c>
      <c r="I1866" s="30" t="s">
        <v>0</v>
      </c>
      <c r="J1866" s="30" t="s">
        <v>0</v>
      </c>
      <c r="K1866" s="30" t="s">
        <v>52</v>
      </c>
      <c r="L1866" s="30" t="s">
        <v>53</v>
      </c>
      <c r="M1866" s="30" t="s">
        <v>178</v>
      </c>
      <c r="N1866" s="30" t="s">
        <v>55</v>
      </c>
      <c r="O1866" s="30" t="s">
        <v>88</v>
      </c>
      <c r="P1866" s="30" t="s">
        <v>157</v>
      </c>
      <c r="Q1866" s="30" t="s">
        <v>89</v>
      </c>
      <c r="R1866" s="30" t="s">
        <v>74</v>
      </c>
      <c r="S1866" s="30" t="s">
        <v>106</v>
      </c>
      <c r="T1866" s="30" t="s">
        <v>105</v>
      </c>
      <c r="U1866" s="30" t="s">
        <v>4480</v>
      </c>
      <c r="V1866" s="30" t="s">
        <v>116</v>
      </c>
      <c r="W1866" s="30" t="s">
        <v>93</v>
      </c>
      <c r="X1866" s="30" t="s">
        <v>79</v>
      </c>
      <c r="Y1866" s="30" t="s">
        <v>2135</v>
      </c>
      <c r="Z1866" s="30" t="s">
        <v>64</v>
      </c>
      <c r="AA1866" s="30" t="s">
        <v>572</v>
      </c>
      <c r="AB1866" s="30" t="s">
        <v>5088</v>
      </c>
      <c r="AC1866" s="30" t="s">
        <v>5089</v>
      </c>
    </row>
    <row r="1867" spans="1:29">
      <c r="A1867" s="60" t="s">
        <v>5090</v>
      </c>
      <c r="B1867" s="11" t="str">
        <f>IF(ISNUMBER(SEARCH(E1867,A1867)),A1867,IF(OR(E1867="",E1867=""),A1867,A1867&amp;" - "&amp;E1867))</f>
        <v>Cannamedical Indica Classic CKP - Cookies Kerosene Punch</v>
      </c>
      <c r="C1867" s="24" t="s">
        <v>48</v>
      </c>
      <c r="D1867" s="24" t="s">
        <v>49</v>
      </c>
      <c r="E1867" s="26" t="s">
        <v>447</v>
      </c>
      <c r="F1867" s="41" t="s">
        <v>86</v>
      </c>
      <c r="G1867" s="27" t="s">
        <v>452</v>
      </c>
      <c r="H1867" s="27" t="s">
        <v>65</v>
      </c>
      <c r="I1867" s="24" t="s">
        <v>0</v>
      </c>
      <c r="J1867" s="24" t="s">
        <v>0</v>
      </c>
      <c r="K1867" s="24" t="s">
        <v>17</v>
      </c>
      <c r="L1867" s="24" t="s">
        <v>87</v>
      </c>
      <c r="M1867" s="24" t="s">
        <v>72</v>
      </c>
      <c r="N1867" s="24" t="s">
        <v>54</v>
      </c>
      <c r="O1867" s="24" t="s">
        <v>88</v>
      </c>
      <c r="P1867" s="24" t="s">
        <v>59</v>
      </c>
      <c r="Q1867" s="24" t="s">
        <v>75</v>
      </c>
      <c r="R1867" s="24" t="s">
        <v>58</v>
      </c>
      <c r="S1867" s="24" t="s">
        <v>106</v>
      </c>
      <c r="T1867" s="24" t="s">
        <v>62</v>
      </c>
      <c r="U1867" s="24" t="s">
        <v>123</v>
      </c>
      <c r="V1867" s="24" t="s">
        <v>93</v>
      </c>
      <c r="W1867" s="24" t="s">
        <v>79</v>
      </c>
      <c r="X1867" s="24" t="s">
        <v>77</v>
      </c>
      <c r="Y1867" s="24" t="s">
        <v>124</v>
      </c>
      <c r="Z1867" s="24" t="s">
        <v>64</v>
      </c>
      <c r="AA1867" s="24" t="s">
        <v>49</v>
      </c>
      <c r="AB1867" s="24" t="s">
        <v>0</v>
      </c>
      <c r="AC1867" s="24" t="s">
        <v>5091</v>
      </c>
    </row>
    <row r="1868" spans="1:29">
      <c r="A1868" s="60" t="s">
        <v>1541</v>
      </c>
      <c r="B1868" s="11" t="str">
        <f>IF(ISNUMBER(SEARCH(E1868,A1868)),A1868,IF(OR(E1868="",E1868=""),A1868,A1868&amp;" - "&amp;E1868))</f>
        <v>Tilray THC22 Spotlight Porto - Triangle Mints</v>
      </c>
      <c r="C1868" s="30" t="s">
        <v>133</v>
      </c>
      <c r="D1868" s="30" t="s">
        <v>134</v>
      </c>
      <c r="E1868" s="32" t="s">
        <v>3846</v>
      </c>
      <c r="F1868" s="40" t="s">
        <v>86</v>
      </c>
      <c r="G1868" s="34" t="s">
        <v>4126</v>
      </c>
      <c r="H1868" s="34">
        <v>1</v>
      </c>
      <c r="I1868" s="30" t="s">
        <v>0</v>
      </c>
      <c r="J1868" s="30" t="s">
        <v>0</v>
      </c>
      <c r="K1868" s="30" t="s">
        <v>52</v>
      </c>
      <c r="L1868" s="30" t="s">
        <v>53</v>
      </c>
      <c r="M1868" s="30" t="s">
        <v>111</v>
      </c>
      <c r="N1868" s="30" t="s">
        <v>72</v>
      </c>
      <c r="O1868" s="30" t="s">
        <v>54</v>
      </c>
      <c r="P1868" s="30" t="s">
        <v>73</v>
      </c>
      <c r="Q1868" s="30" t="s">
        <v>57</v>
      </c>
      <c r="R1868" s="30" t="s">
        <v>112</v>
      </c>
      <c r="S1868" s="30" t="s">
        <v>106</v>
      </c>
      <c r="T1868" s="30" t="s">
        <v>62</v>
      </c>
      <c r="U1868" s="30" t="s">
        <v>123</v>
      </c>
      <c r="V1868" s="30" t="s">
        <v>107</v>
      </c>
      <c r="W1868" s="30" t="s">
        <v>129</v>
      </c>
      <c r="X1868" s="30" t="s">
        <v>165</v>
      </c>
      <c r="Y1868" s="30" t="s">
        <v>322</v>
      </c>
      <c r="Z1868" s="30" t="s">
        <v>64</v>
      </c>
      <c r="AA1868" s="30" t="s">
        <v>134</v>
      </c>
      <c r="AB1868" s="30" t="s">
        <v>0</v>
      </c>
      <c r="AC1868" s="30" t="s">
        <v>5092</v>
      </c>
    </row>
    <row r="1869" spans="1:29">
      <c r="A1869" s="60" t="s">
        <v>5093</v>
      </c>
      <c r="B1869" s="11" t="str">
        <f>IF(ISNUMBER(SEARCH(E1869,A1869)),A1869,IF(OR(E1869="",E1869=""),A1869,A1869&amp;" - "&amp;E1869))</f>
        <v>Buuo 24/1 JGB - Juggernaut x Gas Breath</v>
      </c>
      <c r="C1869" s="24" t="s">
        <v>641</v>
      </c>
      <c r="D1869" s="24" t="s">
        <v>642</v>
      </c>
      <c r="E1869" s="26" t="s">
        <v>5094</v>
      </c>
      <c r="F1869" s="41" t="s">
        <v>86</v>
      </c>
      <c r="G1869" s="27" t="s">
        <v>448</v>
      </c>
      <c r="H1869" s="27">
        <v>1</v>
      </c>
      <c r="I1869" s="24" t="s">
        <v>0</v>
      </c>
      <c r="J1869" s="24" t="s">
        <v>0</v>
      </c>
      <c r="K1869" s="24" t="s">
        <v>52</v>
      </c>
      <c r="L1869" s="24" t="s">
        <v>53</v>
      </c>
      <c r="M1869" s="24" t="s">
        <v>72</v>
      </c>
      <c r="N1869" s="24" t="s">
        <v>54</v>
      </c>
      <c r="O1869" s="24" t="s">
        <v>88</v>
      </c>
      <c r="P1869" s="24" t="s">
        <v>57</v>
      </c>
      <c r="Q1869" s="24" t="s">
        <v>74</v>
      </c>
      <c r="R1869" s="24" t="s">
        <v>73</v>
      </c>
      <c r="S1869" s="24" t="s">
        <v>106</v>
      </c>
      <c r="T1869" s="24" t="s">
        <v>62</v>
      </c>
      <c r="U1869" s="24" t="s">
        <v>91</v>
      </c>
      <c r="V1869" s="24" t="s">
        <v>93</v>
      </c>
      <c r="W1869" s="24" t="s">
        <v>116</v>
      </c>
      <c r="X1869" s="24" t="s">
        <v>173</v>
      </c>
      <c r="Y1869" s="24" t="s">
        <v>307</v>
      </c>
      <c r="Z1869" s="24" t="s">
        <v>64</v>
      </c>
      <c r="AA1869" s="24" t="s">
        <v>642</v>
      </c>
      <c r="AB1869" s="24" t="s">
        <v>0</v>
      </c>
      <c r="AC1869" s="24" t="s">
        <v>5095</v>
      </c>
    </row>
    <row r="1870" spans="1:29">
      <c r="A1870" s="60" t="s">
        <v>5096</v>
      </c>
      <c r="B1870" s="11" t="str">
        <f>IF(ISNUMBER(SEARCH(E1870,A1870)),A1870,IF(OR(E1870="",E1870=""),A1870,A1870&amp;" - "&amp;E1870))</f>
        <v>Barongo 30/1 MC - Animal Mintz Cross</v>
      </c>
      <c r="C1870" s="30" t="s">
        <v>641</v>
      </c>
      <c r="D1870" s="30" t="s">
        <v>642</v>
      </c>
      <c r="E1870" s="32" t="s">
        <v>5097</v>
      </c>
      <c r="F1870" s="40" t="s">
        <v>177</v>
      </c>
      <c r="G1870" s="34" t="s">
        <v>4057</v>
      </c>
      <c r="H1870" s="34">
        <v>1</v>
      </c>
      <c r="I1870" s="30" t="s">
        <v>0</v>
      </c>
      <c r="J1870" s="30" t="s">
        <v>0</v>
      </c>
      <c r="K1870" s="30" t="s">
        <v>52</v>
      </c>
      <c r="L1870" s="30" t="s">
        <v>53</v>
      </c>
      <c r="M1870" s="30" t="s">
        <v>88</v>
      </c>
      <c r="N1870" s="30" t="s">
        <v>72</v>
      </c>
      <c r="O1870" s="30" t="s">
        <v>54</v>
      </c>
      <c r="P1870" s="30" t="s">
        <v>112</v>
      </c>
      <c r="Q1870" s="30" t="s">
        <v>57</v>
      </c>
      <c r="R1870" s="30" t="s">
        <v>89</v>
      </c>
      <c r="S1870" s="30" t="s">
        <v>106</v>
      </c>
      <c r="T1870" s="30" t="s">
        <v>62</v>
      </c>
      <c r="U1870" s="30" t="s">
        <v>123</v>
      </c>
      <c r="V1870" s="30" t="s">
        <v>914</v>
      </c>
      <c r="W1870" s="30" t="s">
        <v>116</v>
      </c>
      <c r="X1870" s="30" t="s">
        <v>93</v>
      </c>
      <c r="Y1870" s="30" t="s">
        <v>311</v>
      </c>
      <c r="Z1870" s="30" t="s">
        <v>64</v>
      </c>
      <c r="AA1870" s="30" t="s">
        <v>642</v>
      </c>
      <c r="AB1870" s="30" t="s">
        <v>0</v>
      </c>
      <c r="AC1870" s="30" t="s">
        <v>5098</v>
      </c>
    </row>
    <row r="1871" spans="1:29">
      <c r="A1871" s="60" t="s">
        <v>5099</v>
      </c>
      <c r="B1871" s="11" t="str">
        <f>IF(ISNUMBER(SEARCH(E1871,A1871)),A1871,IF(OR(E1871="",E1871=""),A1871,A1871&amp;" - "&amp;E1871))</f>
        <v>Barongo 30/1 KM - Kush Mintz</v>
      </c>
      <c r="C1871" s="24" t="s">
        <v>641</v>
      </c>
      <c r="D1871" s="24" t="s">
        <v>642</v>
      </c>
      <c r="E1871" s="26" t="s">
        <v>5100</v>
      </c>
      <c r="F1871" s="41" t="s">
        <v>144</v>
      </c>
      <c r="G1871" s="27" t="s">
        <v>4057</v>
      </c>
      <c r="H1871" s="27">
        <v>1</v>
      </c>
      <c r="I1871" s="24" t="s">
        <v>0</v>
      </c>
      <c r="J1871" s="24" t="s">
        <v>0</v>
      </c>
      <c r="K1871" s="24" t="s">
        <v>52</v>
      </c>
      <c r="L1871" s="24" t="s">
        <v>53</v>
      </c>
      <c r="M1871" s="24" t="s">
        <v>55</v>
      </c>
      <c r="N1871" s="24" t="s">
        <v>88</v>
      </c>
      <c r="O1871" s="24" t="s">
        <v>72</v>
      </c>
      <c r="P1871" s="24" t="s">
        <v>146</v>
      </c>
      <c r="Q1871" s="24" t="s">
        <v>591</v>
      </c>
      <c r="R1871" s="24" t="s">
        <v>74</v>
      </c>
      <c r="S1871" s="24" t="s">
        <v>106</v>
      </c>
      <c r="T1871" s="24" t="s">
        <v>62</v>
      </c>
      <c r="U1871" s="24" t="s">
        <v>123</v>
      </c>
      <c r="V1871" s="24" t="s">
        <v>92</v>
      </c>
      <c r="W1871" s="24" t="s">
        <v>116</v>
      </c>
      <c r="X1871" s="24" t="s">
        <v>79</v>
      </c>
      <c r="Y1871" s="24" t="s">
        <v>5101</v>
      </c>
      <c r="Z1871" s="24" t="s">
        <v>64</v>
      </c>
      <c r="AA1871" s="24" t="s">
        <v>642</v>
      </c>
      <c r="AB1871" s="24" t="s">
        <v>0</v>
      </c>
      <c r="AC1871" s="24" t="s">
        <v>5102</v>
      </c>
    </row>
    <row r="1872" spans="1:29">
      <c r="A1872" s="60" t="s">
        <v>5103</v>
      </c>
      <c r="B1872" s="60" t="str">
        <f>IF(ISNUMBER(SEARCH(E1872,A1872)),A1872,IF(OR(E1872="",E1872=""),A1872,A1872&amp;" - "&amp;E1872))</f>
        <v>28/1 Amici GB - Godberry</v>
      </c>
      <c r="C1872" s="30" t="s">
        <v>996</v>
      </c>
      <c r="D1872" s="30" t="s">
        <v>997</v>
      </c>
      <c r="E1872" s="32" t="s">
        <v>4697</v>
      </c>
      <c r="F1872" s="40" t="s">
        <v>177</v>
      </c>
      <c r="G1872" s="34" t="s">
        <v>4164</v>
      </c>
      <c r="H1872" s="34" t="s">
        <v>65</v>
      </c>
      <c r="I1872" s="30" t="s">
        <v>0</v>
      </c>
      <c r="J1872" s="30" t="s">
        <v>0</v>
      </c>
      <c r="K1872" s="30" t="s">
        <v>52</v>
      </c>
      <c r="L1872" s="30" t="s">
        <v>102</v>
      </c>
      <c r="M1872" s="30" t="s">
        <v>72</v>
      </c>
      <c r="N1872" s="30" t="s">
        <v>88</v>
      </c>
      <c r="O1872" s="30" t="s">
        <v>121</v>
      </c>
      <c r="P1872" s="30" t="s">
        <v>104</v>
      </c>
      <c r="Q1872" s="30" t="s">
        <v>74</v>
      </c>
      <c r="R1872" s="30" t="s">
        <v>89</v>
      </c>
      <c r="S1872" s="30" t="s">
        <v>106</v>
      </c>
      <c r="T1872" s="30" t="s">
        <v>62</v>
      </c>
      <c r="U1872" s="30" t="s">
        <v>147</v>
      </c>
      <c r="V1872" s="30" t="s">
        <v>4698</v>
      </c>
      <c r="W1872" s="30" t="s">
        <v>137</v>
      </c>
      <c r="X1872" s="30" t="s">
        <v>79</v>
      </c>
      <c r="Y1872" s="30" t="s">
        <v>130</v>
      </c>
      <c r="Z1872" s="30" t="s">
        <v>64</v>
      </c>
      <c r="AA1872" s="30" t="s">
        <v>997</v>
      </c>
      <c r="AB1872" s="30" t="s">
        <v>0</v>
      </c>
      <c r="AC1872" s="30" t="s">
        <v>5104</v>
      </c>
    </row>
    <row r="1873" spans="1:29">
      <c r="A1873" s="60" t="s">
        <v>5105</v>
      </c>
      <c r="B1873" s="60" t="str">
        <f>IF(ISNUMBER(SEARCH(E1873,A1873)),A1873,IF(OR(E1873="",E1873=""),A1873,A1873&amp;" - "&amp;E1873))</f>
        <v>Huala 27/1 UK CIN - Cinderella Kush</v>
      </c>
      <c r="C1873" s="24" t="s">
        <v>463</v>
      </c>
      <c r="D1873" s="24" t="s">
        <v>468</v>
      </c>
      <c r="E1873" s="26" t="s">
        <v>3042</v>
      </c>
      <c r="F1873" s="41" t="s">
        <v>177</v>
      </c>
      <c r="G1873" s="27" t="s">
        <v>33</v>
      </c>
      <c r="H1873" s="27" t="s">
        <v>65</v>
      </c>
      <c r="I1873" s="24" t="s">
        <v>0</v>
      </c>
      <c r="J1873" s="24" t="s">
        <v>0</v>
      </c>
      <c r="K1873" s="24" t="s">
        <v>52</v>
      </c>
      <c r="L1873" s="24" t="s">
        <v>3043</v>
      </c>
      <c r="M1873" s="24" t="s">
        <v>111</v>
      </c>
      <c r="N1873" s="24" t="s">
        <v>178</v>
      </c>
      <c r="O1873" s="24" t="s">
        <v>88</v>
      </c>
      <c r="P1873" s="24" t="s">
        <v>136</v>
      </c>
      <c r="Q1873" s="24" t="s">
        <v>157</v>
      </c>
      <c r="R1873" s="24" t="s">
        <v>146</v>
      </c>
      <c r="S1873" s="24" t="s">
        <v>128</v>
      </c>
      <c r="T1873" s="24" t="s">
        <v>61</v>
      </c>
      <c r="U1873" s="24" t="s">
        <v>62</v>
      </c>
      <c r="V1873" s="24" t="s">
        <v>116</v>
      </c>
      <c r="W1873" s="24" t="s">
        <v>93</v>
      </c>
      <c r="X1873" s="24" t="s">
        <v>107</v>
      </c>
      <c r="Y1873" s="24" t="s">
        <v>5106</v>
      </c>
      <c r="Z1873" s="24" t="s">
        <v>64</v>
      </c>
      <c r="AA1873" s="24" t="s">
        <v>468</v>
      </c>
      <c r="AB1873" s="24" t="s">
        <v>0</v>
      </c>
      <c r="AC1873" s="24" t="s">
        <v>5107</v>
      </c>
    </row>
    <row r="1874" spans="1:29">
      <c r="A1874" s="60" t="s">
        <v>5108</v>
      </c>
      <c r="B1874" s="60" t="str">
        <f>IF(ISNUMBER(SEARCH(E1874,A1874)),A1874,IF(OR(E1874="",E1874=""),A1874,A1874&amp;" - "&amp;E1874))</f>
        <v>IMC THC30 T03 GG4 - Gorilla Glue</v>
      </c>
      <c r="C1874" s="30" t="s">
        <v>646</v>
      </c>
      <c r="D1874" s="30" t="s">
        <v>646</v>
      </c>
      <c r="E1874" s="32" t="s">
        <v>363</v>
      </c>
      <c r="F1874" s="40" t="s">
        <v>120</v>
      </c>
      <c r="G1874" s="34" t="s">
        <v>4057</v>
      </c>
      <c r="H1874" s="34">
        <v>1</v>
      </c>
      <c r="I1874" s="30" t="s">
        <v>0</v>
      </c>
      <c r="J1874" s="30" t="s">
        <v>0</v>
      </c>
      <c r="K1874" s="30" t="s">
        <v>52</v>
      </c>
      <c r="L1874" s="30" t="s">
        <v>53</v>
      </c>
      <c r="M1874" s="30" t="s">
        <v>121</v>
      </c>
      <c r="N1874" s="30" t="s">
        <v>72</v>
      </c>
      <c r="O1874" s="30" t="s">
        <v>103</v>
      </c>
      <c r="P1874" s="30" t="s">
        <v>59</v>
      </c>
      <c r="Q1874" s="30" t="s">
        <v>146</v>
      </c>
      <c r="R1874" s="30" t="s">
        <v>74</v>
      </c>
      <c r="S1874" s="30" t="s">
        <v>128</v>
      </c>
      <c r="T1874" s="30" t="s">
        <v>106</v>
      </c>
      <c r="U1874" s="30" t="s">
        <v>62</v>
      </c>
      <c r="V1874" s="30" t="s">
        <v>107</v>
      </c>
      <c r="W1874" s="30" t="s">
        <v>77</v>
      </c>
      <c r="X1874" s="30" t="s">
        <v>1242</v>
      </c>
      <c r="Y1874" s="30" t="s">
        <v>5109</v>
      </c>
      <c r="Z1874" s="30" t="s">
        <v>64</v>
      </c>
      <c r="AA1874" s="30" t="s">
        <v>646</v>
      </c>
      <c r="AB1874" s="30" t="s">
        <v>0</v>
      </c>
      <c r="AC1874" s="30" t="s">
        <v>5110</v>
      </c>
    </row>
    <row r="1875" spans="1:29">
      <c r="A1875" s="60" t="s">
        <v>5111</v>
      </c>
      <c r="B1875" s="60" t="str">
        <f>IF(ISNUMBER(SEARCH(E1875,A1875)),A1875,IF(OR(E1875="",E1875=""),A1875,A1875&amp;" - "&amp;E1875))</f>
        <v>enua 22/1 EG CA - Electric Grapefruit</v>
      </c>
      <c r="C1875" s="24" t="s">
        <v>650</v>
      </c>
      <c r="D1875" s="24" t="s">
        <v>651</v>
      </c>
      <c r="E1875" s="26" t="s">
        <v>5112</v>
      </c>
      <c r="F1875" s="41" t="s">
        <v>69</v>
      </c>
      <c r="G1875" s="27" t="s">
        <v>4126</v>
      </c>
      <c r="H1875" s="27">
        <v>1</v>
      </c>
      <c r="I1875" s="24" t="s">
        <v>0</v>
      </c>
      <c r="J1875" s="24" t="s">
        <v>0</v>
      </c>
      <c r="K1875" s="24" t="s">
        <v>52</v>
      </c>
      <c r="L1875" s="24" t="s">
        <v>53</v>
      </c>
      <c r="M1875" s="24" t="s">
        <v>71</v>
      </c>
      <c r="N1875" s="24" t="s">
        <v>72</v>
      </c>
      <c r="O1875" s="24" t="s">
        <v>111</v>
      </c>
      <c r="P1875" s="24" t="s">
        <v>89</v>
      </c>
      <c r="Q1875" s="24" t="s">
        <v>157</v>
      </c>
      <c r="R1875" s="24" t="s">
        <v>59</v>
      </c>
      <c r="S1875" s="24" t="s">
        <v>90</v>
      </c>
      <c r="T1875" s="24" t="s">
        <v>61</v>
      </c>
      <c r="U1875" s="24" t="s">
        <v>164</v>
      </c>
      <c r="V1875" s="24" t="s">
        <v>79</v>
      </c>
      <c r="W1875" s="24" t="s">
        <v>173</v>
      </c>
      <c r="X1875" s="24" t="s">
        <v>77</v>
      </c>
      <c r="Y1875" s="24" t="s">
        <v>1175</v>
      </c>
      <c r="Z1875" s="24" t="s">
        <v>64</v>
      </c>
      <c r="AA1875" s="24" t="s">
        <v>5113</v>
      </c>
      <c r="AB1875" s="24" t="s">
        <v>0</v>
      </c>
      <c r="AC1875" s="24" t="s">
        <v>5114</v>
      </c>
    </row>
    <row r="1876" spans="1:29">
      <c r="A1876" s="60" t="s">
        <v>5115</v>
      </c>
      <c r="B1876" s="60" t="str">
        <f>IF(ISNUMBER(SEARCH(E1876,A1876)),A1876,IF(OR(E1876="",E1876=""),A1876,A1876&amp;" - "&amp;E1876))</f>
        <v>NICE 22/1 TC - Tropicana Cookies</v>
      </c>
      <c r="C1876" s="30" t="s">
        <v>996</v>
      </c>
      <c r="D1876" s="30" t="s">
        <v>997</v>
      </c>
      <c r="E1876" s="32" t="s">
        <v>624</v>
      </c>
      <c r="F1876" s="40" t="s">
        <v>144</v>
      </c>
      <c r="G1876" s="34" t="s">
        <v>4126</v>
      </c>
      <c r="H1876" s="34" t="s">
        <v>65</v>
      </c>
      <c r="I1876" s="30" t="s">
        <v>0</v>
      </c>
      <c r="J1876" s="30" t="s">
        <v>0</v>
      </c>
      <c r="K1876" s="30" t="s">
        <v>52</v>
      </c>
      <c r="L1876" s="30"/>
      <c r="M1876" s="30" t="s">
        <v>55</v>
      </c>
      <c r="N1876" s="30" t="s">
        <v>111</v>
      </c>
      <c r="O1876" s="30" t="s">
        <v>178</v>
      </c>
      <c r="P1876" s="30" t="s">
        <v>136</v>
      </c>
      <c r="Q1876" s="30" t="s">
        <v>58</v>
      </c>
      <c r="R1876" s="30" t="s">
        <v>75</v>
      </c>
      <c r="S1876" s="30" t="s">
        <v>128</v>
      </c>
      <c r="T1876" s="30" t="s">
        <v>62</v>
      </c>
      <c r="U1876" s="30" t="s">
        <v>91</v>
      </c>
      <c r="V1876" s="30" t="s">
        <v>77</v>
      </c>
      <c r="W1876" s="30" t="s">
        <v>79</v>
      </c>
      <c r="X1876" s="30" t="s">
        <v>173</v>
      </c>
      <c r="Y1876" s="30" t="s">
        <v>367</v>
      </c>
      <c r="Z1876" s="30" t="s">
        <v>64</v>
      </c>
      <c r="AA1876" s="30" t="s">
        <v>997</v>
      </c>
      <c r="AB1876" s="30" t="s">
        <v>0</v>
      </c>
      <c r="AC1876" s="30" t="s">
        <v>5116</v>
      </c>
    </row>
    <row r="1877" spans="1:29">
      <c r="A1877" s="60" t="s">
        <v>5117</v>
      </c>
      <c r="B1877" s="60" t="str">
        <f>IF(ISNUMBER(SEARCH(E1877,A1877)),A1877,IF(OR(E1877="",E1877=""),A1877,A1877&amp;" - "&amp;E1877))</f>
        <v>Soma OG 24/1 CC - Black Cherry Punch</v>
      </c>
      <c r="C1877" s="24" t="s">
        <v>1957</v>
      </c>
      <c r="D1877" s="24" t="s">
        <v>1961</v>
      </c>
      <c r="E1877" s="26" t="s">
        <v>685</v>
      </c>
      <c r="F1877" s="41" t="s">
        <v>177</v>
      </c>
      <c r="G1877" s="27" t="s">
        <v>448</v>
      </c>
      <c r="H1877" s="27" t="s">
        <v>65</v>
      </c>
      <c r="I1877" s="24" t="s">
        <v>0</v>
      </c>
      <c r="J1877" s="24" t="s">
        <v>0</v>
      </c>
      <c r="K1877" s="24" t="s">
        <v>52</v>
      </c>
      <c r="L1877" s="24" t="s">
        <v>102</v>
      </c>
      <c r="M1877" s="24" t="s">
        <v>72</v>
      </c>
      <c r="N1877" s="24" t="s">
        <v>121</v>
      </c>
      <c r="O1877" s="24" t="s">
        <v>103</v>
      </c>
      <c r="P1877" s="24" t="s">
        <v>58</v>
      </c>
      <c r="Q1877" s="24" t="s">
        <v>104</v>
      </c>
      <c r="R1877" s="24" t="s">
        <v>89</v>
      </c>
      <c r="S1877" s="24" t="s">
        <v>128</v>
      </c>
      <c r="T1877" s="24" t="s">
        <v>61</v>
      </c>
      <c r="U1877" s="24" t="s">
        <v>62</v>
      </c>
      <c r="V1877" s="24" t="s">
        <v>77</v>
      </c>
      <c r="W1877" s="24" t="s">
        <v>116</v>
      </c>
      <c r="X1877" s="24" t="s">
        <v>79</v>
      </c>
      <c r="Y1877" s="24" t="s">
        <v>396</v>
      </c>
      <c r="Z1877" s="24" t="s">
        <v>64</v>
      </c>
      <c r="AA1877" s="24" t="s">
        <v>1961</v>
      </c>
      <c r="AB1877" s="24" t="s">
        <v>0</v>
      </c>
      <c r="AC1877" s="24" t="s">
        <v>5118</v>
      </c>
    </row>
    <row r="1878" spans="1:29">
      <c r="A1878" s="60" t="s">
        <v>5119</v>
      </c>
      <c r="B1878" s="60" t="str">
        <f>IF(ISNUMBER(SEARCH(E1878,A1878)),A1878,IF(OR(E1878="",E1878=""),A1878,A1878&amp;" - "&amp;E1878))</f>
        <v>Demecan RF Epic Drop Gelato X OG Kush - Gelato OG</v>
      </c>
      <c r="C1878" s="30" t="s">
        <v>484</v>
      </c>
      <c r="D1878" s="30" t="s">
        <v>485</v>
      </c>
      <c r="E1878" s="30" t="s">
        <v>610</v>
      </c>
      <c r="F1878" s="30" t="s">
        <v>177</v>
      </c>
      <c r="G1878" s="30" t="s">
        <v>4488</v>
      </c>
      <c r="H1878" s="31" t="s">
        <v>65</v>
      </c>
      <c r="I1878" s="30" t="s">
        <v>0</v>
      </c>
      <c r="J1878" s="30" t="s">
        <v>0</v>
      </c>
      <c r="K1878" s="30" t="s">
        <v>52</v>
      </c>
      <c r="L1878" s="30" t="s">
        <v>53</v>
      </c>
      <c r="M1878" s="30" t="s">
        <v>71</v>
      </c>
      <c r="N1878" s="30" t="s">
        <v>72</v>
      </c>
      <c r="O1878" s="30" t="s">
        <v>88</v>
      </c>
      <c r="P1878" s="30" t="s">
        <v>75</v>
      </c>
      <c r="Q1878" s="30" t="s">
        <v>89</v>
      </c>
      <c r="R1878" s="30" t="s">
        <v>0</v>
      </c>
      <c r="S1878" s="30" t="s">
        <v>106</v>
      </c>
      <c r="T1878" s="30" t="s">
        <v>123</v>
      </c>
      <c r="U1878" s="30" t="s">
        <v>466</v>
      </c>
      <c r="V1878" s="30" t="s">
        <v>107</v>
      </c>
      <c r="W1878" s="30" t="s">
        <v>77</v>
      </c>
      <c r="X1878" s="30" t="s">
        <v>0</v>
      </c>
      <c r="Y1878" s="30" t="s">
        <v>539</v>
      </c>
      <c r="Z1878" s="30" t="s">
        <v>64</v>
      </c>
      <c r="AA1878" s="30" t="s">
        <v>485</v>
      </c>
      <c r="AB1878" s="30" t="s">
        <v>0</v>
      </c>
      <c r="AC1878" s="30" t="s">
        <v>5120</v>
      </c>
    </row>
    <row r="1879" spans="1:29">
      <c r="A1879" s="60" t="s">
        <v>5121</v>
      </c>
      <c r="B1879" s="48" t="s">
        <v>5121</v>
      </c>
      <c r="C1879" s="24"/>
      <c r="D1879" s="25"/>
      <c r="E1879" s="26"/>
      <c r="F1879" s="41"/>
      <c r="G1879" s="27"/>
      <c r="H1879" s="28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 t="s">
        <v>64</v>
      </c>
      <c r="AA1879" s="24"/>
      <c r="AB1879" s="24"/>
      <c r="AC1879" s="24"/>
    </row>
    <row r="1880" spans="1:29">
      <c r="A1880" s="60" t="s">
        <v>5122</v>
      </c>
      <c r="B1880" s="50" t="s">
        <v>5123</v>
      </c>
      <c r="C1880" s="30"/>
      <c r="D1880" s="31"/>
      <c r="E1880" s="32"/>
      <c r="F1880" s="40"/>
      <c r="G1880" s="34"/>
      <c r="H1880" s="35"/>
      <c r="I1880" s="30"/>
      <c r="J1880" s="30"/>
      <c r="K1880" s="30"/>
      <c r="L1880" s="30"/>
      <c r="M1880" s="30"/>
      <c r="N1880" s="30"/>
      <c r="O1880" s="30"/>
      <c r="P1880" s="30"/>
      <c r="Q1880" s="30"/>
      <c r="R1880" s="30"/>
      <c r="S1880" s="30"/>
      <c r="T1880" s="30"/>
      <c r="U1880" s="30"/>
      <c r="V1880" s="30"/>
      <c r="W1880" s="30"/>
      <c r="X1880" s="30"/>
      <c r="Y1880" s="30"/>
      <c r="Z1880" s="30" t="s">
        <v>64</v>
      </c>
      <c r="AA1880" s="30"/>
      <c r="AB1880" s="30"/>
      <c r="AC1880" s="30"/>
    </row>
    <row r="1881" spans="1:29">
      <c r="A1881" s="60" t="s">
        <v>5124</v>
      </c>
      <c r="B1881" s="60" t="str">
        <f>IF(ISNUMBER(SEARCH(E1881,A1881)),A1881,IF(OR(E1881="",E1881=""),A1881,A1881&amp;" - "&amp;E1881))</f>
        <v>Together Pharma KH 21/1 - Karel's Haze</v>
      </c>
      <c r="C1881" s="24" t="s">
        <v>564</v>
      </c>
      <c r="D1881" s="24" t="s">
        <v>565</v>
      </c>
      <c r="E1881" s="26" t="s">
        <v>501</v>
      </c>
      <c r="F1881" s="41" t="s">
        <v>144</v>
      </c>
      <c r="G1881" s="27" t="s">
        <v>452</v>
      </c>
      <c r="H1881" s="27">
        <v>1</v>
      </c>
      <c r="I1881" s="24" t="s">
        <v>0</v>
      </c>
      <c r="J1881" s="24" t="s">
        <v>0</v>
      </c>
      <c r="K1881" s="24" t="s">
        <v>52</v>
      </c>
      <c r="L1881" s="24" t="s">
        <v>3417</v>
      </c>
      <c r="M1881" s="24" t="s">
        <v>111</v>
      </c>
      <c r="N1881" s="24" t="s">
        <v>54</v>
      </c>
      <c r="O1881" s="24" t="s">
        <v>55</v>
      </c>
      <c r="P1881" s="24" t="s">
        <v>75</v>
      </c>
      <c r="Q1881" s="24" t="s">
        <v>59</v>
      </c>
      <c r="R1881" s="24" t="s">
        <v>89</v>
      </c>
      <c r="S1881" s="24" t="s">
        <v>128</v>
      </c>
      <c r="T1881" s="24" t="s">
        <v>106</v>
      </c>
      <c r="U1881" s="24" t="s">
        <v>62</v>
      </c>
      <c r="V1881" s="24" t="s">
        <v>77</v>
      </c>
      <c r="W1881" s="24" t="s">
        <v>173</v>
      </c>
      <c r="X1881" s="24" t="s">
        <v>79</v>
      </c>
      <c r="Y1881" s="24" t="s">
        <v>358</v>
      </c>
      <c r="Z1881" s="24" t="s">
        <v>64</v>
      </c>
      <c r="AA1881" s="24" t="s">
        <v>565</v>
      </c>
      <c r="AB1881" s="24" t="s">
        <v>0</v>
      </c>
      <c r="AC1881" s="24" t="s">
        <v>5125</v>
      </c>
    </row>
    <row r="1882" spans="1:29">
      <c r="A1882" s="60" t="s">
        <v>5126</v>
      </c>
      <c r="B1882" s="60" t="str">
        <f>IF(ISNUMBER(SEARCH(E1882,A1882)),A1882,IF(OR(E1882="",E1882=""),A1882,A1882&amp;" - "&amp;E1882))</f>
        <v>Together Pharma KHH 18/1 - Kosher Haze</v>
      </c>
      <c r="C1882" s="30" t="s">
        <v>564</v>
      </c>
      <c r="D1882" s="30" t="s">
        <v>565</v>
      </c>
      <c r="E1882" s="32" t="s">
        <v>5127</v>
      </c>
      <c r="F1882" s="40" t="s">
        <v>177</v>
      </c>
      <c r="G1882" s="34" t="s">
        <v>8</v>
      </c>
      <c r="H1882" s="34">
        <v>1</v>
      </c>
      <c r="I1882" s="30" t="s">
        <v>0</v>
      </c>
      <c r="J1882" s="30" t="s">
        <v>0</v>
      </c>
      <c r="K1882" s="30" t="s">
        <v>52</v>
      </c>
      <c r="L1882" s="30" t="s">
        <v>3417</v>
      </c>
      <c r="M1882" s="30" t="s">
        <v>54</v>
      </c>
      <c r="N1882" s="30" t="s">
        <v>111</v>
      </c>
      <c r="O1882" s="30" t="s">
        <v>103</v>
      </c>
      <c r="P1882" s="30" t="s">
        <v>104</v>
      </c>
      <c r="Q1882" s="30" t="s">
        <v>74</v>
      </c>
      <c r="R1882" s="30" t="s">
        <v>58</v>
      </c>
      <c r="S1882" s="30" t="s">
        <v>62</v>
      </c>
      <c r="T1882" s="30" t="s">
        <v>147</v>
      </c>
      <c r="U1882" s="30" t="s">
        <v>192</v>
      </c>
      <c r="V1882" s="30" t="s">
        <v>79</v>
      </c>
      <c r="W1882" s="30" t="s">
        <v>173</v>
      </c>
      <c r="X1882" s="30" t="s">
        <v>138</v>
      </c>
      <c r="Y1882" s="30" t="s">
        <v>5128</v>
      </c>
      <c r="Z1882" s="30" t="s">
        <v>64</v>
      </c>
      <c r="AA1882" s="30" t="s">
        <v>565</v>
      </c>
      <c r="AB1882" s="30" t="s">
        <v>0</v>
      </c>
      <c r="AC1882" s="30" t="s">
        <v>5129</v>
      </c>
    </row>
    <row r="1883" spans="1:29">
      <c r="A1883" s="60" t="s">
        <v>5130</v>
      </c>
      <c r="B1883" s="48" t="s">
        <v>5131</v>
      </c>
      <c r="C1883" s="24"/>
      <c r="D1883" s="25"/>
      <c r="E1883" s="26"/>
      <c r="F1883" s="41"/>
      <c r="G1883" s="27"/>
      <c r="H1883" s="28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 t="s">
        <v>64</v>
      </c>
      <c r="AA1883" s="24"/>
      <c r="AB1883" s="24"/>
      <c r="AC1883" s="24"/>
    </row>
    <row r="1884" spans="1:29">
      <c r="A1884" s="60" t="s">
        <v>5132</v>
      </c>
      <c r="B1884" s="60" t="str">
        <f>IF(ISNUMBER(SEARCH(E1884,A1884)),A1884,IF(OR(E1884="",E1884=""),A1884,A1884&amp;" - "&amp;E1884))</f>
        <v>Pharmaleaves Indica Plain 20 - Chocolate Mint</v>
      </c>
      <c r="C1884" s="30" t="s">
        <v>5133</v>
      </c>
      <c r="D1884" s="30" t="s">
        <v>5134</v>
      </c>
      <c r="E1884" s="32" t="s">
        <v>5135</v>
      </c>
      <c r="F1884" s="40" t="s">
        <v>177</v>
      </c>
      <c r="G1884" s="34" t="s">
        <v>460</v>
      </c>
      <c r="H1884" s="34" t="s">
        <v>65</v>
      </c>
      <c r="I1884" s="30" t="s">
        <v>0</v>
      </c>
      <c r="J1884" s="30" t="s">
        <v>0</v>
      </c>
      <c r="K1884" s="30" t="s">
        <v>52</v>
      </c>
      <c r="L1884" s="30" t="s">
        <v>145</v>
      </c>
      <c r="M1884" s="30" t="s">
        <v>54</v>
      </c>
      <c r="N1884" s="30" t="s">
        <v>88</v>
      </c>
      <c r="O1884" s="30" t="s">
        <v>121</v>
      </c>
      <c r="P1884" s="30" t="s">
        <v>57</v>
      </c>
      <c r="Q1884" s="30" t="s">
        <v>75</v>
      </c>
      <c r="R1884" s="30" t="s">
        <v>112</v>
      </c>
      <c r="S1884" s="30" t="s">
        <v>106</v>
      </c>
      <c r="T1884" s="30" t="s">
        <v>62</v>
      </c>
      <c r="U1884" s="30" t="s">
        <v>147</v>
      </c>
      <c r="V1884" s="30" t="s">
        <v>79</v>
      </c>
      <c r="W1884" s="30" t="s">
        <v>173</v>
      </c>
      <c r="X1884" s="30" t="s">
        <v>93</v>
      </c>
      <c r="Y1884" s="30" t="s">
        <v>5136</v>
      </c>
      <c r="Z1884" s="30" t="s">
        <v>64</v>
      </c>
      <c r="AA1884" s="30" t="s">
        <v>5134</v>
      </c>
      <c r="AB1884" s="30" t="s">
        <v>0</v>
      </c>
      <c r="AC1884" s="30" t="s">
        <v>5137</v>
      </c>
    </row>
    <row r="1885" spans="1:29">
      <c r="A1885" s="60" t="s">
        <v>5138</v>
      </c>
      <c r="B1885" s="60" t="str">
        <f>IF(ISNUMBER(SEARCH(E1885,A1885)),A1885,IF(OR(E1885="",E1885=""),A1885,A1885&amp;" - "&amp;E1885))</f>
        <v>THC AKUT BF 25 PSC ZATLA - Platinum Girl Scout Cookies</v>
      </c>
      <c r="C1885" s="24" t="s">
        <v>4625</v>
      </c>
      <c r="D1885" s="24" t="s">
        <v>160</v>
      </c>
      <c r="E1885" s="26" t="s">
        <v>5139</v>
      </c>
      <c r="F1885" s="41" t="s">
        <v>86</v>
      </c>
      <c r="G1885" s="27" t="s">
        <v>26</v>
      </c>
      <c r="H1885" s="27" t="s">
        <v>65</v>
      </c>
      <c r="I1885" s="24" t="s">
        <v>0</v>
      </c>
      <c r="J1885" s="24" t="s">
        <v>0</v>
      </c>
      <c r="K1885" s="24" t="s">
        <v>52</v>
      </c>
      <c r="L1885" s="24" t="s">
        <v>53</v>
      </c>
      <c r="M1885" s="24" t="s">
        <v>121</v>
      </c>
      <c r="N1885" s="24" t="s">
        <v>54</v>
      </c>
      <c r="O1885" s="24" t="s">
        <v>88</v>
      </c>
      <c r="P1885" s="24" t="s">
        <v>74</v>
      </c>
      <c r="Q1885" s="24" t="s">
        <v>112</v>
      </c>
      <c r="R1885" s="24" t="s">
        <v>89</v>
      </c>
      <c r="S1885" s="24" t="s">
        <v>61</v>
      </c>
      <c r="T1885" s="24" t="s">
        <v>62</v>
      </c>
      <c r="U1885" s="24" t="s">
        <v>164</v>
      </c>
      <c r="V1885" s="24" t="s">
        <v>165</v>
      </c>
      <c r="W1885" s="24" t="s">
        <v>79</v>
      </c>
      <c r="X1885" s="24" t="s">
        <v>107</v>
      </c>
      <c r="Y1885" s="24" t="s">
        <v>335</v>
      </c>
      <c r="Z1885" s="24" t="s">
        <v>64</v>
      </c>
      <c r="AA1885" s="24" t="s">
        <v>160</v>
      </c>
      <c r="AB1885" s="24" t="s">
        <v>0</v>
      </c>
      <c r="AC1885" s="24" t="s">
        <v>5140</v>
      </c>
    </row>
    <row r="1886" spans="1:29">
      <c r="A1886" s="60" t="s">
        <v>5141</v>
      </c>
      <c r="B1886" s="60" t="str">
        <f>IF(ISNUMBER(SEARCH(E1886,A1886)),A1886,IF(OR(E1886="",E1886=""),A1886,A1886&amp;" - "&amp;E1886))</f>
        <v>Madrecan 27/1 - Pineapple Purps</v>
      </c>
      <c r="C1886" s="30" t="s">
        <v>83</v>
      </c>
      <c r="D1886" s="30" t="s">
        <v>95</v>
      </c>
      <c r="E1886" s="32" t="s">
        <v>5142</v>
      </c>
      <c r="F1886" s="40" t="s">
        <v>144</v>
      </c>
      <c r="G1886" s="34" t="s">
        <v>33</v>
      </c>
      <c r="H1886" s="34" t="s">
        <v>65</v>
      </c>
      <c r="I1886" s="30" t="s">
        <v>0</v>
      </c>
      <c r="J1886" s="30" t="s">
        <v>0</v>
      </c>
      <c r="K1886" s="30" t="s">
        <v>52</v>
      </c>
      <c r="L1886" s="30" t="s">
        <v>102</v>
      </c>
      <c r="M1886" s="30" t="s">
        <v>111</v>
      </c>
      <c r="N1886" s="30" t="s">
        <v>54</v>
      </c>
      <c r="O1886" s="30" t="s">
        <v>55</v>
      </c>
      <c r="P1886" s="30" t="s">
        <v>73</v>
      </c>
      <c r="Q1886" s="30" t="s">
        <v>74</v>
      </c>
      <c r="R1886" s="30" t="s">
        <v>59</v>
      </c>
      <c r="S1886" s="30" t="s">
        <v>128</v>
      </c>
      <c r="T1886" s="30" t="s">
        <v>106</v>
      </c>
      <c r="U1886" s="30" t="s">
        <v>62</v>
      </c>
      <c r="V1886" s="30" t="s">
        <v>107</v>
      </c>
      <c r="W1886" s="30" t="s">
        <v>0</v>
      </c>
      <c r="X1886" s="30" t="s">
        <v>0</v>
      </c>
      <c r="Y1886" s="30" t="s">
        <v>643</v>
      </c>
      <c r="Z1886" s="30" t="s">
        <v>64</v>
      </c>
      <c r="AA1886" s="30" t="s">
        <v>95</v>
      </c>
      <c r="AB1886" s="30" t="s">
        <v>0</v>
      </c>
      <c r="AC1886" s="30" t="s">
        <v>5143</v>
      </c>
    </row>
    <row r="1887" spans="1:29">
      <c r="A1887" s="60" t="s">
        <v>5144</v>
      </c>
      <c r="B1887" s="60" t="str">
        <f>IF(ISNUMBER(SEARCH(E1887,A1887)),A1887,IF(OR(E1887="",E1887=""),A1887,A1887&amp;" - "&amp;E1887))</f>
        <v>Madrecan 27/1 SKY - Skywalker</v>
      </c>
      <c r="C1887" s="24" t="s">
        <v>83</v>
      </c>
      <c r="D1887" s="24" t="s">
        <v>95</v>
      </c>
      <c r="E1887" s="26" t="s">
        <v>1174</v>
      </c>
      <c r="F1887" s="41" t="s">
        <v>144</v>
      </c>
      <c r="G1887" s="27" t="s">
        <v>33</v>
      </c>
      <c r="H1887" s="27" t="s">
        <v>65</v>
      </c>
      <c r="I1887" s="24" t="s">
        <v>0</v>
      </c>
      <c r="J1887" s="24" t="s">
        <v>0</v>
      </c>
      <c r="K1887" s="24" t="s">
        <v>52</v>
      </c>
      <c r="L1887" s="24" t="s">
        <v>102</v>
      </c>
      <c r="M1887" s="24" t="s">
        <v>103</v>
      </c>
      <c r="N1887" s="24" t="s">
        <v>71</v>
      </c>
      <c r="O1887" s="24" t="s">
        <v>72</v>
      </c>
      <c r="P1887" s="24" t="s">
        <v>0</v>
      </c>
      <c r="Q1887" s="24" t="s">
        <v>0</v>
      </c>
      <c r="R1887" s="24" t="s">
        <v>0</v>
      </c>
      <c r="S1887" s="24" t="s">
        <v>90</v>
      </c>
      <c r="T1887" s="24" t="s">
        <v>128</v>
      </c>
      <c r="U1887" s="24" t="s">
        <v>61</v>
      </c>
      <c r="V1887" s="24" t="s">
        <v>93</v>
      </c>
      <c r="W1887" s="24" t="s">
        <v>77</v>
      </c>
      <c r="X1887" s="24" t="s">
        <v>116</v>
      </c>
      <c r="Y1887" s="24" t="s">
        <v>314</v>
      </c>
      <c r="Z1887" s="24" t="s">
        <v>64</v>
      </c>
      <c r="AA1887" s="24" t="s">
        <v>95</v>
      </c>
      <c r="AB1887" s="24" t="s">
        <v>0</v>
      </c>
      <c r="AC1887" s="24" t="s">
        <v>5145</v>
      </c>
    </row>
    <row r="1888" spans="1:29">
      <c r="A1888" s="60" t="s">
        <v>5146</v>
      </c>
      <c r="B1888" s="60" t="str">
        <f>IF(ISNUMBER(SEARCH(E1888,A1888)),A1888,IF(OR(E1888="",E1888=""),A1888,A1888&amp;" - "&amp;E1888))</f>
        <v>Soma OG 22/1 GG - Gorilla Glue</v>
      </c>
      <c r="C1888" s="30" t="s">
        <v>1957</v>
      </c>
      <c r="D1888" s="30" t="s">
        <v>1961</v>
      </c>
      <c r="E1888" s="32" t="s">
        <v>363</v>
      </c>
      <c r="F1888" s="40" t="s">
        <v>177</v>
      </c>
      <c r="G1888" s="34" t="s">
        <v>4126</v>
      </c>
      <c r="H1888" s="34">
        <v>1</v>
      </c>
      <c r="I1888" s="30" t="s">
        <v>0</v>
      </c>
      <c r="J1888" s="30" t="s">
        <v>0</v>
      </c>
      <c r="K1888" s="30" t="s">
        <v>17</v>
      </c>
      <c r="L1888" s="30" t="s">
        <v>497</v>
      </c>
      <c r="M1888" s="30" t="s">
        <v>121</v>
      </c>
      <c r="N1888" s="30" t="s">
        <v>72</v>
      </c>
      <c r="O1888" s="30" t="s">
        <v>103</v>
      </c>
      <c r="P1888" s="30" t="s">
        <v>59</v>
      </c>
      <c r="Q1888" s="30" t="s">
        <v>146</v>
      </c>
      <c r="R1888" s="30" t="s">
        <v>74</v>
      </c>
      <c r="S1888" s="30" t="s">
        <v>106</v>
      </c>
      <c r="T1888" s="30" t="s">
        <v>62</v>
      </c>
      <c r="U1888" s="30" t="s">
        <v>192</v>
      </c>
      <c r="V1888" s="30" t="s">
        <v>107</v>
      </c>
      <c r="W1888" s="30" t="s">
        <v>77</v>
      </c>
      <c r="X1888" s="30" t="s">
        <v>1242</v>
      </c>
      <c r="Y1888" s="30" t="s">
        <v>1036</v>
      </c>
      <c r="Z1888" s="30" t="s">
        <v>64</v>
      </c>
      <c r="AA1888" s="30" t="s">
        <v>1961</v>
      </c>
      <c r="AB1888" s="30" t="s">
        <v>0</v>
      </c>
      <c r="AC1888" s="30" t="s">
        <v>5147</v>
      </c>
    </row>
    <row r="1889" spans="1:29">
      <c r="A1889" s="60" t="s">
        <v>5148</v>
      </c>
      <c r="B1889" s="60" t="str">
        <f>IF(ISNUMBER(SEARCH(E1889,A1889)),A1889,IF(OR(E1889="",E1889=""),A1889,A1889&amp;" - "&amp;E1889))</f>
        <v>THC AKUT 28 BF - Blunicorn</v>
      </c>
      <c r="C1889" s="24" t="s">
        <v>4625</v>
      </c>
      <c r="D1889" s="24" t="s">
        <v>160</v>
      </c>
      <c r="E1889" s="26" t="s">
        <v>5149</v>
      </c>
      <c r="F1889" s="41" t="s">
        <v>86</v>
      </c>
      <c r="G1889" s="27" t="s">
        <v>4164</v>
      </c>
      <c r="H1889" s="27" t="s">
        <v>65</v>
      </c>
      <c r="I1889" s="24" t="s">
        <v>0</v>
      </c>
      <c r="J1889" s="24" t="s">
        <v>0</v>
      </c>
      <c r="K1889" s="24" t="s">
        <v>52</v>
      </c>
      <c r="L1889" s="24" t="s">
        <v>53</v>
      </c>
      <c r="M1889" s="24" t="s">
        <v>54</v>
      </c>
      <c r="N1889" s="24" t="s">
        <v>88</v>
      </c>
      <c r="O1889" s="24" t="s">
        <v>72</v>
      </c>
      <c r="P1889" s="24" t="s">
        <v>104</v>
      </c>
      <c r="Q1889" s="24" t="s">
        <v>113</v>
      </c>
      <c r="R1889" s="24" t="s">
        <v>74</v>
      </c>
      <c r="S1889" s="24" t="s">
        <v>128</v>
      </c>
      <c r="T1889" s="24" t="s">
        <v>106</v>
      </c>
      <c r="U1889" s="24" t="s">
        <v>62</v>
      </c>
      <c r="V1889" s="24" t="s">
        <v>116</v>
      </c>
      <c r="W1889" s="24" t="s">
        <v>93</v>
      </c>
      <c r="X1889" s="24" t="s">
        <v>107</v>
      </c>
      <c r="Y1889" s="24" t="s">
        <v>240</v>
      </c>
      <c r="Z1889" s="24" t="s">
        <v>64</v>
      </c>
      <c r="AA1889" s="24" t="s">
        <v>160</v>
      </c>
      <c r="AB1889" s="24" t="s">
        <v>0</v>
      </c>
      <c r="AC1889" s="24" t="s">
        <v>5150</v>
      </c>
    </row>
    <row r="1890" spans="1:29">
      <c r="A1890" s="60" t="s">
        <v>5151</v>
      </c>
      <c r="B1890" s="60" t="str">
        <f>IF(ISNUMBER(SEARCH(E1890,A1890)),A1890,IF(OR(E1890="",E1890=""),A1890,A1890&amp;" - "&amp;E1890))</f>
        <v>Sibanax Crescendo  24/1 - Crescendo Cookies</v>
      </c>
      <c r="C1890" s="30" t="s">
        <v>5152</v>
      </c>
      <c r="D1890" s="30" t="s">
        <v>2298</v>
      </c>
      <c r="E1890" s="32" t="s">
        <v>893</v>
      </c>
      <c r="F1890" s="40" t="s">
        <v>144</v>
      </c>
      <c r="G1890" s="34" t="s">
        <v>448</v>
      </c>
      <c r="H1890" s="34">
        <v>1</v>
      </c>
      <c r="I1890" s="30" t="s">
        <v>0</v>
      </c>
      <c r="J1890" s="30" t="s">
        <v>0</v>
      </c>
      <c r="K1890" s="30" t="s">
        <v>52</v>
      </c>
      <c r="L1890" s="30" t="s">
        <v>87</v>
      </c>
      <c r="M1890" s="30" t="s">
        <v>72</v>
      </c>
      <c r="N1890" s="30" t="s">
        <v>212</v>
      </c>
      <c r="O1890" s="30" t="s">
        <v>88</v>
      </c>
      <c r="P1890" s="30" t="s">
        <v>113</v>
      </c>
      <c r="Q1890" s="30" t="s">
        <v>58</v>
      </c>
      <c r="R1890" s="30" t="s">
        <v>89</v>
      </c>
      <c r="S1890" s="30" t="s">
        <v>128</v>
      </c>
      <c r="T1890" s="30" t="s">
        <v>62</v>
      </c>
      <c r="U1890" s="30" t="s">
        <v>430</v>
      </c>
      <c r="V1890" s="30" t="s">
        <v>116</v>
      </c>
      <c r="W1890" s="30" t="s">
        <v>173</v>
      </c>
      <c r="X1890" s="30" t="s">
        <v>77</v>
      </c>
      <c r="Y1890" s="30" t="s">
        <v>248</v>
      </c>
      <c r="Z1890" s="30" t="s">
        <v>64</v>
      </c>
      <c r="AA1890" s="30" t="s">
        <v>2298</v>
      </c>
      <c r="AB1890" s="30" t="s">
        <v>0</v>
      </c>
      <c r="AC1890" s="30" t="s">
        <v>5153</v>
      </c>
    </row>
    <row r="1891" spans="1:29">
      <c r="A1891" s="60" t="s">
        <v>5154</v>
      </c>
      <c r="B1891" s="60" t="str">
        <f>IF(ISNUMBER(SEARCH(E1891,A1891)),A1891,IF(OR(E1891="",E1891=""),A1891,A1891&amp;" - "&amp;E1891))</f>
        <v>Remexian 30/1 MTL JUC - Jungl's Cake</v>
      </c>
      <c r="C1891" s="24" t="s">
        <v>83</v>
      </c>
      <c r="D1891" s="24" t="s">
        <v>95</v>
      </c>
      <c r="E1891" s="26" t="s">
        <v>5155</v>
      </c>
      <c r="F1891" s="41" t="s">
        <v>144</v>
      </c>
      <c r="G1891" s="27" t="s">
        <v>4057</v>
      </c>
      <c r="H1891" s="27">
        <v>1</v>
      </c>
      <c r="I1891" s="24" t="s">
        <v>0</v>
      </c>
      <c r="J1891" s="24" t="s">
        <v>0</v>
      </c>
      <c r="K1891" s="24" t="s">
        <v>52</v>
      </c>
      <c r="L1891" s="24" t="s">
        <v>53</v>
      </c>
      <c r="M1891" s="24" t="s">
        <v>178</v>
      </c>
      <c r="N1891" s="24" t="s">
        <v>71</v>
      </c>
      <c r="O1891" s="24" t="s">
        <v>54</v>
      </c>
      <c r="P1891" s="24" t="s">
        <v>59</v>
      </c>
      <c r="Q1891" s="24" t="s">
        <v>57</v>
      </c>
      <c r="R1891" s="24" t="s">
        <v>89</v>
      </c>
      <c r="S1891" s="24" t="s">
        <v>106</v>
      </c>
      <c r="T1891" s="24" t="s">
        <v>234</v>
      </c>
      <c r="U1891" s="24" t="s">
        <v>147</v>
      </c>
      <c r="V1891" s="24" t="s">
        <v>79</v>
      </c>
      <c r="W1891" s="24" t="s">
        <v>77</v>
      </c>
      <c r="X1891" s="24" t="s">
        <v>116</v>
      </c>
      <c r="Y1891" s="24" t="s">
        <v>1660</v>
      </c>
      <c r="Z1891" s="24" t="s">
        <v>64</v>
      </c>
      <c r="AA1891" s="24" t="s">
        <v>95</v>
      </c>
      <c r="AB1891" s="24" t="s">
        <v>0</v>
      </c>
      <c r="AC1891" s="24" t="s">
        <v>5156</v>
      </c>
    </row>
    <row r="1892" spans="1:29">
      <c r="A1892" s="60" t="s">
        <v>5157</v>
      </c>
      <c r="B1892" s="60" t="str">
        <f>IF(ISNUMBER(SEARCH(E1892,A1892)),A1892,IF(OR(E1892="",E1892=""),A1892,A1892&amp;" - "&amp;E1892))</f>
        <v>Barongo 24/1 Sudz</v>
      </c>
      <c r="C1892" s="30" t="s">
        <v>641</v>
      </c>
      <c r="D1892" s="30" t="s">
        <v>642</v>
      </c>
      <c r="E1892" s="32" t="s">
        <v>4491</v>
      </c>
      <c r="F1892" s="40" t="s">
        <v>86</v>
      </c>
      <c r="G1892" s="34" t="s">
        <v>448</v>
      </c>
      <c r="H1892" s="34">
        <v>1</v>
      </c>
      <c r="I1892" s="30" t="s">
        <v>0</v>
      </c>
      <c r="J1892" s="30" t="s">
        <v>0</v>
      </c>
      <c r="K1892" s="30" t="s">
        <v>52</v>
      </c>
      <c r="L1892" s="30" t="s">
        <v>53</v>
      </c>
      <c r="M1892" s="30" t="s">
        <v>71</v>
      </c>
      <c r="N1892" s="30" t="s">
        <v>72</v>
      </c>
      <c r="O1892" s="30" t="s">
        <v>54</v>
      </c>
      <c r="P1892" s="30" t="s">
        <v>89</v>
      </c>
      <c r="Q1892" s="30" t="s">
        <v>112</v>
      </c>
      <c r="R1892" s="30" t="s">
        <v>75</v>
      </c>
      <c r="S1892" s="30" t="s">
        <v>106</v>
      </c>
      <c r="T1892" s="30" t="s">
        <v>62</v>
      </c>
      <c r="U1892" s="30" t="s">
        <v>123</v>
      </c>
      <c r="V1892" s="30" t="s">
        <v>79</v>
      </c>
      <c r="W1892" s="30" t="s">
        <v>173</v>
      </c>
      <c r="X1892" s="30" t="s">
        <v>93</v>
      </c>
      <c r="Y1892" s="30" t="s">
        <v>307</v>
      </c>
      <c r="Z1892" s="30" t="s">
        <v>64</v>
      </c>
      <c r="AA1892" s="30" t="s">
        <v>642</v>
      </c>
      <c r="AB1892" s="30" t="s">
        <v>0</v>
      </c>
      <c r="AC1892" s="30" t="s">
        <v>5158</v>
      </c>
    </row>
    <row r="1893" spans="1:29">
      <c r="A1893" s="60" t="s">
        <v>5159</v>
      </c>
      <c r="B1893" s="60" t="str">
        <f>IF(ISNUMBER(SEARCH(E1893,A1893)),A1893,IF(OR(E1893="",E1893=""),A1893,A1893&amp;" - "&amp;E1893))</f>
        <v>Sibanax Crescendo  20/1 - Crescendo Cookies</v>
      </c>
      <c r="C1893" s="24" t="s">
        <v>5152</v>
      </c>
      <c r="D1893" s="24" t="s">
        <v>2298</v>
      </c>
      <c r="E1893" s="26" t="s">
        <v>893</v>
      </c>
      <c r="F1893" s="41" t="s">
        <v>144</v>
      </c>
      <c r="G1893" s="27" t="s">
        <v>460</v>
      </c>
      <c r="H1893" s="27">
        <v>1</v>
      </c>
      <c r="I1893" s="24" t="s">
        <v>0</v>
      </c>
      <c r="J1893" s="24" t="s">
        <v>0</v>
      </c>
      <c r="K1893" s="24" t="s">
        <v>52</v>
      </c>
      <c r="L1893" s="24" t="s">
        <v>87</v>
      </c>
      <c r="M1893" s="24" t="s">
        <v>72</v>
      </c>
      <c r="N1893" s="24" t="s">
        <v>212</v>
      </c>
      <c r="O1893" s="24" t="s">
        <v>88</v>
      </c>
      <c r="P1893" s="24" t="s">
        <v>113</v>
      </c>
      <c r="Q1893" s="24" t="s">
        <v>58</v>
      </c>
      <c r="R1893" s="24" t="s">
        <v>89</v>
      </c>
      <c r="S1893" s="24" t="s">
        <v>128</v>
      </c>
      <c r="T1893" s="24" t="s">
        <v>62</v>
      </c>
      <c r="U1893" s="24" t="s">
        <v>430</v>
      </c>
      <c r="V1893" s="24" t="s">
        <v>116</v>
      </c>
      <c r="W1893" s="24" t="s">
        <v>173</v>
      </c>
      <c r="X1893" s="24" t="s">
        <v>77</v>
      </c>
      <c r="Y1893" s="24" t="s">
        <v>307</v>
      </c>
      <c r="Z1893" s="24" t="s">
        <v>64</v>
      </c>
      <c r="AA1893" s="24" t="s">
        <v>2298</v>
      </c>
      <c r="AB1893" s="24" t="s">
        <v>0</v>
      </c>
      <c r="AC1893" s="24" t="s">
        <v>5160</v>
      </c>
    </row>
    <row r="1894" spans="1:29">
      <c r="A1894" s="60" t="s">
        <v>5161</v>
      </c>
      <c r="B1894" s="60" t="str">
        <f>IF(ISNUMBER(SEARCH(E1894,A1894)),A1894,IF(OR(E1894="",E1894=""),A1894,A1894&amp;" - "&amp;E1894))</f>
        <v>Sibanax Hybrid MCF 28/1 Mac Fem</v>
      </c>
      <c r="C1894" s="30" t="s">
        <v>5152</v>
      </c>
      <c r="D1894" s="30" t="s">
        <v>2298</v>
      </c>
      <c r="E1894" s="32" t="s">
        <v>2612</v>
      </c>
      <c r="F1894" s="40" t="s">
        <v>86</v>
      </c>
      <c r="G1894" s="34" t="s">
        <v>4164</v>
      </c>
      <c r="H1894" s="34">
        <v>1</v>
      </c>
      <c r="I1894" s="30" t="s">
        <v>0</v>
      </c>
      <c r="J1894" s="30" t="s">
        <v>0</v>
      </c>
      <c r="K1894" s="30" t="s">
        <v>17</v>
      </c>
      <c r="L1894" s="30" t="s">
        <v>102</v>
      </c>
      <c r="M1894" s="30" t="s">
        <v>72</v>
      </c>
      <c r="N1894" s="30" t="s">
        <v>54</v>
      </c>
      <c r="O1894" s="30" t="s">
        <v>88</v>
      </c>
      <c r="P1894" s="30" t="s">
        <v>104</v>
      </c>
      <c r="Q1894" s="30" t="s">
        <v>59</v>
      </c>
      <c r="R1894" s="30" t="s">
        <v>74</v>
      </c>
      <c r="S1894" s="30" t="s">
        <v>128</v>
      </c>
      <c r="T1894" s="30" t="s">
        <v>106</v>
      </c>
      <c r="U1894" s="30" t="s">
        <v>62</v>
      </c>
      <c r="V1894" s="30" t="s">
        <v>107</v>
      </c>
      <c r="W1894" s="30" t="s">
        <v>77</v>
      </c>
      <c r="X1894" s="30" t="s">
        <v>0</v>
      </c>
      <c r="Y1894" s="30" t="s">
        <v>1054</v>
      </c>
      <c r="Z1894" s="30" t="s">
        <v>64</v>
      </c>
      <c r="AA1894" s="30" t="s">
        <v>2298</v>
      </c>
      <c r="AB1894" s="30" t="s">
        <v>0</v>
      </c>
      <c r="AC1894" s="30" t="s">
        <v>5162</v>
      </c>
    </row>
    <row r="1895" spans="1:29">
      <c r="A1895" s="60" t="s">
        <v>1747</v>
      </c>
      <c r="B1895" s="60" t="str">
        <f>IF(ISNUMBER(SEARCH(E1895,A1895)),A1895,IF(OR(E1895="",E1895=""),A1895,A1895&amp;" - "&amp;E1895))</f>
        <v>Cannamedical Hybrid forte DK - Fullgas</v>
      </c>
      <c r="C1895" s="24" t="s">
        <v>48</v>
      </c>
      <c r="D1895" s="24" t="s">
        <v>49</v>
      </c>
      <c r="E1895" s="26" t="s">
        <v>2710</v>
      </c>
      <c r="F1895" s="41" t="s">
        <v>86</v>
      </c>
      <c r="G1895" s="27" t="s">
        <v>448</v>
      </c>
      <c r="H1895" s="27" t="s">
        <v>65</v>
      </c>
      <c r="I1895" s="24" t="s">
        <v>0</v>
      </c>
      <c r="J1895" s="24" t="s">
        <v>0</v>
      </c>
      <c r="K1895" s="24" t="s">
        <v>52</v>
      </c>
      <c r="L1895" s="24" t="s">
        <v>87</v>
      </c>
      <c r="M1895" s="24" t="s">
        <v>72</v>
      </c>
      <c r="N1895" s="24" t="s">
        <v>54</v>
      </c>
      <c r="O1895" s="24" t="s">
        <v>88</v>
      </c>
      <c r="P1895" s="24" t="s">
        <v>59</v>
      </c>
      <c r="Q1895" s="24" t="s">
        <v>113</v>
      </c>
      <c r="R1895" s="24" t="s">
        <v>74</v>
      </c>
      <c r="S1895" s="24" t="s">
        <v>106</v>
      </c>
      <c r="T1895" s="24" t="s">
        <v>62</v>
      </c>
      <c r="U1895" s="24" t="s">
        <v>164</v>
      </c>
      <c r="V1895" s="24" t="s">
        <v>116</v>
      </c>
      <c r="W1895" s="24" t="s">
        <v>93</v>
      </c>
      <c r="X1895" s="24" t="s">
        <v>107</v>
      </c>
      <c r="Y1895" s="24" t="s">
        <v>314</v>
      </c>
      <c r="Z1895" s="24" t="s">
        <v>64</v>
      </c>
      <c r="AA1895" s="24" t="s">
        <v>49</v>
      </c>
      <c r="AB1895" s="24" t="s">
        <v>0</v>
      </c>
      <c r="AC1895" s="24" t="s">
        <v>5163</v>
      </c>
    </row>
    <row r="1896" spans="1:29">
      <c r="A1896" s="60" t="s">
        <v>5164</v>
      </c>
      <c r="B1896" s="60" t="str">
        <f>IF(ISNUMBER(SEARCH(E1896,A1896)),A1896,IF(OR(E1896="",E1896=""),A1896,A1896&amp;" - "&amp;E1896))</f>
        <v>Together Pharma GB 21/1 - Glueberry OG</v>
      </c>
      <c r="C1896" s="30" t="s">
        <v>564</v>
      </c>
      <c r="D1896" s="30" t="s">
        <v>565</v>
      </c>
      <c r="E1896" s="32" t="s">
        <v>2559</v>
      </c>
      <c r="F1896" s="40" t="s">
        <v>86</v>
      </c>
      <c r="G1896" s="34" t="s">
        <v>452</v>
      </c>
      <c r="H1896" s="34">
        <v>1</v>
      </c>
      <c r="I1896" s="30" t="s">
        <v>0</v>
      </c>
      <c r="J1896" s="30" t="s">
        <v>0</v>
      </c>
      <c r="K1896" s="30" t="s">
        <v>52</v>
      </c>
      <c r="L1896" s="30" t="s">
        <v>3417</v>
      </c>
      <c r="M1896" s="30" t="s">
        <v>156</v>
      </c>
      <c r="N1896" s="30" t="s">
        <v>111</v>
      </c>
      <c r="O1896" s="30" t="s">
        <v>178</v>
      </c>
      <c r="P1896" s="30" t="s">
        <v>104</v>
      </c>
      <c r="Q1896" s="30" t="s">
        <v>58</v>
      </c>
      <c r="R1896" s="30" t="s">
        <v>122</v>
      </c>
      <c r="S1896" s="30" t="s">
        <v>128</v>
      </c>
      <c r="T1896" s="30" t="s">
        <v>179</v>
      </c>
      <c r="U1896" s="30" t="s">
        <v>62</v>
      </c>
      <c r="V1896" s="30" t="s">
        <v>165</v>
      </c>
      <c r="W1896" s="30" t="s">
        <v>79</v>
      </c>
      <c r="X1896" s="30" t="s">
        <v>0</v>
      </c>
      <c r="Y1896" s="30" t="s">
        <v>1357</v>
      </c>
      <c r="Z1896" s="30" t="s">
        <v>64</v>
      </c>
      <c r="AA1896" s="30" t="s">
        <v>565</v>
      </c>
      <c r="AB1896" s="30" t="s">
        <v>0</v>
      </c>
      <c r="AC1896" s="30" t="s">
        <v>5165</v>
      </c>
    </row>
    <row r="1897" spans="1:29">
      <c r="A1897" s="60" t="s">
        <v>5166</v>
      </c>
      <c r="B1897" s="60" t="str">
        <f>IF(ISNUMBER(SEARCH(E1897,A1897)),A1897,IF(OR(E1897="",E1897=""),A1897,A1897&amp;" - "&amp;E1897))</f>
        <v>Botanics Orient Bazaar 22/1</v>
      </c>
      <c r="C1897" s="24" t="s">
        <v>141</v>
      </c>
      <c r="D1897" s="24" t="s">
        <v>149</v>
      </c>
      <c r="E1897" s="26" t="s">
        <v>5167</v>
      </c>
      <c r="F1897" s="41" t="s">
        <v>86</v>
      </c>
      <c r="G1897" s="27" t="s">
        <v>4126</v>
      </c>
      <c r="H1897" s="27">
        <v>1</v>
      </c>
      <c r="I1897" s="24" t="s">
        <v>0</v>
      </c>
      <c r="J1897" s="24" t="s">
        <v>0</v>
      </c>
      <c r="K1897" s="24" t="s">
        <v>52</v>
      </c>
      <c r="L1897" s="24" t="s">
        <v>965</v>
      </c>
      <c r="M1897" s="24" t="s">
        <v>178</v>
      </c>
      <c r="N1897" s="24" t="s">
        <v>72</v>
      </c>
      <c r="O1897" s="24" t="s">
        <v>0</v>
      </c>
      <c r="P1897" s="24" t="s">
        <v>104</v>
      </c>
      <c r="Q1897" s="24" t="s">
        <v>113</v>
      </c>
      <c r="R1897" s="24" t="s">
        <v>89</v>
      </c>
      <c r="S1897" s="24" t="s">
        <v>106</v>
      </c>
      <c r="T1897" s="24" t="s">
        <v>62</v>
      </c>
      <c r="U1897" s="24" t="s">
        <v>147</v>
      </c>
      <c r="V1897" s="24" t="s">
        <v>79</v>
      </c>
      <c r="W1897" s="24" t="s">
        <v>107</v>
      </c>
      <c r="X1897" s="24" t="s">
        <v>77</v>
      </c>
      <c r="Y1897" s="24" t="s">
        <v>1730</v>
      </c>
      <c r="Z1897" s="24" t="s">
        <v>64</v>
      </c>
      <c r="AA1897" s="24" t="s">
        <v>149</v>
      </c>
      <c r="AB1897" s="24" t="s">
        <v>5168</v>
      </c>
      <c r="AC1897" s="24" t="s">
        <v>5169</v>
      </c>
    </row>
    <row r="1898" spans="1:29">
      <c r="A1898" s="60" t="s">
        <v>5170</v>
      </c>
      <c r="B1898" s="60" t="str">
        <f>IF(ISNUMBER(SEARCH(E1898,A1898)),A1898,IF(OR(E1898="",E1898=""),A1898,A1898&amp;" - "&amp;E1898))</f>
        <v>Botanics Velvet Sherbet 22/1</v>
      </c>
      <c r="C1898" s="30" t="s">
        <v>141</v>
      </c>
      <c r="D1898" s="30" t="s">
        <v>149</v>
      </c>
      <c r="E1898" s="32" t="s">
        <v>5171</v>
      </c>
      <c r="F1898" s="40" t="s">
        <v>86</v>
      </c>
      <c r="G1898" s="34" t="s">
        <v>4126</v>
      </c>
      <c r="H1898" s="34">
        <v>1</v>
      </c>
      <c r="I1898" s="30" t="s">
        <v>0</v>
      </c>
      <c r="J1898" s="30" t="s">
        <v>0</v>
      </c>
      <c r="K1898" s="30" t="s">
        <v>52</v>
      </c>
      <c r="L1898" s="30" t="s">
        <v>965</v>
      </c>
      <c r="M1898" s="30" t="s">
        <v>178</v>
      </c>
      <c r="N1898" s="30" t="s">
        <v>111</v>
      </c>
      <c r="O1898" s="30" t="s">
        <v>72</v>
      </c>
      <c r="P1898" s="30" t="s">
        <v>89</v>
      </c>
      <c r="Q1898" s="30" t="s">
        <v>59</v>
      </c>
      <c r="R1898" s="30" t="s">
        <v>74</v>
      </c>
      <c r="S1898" s="30" t="s">
        <v>106</v>
      </c>
      <c r="T1898" s="30" t="s">
        <v>62</v>
      </c>
      <c r="U1898" s="30" t="s">
        <v>147</v>
      </c>
      <c r="V1898" s="30" t="s">
        <v>129</v>
      </c>
      <c r="W1898" s="30" t="s">
        <v>79</v>
      </c>
      <c r="X1898" s="30" t="s">
        <v>77</v>
      </c>
      <c r="Y1898" s="30" t="s">
        <v>1730</v>
      </c>
      <c r="Z1898" s="30" t="s">
        <v>64</v>
      </c>
      <c r="AA1898" s="30" t="s">
        <v>149</v>
      </c>
      <c r="AB1898" s="30" t="s">
        <v>5168</v>
      </c>
      <c r="AC1898" s="30" t="s">
        <v>5172</v>
      </c>
    </row>
    <row r="1899" spans="1:29">
      <c r="A1899" s="60" t="s">
        <v>5173</v>
      </c>
      <c r="B1899" s="60" t="str">
        <f>IF(ISNUMBER(SEARCH(E1899,A1899)),A1899,IF(OR(E1899="",E1899=""),A1899,A1899&amp;" - "&amp;E1899))</f>
        <v>Bathera 26/1 DS - Dank Sinatra</v>
      </c>
      <c r="C1899" s="24" t="s">
        <v>4625</v>
      </c>
      <c r="D1899" s="24" t="s">
        <v>160</v>
      </c>
      <c r="E1899" s="26" t="s">
        <v>4705</v>
      </c>
      <c r="F1899" s="41" t="s">
        <v>177</v>
      </c>
      <c r="G1899" s="27" t="s">
        <v>4086</v>
      </c>
      <c r="H1899" s="27" t="s">
        <v>65</v>
      </c>
      <c r="I1899" s="24" t="s">
        <v>0</v>
      </c>
      <c r="J1899" s="24" t="s">
        <v>0</v>
      </c>
      <c r="K1899" s="24" t="s">
        <v>52</v>
      </c>
      <c r="L1899" s="24" t="s">
        <v>53</v>
      </c>
      <c r="M1899" s="24" t="s">
        <v>71</v>
      </c>
      <c r="N1899" s="24" t="s">
        <v>88</v>
      </c>
      <c r="O1899" s="24" t="s">
        <v>72</v>
      </c>
      <c r="P1899" s="24" t="s">
        <v>75</v>
      </c>
      <c r="Q1899" s="24" t="s">
        <v>73</v>
      </c>
      <c r="R1899" s="24" t="s">
        <v>74</v>
      </c>
      <c r="S1899" s="24" t="s">
        <v>106</v>
      </c>
      <c r="T1899" s="24" t="s">
        <v>147</v>
      </c>
      <c r="U1899" s="24" t="s">
        <v>192</v>
      </c>
      <c r="V1899" s="24" t="s">
        <v>180</v>
      </c>
      <c r="W1899" s="24" t="s">
        <v>116</v>
      </c>
      <c r="X1899" s="24" t="s">
        <v>79</v>
      </c>
      <c r="Y1899" s="24" t="s">
        <v>1036</v>
      </c>
      <c r="Z1899" s="24" t="s">
        <v>64</v>
      </c>
      <c r="AA1899" s="24" t="s">
        <v>160</v>
      </c>
      <c r="AB1899" s="24" t="s">
        <v>160</v>
      </c>
      <c r="AC1899" s="24" t="s">
        <v>5174</v>
      </c>
    </row>
    <row r="1900" spans="1:29">
      <c r="A1900" s="60" t="s">
        <v>5175</v>
      </c>
      <c r="B1900" s="60" t="str">
        <f>IF(ISNUMBER(SEARCH(E1900,A1900)),A1900,IF(OR(E1900="",E1900=""),A1900,A1900&amp;" - "&amp;E1900))</f>
        <v>Nedcann JOG 25/01 Joker OG #3</v>
      </c>
      <c r="C1900" s="30" t="s">
        <v>5133</v>
      </c>
      <c r="D1900" s="30" t="s">
        <v>5176</v>
      </c>
      <c r="E1900" s="32" t="s">
        <v>5177</v>
      </c>
      <c r="F1900" s="40" t="s">
        <v>177</v>
      </c>
      <c r="G1900" s="34" t="s">
        <v>26</v>
      </c>
      <c r="H1900" s="34">
        <v>1</v>
      </c>
      <c r="I1900" s="30" t="s">
        <v>0</v>
      </c>
      <c r="J1900" s="30" t="s">
        <v>0</v>
      </c>
      <c r="K1900" s="30" t="s">
        <v>52</v>
      </c>
      <c r="L1900" s="30" t="s">
        <v>145</v>
      </c>
      <c r="M1900" s="30" t="s">
        <v>71</v>
      </c>
      <c r="N1900" s="30" t="s">
        <v>72</v>
      </c>
      <c r="O1900" s="30" t="s">
        <v>88</v>
      </c>
      <c r="P1900" s="30" t="s">
        <v>75</v>
      </c>
      <c r="Q1900" s="30" t="s">
        <v>73</v>
      </c>
      <c r="R1900" s="30" t="s">
        <v>59</v>
      </c>
      <c r="S1900" s="30" t="s">
        <v>179</v>
      </c>
      <c r="T1900" s="30" t="s">
        <v>62</v>
      </c>
      <c r="U1900" s="30" t="s">
        <v>164</v>
      </c>
      <c r="V1900" s="30" t="s">
        <v>107</v>
      </c>
      <c r="W1900" s="30" t="s">
        <v>79</v>
      </c>
      <c r="X1900" s="30" t="s">
        <v>173</v>
      </c>
      <c r="Y1900" s="30" t="s">
        <v>870</v>
      </c>
      <c r="Z1900" s="30" t="s">
        <v>64</v>
      </c>
      <c r="AA1900" s="30" t="s">
        <v>5176</v>
      </c>
      <c r="AB1900" s="30" t="s">
        <v>0</v>
      </c>
      <c r="AC1900" s="30" t="s">
        <v>5178</v>
      </c>
    </row>
    <row r="1901" spans="1:29">
      <c r="A1901" s="11" t="s">
        <v>5179</v>
      </c>
      <c r="B1901" s="11" t="str">
        <f>IF(ISNUMBER(SEARCH(E1901,A1901)),A1901,IF(OR(E1901="",E1901=""),A1901,A1901&amp;" - "&amp;E1901))</f>
        <v>Demecan Craft Magister 31/1 BM - Black Marker</v>
      </c>
      <c r="C1901" s="24" t="s">
        <v>484</v>
      </c>
      <c r="D1901" s="24" t="s">
        <v>485</v>
      </c>
      <c r="E1901" s="26" t="s">
        <v>4177</v>
      </c>
      <c r="F1901" s="41" t="s">
        <v>177</v>
      </c>
      <c r="G1901" s="27" t="s">
        <v>4164</v>
      </c>
      <c r="H1901" s="27" t="s">
        <v>65</v>
      </c>
      <c r="I1901" s="24" t="s">
        <v>0</v>
      </c>
      <c r="J1901" s="24" t="s">
        <v>0</v>
      </c>
      <c r="K1901" s="24" t="s">
        <v>52</v>
      </c>
      <c r="L1901" s="24" t="s">
        <v>53</v>
      </c>
      <c r="M1901" s="24" t="s">
        <v>178</v>
      </c>
      <c r="N1901" s="24" t="s">
        <v>72</v>
      </c>
      <c r="O1901" s="24" t="s">
        <v>54</v>
      </c>
      <c r="P1901" s="24" t="s">
        <v>57</v>
      </c>
      <c r="Q1901" s="24" t="s">
        <v>75</v>
      </c>
      <c r="R1901" s="24" t="s">
        <v>73</v>
      </c>
      <c r="S1901" s="24" t="s">
        <v>106</v>
      </c>
      <c r="T1901" s="24" t="s">
        <v>62</v>
      </c>
      <c r="U1901" s="24" t="s">
        <v>123</v>
      </c>
      <c r="V1901" s="24" t="s">
        <v>93</v>
      </c>
      <c r="W1901" s="24" t="s">
        <v>79</v>
      </c>
      <c r="X1901" s="24" t="s">
        <v>116</v>
      </c>
      <c r="Y1901" s="24" t="s">
        <v>5180</v>
      </c>
      <c r="Z1901" s="24" t="s">
        <v>64</v>
      </c>
      <c r="AA1901" s="24" t="s">
        <v>485</v>
      </c>
      <c r="AB1901" s="24" t="s">
        <v>0</v>
      </c>
      <c r="AC1901" s="24" t="s">
        <v>5181</v>
      </c>
    </row>
    <row r="1902" spans="1:29">
      <c r="A1902" s="11" t="s">
        <v>5182</v>
      </c>
      <c r="B1902" s="11" t="str">
        <f>IF(ISNUMBER(SEARCH(E1902,A1902)),A1902,IF(OR(E1902="",E1902=""),A1902,A1902&amp;" - "&amp;E1902))</f>
        <v>Remexian WTF 24/1 MIC SGC - Sugar Cookies</v>
      </c>
      <c r="C1902" s="30" t="s">
        <v>83</v>
      </c>
      <c r="D1902" s="30" t="s">
        <v>95</v>
      </c>
      <c r="E1902" s="30" t="s">
        <v>5183</v>
      </c>
      <c r="F1902" s="30" t="s">
        <v>86</v>
      </c>
      <c r="G1902" s="30" t="s">
        <v>448</v>
      </c>
      <c r="H1902" s="31">
        <v>1</v>
      </c>
      <c r="I1902" s="30" t="s">
        <v>0</v>
      </c>
      <c r="J1902" s="30" t="s">
        <v>0</v>
      </c>
      <c r="K1902" s="30" t="s">
        <v>52</v>
      </c>
      <c r="L1902" s="30" t="s">
        <v>53</v>
      </c>
      <c r="M1902" s="30" t="s">
        <v>121</v>
      </c>
      <c r="N1902" s="30" t="s">
        <v>54</v>
      </c>
      <c r="O1902" s="30" t="s">
        <v>88</v>
      </c>
      <c r="P1902" s="30" t="s">
        <v>74</v>
      </c>
      <c r="Q1902" s="30" t="s">
        <v>75</v>
      </c>
      <c r="R1902" s="30" t="s">
        <v>59</v>
      </c>
      <c r="S1902" s="30" t="s">
        <v>106</v>
      </c>
      <c r="T1902" s="30" t="s">
        <v>62</v>
      </c>
      <c r="U1902" s="30" t="s">
        <v>91</v>
      </c>
      <c r="V1902" s="30" t="s">
        <v>165</v>
      </c>
      <c r="W1902" s="30" t="s">
        <v>79</v>
      </c>
      <c r="X1902" s="30" t="s">
        <v>107</v>
      </c>
      <c r="Y1902" s="30" t="s">
        <v>413</v>
      </c>
      <c r="Z1902" s="30" t="s">
        <v>64</v>
      </c>
      <c r="AA1902" s="30" t="s">
        <v>95</v>
      </c>
      <c r="AB1902" s="30" t="s">
        <v>0</v>
      </c>
      <c r="AC1902" s="30" t="s">
        <v>5184</v>
      </c>
    </row>
    <row r="1903" spans="1:29">
      <c r="A1903" s="11" t="s">
        <v>5185</v>
      </c>
      <c r="B1903" s="11" t="str">
        <f>IF(ISNUMBER(SEARCH(E1903,A1903)),A1903,IF(OR(E1903="",E1903=""),A1903,A1903&amp;" - "&amp;E1903))</f>
        <v>ADREX 22 CKD - Cookie Dough</v>
      </c>
      <c r="C1903" s="24" t="s">
        <v>911</v>
      </c>
      <c r="D1903" s="24" t="s">
        <v>912</v>
      </c>
      <c r="E1903" s="26" t="s">
        <v>5186</v>
      </c>
      <c r="F1903" s="41" t="s">
        <v>86</v>
      </c>
      <c r="G1903" s="27" t="s">
        <v>448</v>
      </c>
      <c r="H1903" s="27">
        <v>1</v>
      </c>
      <c r="I1903" s="24" t="s">
        <v>0</v>
      </c>
      <c r="J1903" s="24" t="s">
        <v>0</v>
      </c>
      <c r="K1903" s="24" t="s">
        <v>52</v>
      </c>
      <c r="L1903" s="24" t="s">
        <v>53</v>
      </c>
      <c r="M1903" s="24" t="s">
        <v>88</v>
      </c>
      <c r="N1903" s="24" t="s">
        <v>54</v>
      </c>
      <c r="O1903" s="24" t="s">
        <v>72</v>
      </c>
      <c r="P1903" s="24" t="s">
        <v>104</v>
      </c>
      <c r="Q1903" s="24" t="s">
        <v>75</v>
      </c>
      <c r="R1903" s="24" t="s">
        <v>59</v>
      </c>
      <c r="S1903" s="24" t="s">
        <v>106</v>
      </c>
      <c r="T1903" s="24" t="s">
        <v>62</v>
      </c>
      <c r="U1903" s="24" t="s">
        <v>91</v>
      </c>
      <c r="V1903" s="24" t="s">
        <v>93</v>
      </c>
      <c r="W1903" s="24" t="s">
        <v>116</v>
      </c>
      <c r="X1903" s="24" t="s">
        <v>165</v>
      </c>
      <c r="Y1903" s="24" t="s">
        <v>4883</v>
      </c>
      <c r="Z1903" s="24" t="s">
        <v>64</v>
      </c>
      <c r="AA1903" s="24" t="s">
        <v>912</v>
      </c>
      <c r="AB1903" s="24" t="s">
        <v>0</v>
      </c>
      <c r="AC1903" s="37" t="s">
        <v>5187</v>
      </c>
    </row>
    <row r="1904" spans="1:29">
      <c r="A1904" s="11" t="s">
        <v>5188</v>
      </c>
      <c r="B1904" s="11" t="str">
        <f>IF(ISNUMBER(SEARCH(E1904,A1904)),A1904,IF(OR(E1904="",E1904=""),A1904,A1904&amp;" - "&amp;E1904))</f>
        <v>Herbery SC 26/1 - Banana Cream</v>
      </c>
      <c r="C1904" s="30" t="s">
        <v>5189</v>
      </c>
      <c r="D1904" s="30" t="s">
        <v>682</v>
      </c>
      <c r="E1904" s="32" t="s">
        <v>681</v>
      </c>
      <c r="F1904" s="40" t="s">
        <v>86</v>
      </c>
      <c r="G1904" s="34" t="s">
        <v>4086</v>
      </c>
      <c r="H1904" s="34">
        <v>1</v>
      </c>
      <c r="I1904" s="30" t="s">
        <v>0</v>
      </c>
      <c r="J1904" s="30" t="s">
        <v>0</v>
      </c>
      <c r="K1904" s="30" t="s">
        <v>52</v>
      </c>
      <c r="L1904" s="30" t="s">
        <v>497</v>
      </c>
      <c r="M1904" s="30" t="s">
        <v>88</v>
      </c>
      <c r="N1904" s="30" t="s">
        <v>121</v>
      </c>
      <c r="O1904" s="30" t="s">
        <v>72</v>
      </c>
      <c r="P1904" s="30" t="s">
        <v>112</v>
      </c>
      <c r="Q1904" s="30" t="s">
        <v>58</v>
      </c>
      <c r="R1904" s="30" t="s">
        <v>0</v>
      </c>
      <c r="S1904" s="30" t="s">
        <v>106</v>
      </c>
      <c r="T1904" s="30" t="s">
        <v>62</v>
      </c>
      <c r="U1904" s="30" t="s">
        <v>147</v>
      </c>
      <c r="V1904" s="30" t="s">
        <v>116</v>
      </c>
      <c r="W1904" s="30" t="s">
        <v>173</v>
      </c>
      <c r="X1904" s="30" t="s">
        <v>77</v>
      </c>
      <c r="Y1904" s="30" t="s">
        <v>1274</v>
      </c>
      <c r="Z1904" s="30" t="s">
        <v>64</v>
      </c>
      <c r="AA1904" s="30" t="s">
        <v>682</v>
      </c>
      <c r="AB1904" s="30" t="s">
        <v>0</v>
      </c>
      <c r="AC1904" s="30" t="s">
        <v>5190</v>
      </c>
    </row>
    <row r="1905" spans="1:29">
      <c r="A1905" s="11" t="s">
        <v>5191</v>
      </c>
      <c r="B1905" s="11" t="str">
        <f>IF(ISNUMBER(SEARCH(E1905,A1905)),A1905,IF(OR(E1905="",E1905=""),A1905,A1905&amp;" - "&amp;E1905))</f>
        <v>Bathera 24/1 BZ - Blue Z</v>
      </c>
      <c r="C1905" s="24" t="s">
        <v>4625</v>
      </c>
      <c r="D1905" s="24" t="s">
        <v>160</v>
      </c>
      <c r="E1905" s="26" t="s">
        <v>1755</v>
      </c>
      <c r="F1905" s="41" t="s">
        <v>177</v>
      </c>
      <c r="G1905" s="27" t="s">
        <v>448</v>
      </c>
      <c r="H1905" s="27" t="s">
        <v>65</v>
      </c>
      <c r="I1905" s="24" t="s">
        <v>0</v>
      </c>
      <c r="J1905" s="24" t="s">
        <v>0</v>
      </c>
      <c r="K1905" s="24" t="s">
        <v>52</v>
      </c>
      <c r="L1905" s="24" t="s">
        <v>102</v>
      </c>
      <c r="M1905" s="24" t="s">
        <v>54</v>
      </c>
      <c r="N1905" s="24" t="s">
        <v>178</v>
      </c>
      <c r="O1905" s="24" t="s">
        <v>88</v>
      </c>
      <c r="P1905" s="24" t="s">
        <v>136</v>
      </c>
      <c r="Q1905" s="24" t="s">
        <v>75</v>
      </c>
      <c r="R1905" s="24" t="s">
        <v>112</v>
      </c>
      <c r="S1905" s="24" t="s">
        <v>128</v>
      </c>
      <c r="T1905" s="24" t="s">
        <v>61</v>
      </c>
      <c r="U1905" s="24" t="s">
        <v>62</v>
      </c>
      <c r="V1905" s="24" t="s">
        <v>77</v>
      </c>
      <c r="W1905" s="24" t="s">
        <v>107</v>
      </c>
      <c r="X1905" s="24" t="s">
        <v>79</v>
      </c>
      <c r="Y1905" s="24" t="s">
        <v>437</v>
      </c>
      <c r="Z1905" s="24" t="s">
        <v>64</v>
      </c>
      <c r="AA1905" s="24" t="s">
        <v>160</v>
      </c>
      <c r="AB1905" s="24" t="s">
        <v>160</v>
      </c>
      <c r="AC1905" s="24" t="s">
        <v>5192</v>
      </c>
    </row>
    <row r="1906" spans="1:29">
      <c r="A1906" s="11" t="s">
        <v>5193</v>
      </c>
      <c r="B1906" s="11" t="str">
        <f>IF(ISNUMBER(SEARCH(E1906,A1906)),A1906,IF(OR(E1906="",E1906=""),A1906,A1906&amp;" - "&amp;E1906))</f>
        <v>avaay Signature 31/1 GOG - Gossip Gun</v>
      </c>
      <c r="C1906" s="30" t="s">
        <v>4601</v>
      </c>
      <c r="D1906" s="30" t="s">
        <v>572</v>
      </c>
      <c r="E1906" s="32" t="s">
        <v>5194</v>
      </c>
      <c r="F1906" s="40" t="s">
        <v>177</v>
      </c>
      <c r="G1906" s="34" t="s">
        <v>4488</v>
      </c>
      <c r="H1906" s="34" t="s">
        <v>65</v>
      </c>
      <c r="I1906" s="30" t="s">
        <v>0</v>
      </c>
      <c r="J1906" s="30" t="s">
        <v>0</v>
      </c>
      <c r="K1906" s="30" t="s">
        <v>52</v>
      </c>
      <c r="L1906" s="30" t="s">
        <v>53</v>
      </c>
      <c r="M1906" s="30" t="s">
        <v>121</v>
      </c>
      <c r="N1906" s="30" t="s">
        <v>72</v>
      </c>
      <c r="O1906" s="30" t="s">
        <v>88</v>
      </c>
      <c r="P1906" s="30" t="s">
        <v>58</v>
      </c>
      <c r="Q1906" s="30" t="s">
        <v>59</v>
      </c>
      <c r="R1906" s="30" t="s">
        <v>73</v>
      </c>
      <c r="S1906" s="30" t="s">
        <v>128</v>
      </c>
      <c r="T1906" s="30" t="s">
        <v>106</v>
      </c>
      <c r="U1906" s="30" t="s">
        <v>62</v>
      </c>
      <c r="V1906" s="30" t="s">
        <v>79</v>
      </c>
      <c r="W1906" s="30" t="s">
        <v>77</v>
      </c>
      <c r="X1906" s="30" t="s">
        <v>116</v>
      </c>
      <c r="Y1906" s="30" t="s">
        <v>400</v>
      </c>
      <c r="Z1906" s="30" t="s">
        <v>64</v>
      </c>
      <c r="AA1906" s="30" t="s">
        <v>572</v>
      </c>
      <c r="AB1906" s="30" t="s">
        <v>0</v>
      </c>
      <c r="AC1906" s="30" t="s">
        <v>5195</v>
      </c>
    </row>
    <row r="1907" spans="1:29">
      <c r="A1907" s="11" t="s">
        <v>5196</v>
      </c>
      <c r="B1907" s="11" t="str">
        <f>IF(ISNUMBER(SEARCH(E1907,A1907)),A1907,IF(OR(E1907="",E1907=""),A1907,A1907&amp;" - "&amp;E1907))</f>
        <v>TRUU GT 31:01 - Kush Cookies</v>
      </c>
      <c r="C1907" s="30" t="s">
        <v>484</v>
      </c>
      <c r="D1907" s="30" t="s">
        <v>485</v>
      </c>
      <c r="E1907" s="32" t="s">
        <v>5197</v>
      </c>
      <c r="F1907" s="40" t="s">
        <v>177</v>
      </c>
      <c r="G1907" s="34" t="s">
        <v>4164</v>
      </c>
      <c r="H1907" s="34">
        <v>1</v>
      </c>
      <c r="I1907" s="30" t="s">
        <v>0</v>
      </c>
      <c r="J1907" s="30" t="s">
        <v>0</v>
      </c>
      <c r="K1907" s="30" t="s">
        <v>52</v>
      </c>
      <c r="L1907" s="30" t="s">
        <v>53</v>
      </c>
      <c r="M1907" s="30" t="s">
        <v>54</v>
      </c>
      <c r="N1907" s="30" t="s">
        <v>88</v>
      </c>
      <c r="O1907" s="30" t="s">
        <v>121</v>
      </c>
      <c r="P1907" s="30" t="s">
        <v>59</v>
      </c>
      <c r="Q1907" s="30" t="s">
        <v>57</v>
      </c>
      <c r="R1907" s="30" t="s">
        <v>186</v>
      </c>
      <c r="S1907" s="30" t="s">
        <v>128</v>
      </c>
      <c r="T1907" s="30" t="s">
        <v>106</v>
      </c>
      <c r="U1907" s="30" t="s">
        <v>164</v>
      </c>
      <c r="V1907" s="30" t="s">
        <v>116</v>
      </c>
      <c r="W1907" s="30" t="s">
        <v>77</v>
      </c>
      <c r="X1907" s="30" t="s">
        <v>138</v>
      </c>
      <c r="Y1907" s="30" t="s">
        <v>539</v>
      </c>
      <c r="Z1907" s="30" t="s">
        <v>64</v>
      </c>
      <c r="AA1907" s="30" t="s">
        <v>485</v>
      </c>
      <c r="AB1907" s="30" t="s">
        <v>0</v>
      </c>
      <c r="AC1907" s="30" t="s">
        <v>5198</v>
      </c>
    </row>
    <row r="1908" spans="1:29">
      <c r="A1908" s="11" t="s">
        <v>5199</v>
      </c>
      <c r="B1908" s="11" t="str">
        <f>IF(ISNUMBER(SEARCH(E1908,A1908)),A1908,IF(OR(E1908="",E1908=""),A1908,A1908&amp;" - "&amp;E1908))</f>
        <v>Cannamedical Hybrid Forte 24/1 - Garlic Truffle</v>
      </c>
      <c r="C1908" s="24" t="s">
        <v>48</v>
      </c>
      <c r="D1908" s="24" t="s">
        <v>49</v>
      </c>
      <c r="E1908" s="26" t="s">
        <v>4510</v>
      </c>
      <c r="F1908" s="41" t="s">
        <v>86</v>
      </c>
      <c r="G1908" s="27" t="s">
        <v>448</v>
      </c>
      <c r="H1908" s="27" t="s">
        <v>65</v>
      </c>
      <c r="I1908" s="24" t="s">
        <v>0</v>
      </c>
      <c r="J1908" s="24" t="s">
        <v>0</v>
      </c>
      <c r="K1908" s="24" t="s">
        <v>17</v>
      </c>
      <c r="L1908" s="24" t="s">
        <v>87</v>
      </c>
      <c r="M1908" s="24" t="s">
        <v>121</v>
      </c>
      <c r="N1908" s="24" t="s">
        <v>72</v>
      </c>
      <c r="O1908" s="24" t="s">
        <v>0</v>
      </c>
      <c r="P1908" s="24" t="s">
        <v>75</v>
      </c>
      <c r="Q1908" s="24" t="s">
        <v>104</v>
      </c>
      <c r="R1908" s="24" t="s">
        <v>0</v>
      </c>
      <c r="S1908" s="24" t="s">
        <v>106</v>
      </c>
      <c r="T1908" s="24" t="s">
        <v>62</v>
      </c>
      <c r="U1908" s="24" t="s">
        <v>147</v>
      </c>
      <c r="V1908" s="24" t="s">
        <v>107</v>
      </c>
      <c r="W1908" s="24" t="s">
        <v>116</v>
      </c>
      <c r="X1908" s="24" t="s">
        <v>138</v>
      </c>
      <c r="Y1908" s="24" t="s">
        <v>1132</v>
      </c>
      <c r="Z1908" s="24" t="s">
        <v>64</v>
      </c>
      <c r="AA1908" s="24" t="s">
        <v>49</v>
      </c>
      <c r="AB1908" s="24" t="s">
        <v>0</v>
      </c>
      <c r="AC1908" s="24" t="s">
        <v>5200</v>
      </c>
    </row>
    <row r="1909" spans="1:29">
      <c r="A1909" s="12" t="s">
        <v>5201</v>
      </c>
      <c r="B1909" s="12" t="s">
        <v>5201</v>
      </c>
      <c r="C1909" s="24"/>
      <c r="D1909" s="25"/>
      <c r="E1909" s="26"/>
      <c r="F1909" s="41"/>
      <c r="G1909" s="27"/>
      <c r="H1909" s="28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 t="s">
        <v>64</v>
      </c>
      <c r="AA1909" s="24"/>
      <c r="AB1909" s="24"/>
      <c r="AC1909" s="24"/>
    </row>
    <row r="1910" spans="1:29">
      <c r="A1910" s="11" t="s">
        <v>5202</v>
      </c>
      <c r="B1910" s="11" t="str">
        <f>IF(ISNUMBER(SEARCH(E1910,A1910)),A1910,IF(OR(E1910="",E1910=""),A1910,A1910&amp;" - "&amp;E1910))</f>
        <v>Remexian 27/1 BBR CRS - Crossbow</v>
      </c>
      <c r="C1910" s="30" t="s">
        <v>83</v>
      </c>
      <c r="D1910" s="30" t="s">
        <v>95</v>
      </c>
      <c r="E1910" s="32" t="s">
        <v>5004</v>
      </c>
      <c r="F1910" s="40" t="s">
        <v>86</v>
      </c>
      <c r="G1910" s="34" t="s">
        <v>4164</v>
      </c>
      <c r="H1910" s="34" t="s">
        <v>65</v>
      </c>
      <c r="I1910" s="30" t="s">
        <v>0</v>
      </c>
      <c r="J1910" s="30" t="s">
        <v>0</v>
      </c>
      <c r="K1910" s="30" t="s">
        <v>52</v>
      </c>
      <c r="L1910" s="30" t="s">
        <v>53</v>
      </c>
      <c r="M1910" s="30" t="s">
        <v>88</v>
      </c>
      <c r="N1910" s="30" t="s">
        <v>71</v>
      </c>
      <c r="O1910" s="30" t="s">
        <v>72</v>
      </c>
      <c r="P1910" s="30" t="s">
        <v>104</v>
      </c>
      <c r="Q1910" s="30" t="s">
        <v>73</v>
      </c>
      <c r="R1910" s="30" t="s">
        <v>89</v>
      </c>
      <c r="S1910" s="30" t="s">
        <v>128</v>
      </c>
      <c r="T1910" s="30" t="s">
        <v>106</v>
      </c>
      <c r="U1910" s="30" t="s">
        <v>164</v>
      </c>
      <c r="V1910" s="30" t="s">
        <v>77</v>
      </c>
      <c r="W1910" s="30" t="s">
        <v>138</v>
      </c>
      <c r="X1910" s="30" t="s">
        <v>93</v>
      </c>
      <c r="Y1910" s="30" t="s">
        <v>240</v>
      </c>
      <c r="Z1910" s="30" t="s">
        <v>64</v>
      </c>
      <c r="AA1910" s="30" t="s">
        <v>95</v>
      </c>
      <c r="AB1910" s="30" t="s">
        <v>0</v>
      </c>
      <c r="AC1910" s="30" t="s">
        <v>5203</v>
      </c>
    </row>
    <row r="1911" spans="1:29">
      <c r="A1911" s="11" t="s">
        <v>5196</v>
      </c>
      <c r="B1911" s="11" t="str">
        <f>IF(ISNUMBER(SEARCH(E1911,A1911)),A1911,IF(OR(E1911="",E1911=""),A1911,A1911&amp;" - "&amp;E1911))</f>
        <v>TRUU GT 31:01 - Cookies OG</v>
      </c>
      <c r="C1911" s="24" t="s">
        <v>484</v>
      </c>
      <c r="D1911" s="24" t="s">
        <v>485</v>
      </c>
      <c r="E1911" s="26" t="s">
        <v>5204</v>
      </c>
      <c r="F1911" s="41" t="s">
        <v>86</v>
      </c>
      <c r="G1911" s="27" t="s">
        <v>4164</v>
      </c>
      <c r="H1911" s="27">
        <v>1</v>
      </c>
      <c r="I1911" s="24" t="s">
        <v>0</v>
      </c>
      <c r="J1911" s="24" t="s">
        <v>0</v>
      </c>
      <c r="K1911" s="24" t="s">
        <v>52</v>
      </c>
      <c r="L1911" s="24" t="s">
        <v>53</v>
      </c>
      <c r="M1911" s="24" t="s">
        <v>121</v>
      </c>
      <c r="N1911" s="24" t="s">
        <v>72</v>
      </c>
      <c r="O1911" s="24" t="s">
        <v>0</v>
      </c>
      <c r="P1911" s="24" t="s">
        <v>89</v>
      </c>
      <c r="Q1911" s="24" t="s">
        <v>157</v>
      </c>
      <c r="R1911" s="24" t="s">
        <v>113</v>
      </c>
      <c r="S1911" s="24" t="s">
        <v>128</v>
      </c>
      <c r="T1911" s="24" t="s">
        <v>62</v>
      </c>
      <c r="U1911" s="24" t="s">
        <v>164</v>
      </c>
      <c r="V1911" s="24" t="s">
        <v>79</v>
      </c>
      <c r="W1911" s="24" t="s">
        <v>116</v>
      </c>
      <c r="X1911" s="24" t="s">
        <v>107</v>
      </c>
      <c r="Y1911" s="24" t="s">
        <v>1274</v>
      </c>
      <c r="Z1911" s="24" t="s">
        <v>64</v>
      </c>
      <c r="AA1911" s="24" t="s">
        <v>485</v>
      </c>
      <c r="AB1911" s="24" t="s">
        <v>5205</v>
      </c>
      <c r="AC1911" s="24" t="s">
        <v>5206</v>
      </c>
    </row>
    <row r="1912" spans="1:29">
      <c r="A1912" s="11" t="s">
        <v>5207</v>
      </c>
      <c r="B1912" s="11" t="str">
        <f>IF(ISNUMBER(SEARCH(E1912,A1912)),A1912,IF(OR(E1912="",E1912=""),A1912,A1912&amp;" - "&amp;E1912))</f>
        <v>Botanics Orient Bazaar 20/1 - Sherbz</v>
      </c>
      <c r="C1912" s="30" t="s">
        <v>141</v>
      </c>
      <c r="D1912" s="30" t="s">
        <v>149</v>
      </c>
      <c r="E1912" s="32" t="s">
        <v>5208</v>
      </c>
      <c r="F1912" s="40" t="s">
        <v>86</v>
      </c>
      <c r="G1912" s="34" t="s">
        <v>460</v>
      </c>
      <c r="H1912" s="34">
        <v>1</v>
      </c>
      <c r="I1912" s="30" t="s">
        <v>0</v>
      </c>
      <c r="J1912" s="30" t="s">
        <v>0</v>
      </c>
      <c r="K1912" s="30" t="s">
        <v>52</v>
      </c>
      <c r="L1912" s="30" t="s">
        <v>965</v>
      </c>
      <c r="M1912" s="30" t="s">
        <v>54</v>
      </c>
      <c r="N1912" s="30" t="s">
        <v>72</v>
      </c>
      <c r="O1912" s="30" t="s">
        <v>88</v>
      </c>
      <c r="P1912" s="30" t="s">
        <v>157</v>
      </c>
      <c r="Q1912" s="30" t="s">
        <v>73</v>
      </c>
      <c r="R1912" s="30" t="s">
        <v>57</v>
      </c>
      <c r="S1912" s="30" t="s">
        <v>106</v>
      </c>
      <c r="T1912" s="30" t="s">
        <v>62</v>
      </c>
      <c r="U1912" s="30" t="s">
        <v>147</v>
      </c>
      <c r="V1912" s="30" t="s">
        <v>116</v>
      </c>
      <c r="W1912" s="30" t="s">
        <v>77</v>
      </c>
      <c r="X1912" s="30" t="s">
        <v>0</v>
      </c>
      <c r="Y1912" s="30" t="s">
        <v>213</v>
      </c>
      <c r="Z1912" s="30" t="s">
        <v>64</v>
      </c>
      <c r="AA1912" s="30" t="s">
        <v>149</v>
      </c>
      <c r="AB1912" s="30" t="s">
        <v>5168</v>
      </c>
      <c r="AC1912" s="30" t="s">
        <v>5209</v>
      </c>
    </row>
    <row r="1913" spans="1:29">
      <c r="A1913" s="11" t="s">
        <v>5210</v>
      </c>
      <c r="B1913" s="11" t="str">
        <f>IF(ISNUMBER(SEARCH(E1913,A1913)),A1913,IF(OR(E1913="",E1913=""),A1913,A1913&amp;" - "&amp;E1913))</f>
        <v>Social Choice 21/1 LUX - OMG</v>
      </c>
      <c r="C1913" s="24" t="s">
        <v>83</v>
      </c>
      <c r="D1913" s="24" t="s">
        <v>95</v>
      </c>
      <c r="E1913" s="26" t="s">
        <v>5211</v>
      </c>
      <c r="F1913" s="41" t="s">
        <v>177</v>
      </c>
      <c r="G1913" s="27" t="s">
        <v>452</v>
      </c>
      <c r="H1913" s="27" t="s">
        <v>65</v>
      </c>
      <c r="I1913" s="24" t="s">
        <v>0</v>
      </c>
      <c r="J1913" s="24" t="s">
        <v>0</v>
      </c>
      <c r="K1913" s="24" t="s">
        <v>52</v>
      </c>
      <c r="L1913" s="24" t="s">
        <v>5212</v>
      </c>
      <c r="M1913" s="24" t="s">
        <v>121</v>
      </c>
      <c r="N1913" s="24" t="s">
        <v>88</v>
      </c>
      <c r="O1913" s="24" t="s">
        <v>72</v>
      </c>
      <c r="P1913" s="24" t="s">
        <v>113</v>
      </c>
      <c r="Q1913" s="24" t="s">
        <v>58</v>
      </c>
      <c r="R1913" s="24" t="s">
        <v>59</v>
      </c>
      <c r="S1913" s="24" t="s">
        <v>106</v>
      </c>
      <c r="T1913" s="24" t="s">
        <v>62</v>
      </c>
      <c r="U1913" s="24" t="s">
        <v>91</v>
      </c>
      <c r="V1913" s="24" t="s">
        <v>93</v>
      </c>
      <c r="W1913" s="24" t="s">
        <v>107</v>
      </c>
      <c r="X1913" s="24" t="s">
        <v>116</v>
      </c>
      <c r="Y1913" s="24" t="s">
        <v>367</v>
      </c>
      <c r="Z1913" s="24" t="s">
        <v>64</v>
      </c>
      <c r="AA1913" s="24" t="s">
        <v>95</v>
      </c>
      <c r="AB1913" s="24" t="s">
        <v>0</v>
      </c>
      <c r="AC1913" s="24" t="s">
        <v>5213</v>
      </c>
    </row>
    <row r="1914" spans="1:29">
      <c r="A1914" s="11" t="s">
        <v>5214</v>
      </c>
      <c r="B1914" s="11" t="str">
        <f>IF(ISNUMBER(SEARCH(E1914,A1914)),A1914,IF(OR(E1914="",E1914=""),A1914,A1914&amp;" - "&amp;E1914))</f>
        <v>Social Choice 24/1 SEN GTH - Ghost Train Haze</v>
      </c>
      <c r="C1914" s="30" t="s">
        <v>83</v>
      </c>
      <c r="D1914" s="30" t="s">
        <v>95</v>
      </c>
      <c r="E1914" s="32" t="s">
        <v>343</v>
      </c>
      <c r="F1914" s="40" t="s">
        <v>144</v>
      </c>
      <c r="G1914" s="34" t="s">
        <v>448</v>
      </c>
      <c r="H1914" s="34" t="s">
        <v>65</v>
      </c>
      <c r="I1914" s="30" t="s">
        <v>0</v>
      </c>
      <c r="J1914" s="30" t="s">
        <v>0</v>
      </c>
      <c r="K1914" s="30" t="s">
        <v>52</v>
      </c>
      <c r="L1914" s="30" t="s">
        <v>53</v>
      </c>
      <c r="M1914" s="30" t="s">
        <v>55</v>
      </c>
      <c r="N1914" s="30" t="s">
        <v>111</v>
      </c>
      <c r="O1914" s="30" t="s">
        <v>178</v>
      </c>
      <c r="P1914" s="30" t="s">
        <v>75</v>
      </c>
      <c r="Q1914" s="30" t="s">
        <v>59</v>
      </c>
      <c r="R1914" s="30" t="s">
        <v>146</v>
      </c>
      <c r="S1914" s="30" t="s">
        <v>90</v>
      </c>
      <c r="T1914" s="30" t="s">
        <v>106</v>
      </c>
      <c r="U1914" s="30" t="s">
        <v>147</v>
      </c>
      <c r="V1914" s="30" t="s">
        <v>107</v>
      </c>
      <c r="W1914" s="30" t="s">
        <v>77</v>
      </c>
      <c r="X1914" s="30" t="s">
        <v>79</v>
      </c>
      <c r="Y1914" s="30" t="s">
        <v>453</v>
      </c>
      <c r="Z1914" s="30" t="s">
        <v>64</v>
      </c>
      <c r="AA1914" s="30" t="s">
        <v>95</v>
      </c>
      <c r="AB1914" s="30" t="s">
        <v>0</v>
      </c>
      <c r="AC1914" s="30" t="s">
        <v>5215</v>
      </c>
    </row>
    <row r="1915" spans="1:29">
      <c r="A1915" s="11" t="s">
        <v>5216</v>
      </c>
      <c r="B1915" s="11" t="str">
        <f>IF(ISNUMBER(SEARCH(E1915,A1915)),A1915,IF(OR(E1915="",E1915=""),A1915,A1915&amp;" - "&amp;E1915))</f>
        <v>BRIAH Cannabis 27/1 Gorilla Glue Forte</v>
      </c>
      <c r="C1915" s="24" t="s">
        <v>5217</v>
      </c>
      <c r="D1915" s="24" t="s">
        <v>5218</v>
      </c>
      <c r="E1915" s="26" t="s">
        <v>363</v>
      </c>
      <c r="F1915" s="41" t="s">
        <v>177</v>
      </c>
      <c r="G1915" s="27" t="s">
        <v>26</v>
      </c>
      <c r="H1915" s="27" t="s">
        <v>65</v>
      </c>
      <c r="I1915" s="24" t="s">
        <v>0</v>
      </c>
      <c r="J1915" s="24" t="s">
        <v>0</v>
      </c>
      <c r="K1915" s="24" t="s">
        <v>52</v>
      </c>
      <c r="L1915" s="24" t="s">
        <v>102</v>
      </c>
      <c r="M1915" s="24" t="s">
        <v>121</v>
      </c>
      <c r="N1915" s="24" t="s">
        <v>72</v>
      </c>
      <c r="O1915" s="24" t="s">
        <v>103</v>
      </c>
      <c r="P1915" s="24" t="s">
        <v>59</v>
      </c>
      <c r="Q1915" s="24" t="s">
        <v>146</v>
      </c>
      <c r="R1915" s="24" t="s">
        <v>74</v>
      </c>
      <c r="S1915" s="24" t="s">
        <v>164</v>
      </c>
      <c r="T1915" s="24" t="s">
        <v>123</v>
      </c>
      <c r="U1915" s="24" t="s">
        <v>91</v>
      </c>
      <c r="V1915" s="24" t="s">
        <v>107</v>
      </c>
      <c r="W1915" s="24" t="s">
        <v>77</v>
      </c>
      <c r="X1915" s="24" t="s">
        <v>1242</v>
      </c>
      <c r="Y1915" s="24" t="s">
        <v>2894</v>
      </c>
      <c r="Z1915" s="24" t="s">
        <v>64</v>
      </c>
      <c r="AA1915" s="24" t="s">
        <v>5218</v>
      </c>
      <c r="AB1915" s="24" t="s">
        <v>0</v>
      </c>
      <c r="AC1915" s="24" t="s">
        <v>5219</v>
      </c>
    </row>
    <row r="1916" spans="1:29">
      <c r="A1916" s="11" t="s">
        <v>5220</v>
      </c>
      <c r="B1916" s="11" t="str">
        <f>IF(ISNUMBER(SEARCH(E1916,A1916)),A1916,IF(OR(E1916="",E1916=""),A1916,A1916&amp;" - "&amp;E1916))</f>
        <v>Green Karat RO 31/1 PT - Runtz OG</v>
      </c>
      <c r="C1916" s="30" t="s">
        <v>564</v>
      </c>
      <c r="D1916" s="30" t="s">
        <v>565</v>
      </c>
      <c r="E1916" s="32" t="s">
        <v>1068</v>
      </c>
      <c r="F1916" s="40" t="s">
        <v>86</v>
      </c>
      <c r="G1916" s="34" t="s">
        <v>4488</v>
      </c>
      <c r="H1916" s="34">
        <v>1</v>
      </c>
      <c r="I1916" s="30" t="s">
        <v>0</v>
      </c>
      <c r="J1916" s="30" t="s">
        <v>0</v>
      </c>
      <c r="K1916" s="30" t="s">
        <v>52</v>
      </c>
      <c r="L1916" s="30" t="s">
        <v>53</v>
      </c>
      <c r="M1916" s="30" t="s">
        <v>55</v>
      </c>
      <c r="N1916" s="30" t="s">
        <v>72</v>
      </c>
      <c r="O1916" s="30" t="s">
        <v>0</v>
      </c>
      <c r="P1916" s="30" t="s">
        <v>58</v>
      </c>
      <c r="Q1916" s="30" t="s">
        <v>59</v>
      </c>
      <c r="R1916" s="30" t="s">
        <v>89</v>
      </c>
      <c r="S1916" s="30" t="s">
        <v>106</v>
      </c>
      <c r="T1916" s="30" t="s">
        <v>62</v>
      </c>
      <c r="U1916" s="30" t="s">
        <v>123</v>
      </c>
      <c r="V1916" s="30" t="s">
        <v>173</v>
      </c>
      <c r="W1916" s="30" t="s">
        <v>107</v>
      </c>
      <c r="X1916" s="30" t="s">
        <v>93</v>
      </c>
      <c r="Y1916" s="30" t="s">
        <v>1292</v>
      </c>
      <c r="Z1916" s="30" t="s">
        <v>64</v>
      </c>
      <c r="AA1916" s="30" t="s">
        <v>565</v>
      </c>
      <c r="AB1916" s="30" t="s">
        <v>699</v>
      </c>
      <c r="AC1916" s="30" t="s">
        <v>5221</v>
      </c>
    </row>
    <row r="1917" spans="1:29">
      <c r="A1917" s="11" t="s">
        <v>5222</v>
      </c>
      <c r="B1917" s="11" t="str">
        <f>IF(ISNUMBER(SEARCH(E1917,A1917)),A1917,IF(OR(E1917="",E1917=""),A1917,A1917&amp;" - "&amp;E1917))</f>
        <v>Botanics Velvet Twister 20/1 - Candy Cartel</v>
      </c>
      <c r="C1917" s="24" t="s">
        <v>141</v>
      </c>
      <c r="D1917" s="24" t="s">
        <v>149</v>
      </c>
      <c r="E1917" s="26" t="s">
        <v>5223</v>
      </c>
      <c r="F1917" s="41" t="s">
        <v>86</v>
      </c>
      <c r="G1917" s="27" t="s">
        <v>460</v>
      </c>
      <c r="H1917" s="27">
        <v>1</v>
      </c>
      <c r="I1917" s="24" t="s">
        <v>0</v>
      </c>
      <c r="J1917" s="24" t="s">
        <v>0</v>
      </c>
      <c r="K1917" s="24" t="s">
        <v>52</v>
      </c>
      <c r="L1917" s="24" t="s">
        <v>965</v>
      </c>
      <c r="M1917" s="24" t="s">
        <v>121</v>
      </c>
      <c r="N1917" s="24" t="s">
        <v>72</v>
      </c>
      <c r="O1917" s="24" t="s">
        <v>88</v>
      </c>
      <c r="P1917" s="24" t="s">
        <v>104</v>
      </c>
      <c r="Q1917" s="24" t="s">
        <v>75</v>
      </c>
      <c r="R1917" s="24" t="s">
        <v>89</v>
      </c>
      <c r="S1917" s="24" t="s">
        <v>106</v>
      </c>
      <c r="T1917" s="24" t="s">
        <v>62</v>
      </c>
      <c r="U1917" s="24" t="s">
        <v>147</v>
      </c>
      <c r="V1917" s="24" t="s">
        <v>93</v>
      </c>
      <c r="W1917" s="24" t="s">
        <v>79</v>
      </c>
      <c r="X1917" s="24" t="s">
        <v>116</v>
      </c>
      <c r="Y1917" s="24" t="s">
        <v>213</v>
      </c>
      <c r="Z1917" s="24" t="s">
        <v>64</v>
      </c>
      <c r="AA1917" s="24" t="s">
        <v>149</v>
      </c>
      <c r="AB1917" s="24" t="s">
        <v>5168</v>
      </c>
      <c r="AC1917" s="24" t="s">
        <v>5224</v>
      </c>
    </row>
    <row r="1918" spans="1:29">
      <c r="A1918" s="11" t="s">
        <v>5225</v>
      </c>
      <c r="B1918" s="11" t="str">
        <f>IF(ISNUMBER(SEARCH(E1918,A1918)),A1918,IF(OR(E1918="",E1918=""),A1918,A1918&amp;" - "&amp;E1918))</f>
        <v>enua 25/1 ANF CA - Animal Face</v>
      </c>
      <c r="C1918" s="30" t="s">
        <v>650</v>
      </c>
      <c r="D1918" s="30" t="s">
        <v>653</v>
      </c>
      <c r="E1918" s="32" t="s">
        <v>1653</v>
      </c>
      <c r="F1918" s="40" t="s">
        <v>144</v>
      </c>
      <c r="G1918" s="34" t="s">
        <v>26</v>
      </c>
      <c r="H1918" s="34" t="s">
        <v>65</v>
      </c>
      <c r="I1918" s="30" t="s">
        <v>0</v>
      </c>
      <c r="J1918" s="30" t="s">
        <v>0</v>
      </c>
      <c r="K1918" s="30" t="s">
        <v>52</v>
      </c>
      <c r="L1918" s="30" t="s">
        <v>53</v>
      </c>
      <c r="M1918" s="30" t="s">
        <v>111</v>
      </c>
      <c r="N1918" s="30" t="s">
        <v>88</v>
      </c>
      <c r="O1918" s="30" t="s">
        <v>72</v>
      </c>
      <c r="P1918" s="30" t="s">
        <v>57</v>
      </c>
      <c r="Q1918" s="30" t="s">
        <v>146</v>
      </c>
      <c r="R1918" s="30" t="s">
        <v>59</v>
      </c>
      <c r="S1918" s="30" t="s">
        <v>128</v>
      </c>
      <c r="T1918" s="30" t="s">
        <v>61</v>
      </c>
      <c r="U1918" s="30" t="s">
        <v>62</v>
      </c>
      <c r="V1918" s="30" t="s">
        <v>116</v>
      </c>
      <c r="W1918" s="30" t="s">
        <v>107</v>
      </c>
      <c r="X1918" s="30" t="s">
        <v>77</v>
      </c>
      <c r="Y1918" s="30" t="s">
        <v>539</v>
      </c>
      <c r="Z1918" s="30" t="s">
        <v>64</v>
      </c>
      <c r="AA1918" s="30" t="s">
        <v>653</v>
      </c>
      <c r="AB1918" s="30" t="s">
        <v>0</v>
      </c>
      <c r="AC1918" s="30" t="s">
        <v>5226</v>
      </c>
    </row>
    <row r="1919" spans="1:29">
      <c r="A1919" s="11" t="s">
        <v>5227</v>
      </c>
      <c r="B1919" s="11" t="str">
        <f>IF(ISNUMBER(SEARCH(E1919,A1919)),A1919,IF(OR(E1919="",E1919=""),A1919,A1919&amp;" - "&amp;E1919))</f>
        <v>TruHC LL 22 - Legendary Larry</v>
      </c>
      <c r="C1919" s="24" t="s">
        <v>463</v>
      </c>
      <c r="D1919" s="24" t="s">
        <v>468</v>
      </c>
      <c r="E1919" s="26" t="s">
        <v>746</v>
      </c>
      <c r="F1919" s="41" t="s">
        <v>177</v>
      </c>
      <c r="G1919" s="27" t="s">
        <v>4126</v>
      </c>
      <c r="H1919" s="27">
        <v>1</v>
      </c>
      <c r="I1919" s="24" t="s">
        <v>0</v>
      </c>
      <c r="J1919" s="24" t="s">
        <v>0</v>
      </c>
      <c r="K1919" s="24" t="s">
        <v>52</v>
      </c>
      <c r="L1919" s="24" t="s">
        <v>53</v>
      </c>
      <c r="M1919" s="24" t="s">
        <v>72</v>
      </c>
      <c r="N1919" s="24" t="s">
        <v>0</v>
      </c>
      <c r="O1919" s="24" t="s">
        <v>0</v>
      </c>
      <c r="P1919" s="24" t="s">
        <v>59</v>
      </c>
      <c r="Q1919" s="24" t="s">
        <v>75</v>
      </c>
      <c r="R1919" s="24" t="s">
        <v>74</v>
      </c>
      <c r="S1919" s="24" t="s">
        <v>106</v>
      </c>
      <c r="T1919" s="24" t="s">
        <v>123</v>
      </c>
      <c r="U1919" s="24" t="s">
        <v>192</v>
      </c>
      <c r="V1919" s="24" t="s">
        <v>165</v>
      </c>
      <c r="W1919" s="24" t="s">
        <v>107</v>
      </c>
      <c r="X1919" s="24" t="s">
        <v>116</v>
      </c>
      <c r="Y1919" s="24" t="s">
        <v>3442</v>
      </c>
      <c r="Z1919" s="24" t="s">
        <v>64</v>
      </c>
      <c r="AA1919" s="24" t="s">
        <v>468</v>
      </c>
      <c r="AB1919" s="24" t="s">
        <v>0</v>
      </c>
      <c r="AC1919" s="24" t="s">
        <v>5228</v>
      </c>
    </row>
    <row r="1920" spans="1:29">
      <c r="A1920" s="11" t="s">
        <v>5229</v>
      </c>
      <c r="B1920" s="11" t="str">
        <f>IF(ISNUMBER(SEARCH(E1920,A1920)),A1920,IF(OR(E1920="",E1920=""),A1920,A1920&amp;" - "&amp;E1920))</f>
        <v>TruHC LL 25 - Legendary Larry</v>
      </c>
      <c r="C1920" s="30" t="s">
        <v>463</v>
      </c>
      <c r="D1920" s="30" t="s">
        <v>468</v>
      </c>
      <c r="E1920" s="32" t="s">
        <v>746</v>
      </c>
      <c r="F1920" s="40" t="s">
        <v>177</v>
      </c>
      <c r="G1920" s="34" t="s">
        <v>448</v>
      </c>
      <c r="H1920" s="34">
        <v>1</v>
      </c>
      <c r="I1920" s="30" t="s">
        <v>0</v>
      </c>
      <c r="J1920" s="30" t="s">
        <v>0</v>
      </c>
      <c r="K1920" s="30" t="s">
        <v>52</v>
      </c>
      <c r="L1920" s="30" t="s">
        <v>53</v>
      </c>
      <c r="M1920" s="30" t="s">
        <v>72</v>
      </c>
      <c r="N1920" s="30" t="s">
        <v>0</v>
      </c>
      <c r="O1920" s="30" t="s">
        <v>0</v>
      </c>
      <c r="P1920" s="30" t="s">
        <v>59</v>
      </c>
      <c r="Q1920" s="30" t="s">
        <v>75</v>
      </c>
      <c r="R1920" s="30" t="s">
        <v>74</v>
      </c>
      <c r="S1920" s="30" t="s">
        <v>106</v>
      </c>
      <c r="T1920" s="30" t="s">
        <v>123</v>
      </c>
      <c r="U1920" s="30" t="s">
        <v>192</v>
      </c>
      <c r="V1920" s="30" t="s">
        <v>165</v>
      </c>
      <c r="W1920" s="30" t="s">
        <v>107</v>
      </c>
      <c r="X1920" s="30" t="s">
        <v>116</v>
      </c>
      <c r="Y1920" s="30" t="s">
        <v>220</v>
      </c>
      <c r="Z1920" s="30" t="s">
        <v>64</v>
      </c>
      <c r="AA1920" s="30" t="s">
        <v>468</v>
      </c>
      <c r="AB1920" s="30" t="s">
        <v>0</v>
      </c>
      <c r="AC1920" s="30" t="s">
        <v>5230</v>
      </c>
    </row>
    <row r="1921" spans="1:29">
      <c r="A1921" s="11" t="s">
        <v>5231</v>
      </c>
      <c r="B1921" s="11" t="str">
        <f>IF(ISNUMBER(SEARCH(E1921,A1921)),A1921,IF(OR(E1921="",E1921=""),A1921,A1921&amp;" - "&amp;E1921))</f>
        <v>IMC PPMK THC25 - Mountain Kush</v>
      </c>
      <c r="C1921" s="24" t="s">
        <v>646</v>
      </c>
      <c r="D1921" s="24" t="s">
        <v>646</v>
      </c>
      <c r="E1921" s="26" t="s">
        <v>5232</v>
      </c>
      <c r="F1921" s="41" t="s">
        <v>86</v>
      </c>
      <c r="G1921" s="27" t="s">
        <v>26</v>
      </c>
      <c r="H1921" s="27">
        <v>1</v>
      </c>
      <c r="I1921" s="24" t="s">
        <v>0</v>
      </c>
      <c r="J1921" s="24" t="s">
        <v>0</v>
      </c>
      <c r="K1921" s="24" t="s">
        <v>52</v>
      </c>
      <c r="L1921" s="24" t="s">
        <v>1506</v>
      </c>
      <c r="M1921" s="24" t="s">
        <v>121</v>
      </c>
      <c r="N1921" s="24" t="s">
        <v>72</v>
      </c>
      <c r="O1921" s="24" t="s">
        <v>0</v>
      </c>
      <c r="P1921" s="24" t="s">
        <v>58</v>
      </c>
      <c r="Q1921" s="24" t="s">
        <v>112</v>
      </c>
      <c r="R1921" s="24" t="s">
        <v>113</v>
      </c>
      <c r="S1921" s="24" t="s">
        <v>106</v>
      </c>
      <c r="T1921" s="24" t="s">
        <v>62</v>
      </c>
      <c r="U1921" s="24" t="s">
        <v>147</v>
      </c>
      <c r="V1921" s="24" t="s">
        <v>173</v>
      </c>
      <c r="W1921" s="24" t="s">
        <v>116</v>
      </c>
      <c r="X1921" s="24" t="s">
        <v>107</v>
      </c>
      <c r="Y1921" s="24" t="s">
        <v>5136</v>
      </c>
      <c r="Z1921" s="24" t="s">
        <v>64</v>
      </c>
      <c r="AA1921" s="24" t="s">
        <v>646</v>
      </c>
      <c r="AB1921" s="24" t="s">
        <v>0</v>
      </c>
      <c r="AC1921" s="24" t="s">
        <v>5233</v>
      </c>
    </row>
    <row r="1922" spans="1:29">
      <c r="A1922" s="11" t="s">
        <v>5234</v>
      </c>
      <c r="B1922" s="11" t="str">
        <f>IF(ISNUMBER(SEARCH(E1922,A1922)),A1922,IF(OR(E1922="",E1922=""),A1922,A1922&amp;" - "&amp;E1922))</f>
        <v>IMC PPMK THC20 - Mountain Kush</v>
      </c>
      <c r="C1922" s="30" t="s">
        <v>646</v>
      </c>
      <c r="D1922" s="30" t="s">
        <v>646</v>
      </c>
      <c r="E1922" s="32" t="s">
        <v>5232</v>
      </c>
      <c r="F1922" s="40" t="s">
        <v>86</v>
      </c>
      <c r="G1922" s="34" t="s">
        <v>460</v>
      </c>
      <c r="H1922" s="34">
        <v>1</v>
      </c>
      <c r="I1922" s="30" t="s">
        <v>0</v>
      </c>
      <c r="J1922" s="30" t="s">
        <v>0</v>
      </c>
      <c r="K1922" s="30" t="s">
        <v>52</v>
      </c>
      <c r="L1922" s="30" t="s">
        <v>1506</v>
      </c>
      <c r="M1922" s="30" t="s">
        <v>121</v>
      </c>
      <c r="N1922" s="30" t="s">
        <v>72</v>
      </c>
      <c r="O1922" s="30" t="s">
        <v>0</v>
      </c>
      <c r="P1922" s="30" t="s">
        <v>58</v>
      </c>
      <c r="Q1922" s="30" t="s">
        <v>112</v>
      </c>
      <c r="R1922" s="30" t="s">
        <v>113</v>
      </c>
      <c r="S1922" s="30" t="s">
        <v>106</v>
      </c>
      <c r="T1922" s="30" t="s">
        <v>62</v>
      </c>
      <c r="U1922" s="30" t="s">
        <v>147</v>
      </c>
      <c r="V1922" s="30" t="s">
        <v>173</v>
      </c>
      <c r="W1922" s="30" t="s">
        <v>116</v>
      </c>
      <c r="X1922" s="30" t="s">
        <v>107</v>
      </c>
      <c r="Y1922" s="30" t="s">
        <v>1139</v>
      </c>
      <c r="Z1922" s="30" t="s">
        <v>64</v>
      </c>
      <c r="AA1922" s="30" t="s">
        <v>646</v>
      </c>
      <c r="AB1922" s="30" t="s">
        <v>0</v>
      </c>
      <c r="AC1922" s="30" t="s">
        <v>5235</v>
      </c>
    </row>
    <row r="1923" spans="1:29">
      <c r="A1923" s="11" t="s">
        <v>5236</v>
      </c>
      <c r="B1923" s="11" t="str">
        <f>IF(ISNUMBER(SEARCH(E1923,A1923)),A1923,IF(OR(E1923="",E1923=""),A1923,A1923&amp;" - "&amp;E1923))</f>
        <v>NEDCANN GHC 22/01 - Chemical Bride</v>
      </c>
      <c r="C1923" s="24" t="s">
        <v>5237</v>
      </c>
      <c r="D1923" s="24" t="s">
        <v>5237</v>
      </c>
      <c r="E1923" s="26" t="s">
        <v>5238</v>
      </c>
      <c r="F1923" s="41" t="s">
        <v>177</v>
      </c>
      <c r="G1923" s="27" t="s">
        <v>4126</v>
      </c>
      <c r="H1923" s="27" t="s">
        <v>65</v>
      </c>
      <c r="I1923" s="24" t="s">
        <v>0</v>
      </c>
      <c r="J1923" s="24" t="s">
        <v>0</v>
      </c>
      <c r="K1923" s="24" t="s">
        <v>52</v>
      </c>
      <c r="L1923" s="24" t="s">
        <v>145</v>
      </c>
      <c r="M1923" s="24" t="s">
        <v>54</v>
      </c>
      <c r="N1923" s="24" t="s">
        <v>111</v>
      </c>
      <c r="O1923" s="24" t="s">
        <v>0</v>
      </c>
      <c r="P1923" s="24" t="s">
        <v>75</v>
      </c>
      <c r="Q1923" s="24" t="s">
        <v>89</v>
      </c>
      <c r="R1923" s="24" t="s">
        <v>57</v>
      </c>
      <c r="S1923" s="24" t="s">
        <v>179</v>
      </c>
      <c r="T1923" s="24" t="s">
        <v>61</v>
      </c>
      <c r="U1923" s="24" t="s">
        <v>76</v>
      </c>
      <c r="V1923" s="24" t="s">
        <v>79</v>
      </c>
      <c r="W1923" s="24" t="s">
        <v>116</v>
      </c>
      <c r="X1923" s="24" t="s">
        <v>77</v>
      </c>
      <c r="Y1923" s="24" t="s">
        <v>5239</v>
      </c>
      <c r="Z1923" s="24" t="s">
        <v>64</v>
      </c>
      <c r="AA1923" s="24" t="s">
        <v>5237</v>
      </c>
      <c r="AB1923" s="24" t="s">
        <v>0</v>
      </c>
      <c r="AC1923" s="24" t="s">
        <v>5240</v>
      </c>
    </row>
    <row r="1924" spans="1:29">
      <c r="A1924" s="60" t="s">
        <v>5241</v>
      </c>
      <c r="B1924" s="11" t="str">
        <f>IF(ISNUMBER(SEARCH(E1924,A1924)),A1924,IF(OR(E1924="",E1924=""),A1924,A1924&amp;" - "&amp;E1924))</f>
        <v>Luana 24/1 Sundae - Sour Sundae</v>
      </c>
      <c r="C1924" s="30" t="s">
        <v>48</v>
      </c>
      <c r="D1924" s="30" t="s">
        <v>49</v>
      </c>
      <c r="E1924" s="32" t="s">
        <v>5242</v>
      </c>
      <c r="F1924" s="40" t="s">
        <v>144</v>
      </c>
      <c r="G1924" s="34" t="s">
        <v>26</v>
      </c>
      <c r="H1924" s="34">
        <v>1</v>
      </c>
      <c r="I1924" s="30" t="s">
        <v>0</v>
      </c>
      <c r="J1924" s="30" t="s">
        <v>0</v>
      </c>
      <c r="K1924" s="30" t="s">
        <v>52</v>
      </c>
      <c r="L1924" s="30" t="s">
        <v>53</v>
      </c>
      <c r="M1924" s="30" t="s">
        <v>72</v>
      </c>
      <c r="N1924" s="30" t="s">
        <v>88</v>
      </c>
      <c r="O1924" s="30" t="s">
        <v>111</v>
      </c>
      <c r="P1924" s="30" t="s">
        <v>73</v>
      </c>
      <c r="Q1924" s="30" t="s">
        <v>75</v>
      </c>
      <c r="R1924" s="30" t="s">
        <v>58</v>
      </c>
      <c r="S1924" s="30" t="s">
        <v>106</v>
      </c>
      <c r="T1924" s="30" t="s">
        <v>147</v>
      </c>
      <c r="U1924" s="30" t="s">
        <v>224</v>
      </c>
      <c r="V1924" s="30" t="s">
        <v>129</v>
      </c>
      <c r="W1924" s="30" t="s">
        <v>107</v>
      </c>
      <c r="X1924" s="30" t="s">
        <v>79</v>
      </c>
      <c r="Y1924" s="30" t="s">
        <v>1175</v>
      </c>
      <c r="Z1924" s="30" t="s">
        <v>64</v>
      </c>
      <c r="AA1924" s="30" t="s">
        <v>49</v>
      </c>
      <c r="AB1924" s="30" t="s">
        <v>0</v>
      </c>
      <c r="AC1924" s="30" t="s">
        <v>5243</v>
      </c>
    </row>
    <row r="1925" spans="1:29">
      <c r="A1925" s="60" t="s">
        <v>5244</v>
      </c>
      <c r="B1925" s="11" t="str">
        <f>IF(ISNUMBER(SEARCH(E1925,A1925)),A1925,IF(OR(E1925="",E1925=""),A1925,A1925&amp;" - "&amp;E1925))</f>
        <v>Demecan Craft Cali 26:01 - Hawaiian Rain X Permanent Marker</v>
      </c>
      <c r="C1925" s="30" t="s">
        <v>484</v>
      </c>
      <c r="D1925" s="30" t="s">
        <v>485</v>
      </c>
      <c r="E1925" s="32" t="s">
        <v>1568</v>
      </c>
      <c r="F1925" s="40" t="s">
        <v>177</v>
      </c>
      <c r="G1925" s="34" t="s">
        <v>4086</v>
      </c>
      <c r="H1925" s="34" t="s">
        <v>65</v>
      </c>
      <c r="I1925" s="30" t="s">
        <v>0</v>
      </c>
      <c r="J1925" s="30" t="s">
        <v>0</v>
      </c>
      <c r="K1925" s="30" t="s">
        <v>52</v>
      </c>
      <c r="L1925" s="30" t="s">
        <v>53</v>
      </c>
      <c r="M1925" s="30" t="s">
        <v>54</v>
      </c>
      <c r="N1925" s="30" t="s">
        <v>71</v>
      </c>
      <c r="O1925" s="30" t="s">
        <v>72</v>
      </c>
      <c r="P1925" s="30" t="s">
        <v>73</v>
      </c>
      <c r="Q1925" s="30" t="s">
        <v>89</v>
      </c>
      <c r="R1925" s="30" t="s">
        <v>58</v>
      </c>
      <c r="S1925" s="30" t="s">
        <v>106</v>
      </c>
      <c r="T1925" s="30" t="s">
        <v>62</v>
      </c>
      <c r="U1925" s="30" t="s">
        <v>782</v>
      </c>
      <c r="V1925" s="30" t="s">
        <v>129</v>
      </c>
      <c r="W1925" s="30" t="s">
        <v>77</v>
      </c>
      <c r="X1925" s="30" t="s">
        <v>116</v>
      </c>
      <c r="Y1925" s="30" t="s">
        <v>311</v>
      </c>
      <c r="Z1925" s="30" t="s">
        <v>64</v>
      </c>
      <c r="AA1925" s="30" t="s">
        <v>485</v>
      </c>
      <c r="AB1925" s="30" t="s">
        <v>0</v>
      </c>
      <c r="AC1925" s="30" t="s">
        <v>5245</v>
      </c>
    </row>
    <row r="1926" spans="1:29">
      <c r="A1926" s="85" t="s">
        <v>5246</v>
      </c>
      <c r="B1926" s="11" t="str">
        <f>IF(ISNUMBER(SEARCH(E1926,A1926)),A1926,IF(OR(E1926="",E1926=""),A1926,A1926&amp;" - "&amp;E1926))</f>
        <v>Remexian 27/1 GCC BCJ - Biscotti Jealousy</v>
      </c>
      <c r="C1926" s="24" t="s">
        <v>83</v>
      </c>
      <c r="D1926" s="24" t="s">
        <v>95</v>
      </c>
      <c r="E1926" s="26" t="s">
        <v>5247</v>
      </c>
      <c r="F1926" s="41" t="s">
        <v>177</v>
      </c>
      <c r="G1926" s="27" t="s">
        <v>33</v>
      </c>
      <c r="H1926" s="27">
        <v>1</v>
      </c>
      <c r="I1926" s="24" t="s">
        <v>0</v>
      </c>
      <c r="J1926" s="24" t="s">
        <v>0</v>
      </c>
      <c r="K1926" s="24" t="s">
        <v>52</v>
      </c>
      <c r="L1926" s="24" t="s">
        <v>53</v>
      </c>
      <c r="M1926" s="24" t="s">
        <v>72</v>
      </c>
      <c r="N1926" s="24" t="s">
        <v>54</v>
      </c>
      <c r="O1926" s="24" t="s">
        <v>103</v>
      </c>
      <c r="P1926" s="24" t="s">
        <v>59</v>
      </c>
      <c r="Q1926" s="24" t="s">
        <v>57</v>
      </c>
      <c r="R1926" s="24" t="s">
        <v>89</v>
      </c>
      <c r="S1926" s="24" t="s">
        <v>106</v>
      </c>
      <c r="T1926" s="24" t="s">
        <v>62</v>
      </c>
      <c r="U1926" s="24" t="s">
        <v>123</v>
      </c>
      <c r="V1926" s="24" t="s">
        <v>77</v>
      </c>
      <c r="W1926" s="24" t="s">
        <v>116</v>
      </c>
      <c r="X1926" s="24" t="s">
        <v>138</v>
      </c>
      <c r="Y1926" s="24" t="s">
        <v>355</v>
      </c>
      <c r="Z1926" s="24" t="s">
        <v>64</v>
      </c>
      <c r="AA1926" s="24" t="s">
        <v>95</v>
      </c>
      <c r="AB1926" s="24" t="s">
        <v>0</v>
      </c>
      <c r="AC1926" s="24" t="s">
        <v>5248</v>
      </c>
    </row>
    <row r="1927" spans="1:29">
      <c r="A1927" s="85" t="s">
        <v>5249</v>
      </c>
      <c r="B1927" s="11" t="str">
        <f>IF(ISNUMBER(SEARCH(E1927,A1927)),A1927,IF(OR(E1927="",E1927=""),A1927,A1927&amp;" - "&amp;E1927))</f>
        <v>27/1 NICE CB - Cocoa Bomba</v>
      </c>
      <c r="C1927" s="24" t="s">
        <v>996</v>
      </c>
      <c r="D1927" s="24" t="s">
        <v>997</v>
      </c>
      <c r="E1927" s="26" t="s">
        <v>813</v>
      </c>
      <c r="F1927" s="41" t="s">
        <v>86</v>
      </c>
      <c r="G1927" s="27" t="s">
        <v>33</v>
      </c>
      <c r="H1927" s="27">
        <v>1</v>
      </c>
      <c r="I1927" s="24" t="s">
        <v>0</v>
      </c>
      <c r="J1927" s="24" t="s">
        <v>0</v>
      </c>
      <c r="K1927" s="24" t="s">
        <v>52</v>
      </c>
      <c r="L1927" s="24" t="s">
        <v>53</v>
      </c>
      <c r="M1927" s="24" t="s">
        <v>55</v>
      </c>
      <c r="N1927" s="24" t="s">
        <v>72</v>
      </c>
      <c r="O1927" s="24" t="s">
        <v>0</v>
      </c>
      <c r="P1927" s="24" t="s">
        <v>75</v>
      </c>
      <c r="Q1927" s="24" t="s">
        <v>59</v>
      </c>
      <c r="R1927" s="24" t="s">
        <v>74</v>
      </c>
      <c r="S1927" s="24" t="s">
        <v>90</v>
      </c>
      <c r="T1927" s="24" t="s">
        <v>114</v>
      </c>
      <c r="U1927" s="24" t="s">
        <v>60</v>
      </c>
      <c r="V1927" s="24" t="s">
        <v>208</v>
      </c>
      <c r="W1927" s="24" t="s">
        <v>77</v>
      </c>
      <c r="X1927" s="24" t="s">
        <v>173</v>
      </c>
      <c r="Y1927" s="24" t="s">
        <v>3436</v>
      </c>
      <c r="Z1927" s="24" t="s">
        <v>64</v>
      </c>
      <c r="AA1927" s="24" t="s">
        <v>997</v>
      </c>
      <c r="AB1927" s="24" t="s">
        <v>812</v>
      </c>
      <c r="AC1927" s="24" t="s">
        <v>5250</v>
      </c>
    </row>
    <row r="1928" spans="1:29">
      <c r="A1928" s="85" t="s">
        <v>5251</v>
      </c>
      <c r="B1928" s="11" t="str">
        <f>IF(ISNUMBER(SEARCH(E1928,A1928)),A1928,IF(OR(E1928="",E1928=""),A1928,A1928&amp;" - "&amp;E1928))</f>
        <v>enua 27/1 GTHZ - Ghost Train Haze</v>
      </c>
      <c r="C1928" s="24" t="s">
        <v>650</v>
      </c>
      <c r="D1928" s="24" t="s">
        <v>653</v>
      </c>
      <c r="E1928" s="26" t="s">
        <v>343</v>
      </c>
      <c r="F1928" s="41" t="s">
        <v>69</v>
      </c>
      <c r="G1928" s="27" t="s">
        <v>33</v>
      </c>
      <c r="H1928" s="27">
        <v>1</v>
      </c>
      <c r="I1928" s="24" t="s">
        <v>0</v>
      </c>
      <c r="J1928" s="24" t="s">
        <v>0</v>
      </c>
      <c r="K1928" s="24" t="s">
        <v>52</v>
      </c>
      <c r="L1928" s="24" t="s">
        <v>53</v>
      </c>
      <c r="M1928" s="24" t="s">
        <v>55</v>
      </c>
      <c r="N1928" s="24" t="s">
        <v>111</v>
      </c>
      <c r="O1928" s="24" t="s">
        <v>178</v>
      </c>
      <c r="P1928" s="24" t="s">
        <v>75</v>
      </c>
      <c r="Q1928" s="24" t="s">
        <v>59</v>
      </c>
      <c r="R1928" s="24" t="s">
        <v>146</v>
      </c>
      <c r="S1928" s="24" t="s">
        <v>90</v>
      </c>
      <c r="T1928" s="24" t="s">
        <v>106</v>
      </c>
      <c r="U1928" s="24" t="s">
        <v>61</v>
      </c>
      <c r="V1928" s="24" t="s">
        <v>107</v>
      </c>
      <c r="W1928" s="24" t="s">
        <v>77</v>
      </c>
      <c r="X1928" s="24" t="s">
        <v>79</v>
      </c>
      <c r="Y1928" s="24" t="s">
        <v>130</v>
      </c>
      <c r="Z1928" s="24" t="s">
        <v>64</v>
      </c>
      <c r="AA1928" s="24" t="s">
        <v>653</v>
      </c>
      <c r="AB1928" s="24" t="s">
        <v>0</v>
      </c>
      <c r="AC1928" s="24" t="s">
        <v>5252</v>
      </c>
    </row>
    <row r="1929" spans="1:29">
      <c r="A1929" s="60" t="s">
        <v>5253</v>
      </c>
      <c r="B1929" s="11" t="str">
        <f>IF(ISNUMBER(SEARCH(E1929,A1929)),A1929,IF(OR(E1929="",E1929=""),A1929,A1929&amp;" - "&amp;E1929))</f>
        <v>enua 25/1 USR CA Smalls - Ultra Sour</v>
      </c>
      <c r="C1929" s="30" t="s">
        <v>650</v>
      </c>
      <c r="D1929" s="30" t="s">
        <v>653</v>
      </c>
      <c r="E1929" s="32" t="s">
        <v>5254</v>
      </c>
      <c r="F1929" s="40" t="s">
        <v>144</v>
      </c>
      <c r="G1929" s="34" t="s">
        <v>26</v>
      </c>
      <c r="H1929" s="34" t="s">
        <v>65</v>
      </c>
      <c r="I1929" s="30" t="s">
        <v>0</v>
      </c>
      <c r="J1929" s="30" t="s">
        <v>0</v>
      </c>
      <c r="K1929" s="30" t="s">
        <v>52</v>
      </c>
      <c r="L1929" s="30" t="s">
        <v>53</v>
      </c>
      <c r="M1929" s="30" t="s">
        <v>72</v>
      </c>
      <c r="N1929" s="30" t="s">
        <v>55</v>
      </c>
      <c r="O1929" s="30" t="s">
        <v>0</v>
      </c>
      <c r="P1929" s="30" t="s">
        <v>59</v>
      </c>
      <c r="Q1929" s="30" t="s">
        <v>73</v>
      </c>
      <c r="R1929" s="30" t="s">
        <v>75</v>
      </c>
      <c r="S1929" s="30" t="s">
        <v>90</v>
      </c>
      <c r="T1929" s="30" t="s">
        <v>61</v>
      </c>
      <c r="U1929" s="30" t="s">
        <v>62</v>
      </c>
      <c r="V1929" s="30" t="s">
        <v>116</v>
      </c>
      <c r="W1929" s="30" t="s">
        <v>173</v>
      </c>
      <c r="X1929" s="30" t="s">
        <v>77</v>
      </c>
      <c r="Y1929" s="30" t="s">
        <v>5255</v>
      </c>
      <c r="Z1929" s="30" t="s">
        <v>64</v>
      </c>
      <c r="AA1929" s="30" t="s">
        <v>653</v>
      </c>
      <c r="AB1929" s="30" t="s">
        <v>0</v>
      </c>
      <c r="AC1929" s="36" t="s">
        <v>5256</v>
      </c>
    </row>
    <row r="1930" spans="1:29">
      <c r="A1930" s="60" t="s">
        <v>5257</v>
      </c>
      <c r="B1930" s="11" t="str">
        <f>IF(ISNUMBER(SEARCH(E1930,A1930)),A1930,IF(OR(E1930="",E1930=""),A1930,A1930&amp;" - "&amp;E1930))</f>
        <v>Bava Med 21/1 LEM-SK - Lemon Skunk</v>
      </c>
      <c r="C1930" s="30" t="s">
        <v>4180</v>
      </c>
      <c r="D1930" s="30" t="s">
        <v>5258</v>
      </c>
      <c r="E1930" s="32" t="s">
        <v>2595</v>
      </c>
      <c r="F1930" s="40" t="s">
        <v>144</v>
      </c>
      <c r="G1930" s="34" t="s">
        <v>452</v>
      </c>
      <c r="H1930" s="34">
        <v>1</v>
      </c>
      <c r="I1930" s="30" t="s">
        <v>0</v>
      </c>
      <c r="J1930" s="30" t="s">
        <v>0</v>
      </c>
      <c r="K1930" s="30" t="s">
        <v>17</v>
      </c>
      <c r="L1930" t="s">
        <v>102</v>
      </c>
      <c r="M1930" s="30" t="s">
        <v>55</v>
      </c>
      <c r="N1930" s="30" t="s">
        <v>71</v>
      </c>
      <c r="O1930" s="30" t="s">
        <v>178</v>
      </c>
      <c r="P1930" s="30" t="s">
        <v>75</v>
      </c>
      <c r="Q1930" s="30" t="s">
        <v>0</v>
      </c>
      <c r="R1930" s="30" t="s">
        <v>0</v>
      </c>
      <c r="S1930" s="30" t="s">
        <v>62</v>
      </c>
      <c r="T1930" s="30" t="s">
        <v>147</v>
      </c>
      <c r="U1930" s="30" t="s">
        <v>192</v>
      </c>
      <c r="V1930" s="30" t="s">
        <v>77</v>
      </c>
      <c r="W1930" s="30" t="s">
        <v>79</v>
      </c>
      <c r="X1930" s="30" t="s">
        <v>173</v>
      </c>
      <c r="Y1930" s="30" t="s">
        <v>5259</v>
      </c>
      <c r="Z1930" s="30" t="s">
        <v>64</v>
      </c>
      <c r="AA1930" s="30" t="s">
        <v>5258</v>
      </c>
      <c r="AB1930" s="30" t="s">
        <v>0</v>
      </c>
      <c r="AC1930" s="30" t="s">
        <v>5260</v>
      </c>
    </row>
    <row r="1931" spans="1:29">
      <c r="A1931" s="85" t="s">
        <v>5261</v>
      </c>
      <c r="B1931" s="11" t="str">
        <f>IF(ISNUMBER(SEARCH(E1931,A1931)),A1931,IF(OR(E1931="",E1931=""),A1931,A1931&amp;" - "&amp;E1931))</f>
        <v>Bava Med 21/1 BAN-SP - Banana Split</v>
      </c>
      <c r="C1931" s="24" t="s">
        <v>4180</v>
      </c>
      <c r="D1931" s="24" t="s">
        <v>5258</v>
      </c>
      <c r="E1931" s="26" t="s">
        <v>5262</v>
      </c>
      <c r="F1931" s="41" t="s">
        <v>86</v>
      </c>
      <c r="G1931" s="27" t="s">
        <v>452</v>
      </c>
      <c r="H1931" s="27">
        <v>1</v>
      </c>
      <c r="I1931" s="24" t="s">
        <v>0</v>
      </c>
      <c r="J1931" s="24" t="s">
        <v>0</v>
      </c>
      <c r="K1931" s="24" t="s">
        <v>52</v>
      </c>
      <c r="L1931" s="24" t="s">
        <v>102</v>
      </c>
      <c r="M1931" s="24" t="s">
        <v>71</v>
      </c>
      <c r="N1931" s="24" t="s">
        <v>178</v>
      </c>
      <c r="O1931" s="24" t="s">
        <v>103</v>
      </c>
      <c r="P1931" s="24" t="s">
        <v>136</v>
      </c>
      <c r="Q1931" s="24" t="s">
        <v>57</v>
      </c>
      <c r="R1931" s="24" t="s">
        <v>59</v>
      </c>
      <c r="S1931" s="24" t="s">
        <v>62</v>
      </c>
      <c r="T1931" s="24" t="s">
        <v>147</v>
      </c>
      <c r="U1931" s="24" t="s">
        <v>192</v>
      </c>
      <c r="V1931" s="24" t="s">
        <v>292</v>
      </c>
      <c r="W1931" s="24" t="s">
        <v>79</v>
      </c>
      <c r="X1931" s="24" t="s">
        <v>107</v>
      </c>
      <c r="Y1931" s="24" t="s">
        <v>5263</v>
      </c>
      <c r="Z1931" s="24" t="s">
        <v>64</v>
      </c>
      <c r="AA1931" s="24" t="s">
        <v>5258</v>
      </c>
      <c r="AB1931" s="24" t="s">
        <v>0</v>
      </c>
      <c r="AC1931" s="24" t="s">
        <v>5264</v>
      </c>
    </row>
    <row r="1932" spans="1:29">
      <c r="A1932" s="60" t="s">
        <v>5265</v>
      </c>
      <c r="B1932" s="11" t="str">
        <f>IF(ISNUMBER(SEARCH(E1932,A1932)),A1932,IF(OR(E1932="",E1932=""),A1932,A1932&amp;" - "&amp;E1932))</f>
        <v>Remexian 21/1 NEB KKT - Karamel Kut Throat</v>
      </c>
      <c r="C1932" s="30" t="s">
        <v>83</v>
      </c>
      <c r="D1932" s="30" t="s">
        <v>95</v>
      </c>
      <c r="E1932" s="30" t="s">
        <v>5266</v>
      </c>
      <c r="F1932" s="30" t="s">
        <v>177</v>
      </c>
      <c r="G1932" s="30" t="s">
        <v>452</v>
      </c>
      <c r="H1932" s="31" t="s">
        <v>65</v>
      </c>
      <c r="I1932" s="30" t="s">
        <v>0</v>
      </c>
      <c r="J1932" s="30" t="s">
        <v>0</v>
      </c>
      <c r="K1932" s="30" t="s">
        <v>52</v>
      </c>
      <c r="L1932" s="30" t="s">
        <v>53</v>
      </c>
      <c r="M1932" s="30" t="s">
        <v>121</v>
      </c>
      <c r="N1932" s="30" t="s">
        <v>72</v>
      </c>
      <c r="O1932" s="30" t="s">
        <v>103</v>
      </c>
      <c r="P1932" s="30" t="s">
        <v>89</v>
      </c>
      <c r="Q1932" s="30" t="s">
        <v>58</v>
      </c>
      <c r="R1932" s="30" t="s">
        <v>74</v>
      </c>
      <c r="S1932" s="30" t="s">
        <v>106</v>
      </c>
      <c r="T1932" s="30" t="s">
        <v>62</v>
      </c>
      <c r="U1932" s="30" t="s">
        <v>91</v>
      </c>
      <c r="V1932" s="30" t="s">
        <v>77</v>
      </c>
      <c r="W1932" s="30" t="s">
        <v>116</v>
      </c>
      <c r="X1932" s="30" t="s">
        <v>79</v>
      </c>
      <c r="Y1932" s="30" t="s">
        <v>1820</v>
      </c>
      <c r="Z1932" s="30" t="s">
        <v>64</v>
      </c>
      <c r="AA1932" s="30" t="s">
        <v>95</v>
      </c>
      <c r="AB1932" s="30" t="s">
        <v>0</v>
      </c>
      <c r="AC1932" s="30" t="s">
        <v>5267</v>
      </c>
    </row>
    <row r="1933" spans="1:29">
      <c r="A1933" s="60" t="s">
        <v>5268</v>
      </c>
      <c r="B1933" s="11" t="str">
        <f>IF(ISNUMBER(SEARCH(E1933,A1933)),A1933,IF(OR(E1933="",E1933=""),A1933,A1933&amp;" - "&amp;E1933))</f>
        <v>Tweed 27/1 - Jack Herer</v>
      </c>
      <c r="C1933" s="30" t="s">
        <v>547</v>
      </c>
      <c r="D1933" s="30" t="s">
        <v>551</v>
      </c>
      <c r="E1933" s="32" t="s">
        <v>382</v>
      </c>
      <c r="F1933" s="40" t="s">
        <v>144</v>
      </c>
      <c r="G1933" s="34" t="s">
        <v>4086</v>
      </c>
      <c r="H1933" s="34">
        <v>1</v>
      </c>
      <c r="I1933" s="30" t="s">
        <v>0</v>
      </c>
      <c r="J1933" s="30" t="s">
        <v>0</v>
      </c>
      <c r="K1933" s="30" t="s">
        <v>52</v>
      </c>
      <c r="L1933" s="30" t="s">
        <v>53</v>
      </c>
      <c r="M1933" s="30" t="s">
        <v>54</v>
      </c>
      <c r="N1933" s="30" t="s">
        <v>55</v>
      </c>
      <c r="O1933" s="30" t="s">
        <v>178</v>
      </c>
      <c r="P1933" s="30" t="s">
        <v>113</v>
      </c>
      <c r="Q1933" s="30" t="s">
        <v>59</v>
      </c>
      <c r="R1933" s="30" t="s">
        <v>146</v>
      </c>
      <c r="S1933" s="30" t="s">
        <v>106</v>
      </c>
      <c r="T1933" s="30" t="s">
        <v>62</v>
      </c>
      <c r="U1933" s="30" t="s">
        <v>164</v>
      </c>
      <c r="V1933" s="30" t="s">
        <v>77</v>
      </c>
      <c r="W1933" s="30" t="s">
        <v>79</v>
      </c>
      <c r="X1933" s="30" t="s">
        <v>292</v>
      </c>
      <c r="Y1933" s="30" t="s">
        <v>5269</v>
      </c>
      <c r="Z1933" s="30" t="s">
        <v>64</v>
      </c>
      <c r="AA1933" s="30" t="s">
        <v>551</v>
      </c>
      <c r="AB1933" s="30" t="s">
        <v>0</v>
      </c>
      <c r="AC1933" s="30" t="s">
        <v>5270</v>
      </c>
    </row>
    <row r="1934" spans="1:29">
      <c r="A1934" s="60" t="s">
        <v>5271</v>
      </c>
      <c r="B1934" s="11" t="str">
        <f>IF(ISNUMBER(SEARCH(E1934,A1934)),A1934,IF(OR(E1934="",E1934=""),A1934,A1934&amp;" - "&amp;E1934))</f>
        <v>Medicus 27/1 EZA DSD - Do-Si-Dos</v>
      </c>
      <c r="C1934" s="30" t="s">
        <v>83</v>
      </c>
      <c r="D1934" s="30" t="s">
        <v>95</v>
      </c>
      <c r="E1934" s="32" t="s">
        <v>638</v>
      </c>
      <c r="F1934" s="40" t="s">
        <v>177</v>
      </c>
      <c r="G1934" s="34" t="s">
        <v>33</v>
      </c>
      <c r="H1934" s="34" t="s">
        <v>65</v>
      </c>
      <c r="I1934" s="30" t="s">
        <v>0</v>
      </c>
      <c r="J1934" s="30" t="s">
        <v>0</v>
      </c>
      <c r="K1934" s="30" t="s">
        <v>52</v>
      </c>
      <c r="L1934" s="30" t="s">
        <v>1506</v>
      </c>
      <c r="M1934" s="30" t="s">
        <v>103</v>
      </c>
      <c r="N1934" s="30" t="s">
        <v>72</v>
      </c>
      <c r="O1934" s="30" t="s">
        <v>121</v>
      </c>
      <c r="P1934" s="30" t="s">
        <v>104</v>
      </c>
      <c r="Q1934" s="30" t="s">
        <v>74</v>
      </c>
      <c r="R1934" s="30" t="s">
        <v>89</v>
      </c>
      <c r="S1934" s="30" t="s">
        <v>128</v>
      </c>
      <c r="T1934" s="30" t="s">
        <v>106</v>
      </c>
      <c r="U1934" s="30" t="s">
        <v>62</v>
      </c>
      <c r="V1934" s="30" t="s">
        <v>107</v>
      </c>
      <c r="W1934" s="30" t="s">
        <v>77</v>
      </c>
      <c r="X1934" s="30" t="s">
        <v>173</v>
      </c>
      <c r="Y1934" s="30" t="s">
        <v>5106</v>
      </c>
      <c r="Z1934" s="30" t="s">
        <v>64</v>
      </c>
      <c r="AA1934" s="30" t="s">
        <v>95</v>
      </c>
      <c r="AB1934" s="30" t="s">
        <v>0</v>
      </c>
      <c r="AC1934" s="30" t="s">
        <v>5272</v>
      </c>
    </row>
    <row r="1935" spans="1:29">
      <c r="A1935" s="85" t="s">
        <v>5273</v>
      </c>
      <c r="B1935" s="11" t="str">
        <f>IF(ISNUMBER(SEARCH(E1935,A1935)),A1935,IF(OR(E1935="",E1935=""),A1935,A1935&amp;" - "&amp;E1935))</f>
        <v>Remexian 27/1 GCC SWB - Strawberry Banana</v>
      </c>
      <c r="C1935" s="24" t="s">
        <v>83</v>
      </c>
      <c r="D1935" s="24" t="s">
        <v>95</v>
      </c>
      <c r="E1935" s="26" t="s">
        <v>196</v>
      </c>
      <c r="F1935" s="41" t="s">
        <v>177</v>
      </c>
      <c r="G1935" s="27" t="s">
        <v>33</v>
      </c>
      <c r="H1935" s="27" t="s">
        <v>65</v>
      </c>
      <c r="I1935" s="24" t="s">
        <v>0</v>
      </c>
      <c r="J1935" s="24" t="s">
        <v>0</v>
      </c>
      <c r="K1935" s="24" t="s">
        <v>52</v>
      </c>
      <c r="L1935" s="24" t="s">
        <v>53</v>
      </c>
      <c r="M1935" s="24" t="s">
        <v>71</v>
      </c>
      <c r="N1935" s="24" t="s">
        <v>72</v>
      </c>
      <c r="O1935" s="24" t="s">
        <v>103</v>
      </c>
      <c r="P1935" s="24" t="s">
        <v>89</v>
      </c>
      <c r="Q1935" s="24" t="s">
        <v>58</v>
      </c>
      <c r="R1935" s="24" t="s">
        <v>0</v>
      </c>
      <c r="S1935" s="24" t="s">
        <v>106</v>
      </c>
      <c r="T1935" s="24" t="s">
        <v>62</v>
      </c>
      <c r="U1935" s="24" t="s">
        <v>147</v>
      </c>
      <c r="V1935" s="24" t="s">
        <v>77</v>
      </c>
      <c r="W1935" s="24" t="s">
        <v>79</v>
      </c>
      <c r="X1935" s="24" t="s">
        <v>173</v>
      </c>
      <c r="Y1935" s="24" t="s">
        <v>268</v>
      </c>
      <c r="Z1935" s="24" t="s">
        <v>64</v>
      </c>
      <c r="AA1935" s="24" t="s">
        <v>95</v>
      </c>
      <c r="AB1935" s="24" t="s">
        <v>0</v>
      </c>
      <c r="AC1935" s="24" t="s">
        <v>5274</v>
      </c>
    </row>
    <row r="1936" spans="1:29">
      <c r="A1936" s="85" t="s">
        <v>5275</v>
      </c>
      <c r="B1936" s="11" t="str">
        <f>IF(ISNUMBER(SEARCH(E1936,A1936)),A1936,IF(OR(E1936="",E1936=""),A1936,A1936&amp;" - "&amp;E1936))</f>
        <v>Bava Med 23/1 MAN-CO - Mandarin Cookies</v>
      </c>
      <c r="C1936" s="24" t="s">
        <v>4180</v>
      </c>
      <c r="D1936" s="24" t="s">
        <v>5258</v>
      </c>
      <c r="E1936" s="26" t="s">
        <v>800</v>
      </c>
      <c r="F1936" s="41" t="s">
        <v>86</v>
      </c>
      <c r="G1936" s="27" t="s">
        <v>436</v>
      </c>
      <c r="H1936" s="27">
        <v>1</v>
      </c>
      <c r="I1936" s="24" t="s">
        <v>0</v>
      </c>
      <c r="J1936" s="24" t="s">
        <v>0</v>
      </c>
      <c r="K1936" s="24" t="s">
        <v>52</v>
      </c>
      <c r="L1936" s="24" t="s">
        <v>102</v>
      </c>
      <c r="M1936" s="24" t="s">
        <v>55</v>
      </c>
      <c r="N1936" s="24" t="s">
        <v>71</v>
      </c>
      <c r="O1936" s="24" t="s">
        <v>72</v>
      </c>
      <c r="P1936" s="24" t="s">
        <v>75</v>
      </c>
      <c r="Q1936" s="24" t="s">
        <v>58</v>
      </c>
      <c r="R1936" s="24" t="s">
        <v>0</v>
      </c>
      <c r="S1936" s="24" t="s">
        <v>128</v>
      </c>
      <c r="T1936" s="24" t="s">
        <v>106</v>
      </c>
      <c r="U1936" s="24" t="s">
        <v>62</v>
      </c>
      <c r="V1936" s="24" t="s">
        <v>77</v>
      </c>
      <c r="W1936" s="24" t="s">
        <v>173</v>
      </c>
      <c r="X1936" s="24" t="s">
        <v>711</v>
      </c>
      <c r="Y1936" s="24" t="s">
        <v>413</v>
      </c>
      <c r="Z1936" s="24" t="s">
        <v>64</v>
      </c>
      <c r="AA1936" s="24" t="s">
        <v>5258</v>
      </c>
      <c r="AB1936" s="24" t="s">
        <v>0</v>
      </c>
      <c r="AC1936" s="24" t="s">
        <v>5276</v>
      </c>
    </row>
    <row r="1937" spans="1:29">
      <c r="A1937" s="85" t="s">
        <v>5277</v>
      </c>
      <c r="B1937" s="11" t="str">
        <f>IF(ISNUMBER(SEARCH(E1937,A1937)),A1937,IF(OR(E1937="",E1937=""),A1937,A1937&amp;" - "&amp;E1937))</f>
        <v>IMC CCS THC22 Crescendo - Crescendo Cookies</v>
      </c>
      <c r="C1937" s="24" t="s">
        <v>646</v>
      </c>
      <c r="D1937" s="24" t="s">
        <v>646</v>
      </c>
      <c r="E1937" s="26" t="s">
        <v>893</v>
      </c>
      <c r="F1937" s="41" t="s">
        <v>144</v>
      </c>
      <c r="G1937" s="27" t="s">
        <v>4126</v>
      </c>
      <c r="H1937" s="27" t="s">
        <v>65</v>
      </c>
      <c r="I1937" s="24" t="s">
        <v>0</v>
      </c>
      <c r="J1937" s="24" t="s">
        <v>0</v>
      </c>
      <c r="K1937" s="24" t="s">
        <v>52</v>
      </c>
      <c r="L1937" s="24" t="s">
        <v>53</v>
      </c>
      <c r="M1937" s="24" t="s">
        <v>72</v>
      </c>
      <c r="N1937" s="24" t="s">
        <v>212</v>
      </c>
      <c r="O1937" s="24" t="s">
        <v>88</v>
      </c>
      <c r="P1937" s="24" t="s">
        <v>113</v>
      </c>
      <c r="Q1937" s="24" t="s">
        <v>58</v>
      </c>
      <c r="R1937" s="24" t="s">
        <v>89</v>
      </c>
      <c r="S1937" s="24" t="s">
        <v>128</v>
      </c>
      <c r="T1937" s="24" t="s">
        <v>106</v>
      </c>
      <c r="U1937" s="24" t="s">
        <v>62</v>
      </c>
      <c r="V1937" s="24" t="s">
        <v>116</v>
      </c>
      <c r="W1937" s="24" t="s">
        <v>173</v>
      </c>
      <c r="X1937" s="24" t="s">
        <v>77</v>
      </c>
      <c r="Y1937" s="24" t="s">
        <v>3550</v>
      </c>
      <c r="Z1937" s="24" t="s">
        <v>64</v>
      </c>
      <c r="AA1937" s="24" t="s">
        <v>646</v>
      </c>
      <c r="AB1937" s="24" t="s">
        <v>0</v>
      </c>
      <c r="AC1937" s="24" t="s">
        <v>5278</v>
      </c>
    </row>
    <row r="1938" spans="1:29">
      <c r="A1938" s="85" t="s">
        <v>5279</v>
      </c>
      <c r="B1938" s="11" t="str">
        <f>IF(ISNUMBER(SEARCH(E1938,A1938)),A1938,IF(OR(E1938="",E1938=""),A1938,A1938&amp;" - "&amp;E1938))</f>
        <v>TRUU GT 27/01 - Skull Cap</v>
      </c>
      <c r="C1938" s="24" t="s">
        <v>484</v>
      </c>
      <c r="D1938" s="24" t="s">
        <v>485</v>
      </c>
      <c r="E1938" s="26" t="s">
        <v>5280</v>
      </c>
      <c r="F1938" s="41" t="s">
        <v>86</v>
      </c>
      <c r="G1938" s="27" t="s">
        <v>448</v>
      </c>
      <c r="H1938" s="27">
        <v>1</v>
      </c>
      <c r="I1938" s="24" t="s">
        <v>0</v>
      </c>
      <c r="J1938" s="24" t="s">
        <v>0</v>
      </c>
      <c r="K1938" s="24" t="s">
        <v>52</v>
      </c>
      <c r="L1938" s="24" t="s">
        <v>53</v>
      </c>
      <c r="M1938" s="24" t="s">
        <v>121</v>
      </c>
      <c r="N1938" s="24" t="s">
        <v>72</v>
      </c>
      <c r="O1938" s="24" t="s">
        <v>54</v>
      </c>
      <c r="P1938" s="24" t="s">
        <v>59</v>
      </c>
      <c r="Q1938" s="24" t="s">
        <v>89</v>
      </c>
      <c r="R1938" s="24" t="s">
        <v>73</v>
      </c>
      <c r="S1938" s="24" t="s">
        <v>128</v>
      </c>
      <c r="T1938" s="24" t="s">
        <v>106</v>
      </c>
      <c r="U1938" s="24" t="s">
        <v>466</v>
      </c>
      <c r="V1938" s="24" t="s">
        <v>116</v>
      </c>
      <c r="W1938" s="24" t="s">
        <v>107</v>
      </c>
      <c r="X1938" s="24" t="s">
        <v>93</v>
      </c>
      <c r="Y1938" s="24" t="s">
        <v>314</v>
      </c>
      <c r="Z1938" s="24" t="s">
        <v>64</v>
      </c>
      <c r="AA1938" s="24" t="s">
        <v>485</v>
      </c>
      <c r="AB1938" s="24" t="s">
        <v>0</v>
      </c>
      <c r="AC1938" s="24" t="s">
        <v>5281</v>
      </c>
    </row>
    <row r="1939" spans="1:29">
      <c r="A1939" s="60" t="s">
        <v>5282</v>
      </c>
      <c r="B1939" s="11" t="str">
        <f>IF(ISNUMBER(SEARCH(E1939,A1939)),A1939,IF(OR(E1939="",E1939=""),A1939,A1939&amp;" - "&amp;E1939))</f>
        <v>Remexian 35/1 GJY TAR - White Tar</v>
      </c>
      <c r="C1939" s="30" t="s">
        <v>83</v>
      </c>
      <c r="D1939" s="30" t="s">
        <v>95</v>
      </c>
      <c r="E1939" s="32" t="s">
        <v>5283</v>
      </c>
      <c r="F1939" s="40" t="s">
        <v>120</v>
      </c>
      <c r="G1939" s="34" t="s">
        <v>5284</v>
      </c>
      <c r="H1939" s="34">
        <v>1</v>
      </c>
      <c r="I1939" s="30" t="s">
        <v>0</v>
      </c>
      <c r="J1939" s="30" t="s">
        <v>0</v>
      </c>
      <c r="K1939" s="30" t="s">
        <v>52</v>
      </c>
      <c r="L1939" s="30" t="s">
        <v>53</v>
      </c>
      <c r="M1939" s="30" t="s">
        <v>121</v>
      </c>
      <c r="N1939" s="30" t="s">
        <v>72</v>
      </c>
      <c r="O1939" s="30" t="s">
        <v>88</v>
      </c>
      <c r="P1939" s="30" t="s">
        <v>122</v>
      </c>
      <c r="Q1939" s="30" t="s">
        <v>59</v>
      </c>
      <c r="R1939" s="30" t="s">
        <v>74</v>
      </c>
      <c r="S1939" s="30" t="s">
        <v>106</v>
      </c>
      <c r="T1939" s="30" t="s">
        <v>62</v>
      </c>
      <c r="U1939" s="30" t="s">
        <v>147</v>
      </c>
      <c r="V1939" s="30" t="s">
        <v>395</v>
      </c>
      <c r="W1939" s="30" t="s">
        <v>92</v>
      </c>
      <c r="X1939" s="30" t="s">
        <v>173</v>
      </c>
      <c r="Y1939" s="30" t="s">
        <v>5285</v>
      </c>
      <c r="Z1939" s="30" t="s">
        <v>64</v>
      </c>
      <c r="AA1939" s="30" t="s">
        <v>95</v>
      </c>
      <c r="AB1939" s="30" t="s">
        <v>5032</v>
      </c>
      <c r="AC1939" s="30" t="s">
        <v>5286</v>
      </c>
    </row>
    <row r="1940" spans="1:29">
      <c r="A1940" s="60" t="s">
        <v>5287</v>
      </c>
      <c r="B1940" s="11" t="str">
        <f>IF(ISNUMBER(SEARCH(E1940,A1940)),A1940,IF(OR(E1940="",E1940=""),A1940,A1940&amp;" - "&amp;E1940))</f>
        <v>Remexian 33/1 HMA LOG - Lemon OG</v>
      </c>
      <c r="C1940" s="30" t="s">
        <v>83</v>
      </c>
      <c r="D1940" s="30" t="s">
        <v>95</v>
      </c>
      <c r="E1940" s="32" t="s">
        <v>913</v>
      </c>
      <c r="F1940" s="40" t="s">
        <v>86</v>
      </c>
      <c r="G1940" s="34" t="s">
        <v>4169</v>
      </c>
      <c r="H1940" s="34">
        <v>1</v>
      </c>
      <c r="I1940" s="30" t="s">
        <v>0</v>
      </c>
      <c r="J1940" s="30" t="s">
        <v>0</v>
      </c>
      <c r="K1940" s="30" t="s">
        <v>52</v>
      </c>
      <c r="L1940" s="30" t="s">
        <v>53</v>
      </c>
      <c r="M1940" s="30" t="s">
        <v>55</v>
      </c>
      <c r="N1940" s="30" t="s">
        <v>72</v>
      </c>
      <c r="O1940" s="30" t="s">
        <v>0</v>
      </c>
      <c r="P1940" s="30" t="s">
        <v>58</v>
      </c>
      <c r="Q1940" s="30" t="s">
        <v>75</v>
      </c>
      <c r="R1940" s="30" t="s">
        <v>0</v>
      </c>
      <c r="S1940" s="30" t="s">
        <v>106</v>
      </c>
      <c r="T1940" s="30" t="s">
        <v>62</v>
      </c>
      <c r="U1940" s="30" t="s">
        <v>123</v>
      </c>
      <c r="V1940" s="30" t="s">
        <v>914</v>
      </c>
      <c r="W1940" s="30" t="s">
        <v>79</v>
      </c>
      <c r="X1940" s="30" t="s">
        <v>93</v>
      </c>
      <c r="Y1940" s="30" t="s">
        <v>5288</v>
      </c>
      <c r="Z1940" s="30" t="s">
        <v>64</v>
      </c>
      <c r="AA1940" s="30" t="s">
        <v>95</v>
      </c>
      <c r="AB1940" s="30" t="s">
        <v>5289</v>
      </c>
      <c r="AC1940" s="30" t="s">
        <v>5290</v>
      </c>
    </row>
    <row r="1941" spans="1:29">
      <c r="A1941" s="60" t="s">
        <v>5291</v>
      </c>
      <c r="B1941" s="11" t="str">
        <f>IF(ISNUMBER(SEARCH(E1941,A1941)),A1941,IF(OR(E1941="",E1941=""),A1941,A1941&amp;" - "&amp;E1941))</f>
        <v>Remexian 27/1 JPM WFM - Wicked Frosted Mintz</v>
      </c>
      <c r="C1941" s="30" t="s">
        <v>83</v>
      </c>
      <c r="D1941" s="30" t="s">
        <v>95</v>
      </c>
      <c r="E1941" s="32" t="s">
        <v>5292</v>
      </c>
      <c r="F1941" s="40" t="s">
        <v>86</v>
      </c>
      <c r="G1941" s="34" t="s">
        <v>33</v>
      </c>
      <c r="H1941" s="34" t="s">
        <v>65</v>
      </c>
      <c r="I1941" s="30" t="s">
        <v>0</v>
      </c>
      <c r="J1941" s="30" t="s">
        <v>0</v>
      </c>
      <c r="K1941" s="30" t="s">
        <v>52</v>
      </c>
      <c r="L1941" s="30" t="s">
        <v>53</v>
      </c>
      <c r="M1941" s="30" t="s">
        <v>103</v>
      </c>
      <c r="N1941" s="30" t="s">
        <v>72</v>
      </c>
      <c r="O1941" s="30" t="s">
        <v>54</v>
      </c>
      <c r="P1941" s="30" t="s">
        <v>59</v>
      </c>
      <c r="Q1941" s="30" t="s">
        <v>57</v>
      </c>
      <c r="R1941" s="30" t="s">
        <v>58</v>
      </c>
      <c r="S1941" s="30" t="s">
        <v>128</v>
      </c>
      <c r="T1941" s="30" t="s">
        <v>76</v>
      </c>
      <c r="U1941" s="30" t="s">
        <v>62</v>
      </c>
      <c r="V1941" s="30" t="s">
        <v>77</v>
      </c>
      <c r="W1941" s="30" t="s">
        <v>116</v>
      </c>
      <c r="X1941" s="30" t="s">
        <v>79</v>
      </c>
      <c r="Y1941" s="30" t="s">
        <v>1681</v>
      </c>
      <c r="Z1941" s="30" t="s">
        <v>64</v>
      </c>
      <c r="AA1941" s="30" t="s">
        <v>95</v>
      </c>
      <c r="AB1941" s="30" t="s">
        <v>0</v>
      </c>
      <c r="AC1941" s="30" t="s">
        <v>5293</v>
      </c>
    </row>
    <row r="1942" spans="1:29">
      <c r="A1942" s="60" t="s">
        <v>5294</v>
      </c>
      <c r="B1942" s="11" t="str">
        <f>IF(ISNUMBER(SEARCH(E1942,A1942)),A1942,IF(OR(E1942="",E1942=""),A1942,A1942&amp;" - "&amp;E1942))</f>
        <v>Remexian 24/1 JPM CFZ - Candy Fumez</v>
      </c>
      <c r="C1942" s="30" t="s">
        <v>83</v>
      </c>
      <c r="D1942" s="30" t="s">
        <v>95</v>
      </c>
      <c r="E1942" s="32" t="s">
        <v>5295</v>
      </c>
      <c r="F1942" s="40" t="s">
        <v>177</v>
      </c>
      <c r="G1942" s="34" t="s">
        <v>448</v>
      </c>
      <c r="H1942" s="34" t="s">
        <v>65</v>
      </c>
      <c r="I1942" s="30" t="s">
        <v>0</v>
      </c>
      <c r="J1942" s="30" t="s">
        <v>0</v>
      </c>
      <c r="K1942" s="30" t="s">
        <v>52</v>
      </c>
      <c r="L1942" s="30" t="s">
        <v>53</v>
      </c>
      <c r="M1942" s="30" t="s">
        <v>72</v>
      </c>
      <c r="N1942" s="30" t="s">
        <v>71</v>
      </c>
      <c r="O1942" s="30" t="s">
        <v>178</v>
      </c>
      <c r="P1942" s="30" t="s">
        <v>89</v>
      </c>
      <c r="Q1942" s="30" t="s">
        <v>73</v>
      </c>
      <c r="R1942" s="30" t="s">
        <v>75</v>
      </c>
      <c r="S1942" s="30" t="s">
        <v>128</v>
      </c>
      <c r="T1942" s="30" t="s">
        <v>62</v>
      </c>
      <c r="U1942" s="30" t="s">
        <v>115</v>
      </c>
      <c r="V1942" s="30" t="s">
        <v>92</v>
      </c>
      <c r="W1942" s="30" t="s">
        <v>77</v>
      </c>
      <c r="X1942" s="30" t="s">
        <v>197</v>
      </c>
      <c r="Y1942" s="30" t="s">
        <v>5109</v>
      </c>
      <c r="Z1942" s="30" t="s">
        <v>64</v>
      </c>
      <c r="AA1942" s="30" t="s">
        <v>95</v>
      </c>
      <c r="AB1942" s="30" t="s">
        <v>0</v>
      </c>
      <c r="AC1942" s="30" t="s">
        <v>5296</v>
      </c>
    </row>
    <row r="1943" spans="1:29">
      <c r="A1943" s="85" t="s">
        <v>5297</v>
      </c>
      <c r="B1943" s="11" t="str">
        <f>IF(ISNUMBER(SEARCH(E1943,A1943)),A1943,IF(OR(E1943="",E1943=""),A1943,A1943&amp;" - "&amp;E1943))</f>
        <v>Remexian 24/1 JPM HWD - Hollywood</v>
      </c>
      <c r="C1943" s="24" t="s">
        <v>83</v>
      </c>
      <c r="D1943" s="24" t="s">
        <v>95</v>
      </c>
      <c r="E1943" s="26" t="s">
        <v>5298</v>
      </c>
      <c r="F1943" s="41" t="s">
        <v>144</v>
      </c>
      <c r="G1943" s="27" t="s">
        <v>448</v>
      </c>
      <c r="H1943" s="27" t="s">
        <v>65</v>
      </c>
      <c r="I1943" s="24" t="s">
        <v>0</v>
      </c>
      <c r="J1943" s="24" t="s">
        <v>0</v>
      </c>
      <c r="K1943" s="24" t="s">
        <v>52</v>
      </c>
      <c r="L1943" s="24" t="s">
        <v>53</v>
      </c>
      <c r="M1943" s="24" t="s">
        <v>121</v>
      </c>
      <c r="N1943" s="24" t="s">
        <v>178</v>
      </c>
      <c r="O1943" s="24" t="s">
        <v>72</v>
      </c>
      <c r="P1943" s="24" t="s">
        <v>75</v>
      </c>
      <c r="Q1943" s="24" t="s">
        <v>59</v>
      </c>
      <c r="R1943" s="24" t="s">
        <v>74</v>
      </c>
      <c r="S1943" s="24" t="s">
        <v>128</v>
      </c>
      <c r="T1943" s="24" t="s">
        <v>62</v>
      </c>
      <c r="U1943" s="24" t="s">
        <v>115</v>
      </c>
      <c r="V1943" s="24" t="s">
        <v>116</v>
      </c>
      <c r="W1943" s="24" t="s">
        <v>93</v>
      </c>
      <c r="X1943" s="24" t="s">
        <v>0</v>
      </c>
      <c r="Y1943" s="24" t="s">
        <v>1175</v>
      </c>
      <c r="Z1943" s="24" t="s">
        <v>64</v>
      </c>
      <c r="AA1943" s="24" t="s">
        <v>95</v>
      </c>
      <c r="AB1943" s="24" t="s">
        <v>0</v>
      </c>
      <c r="AC1943" s="24" t="s">
        <v>5299</v>
      </c>
    </row>
    <row r="1944" spans="1:29">
      <c r="A1944" s="85" t="s">
        <v>5300</v>
      </c>
      <c r="B1944" s="11" t="str">
        <f>IF(ISNUMBER(SEARCH(E1944,A1944)),A1944,IF(OR(E1944="",E1944=""),A1944,A1944&amp;" - "&amp;E1944))</f>
        <v>Remexian WTF 18/1 MIC SCD - Sour Cherry Diesel</v>
      </c>
      <c r="C1944" s="24" t="s">
        <v>83</v>
      </c>
      <c r="D1944" s="24" t="s">
        <v>95</v>
      </c>
      <c r="E1944" s="26" t="s">
        <v>5301</v>
      </c>
      <c r="F1944" s="41" t="s">
        <v>86</v>
      </c>
      <c r="G1944" s="27" t="s">
        <v>8</v>
      </c>
      <c r="H1944" s="27" t="s">
        <v>65</v>
      </c>
      <c r="I1944" s="24" t="s">
        <v>0</v>
      </c>
      <c r="J1944" s="24" t="s">
        <v>0</v>
      </c>
      <c r="K1944" s="24" t="s">
        <v>52</v>
      </c>
      <c r="L1944" s="24" t="s">
        <v>53</v>
      </c>
      <c r="M1944" s="24" t="s">
        <v>88</v>
      </c>
      <c r="N1944" s="24" t="s">
        <v>54</v>
      </c>
      <c r="O1944" s="24" t="s">
        <v>71</v>
      </c>
      <c r="P1944" s="24" t="s">
        <v>75</v>
      </c>
      <c r="Q1944" s="24" t="s">
        <v>59</v>
      </c>
      <c r="R1944" s="24" t="s">
        <v>104</v>
      </c>
      <c r="S1944" s="24" t="s">
        <v>106</v>
      </c>
      <c r="T1944" s="24" t="s">
        <v>147</v>
      </c>
      <c r="U1944" s="24" t="s">
        <v>192</v>
      </c>
      <c r="V1944" s="24" t="s">
        <v>138</v>
      </c>
      <c r="W1944" s="24" t="s">
        <v>173</v>
      </c>
      <c r="X1944" s="24" t="s">
        <v>79</v>
      </c>
      <c r="Y1944" s="24" t="s">
        <v>1820</v>
      </c>
      <c r="Z1944" s="24" t="s">
        <v>64</v>
      </c>
      <c r="AA1944" s="24" t="s">
        <v>95</v>
      </c>
      <c r="AB1944" s="24" t="s">
        <v>0</v>
      </c>
      <c r="AC1944" s="24" t="s">
        <v>5302</v>
      </c>
    </row>
    <row r="1945" spans="1:29">
      <c r="A1945" s="60" t="s">
        <v>5303</v>
      </c>
      <c r="B1945" s="11" t="str">
        <f>IF(ISNUMBER(SEARCH(E1945,A1945)),A1945,IF(OR(E1945="",E1945=""),A1945,A1945&amp;" - "&amp;E1945))</f>
        <v>Remexian 30/1 GCC GUB Guava Bars - Guava Barz</v>
      </c>
      <c r="C1945" s="30" t="s">
        <v>83</v>
      </c>
      <c r="D1945" s="30" t="s">
        <v>95</v>
      </c>
      <c r="E1945" s="32" t="s">
        <v>934</v>
      </c>
      <c r="F1945" s="40" t="s">
        <v>86</v>
      </c>
      <c r="G1945" s="34" t="s">
        <v>4057</v>
      </c>
      <c r="H1945" s="34" t="s">
        <v>65</v>
      </c>
      <c r="I1945" s="30" t="s">
        <v>0</v>
      </c>
      <c r="J1945" s="30" t="s">
        <v>0</v>
      </c>
      <c r="K1945" s="30" t="s">
        <v>52</v>
      </c>
      <c r="L1945" s="30" t="s">
        <v>53</v>
      </c>
      <c r="M1945" s="30" t="s">
        <v>72</v>
      </c>
      <c r="N1945" s="30" t="s">
        <v>55</v>
      </c>
      <c r="O1945" s="30" t="s">
        <v>0</v>
      </c>
      <c r="P1945" s="30" t="s">
        <v>73</v>
      </c>
      <c r="Q1945" s="30" t="s">
        <v>89</v>
      </c>
      <c r="R1945" s="30" t="s">
        <v>58</v>
      </c>
      <c r="S1945" s="30" t="s">
        <v>106</v>
      </c>
      <c r="T1945" s="30" t="s">
        <v>91</v>
      </c>
      <c r="U1945" s="30" t="s">
        <v>466</v>
      </c>
      <c r="V1945" s="30" t="s">
        <v>77</v>
      </c>
      <c r="W1945" s="30" t="s">
        <v>107</v>
      </c>
      <c r="X1945" s="30" t="s">
        <v>0</v>
      </c>
      <c r="Y1945" s="30" t="s">
        <v>555</v>
      </c>
      <c r="Z1945" s="30" t="s">
        <v>64</v>
      </c>
      <c r="AA1945" s="30" t="s">
        <v>95</v>
      </c>
      <c r="AB1945" s="30" t="s">
        <v>0</v>
      </c>
      <c r="AC1945" s="30" t="s">
        <v>5304</v>
      </c>
    </row>
    <row r="1946" spans="1:29">
      <c r="A1946" s="60" t="s">
        <v>5305</v>
      </c>
      <c r="B1946" s="11" t="str">
        <f>IF(ISNUMBER(SEARCH(E1946,A1946)),A1946,IF(OR(E1946="",E1946=""),A1946,A1946&amp;" - "&amp;E1946))</f>
        <v>Herbery BB 23/01 Moonbow x Planet Purple - Crossbow</v>
      </c>
      <c r="C1946" s="30" t="s">
        <v>484</v>
      </c>
      <c r="D1946" s="30" t="s">
        <v>485</v>
      </c>
      <c r="E1946" s="32" t="s">
        <v>5004</v>
      </c>
      <c r="F1946" s="40" t="s">
        <v>86</v>
      </c>
      <c r="G1946" s="34" t="s">
        <v>452</v>
      </c>
      <c r="H1946" s="34" t="s">
        <v>65</v>
      </c>
      <c r="I1946" s="30" t="s">
        <v>0</v>
      </c>
      <c r="J1946" s="30" t="s">
        <v>0</v>
      </c>
      <c r="K1946" s="30" t="s">
        <v>52</v>
      </c>
      <c r="L1946" s="30" t="s">
        <v>53</v>
      </c>
      <c r="M1946" s="30" t="s">
        <v>88</v>
      </c>
      <c r="N1946" s="30" t="s">
        <v>71</v>
      </c>
      <c r="O1946" s="30" t="s">
        <v>72</v>
      </c>
      <c r="P1946" s="30" t="s">
        <v>104</v>
      </c>
      <c r="Q1946" s="30" t="s">
        <v>73</v>
      </c>
      <c r="R1946" s="30" t="s">
        <v>89</v>
      </c>
      <c r="S1946" s="30" t="s">
        <v>128</v>
      </c>
      <c r="T1946" s="30" t="s">
        <v>106</v>
      </c>
      <c r="U1946" s="30" t="s">
        <v>164</v>
      </c>
      <c r="V1946" s="30" t="s">
        <v>77</v>
      </c>
      <c r="W1946" s="30" t="s">
        <v>138</v>
      </c>
      <c r="X1946" s="30" t="s">
        <v>93</v>
      </c>
      <c r="Y1946" s="30" t="s">
        <v>413</v>
      </c>
      <c r="Z1946" s="30" t="s">
        <v>64</v>
      </c>
      <c r="AA1946" s="30" t="s">
        <v>485</v>
      </c>
      <c r="AB1946" s="30" t="s">
        <v>0</v>
      </c>
      <c r="AC1946" s="30" t="s">
        <v>5306</v>
      </c>
    </row>
    <row r="1947" spans="1:29">
      <c r="A1947" s="60" t="s">
        <v>5307</v>
      </c>
      <c r="B1947" s="11" t="str">
        <f>IF(ISNUMBER(SEARCH(E1947,A1947)),A1947,IF(OR(E1947="",E1947=""),A1947,A1947&amp;" - "&amp;E1947))</f>
        <v>madrecan 24/1 GB9 - Garlic Budder</v>
      </c>
      <c r="C1947" s="30" t="s">
        <v>83</v>
      </c>
      <c r="D1947" s="30" t="s">
        <v>95</v>
      </c>
      <c r="E1947" s="30" t="s">
        <v>5308</v>
      </c>
      <c r="F1947" s="30" t="s">
        <v>86</v>
      </c>
      <c r="G1947" s="30" t="s">
        <v>436</v>
      </c>
      <c r="H1947" s="31">
        <v>1</v>
      </c>
      <c r="I1947" s="30" t="s">
        <v>0</v>
      </c>
      <c r="J1947" s="30" t="s">
        <v>0</v>
      </c>
      <c r="K1947" s="30" t="s">
        <v>17</v>
      </c>
      <c r="L1947" s="30" t="s">
        <v>102</v>
      </c>
      <c r="M1947" s="30" t="s">
        <v>72</v>
      </c>
      <c r="N1947" s="30" t="s">
        <v>88</v>
      </c>
      <c r="O1947" s="30" t="s">
        <v>0</v>
      </c>
      <c r="P1947" s="30" t="s">
        <v>157</v>
      </c>
      <c r="Q1947" s="30" t="s">
        <v>59</v>
      </c>
      <c r="R1947" s="30" t="s">
        <v>0</v>
      </c>
      <c r="S1947" s="30" t="s">
        <v>106</v>
      </c>
      <c r="T1947" s="30" t="s">
        <v>61</v>
      </c>
      <c r="U1947" s="30" t="s">
        <v>62</v>
      </c>
      <c r="V1947" s="30" t="s">
        <v>116</v>
      </c>
      <c r="W1947" s="30" t="s">
        <v>180</v>
      </c>
      <c r="X1947" s="30" t="s">
        <v>208</v>
      </c>
      <c r="Y1947" s="30" t="s">
        <v>1812</v>
      </c>
      <c r="Z1947" s="30" t="s">
        <v>64</v>
      </c>
      <c r="AA1947" s="30" t="s">
        <v>95</v>
      </c>
      <c r="AB1947" s="30" t="s">
        <v>0</v>
      </c>
      <c r="AC1947" s="30" t="s">
        <v>5309</v>
      </c>
    </row>
    <row r="1948" spans="1:29">
      <c r="A1948" s="60" t="s">
        <v>5310</v>
      </c>
      <c r="B1948" s="11" t="str">
        <f>IF(ISNUMBER(SEARCH(E1948,A1948)),A1948,IF(OR(E1948="",E1948=""),A1948,A1948&amp;" - "&amp;E1948))</f>
        <v>Remexian 24/1 GCC BCJ - Biscotti Jealousy</v>
      </c>
      <c r="C1948" s="30" t="s">
        <v>83</v>
      </c>
      <c r="D1948" s="30" t="s">
        <v>95</v>
      </c>
      <c r="E1948" s="32" t="s">
        <v>5247</v>
      </c>
      <c r="F1948" s="40" t="s">
        <v>86</v>
      </c>
      <c r="G1948" s="34" t="s">
        <v>448</v>
      </c>
      <c r="H1948" s="34" t="s">
        <v>65</v>
      </c>
      <c r="I1948" s="30" t="s">
        <v>0</v>
      </c>
      <c r="J1948" s="30" t="s">
        <v>0</v>
      </c>
      <c r="K1948" s="30" t="s">
        <v>52</v>
      </c>
      <c r="L1948" s="30" t="s">
        <v>53</v>
      </c>
      <c r="M1948" s="30" t="s">
        <v>72</v>
      </c>
      <c r="N1948" s="30" t="s">
        <v>54</v>
      </c>
      <c r="O1948" s="30" t="s">
        <v>103</v>
      </c>
      <c r="P1948" s="30" t="s">
        <v>59</v>
      </c>
      <c r="Q1948" s="30" t="s">
        <v>57</v>
      </c>
      <c r="R1948" s="30" t="s">
        <v>89</v>
      </c>
      <c r="S1948" s="30" t="s">
        <v>128</v>
      </c>
      <c r="T1948" s="30" t="s">
        <v>179</v>
      </c>
      <c r="U1948" s="30" t="s">
        <v>62</v>
      </c>
      <c r="V1948" s="30" t="s">
        <v>77</v>
      </c>
      <c r="W1948" s="30" t="s">
        <v>116</v>
      </c>
      <c r="X1948" s="30" t="s">
        <v>138</v>
      </c>
      <c r="Y1948" s="30" t="s">
        <v>1175</v>
      </c>
      <c r="Z1948" s="30" t="s">
        <v>64</v>
      </c>
      <c r="AA1948" s="30" t="s">
        <v>95</v>
      </c>
      <c r="AB1948" s="30" t="s">
        <v>0</v>
      </c>
      <c r="AC1948" s="30" t="s">
        <v>5311</v>
      </c>
    </row>
    <row r="1949" spans="1:29">
      <c r="A1949" s="60" t="s">
        <v>5312</v>
      </c>
      <c r="B1949" s="11" t="str">
        <f>IF(ISNUMBER(SEARCH(E1949,A1949)),A1949,IF(OR(E1949="",E1949=""),A1949,A1949&amp;" - "&amp;E1949))</f>
        <v>Remexian 21/1 JPM BBD - Barry Bonds</v>
      </c>
      <c r="C1949" s="30" t="s">
        <v>83</v>
      </c>
      <c r="D1949" s="30" t="s">
        <v>95</v>
      </c>
      <c r="E1949" s="32" t="s">
        <v>5313</v>
      </c>
      <c r="F1949" s="40" t="s">
        <v>86</v>
      </c>
      <c r="G1949" s="34" t="s">
        <v>452</v>
      </c>
      <c r="H1949" s="34" t="s">
        <v>65</v>
      </c>
      <c r="I1949" s="30" t="s">
        <v>0</v>
      </c>
      <c r="J1949" s="30" t="s">
        <v>0</v>
      </c>
      <c r="K1949" s="30" t="s">
        <v>52</v>
      </c>
      <c r="L1949" s="30" t="s">
        <v>53</v>
      </c>
      <c r="M1949" s="30" t="s">
        <v>72</v>
      </c>
      <c r="N1949" s="30" t="s">
        <v>54</v>
      </c>
      <c r="O1949" s="30" t="s">
        <v>111</v>
      </c>
      <c r="P1949" s="30" t="s">
        <v>59</v>
      </c>
      <c r="Q1949" s="30" t="s">
        <v>89</v>
      </c>
      <c r="R1949" s="30" t="s">
        <v>58</v>
      </c>
      <c r="S1949" s="30" t="s">
        <v>128</v>
      </c>
      <c r="T1949" s="30" t="s">
        <v>179</v>
      </c>
      <c r="U1949" s="30" t="s">
        <v>62</v>
      </c>
      <c r="V1949" s="30" t="s">
        <v>92</v>
      </c>
      <c r="W1949" s="30" t="s">
        <v>77</v>
      </c>
      <c r="X1949" s="30" t="s">
        <v>138</v>
      </c>
      <c r="Y1949" s="30" t="s">
        <v>1175</v>
      </c>
      <c r="Z1949" s="30" t="s">
        <v>64</v>
      </c>
      <c r="AA1949" s="30" t="s">
        <v>95</v>
      </c>
      <c r="AB1949" s="30" t="s">
        <v>0</v>
      </c>
      <c r="AC1949" s="30" t="s">
        <v>5314</v>
      </c>
    </row>
    <row r="1950" spans="1:29">
      <c r="A1950" s="85" t="s">
        <v>5315</v>
      </c>
      <c r="B1950" s="11" t="str">
        <f>IF(ISNUMBER(SEARCH(E1950,A1950)),A1950,IF(OR(E1950="",E1950=""),A1950,A1950&amp;" - "&amp;E1950))</f>
        <v>Remexian 27/1 GCC THZ - The Zoap</v>
      </c>
      <c r="C1950" s="24" t="s">
        <v>83</v>
      </c>
      <c r="D1950" s="24" t="s">
        <v>95</v>
      </c>
      <c r="E1950" s="26" t="s">
        <v>5316</v>
      </c>
      <c r="F1950" s="41" t="s">
        <v>86</v>
      </c>
      <c r="G1950" s="27" t="s">
        <v>33</v>
      </c>
      <c r="H1950" s="27" t="s">
        <v>65</v>
      </c>
      <c r="I1950" s="24" t="s">
        <v>0</v>
      </c>
      <c r="J1950" s="24" t="s">
        <v>0</v>
      </c>
      <c r="K1950" s="24" t="s">
        <v>52</v>
      </c>
      <c r="L1950" s="24" t="s">
        <v>53</v>
      </c>
      <c r="M1950" s="24" t="s">
        <v>72</v>
      </c>
      <c r="N1950" s="24" t="s">
        <v>54</v>
      </c>
      <c r="O1950" s="24" t="s">
        <v>71</v>
      </c>
      <c r="P1950" s="24" t="s">
        <v>59</v>
      </c>
      <c r="Q1950" s="24" t="s">
        <v>136</v>
      </c>
      <c r="R1950" s="24" t="s">
        <v>89</v>
      </c>
      <c r="S1950" s="24" t="s">
        <v>106</v>
      </c>
      <c r="T1950" s="24" t="s">
        <v>62</v>
      </c>
      <c r="U1950" s="24" t="s">
        <v>91</v>
      </c>
      <c r="V1950" s="24" t="s">
        <v>92</v>
      </c>
      <c r="W1950" s="24" t="s">
        <v>77</v>
      </c>
      <c r="X1950" s="24" t="s">
        <v>292</v>
      </c>
      <c r="Y1950" s="24" t="s">
        <v>307</v>
      </c>
      <c r="Z1950" s="24" t="s">
        <v>64</v>
      </c>
      <c r="AA1950" s="24" t="s">
        <v>95</v>
      </c>
      <c r="AB1950" s="24" t="s">
        <v>0</v>
      </c>
      <c r="AC1950" s="24" t="s">
        <v>5317</v>
      </c>
    </row>
    <row r="1951" spans="1:29">
      <c r="A1951" s="60" t="s">
        <v>5318</v>
      </c>
      <c r="B1951" s="11" t="str">
        <f>IF(ISNUMBER(SEARCH(E1951,A1951)),A1951,IF(OR(E1951="",E1951=""),A1951,A1951&amp;" - "&amp;E1951))</f>
        <v>420 Natural 16/1 CA TRP - Tropicana Cookies</v>
      </c>
      <c r="C1951" s="30" t="s">
        <v>463</v>
      </c>
      <c r="D1951" s="30" t="s">
        <v>468</v>
      </c>
      <c r="E1951" s="32" t="s">
        <v>624</v>
      </c>
      <c r="F1951" s="40" t="s">
        <v>86</v>
      </c>
      <c r="G1951" s="34" t="s">
        <v>20</v>
      </c>
      <c r="H1951" s="34">
        <v>1</v>
      </c>
      <c r="I1951" s="30" t="s">
        <v>0</v>
      </c>
      <c r="J1951" s="30" t="s">
        <v>0</v>
      </c>
      <c r="K1951" s="30" t="s">
        <v>52</v>
      </c>
      <c r="L1951" s="30" t="s">
        <v>53</v>
      </c>
      <c r="M1951" s="30" t="s">
        <v>55</v>
      </c>
      <c r="N1951" s="30" t="s">
        <v>111</v>
      </c>
      <c r="O1951" s="30" t="s">
        <v>178</v>
      </c>
      <c r="P1951" s="30" t="s">
        <v>136</v>
      </c>
      <c r="Q1951" s="30" t="s">
        <v>58</v>
      </c>
      <c r="R1951" s="30" t="s">
        <v>75</v>
      </c>
      <c r="S1951" s="30" t="s">
        <v>128</v>
      </c>
      <c r="T1951" s="30" t="s">
        <v>106</v>
      </c>
      <c r="U1951" s="30" t="s">
        <v>62</v>
      </c>
      <c r="V1951" s="30" t="s">
        <v>77</v>
      </c>
      <c r="W1951" s="30" t="s">
        <v>79</v>
      </c>
      <c r="X1951" s="30" t="s">
        <v>173</v>
      </c>
      <c r="Y1951" s="30" t="s">
        <v>248</v>
      </c>
      <c r="Z1951" s="30" t="s">
        <v>64</v>
      </c>
      <c r="AA1951" s="30" t="s">
        <v>468</v>
      </c>
      <c r="AB1951" s="30" t="s">
        <v>0</v>
      </c>
      <c r="AC1951" s="30" t="s">
        <v>5319</v>
      </c>
    </row>
    <row r="1952" spans="1:29">
      <c r="A1952" s="85" t="s">
        <v>5320</v>
      </c>
      <c r="B1952" s="11" t="str">
        <f>IF(ISNUMBER(SEARCH(E1952,A1952)),A1952,IF(OR(E1952="",E1952=""),A1952,A1952&amp;" - "&amp;E1952))</f>
        <v>Remexian 18/1 JPM HWD - Hollywood</v>
      </c>
      <c r="C1952" s="24" t="s">
        <v>83</v>
      </c>
      <c r="D1952" s="24" t="s">
        <v>95</v>
      </c>
      <c r="E1952" s="26" t="s">
        <v>5298</v>
      </c>
      <c r="F1952" s="41" t="s">
        <v>144</v>
      </c>
      <c r="G1952" s="27" t="s">
        <v>8</v>
      </c>
      <c r="H1952" s="27" t="s">
        <v>65</v>
      </c>
      <c r="I1952" s="24" t="s">
        <v>0</v>
      </c>
      <c r="J1952" s="24" t="s">
        <v>0</v>
      </c>
      <c r="K1952" s="24" t="s">
        <v>52</v>
      </c>
      <c r="L1952" s="24" t="s">
        <v>53</v>
      </c>
      <c r="M1952" s="24" t="s">
        <v>121</v>
      </c>
      <c r="N1952" s="24" t="s">
        <v>178</v>
      </c>
      <c r="O1952" s="24" t="s">
        <v>72</v>
      </c>
      <c r="P1952" s="24" t="s">
        <v>75</v>
      </c>
      <c r="Q1952" s="24" t="s">
        <v>59</v>
      </c>
      <c r="R1952" s="24" t="s">
        <v>74</v>
      </c>
      <c r="S1952" s="24" t="s">
        <v>128</v>
      </c>
      <c r="T1952" s="24" t="s">
        <v>62</v>
      </c>
      <c r="U1952" s="24" t="s">
        <v>115</v>
      </c>
      <c r="V1952" s="24" t="s">
        <v>116</v>
      </c>
      <c r="W1952" s="24" t="s">
        <v>93</v>
      </c>
      <c r="X1952" s="24" t="s">
        <v>0</v>
      </c>
      <c r="Y1952" s="24" t="s">
        <v>1820</v>
      </c>
      <c r="Z1952" s="24" t="s">
        <v>64</v>
      </c>
      <c r="AA1952" s="24" t="s">
        <v>95</v>
      </c>
      <c r="AB1952" s="24" t="s">
        <v>0</v>
      </c>
      <c r="AC1952" s="24" t="s">
        <v>5321</v>
      </c>
    </row>
    <row r="1953" spans="1:29">
      <c r="A1953" s="60" t="s">
        <v>5322</v>
      </c>
      <c r="B1953" s="11" t="str">
        <f>IF(ISNUMBER(SEARCH(E1953,A1953)),A1953,IF(OR(E1953="",E1953=""),A1953,A1953&amp;" - "&amp;E1953))</f>
        <v>Demecan Core Moonbow 27/1 - Moonbow 112 IX</v>
      </c>
      <c r="C1953" s="30" t="s">
        <v>484</v>
      </c>
      <c r="D1953" s="30" t="s">
        <v>485</v>
      </c>
      <c r="E1953" s="32" t="s">
        <v>3653</v>
      </c>
      <c r="F1953" s="40" t="s">
        <v>86</v>
      </c>
      <c r="G1953" s="34" t="s">
        <v>26</v>
      </c>
      <c r="H1953" s="34" t="s">
        <v>65</v>
      </c>
      <c r="I1953" s="30" t="s">
        <v>0</v>
      </c>
      <c r="J1953" s="30" t="s">
        <v>0</v>
      </c>
      <c r="K1953" s="30" t="s">
        <v>52</v>
      </c>
      <c r="L1953" s="30" t="s">
        <v>527</v>
      </c>
      <c r="M1953" s="30" t="s">
        <v>178</v>
      </c>
      <c r="N1953" s="30" t="s">
        <v>54</v>
      </c>
      <c r="O1953" s="30" t="s">
        <v>88</v>
      </c>
      <c r="P1953" s="30" t="s">
        <v>75</v>
      </c>
      <c r="Q1953" s="30" t="s">
        <v>112</v>
      </c>
      <c r="R1953" s="30" t="s">
        <v>74</v>
      </c>
      <c r="S1953" s="30" t="s">
        <v>106</v>
      </c>
      <c r="T1953" s="30" t="s">
        <v>62</v>
      </c>
      <c r="U1953" s="30" t="s">
        <v>164</v>
      </c>
      <c r="V1953" s="30" t="s">
        <v>116</v>
      </c>
      <c r="W1953" s="30" t="s">
        <v>93</v>
      </c>
      <c r="X1953" s="30" t="s">
        <v>107</v>
      </c>
      <c r="Y1953" s="30" t="s">
        <v>124</v>
      </c>
      <c r="Z1953" s="30" t="s">
        <v>64</v>
      </c>
      <c r="AA1953" s="30" t="s">
        <v>485</v>
      </c>
      <c r="AB1953" s="30" t="s">
        <v>0</v>
      </c>
      <c r="AC1953" s="30" t="s">
        <v>5323</v>
      </c>
    </row>
    <row r="1954" spans="1:29">
      <c r="A1954" s="60" t="s">
        <v>5324</v>
      </c>
      <c r="B1954" s="11" t="str">
        <f>IF(ISNUMBER(SEARCH(E1954,A1954)),A1954,IF(OR(E1954="",E1954=""),A1954,A1954&amp;" - "&amp;E1954))</f>
        <v>Huala 27/1 UK WTR - Waffle Truffle</v>
      </c>
      <c r="C1954" s="30" t="s">
        <v>463</v>
      </c>
      <c r="D1954" s="30" t="s">
        <v>468</v>
      </c>
      <c r="E1954" s="32" t="s">
        <v>5325</v>
      </c>
      <c r="F1954" s="40" t="s">
        <v>177</v>
      </c>
      <c r="G1954" s="34" t="s">
        <v>33</v>
      </c>
      <c r="H1954" s="34" t="s">
        <v>65</v>
      </c>
      <c r="I1954" s="30" t="s">
        <v>0</v>
      </c>
      <c r="J1954" s="30" t="s">
        <v>0</v>
      </c>
      <c r="K1954" s="30" t="s">
        <v>52</v>
      </c>
      <c r="L1954" s="30" t="s">
        <v>5326</v>
      </c>
      <c r="M1954" s="30" t="s">
        <v>72</v>
      </c>
      <c r="N1954" s="30" t="s">
        <v>88</v>
      </c>
      <c r="O1954" s="30" t="s">
        <v>0</v>
      </c>
      <c r="P1954" s="30" t="s">
        <v>59</v>
      </c>
      <c r="Q1954" s="30" t="s">
        <v>89</v>
      </c>
      <c r="R1954" s="30" t="s">
        <v>157</v>
      </c>
      <c r="S1954" s="30" t="s">
        <v>106</v>
      </c>
      <c r="T1954" s="30" t="s">
        <v>62</v>
      </c>
      <c r="U1954" s="30" t="s">
        <v>123</v>
      </c>
      <c r="V1954" s="30" t="s">
        <v>77</v>
      </c>
      <c r="W1954" s="30" t="s">
        <v>914</v>
      </c>
      <c r="X1954" s="30" t="s">
        <v>138</v>
      </c>
      <c r="Y1954" s="30" t="s">
        <v>413</v>
      </c>
      <c r="Z1954" s="30" t="s">
        <v>64</v>
      </c>
      <c r="AA1954" s="30" t="s">
        <v>468</v>
      </c>
      <c r="AB1954" s="30" t="s">
        <v>0</v>
      </c>
      <c r="AC1954" s="30" t="s">
        <v>5327</v>
      </c>
    </row>
    <row r="1955" spans="1:29">
      <c r="A1955" s="60" t="s">
        <v>5328</v>
      </c>
      <c r="B1955" s="11" t="str">
        <f>IF(ISNUMBER(SEARCH(E1955,A1955)),A1955,IF(OR(E1955="",E1955=""),A1955,A1955&amp;" - "&amp;E1955))</f>
        <v>Remexian 30/1 MTL PAR - Pablo's Revenge</v>
      </c>
      <c r="C1955" s="30" t="s">
        <v>83</v>
      </c>
      <c r="D1955" s="30" t="s">
        <v>95</v>
      </c>
      <c r="E1955" s="32" t="s">
        <v>5329</v>
      </c>
      <c r="F1955" s="40" t="s">
        <v>177</v>
      </c>
      <c r="G1955" s="34" t="s">
        <v>4057</v>
      </c>
      <c r="H1955" s="34">
        <v>1</v>
      </c>
      <c r="I1955" s="30" t="s">
        <v>0</v>
      </c>
      <c r="J1955" s="30" t="s">
        <v>0</v>
      </c>
      <c r="K1955" s="30" t="s">
        <v>52</v>
      </c>
      <c r="L1955" s="30" t="s">
        <v>53</v>
      </c>
      <c r="M1955" s="30" t="s">
        <v>121</v>
      </c>
      <c r="N1955" s="30" t="s">
        <v>72</v>
      </c>
      <c r="O1955" s="30" t="s">
        <v>54</v>
      </c>
      <c r="P1955" s="30" t="s">
        <v>59</v>
      </c>
      <c r="Q1955" s="30" t="s">
        <v>89</v>
      </c>
      <c r="R1955" s="30" t="s">
        <v>112</v>
      </c>
      <c r="S1955" s="30" t="s">
        <v>106</v>
      </c>
      <c r="T1955" s="30" t="s">
        <v>62</v>
      </c>
      <c r="U1955" s="30" t="s">
        <v>164</v>
      </c>
      <c r="V1955" s="30" t="s">
        <v>77</v>
      </c>
      <c r="W1955" s="30" t="s">
        <v>116</v>
      </c>
      <c r="X1955" s="30" t="s">
        <v>138</v>
      </c>
      <c r="Y1955" s="30" t="s">
        <v>2894</v>
      </c>
      <c r="Z1955" s="30" t="s">
        <v>64</v>
      </c>
      <c r="AA1955" s="30" t="s">
        <v>95</v>
      </c>
      <c r="AB1955" s="30" t="s">
        <v>0</v>
      </c>
      <c r="AC1955" s="36" t="s">
        <v>5330</v>
      </c>
    </row>
    <row r="1956" spans="1:29">
      <c r="A1956" s="60" t="s">
        <v>5331</v>
      </c>
      <c r="B1956" s="11" t="str">
        <f>IF(ISNUMBER(SEARCH(E1956,A1956)),A1956,IF(OR(E1956="",E1956=""),A1956,A1956&amp;" - "&amp;E1956))</f>
        <v>TYSON 2.0 22/1 - Frozen Fist</v>
      </c>
      <c r="C1956" s="30" t="s">
        <v>141</v>
      </c>
      <c r="D1956" s="30" t="s">
        <v>149</v>
      </c>
      <c r="E1956" s="32" t="s">
        <v>5332</v>
      </c>
      <c r="F1956" s="40" t="s">
        <v>86</v>
      </c>
      <c r="G1956" s="34" t="s">
        <v>4126</v>
      </c>
      <c r="H1956" s="34">
        <v>1</v>
      </c>
      <c r="I1956" s="30" t="s">
        <v>0</v>
      </c>
      <c r="J1956" s="30" t="s">
        <v>0</v>
      </c>
      <c r="K1956" s="30" t="s">
        <v>52</v>
      </c>
      <c r="L1956" s="30" t="s">
        <v>145</v>
      </c>
      <c r="M1956" s="30" t="s">
        <v>72</v>
      </c>
      <c r="N1956" s="30" t="s">
        <v>71</v>
      </c>
      <c r="O1956" s="30" t="s">
        <v>178</v>
      </c>
      <c r="P1956" s="30" t="s">
        <v>112</v>
      </c>
      <c r="Q1956" s="30" t="s">
        <v>89</v>
      </c>
      <c r="R1956" s="30" t="s">
        <v>59</v>
      </c>
      <c r="S1956" s="30" t="s">
        <v>90</v>
      </c>
      <c r="T1956" s="30" t="s">
        <v>128</v>
      </c>
      <c r="U1956" s="30" t="s">
        <v>61</v>
      </c>
      <c r="V1956" s="30" t="s">
        <v>107</v>
      </c>
      <c r="W1956" s="30" t="s">
        <v>165</v>
      </c>
      <c r="X1956" s="30" t="s">
        <v>129</v>
      </c>
      <c r="Y1956" s="30" t="s">
        <v>555</v>
      </c>
      <c r="Z1956" s="30" t="s">
        <v>64</v>
      </c>
      <c r="AA1956" s="30" t="s">
        <v>149</v>
      </c>
      <c r="AB1956" s="30" t="s">
        <v>0</v>
      </c>
      <c r="AC1956" s="30" t="s">
        <v>5333</v>
      </c>
    </row>
    <row r="1957" spans="1:29">
      <c r="A1957" s="60" t="s">
        <v>168</v>
      </c>
      <c r="B1957" s="11" t="str">
        <f>IF(ISNUMBER(SEARCH(E1957,A1957)),A1957,IF(OR(E1957="",E1957=""),A1957,A1957&amp;" - "&amp;E1957))</f>
        <v>TYSON 2.0 28/1 - Alexander The Great</v>
      </c>
      <c r="C1957" s="30" t="s">
        <v>141</v>
      </c>
      <c r="D1957" s="30" t="s">
        <v>149</v>
      </c>
      <c r="E1957" s="32" t="s">
        <v>5334</v>
      </c>
      <c r="F1957" s="40" t="s">
        <v>177</v>
      </c>
      <c r="G1957" s="34" t="s">
        <v>4164</v>
      </c>
      <c r="H1957" s="34">
        <v>1</v>
      </c>
      <c r="I1957" s="30" t="s">
        <v>0</v>
      </c>
      <c r="J1957" s="30" t="s">
        <v>0</v>
      </c>
      <c r="K1957" s="30" t="s">
        <v>52</v>
      </c>
      <c r="L1957" s="30" t="s">
        <v>145</v>
      </c>
      <c r="M1957" s="30" t="s">
        <v>72</v>
      </c>
      <c r="N1957" s="30" t="s">
        <v>178</v>
      </c>
      <c r="O1957" s="30" t="s">
        <v>54</v>
      </c>
      <c r="P1957" s="30" t="s">
        <v>59</v>
      </c>
      <c r="Q1957" s="30" t="s">
        <v>75</v>
      </c>
      <c r="R1957" s="30" t="s">
        <v>73</v>
      </c>
      <c r="S1957" s="30" t="s">
        <v>106</v>
      </c>
      <c r="T1957" s="30" t="s">
        <v>62</v>
      </c>
      <c r="U1957" s="30" t="s">
        <v>147</v>
      </c>
      <c r="V1957" s="30" t="s">
        <v>116</v>
      </c>
      <c r="W1957" s="30" t="s">
        <v>93</v>
      </c>
      <c r="X1957" s="30" t="s">
        <v>107</v>
      </c>
      <c r="Y1957" s="30" t="s">
        <v>286</v>
      </c>
      <c r="Z1957" s="30" t="s">
        <v>64</v>
      </c>
      <c r="AA1957" s="30" t="s">
        <v>149</v>
      </c>
      <c r="AB1957" s="30" t="s">
        <v>0</v>
      </c>
      <c r="AC1957" s="30" t="s">
        <v>5335</v>
      </c>
    </row>
    <row r="1958" spans="1:29">
      <c r="A1958" s="60" t="s">
        <v>1640</v>
      </c>
      <c r="B1958" s="11" t="str">
        <f>IF(ISNUMBER(SEARCH(E1958,A1958)),A1958,IF(OR(E1958="",E1958=""),A1958,A1958&amp;" - "&amp;E1958))</f>
        <v>TYSON 2.0 24/1 - Exodus</v>
      </c>
      <c r="C1958" s="30" t="s">
        <v>141</v>
      </c>
      <c r="D1958" s="30" t="s">
        <v>149</v>
      </c>
      <c r="E1958" s="32" t="s">
        <v>5336</v>
      </c>
      <c r="F1958" s="40" t="s">
        <v>86</v>
      </c>
      <c r="G1958" s="34" t="s">
        <v>448</v>
      </c>
      <c r="H1958" s="34">
        <v>1</v>
      </c>
      <c r="I1958" s="30" t="s">
        <v>0</v>
      </c>
      <c r="J1958" s="30" t="s">
        <v>0</v>
      </c>
      <c r="K1958" s="30" t="s">
        <v>52</v>
      </c>
      <c r="L1958" s="30" t="s">
        <v>145</v>
      </c>
      <c r="M1958" s="30" t="s">
        <v>72</v>
      </c>
      <c r="N1958" s="30" t="s">
        <v>88</v>
      </c>
      <c r="O1958" s="30" t="s">
        <v>121</v>
      </c>
      <c r="P1958" s="30" t="s">
        <v>157</v>
      </c>
      <c r="Q1958" s="30" t="s">
        <v>146</v>
      </c>
      <c r="R1958" s="30" t="s">
        <v>74</v>
      </c>
      <c r="S1958" s="30" t="s">
        <v>62</v>
      </c>
      <c r="T1958" s="30" t="s">
        <v>123</v>
      </c>
      <c r="U1958" s="30" t="s">
        <v>105</v>
      </c>
      <c r="V1958" s="30" t="s">
        <v>77</v>
      </c>
      <c r="W1958" s="30" t="s">
        <v>79</v>
      </c>
      <c r="X1958" s="30" t="s">
        <v>173</v>
      </c>
      <c r="Y1958" s="30" t="s">
        <v>286</v>
      </c>
      <c r="Z1958" s="30" t="s">
        <v>64</v>
      </c>
      <c r="AA1958" s="30" t="s">
        <v>149</v>
      </c>
      <c r="AB1958" s="30" t="s">
        <v>0</v>
      </c>
      <c r="AC1958" s="30" t="s">
        <v>5337</v>
      </c>
    </row>
    <row r="1959" spans="1:29">
      <c r="A1959" s="60" t="s">
        <v>5338</v>
      </c>
      <c r="B1959" s="11" t="str">
        <f>IF(ISNUMBER(SEARCH(E1959,A1959)),A1959,IF(OR(E1959="",E1959=""),A1959,A1959&amp;" - "&amp;E1959))</f>
        <v>Remexian 30/1 TWE GBY - Gorilla Berry</v>
      </c>
      <c r="C1959" s="30" t="s">
        <v>83</v>
      </c>
      <c r="D1959" s="30" t="s">
        <v>95</v>
      </c>
      <c r="E1959" s="32" t="s">
        <v>5339</v>
      </c>
      <c r="F1959" s="40" t="s">
        <v>177</v>
      </c>
      <c r="G1959" s="34" t="s">
        <v>4057</v>
      </c>
      <c r="H1959" s="34" t="s">
        <v>65</v>
      </c>
      <c r="I1959" s="30" t="s">
        <v>0</v>
      </c>
      <c r="J1959" s="30" t="s">
        <v>0</v>
      </c>
      <c r="K1959" s="30" t="s">
        <v>52</v>
      </c>
      <c r="L1959" s="30" t="s">
        <v>102</v>
      </c>
      <c r="M1959" s="30" t="s">
        <v>72</v>
      </c>
      <c r="N1959" s="30" t="s">
        <v>54</v>
      </c>
      <c r="O1959" s="30" t="s">
        <v>103</v>
      </c>
      <c r="P1959" s="30" t="s">
        <v>89</v>
      </c>
      <c r="Q1959" s="30" t="s">
        <v>59</v>
      </c>
      <c r="R1959" s="30" t="s">
        <v>112</v>
      </c>
      <c r="S1959" s="30" t="s">
        <v>90</v>
      </c>
      <c r="T1959" s="30" t="s">
        <v>106</v>
      </c>
      <c r="U1959" s="30" t="s">
        <v>62</v>
      </c>
      <c r="V1959" s="30" t="s">
        <v>77</v>
      </c>
      <c r="W1959" s="30" t="s">
        <v>292</v>
      </c>
      <c r="X1959" s="30" t="s">
        <v>138</v>
      </c>
      <c r="Y1959" s="30" t="s">
        <v>307</v>
      </c>
      <c r="Z1959" s="30" t="s">
        <v>64</v>
      </c>
      <c r="AA1959" s="30" t="s">
        <v>95</v>
      </c>
      <c r="AB1959" s="30" t="s">
        <v>0</v>
      </c>
      <c r="AC1959" s="30" t="s">
        <v>5340</v>
      </c>
    </row>
    <row r="1960" spans="1:29">
      <c r="A1960" s="60" t="s">
        <v>5341</v>
      </c>
      <c r="B1960" s="11" t="str">
        <f>IF(ISNUMBER(SEARCH(E1960,A1960)),A1960,IF(OR(E1960="",E1960=""),A1960,A1960&amp;" - "&amp;E1960))</f>
        <v>Top Shelf Medical 34/1 MTL WCK - Wes' Coast Kush</v>
      </c>
      <c r="C1960" s="30" t="s">
        <v>1185</v>
      </c>
      <c r="D1960" s="30" t="s">
        <v>1186</v>
      </c>
      <c r="E1960" s="32" t="s">
        <v>5342</v>
      </c>
      <c r="F1960" s="40" t="s">
        <v>177</v>
      </c>
      <c r="G1960" s="34" t="s">
        <v>42</v>
      </c>
      <c r="H1960" s="34">
        <v>1</v>
      </c>
      <c r="I1960" s="30" t="s">
        <v>0</v>
      </c>
      <c r="J1960" s="30" t="s">
        <v>0</v>
      </c>
      <c r="K1960" s="30" t="s">
        <v>52</v>
      </c>
      <c r="L1960" s="30" t="s">
        <v>53</v>
      </c>
      <c r="M1960" s="30" t="s">
        <v>72</v>
      </c>
      <c r="N1960" s="30" t="s">
        <v>0</v>
      </c>
      <c r="O1960" s="30" t="s">
        <v>0</v>
      </c>
      <c r="P1960" s="30" t="s">
        <v>59</v>
      </c>
      <c r="Q1960" s="30" t="s">
        <v>74</v>
      </c>
      <c r="R1960" s="30" t="s">
        <v>89</v>
      </c>
      <c r="S1960" s="30" t="s">
        <v>106</v>
      </c>
      <c r="T1960" s="30" t="s">
        <v>62</v>
      </c>
      <c r="U1960" s="30" t="s">
        <v>123</v>
      </c>
      <c r="V1960" s="30" t="s">
        <v>107</v>
      </c>
      <c r="W1960" s="30" t="s">
        <v>77</v>
      </c>
      <c r="X1960" s="30" t="s">
        <v>116</v>
      </c>
      <c r="Y1960" s="30" t="s">
        <v>1419</v>
      </c>
      <c r="Z1960" s="30" t="s">
        <v>64</v>
      </c>
      <c r="AA1960" s="30" t="s">
        <v>1186</v>
      </c>
      <c r="AB1960" s="30" t="s">
        <v>0</v>
      </c>
      <c r="AC1960" s="30" t="s">
        <v>5343</v>
      </c>
    </row>
    <row r="1961" spans="1:29">
      <c r="A1961" s="60" t="s">
        <v>5344</v>
      </c>
      <c r="B1961" s="11" t="str">
        <f>IF(ISNUMBER(SEARCH(E1961,A1961)),A1961,IF(OR(E1961="",E1961=""),A1961,A1961&amp;" - "&amp;E1961))</f>
        <v>Top Shelf Medical 34/1 MTL SNM Strawberry N‘ Mintz - Strawberry n' Mintz</v>
      </c>
      <c r="C1961" s="30" t="s">
        <v>1185</v>
      </c>
      <c r="D1961" s="30" t="s">
        <v>1186</v>
      </c>
      <c r="E1961" s="32" t="s">
        <v>1160</v>
      </c>
      <c r="F1961" s="40" t="s">
        <v>144</v>
      </c>
      <c r="G1961" s="34" t="s">
        <v>42</v>
      </c>
      <c r="H1961" s="34" t="s">
        <v>65</v>
      </c>
      <c r="I1961" s="30" t="s">
        <v>0</v>
      </c>
      <c r="J1961" s="30" t="s">
        <v>0</v>
      </c>
      <c r="K1961" s="30" t="s">
        <v>52</v>
      </c>
      <c r="L1961" s="30" t="s">
        <v>53</v>
      </c>
      <c r="M1961" s="30" t="s">
        <v>72</v>
      </c>
      <c r="N1961" s="30" t="s">
        <v>54</v>
      </c>
      <c r="O1961" s="30" t="s">
        <v>178</v>
      </c>
      <c r="P1961" s="30" t="s">
        <v>59</v>
      </c>
      <c r="Q1961" s="30" t="s">
        <v>89</v>
      </c>
      <c r="R1961" s="30" t="s">
        <v>112</v>
      </c>
      <c r="S1961" s="30" t="s">
        <v>62</v>
      </c>
      <c r="T1961" s="30" t="s">
        <v>147</v>
      </c>
      <c r="U1961" s="30" t="s">
        <v>0</v>
      </c>
      <c r="V1961" s="30" t="s">
        <v>77</v>
      </c>
      <c r="W1961" s="30" t="s">
        <v>107</v>
      </c>
      <c r="X1961" s="30" t="s">
        <v>79</v>
      </c>
      <c r="Y1961" s="30" t="s">
        <v>3277</v>
      </c>
      <c r="Z1961" s="30" t="s">
        <v>64</v>
      </c>
      <c r="AA1961" s="30" t="s">
        <v>1186</v>
      </c>
      <c r="AB1961" s="30" t="s">
        <v>0</v>
      </c>
      <c r="AC1961" s="30" t="s">
        <v>5345</v>
      </c>
    </row>
    <row r="1962" spans="1:29">
      <c r="A1962" s="60" t="s">
        <v>5346</v>
      </c>
      <c r="B1962" s="11" t="str">
        <f>IF(ISNUMBER(SEARCH(E1962,A1962)),A1962,IF(OR(E1962="",E1962=""),A1962,A1962&amp;" - "&amp;E1962))</f>
        <v>IMC Cannabisblüten RWT THC27 Token - White Rhino</v>
      </c>
      <c r="C1962" s="30" t="s">
        <v>646</v>
      </c>
      <c r="D1962" s="30" t="s">
        <v>646</v>
      </c>
      <c r="E1962" s="32" t="s">
        <v>5347</v>
      </c>
      <c r="F1962" s="40" t="s">
        <v>86</v>
      </c>
      <c r="G1962" s="34" t="s">
        <v>33</v>
      </c>
      <c r="H1962" s="34" t="s">
        <v>65</v>
      </c>
      <c r="I1962" s="30" t="s">
        <v>0</v>
      </c>
      <c r="J1962" s="30" t="s">
        <v>0</v>
      </c>
      <c r="K1962" s="30" t="s">
        <v>52</v>
      </c>
      <c r="L1962" s="30" t="s">
        <v>53</v>
      </c>
      <c r="M1962" s="30" t="s">
        <v>121</v>
      </c>
      <c r="N1962" s="30" t="s">
        <v>88</v>
      </c>
      <c r="O1962" s="30" t="s">
        <v>72</v>
      </c>
      <c r="P1962" s="30" t="s">
        <v>75</v>
      </c>
      <c r="Q1962" s="30" t="s">
        <v>59</v>
      </c>
      <c r="R1962" s="30" t="s">
        <v>89</v>
      </c>
      <c r="S1962" s="30" t="s">
        <v>106</v>
      </c>
      <c r="T1962" s="30" t="s">
        <v>62</v>
      </c>
      <c r="U1962" s="30" t="s">
        <v>147</v>
      </c>
      <c r="V1962" s="30" t="s">
        <v>93</v>
      </c>
      <c r="W1962" s="30" t="s">
        <v>173</v>
      </c>
      <c r="X1962" s="30" t="s">
        <v>116</v>
      </c>
      <c r="Y1962" s="30" t="s">
        <v>388</v>
      </c>
      <c r="Z1962" s="30" t="s">
        <v>64</v>
      </c>
      <c r="AA1962" s="30" t="s">
        <v>646</v>
      </c>
      <c r="AB1962" s="30" t="s">
        <v>0</v>
      </c>
      <c r="AC1962" s="30" t="s">
        <v>5348</v>
      </c>
    </row>
    <row r="1963" spans="1:29">
      <c r="A1963" s="60" t="s">
        <v>5349</v>
      </c>
      <c r="B1963" s="11" t="str">
        <f>IF(ISNUMBER(SEARCH(E1963,A1963)),A1963,IF(OR(E1963="",E1963=""),A1963,A1963&amp;" - "&amp;E1963))</f>
        <v>Cannamedical Sativa ultra ES - Nova</v>
      </c>
      <c r="C1963" s="30" t="s">
        <v>48</v>
      </c>
      <c r="D1963" s="30" t="s">
        <v>49</v>
      </c>
      <c r="E1963" s="32" t="s">
        <v>5350</v>
      </c>
      <c r="F1963" s="40" t="s">
        <v>144</v>
      </c>
      <c r="G1963" s="34" t="s">
        <v>4488</v>
      </c>
      <c r="H1963" s="34" t="s">
        <v>65</v>
      </c>
      <c r="I1963" s="30" t="s">
        <v>0</v>
      </c>
      <c r="J1963" s="30" t="s">
        <v>0</v>
      </c>
      <c r="K1963" s="30" t="s">
        <v>17</v>
      </c>
      <c r="L1963" s="30" t="s">
        <v>423</v>
      </c>
      <c r="M1963" s="30" t="s">
        <v>72</v>
      </c>
      <c r="N1963" s="30" t="s">
        <v>54</v>
      </c>
      <c r="O1963" s="30" t="s">
        <v>88</v>
      </c>
      <c r="P1963" s="30" t="s">
        <v>74</v>
      </c>
      <c r="Q1963" s="30" t="s">
        <v>186</v>
      </c>
      <c r="R1963" s="30" t="s">
        <v>113</v>
      </c>
      <c r="S1963" s="30" t="s">
        <v>128</v>
      </c>
      <c r="T1963" s="30" t="s">
        <v>106</v>
      </c>
      <c r="U1963" s="30" t="s">
        <v>62</v>
      </c>
      <c r="V1963" s="30" t="s">
        <v>138</v>
      </c>
      <c r="W1963" s="30" t="s">
        <v>116</v>
      </c>
      <c r="X1963" s="30" t="s">
        <v>165</v>
      </c>
      <c r="Y1963" s="30" t="s">
        <v>2696</v>
      </c>
      <c r="Z1963" s="30" t="s">
        <v>64</v>
      </c>
      <c r="AA1963" s="30" t="s">
        <v>49</v>
      </c>
      <c r="AB1963" s="30" t="s">
        <v>298</v>
      </c>
      <c r="AC1963" s="30" t="s">
        <v>5351</v>
      </c>
    </row>
    <row r="1964" spans="1:29">
      <c r="A1964" s="87" t="s">
        <v>5352</v>
      </c>
      <c r="B1964" s="88" t="str">
        <f>IF(ISNUMBER(SEARCH(E1964,A1964)),A1964,IF(OR(E1964="",E1964=""),A1964,A1964&amp;" - "&amp;E1964))</f>
        <v>enua 22/1 BA CA - Busy Animal</v>
      </c>
      <c r="C1964" s="15" t="s">
        <v>650</v>
      </c>
      <c r="D1964" s="15" t="s">
        <v>653</v>
      </c>
      <c r="E1964" s="73" t="s">
        <v>4835</v>
      </c>
      <c r="F1964" s="74" t="s">
        <v>144</v>
      </c>
      <c r="G1964" s="75" t="s">
        <v>4126</v>
      </c>
      <c r="H1964" s="75" t="s">
        <v>65</v>
      </c>
      <c r="I1964" s="15" t="s">
        <v>0</v>
      </c>
      <c r="J1964" s="15" t="s">
        <v>0</v>
      </c>
      <c r="K1964" s="15" t="s">
        <v>52</v>
      </c>
      <c r="L1964" s="15" t="s">
        <v>53</v>
      </c>
      <c r="M1964" s="15" t="s">
        <v>178</v>
      </c>
      <c r="N1964" s="15" t="s">
        <v>54</v>
      </c>
      <c r="O1964" s="15" t="s">
        <v>55</v>
      </c>
      <c r="P1964" s="15" t="s">
        <v>59</v>
      </c>
      <c r="Q1964" s="15" t="s">
        <v>75</v>
      </c>
      <c r="R1964" s="15" t="s">
        <v>104</v>
      </c>
      <c r="S1964" s="15" t="s">
        <v>106</v>
      </c>
      <c r="T1964" s="15" t="s">
        <v>62</v>
      </c>
      <c r="U1964" s="15" t="s">
        <v>123</v>
      </c>
      <c r="V1964" s="15" t="s">
        <v>77</v>
      </c>
      <c r="W1964" s="15" t="s">
        <v>173</v>
      </c>
      <c r="X1964" s="15" t="s">
        <v>79</v>
      </c>
      <c r="Y1964" s="15" t="s">
        <v>877</v>
      </c>
      <c r="Z1964" s="15" t="s">
        <v>64</v>
      </c>
      <c r="AA1964" s="15" t="s">
        <v>653</v>
      </c>
      <c r="AB1964" s="15" t="s">
        <v>0</v>
      </c>
      <c r="AC1964" s="15" t="s">
        <v>5353</v>
      </c>
    </row>
    <row r="1965" spans="1:29">
      <c r="A1965" s="86" t="s">
        <v>5354</v>
      </c>
      <c r="B1965" s="88" t="str">
        <f>IF(ISNUMBER(SEARCH(E1965,A1965)),A1965,IF(OR(E1965="",E1965=""),A1965,A1965&amp;" - "&amp;E1965))</f>
        <v>Remexian 35/1 GJY BPA - Black Pave</v>
      </c>
      <c r="C1965" t="s">
        <v>83</v>
      </c>
      <c r="D1965" t="s">
        <v>95</v>
      </c>
      <c r="E1965" s="79" t="s">
        <v>5355</v>
      </c>
      <c r="F1965" s="81" t="s">
        <v>120</v>
      </c>
      <c r="G1965" s="83" t="s">
        <v>5284</v>
      </c>
      <c r="H1965" s="83" t="s">
        <v>65</v>
      </c>
      <c r="I1965" t="s">
        <v>0</v>
      </c>
      <c r="J1965" t="s">
        <v>0</v>
      </c>
      <c r="K1965" t="s">
        <v>52</v>
      </c>
      <c r="L1965" t="s">
        <v>53</v>
      </c>
      <c r="M1965" t="s">
        <v>72</v>
      </c>
      <c r="N1965" t="s">
        <v>71</v>
      </c>
      <c r="O1965" t="s">
        <v>178</v>
      </c>
      <c r="P1965" t="s">
        <v>59</v>
      </c>
      <c r="Q1965" t="s">
        <v>89</v>
      </c>
      <c r="R1965" t="s">
        <v>58</v>
      </c>
      <c r="S1965" t="s">
        <v>106</v>
      </c>
      <c r="T1965" t="s">
        <v>62</v>
      </c>
      <c r="U1965" t="s">
        <v>123</v>
      </c>
      <c r="V1965" t="s">
        <v>77</v>
      </c>
      <c r="W1965" t="s">
        <v>138</v>
      </c>
      <c r="X1965" t="s">
        <v>79</v>
      </c>
      <c r="Y1965" t="s">
        <v>1182</v>
      </c>
      <c r="Z1965" t="s">
        <v>64</v>
      </c>
      <c r="AA1965" t="s">
        <v>95</v>
      </c>
      <c r="AB1965" t="s">
        <v>5032</v>
      </c>
      <c r="AC1965" t="s">
        <v>5356</v>
      </c>
    </row>
    <row r="1966" spans="1:29">
      <c r="A1966" s="86" t="s">
        <v>5357</v>
      </c>
      <c r="B1966" s="88" t="str">
        <f>IF(ISNUMBER(SEARCH(E1966,A1966)),A1966,IF(OR(E1966="",E1966=""),A1966,A1966&amp;" - "&amp;E1966))</f>
        <v>IMC THC27 T04 - Strawberry OG</v>
      </c>
      <c r="C1966" t="s">
        <v>646</v>
      </c>
      <c r="D1966" t="s">
        <v>646</v>
      </c>
      <c r="E1966" s="79" t="s">
        <v>1353</v>
      </c>
      <c r="F1966" s="81" t="s">
        <v>120</v>
      </c>
      <c r="G1966" s="83" t="s">
        <v>33</v>
      </c>
      <c r="H1966" s="83">
        <v>1</v>
      </c>
      <c r="I1966" t="s">
        <v>0</v>
      </c>
      <c r="J1966" t="s">
        <v>0</v>
      </c>
      <c r="K1966" t="s">
        <v>17</v>
      </c>
      <c r="L1966" t="s">
        <v>423</v>
      </c>
      <c r="M1966" t="s">
        <v>72</v>
      </c>
      <c r="N1966" t="s">
        <v>88</v>
      </c>
      <c r="O1966" t="s">
        <v>178</v>
      </c>
      <c r="P1966" t="s">
        <v>89</v>
      </c>
      <c r="Q1966" t="s">
        <v>58</v>
      </c>
      <c r="R1966" t="s">
        <v>0</v>
      </c>
      <c r="S1966" t="s">
        <v>76</v>
      </c>
      <c r="T1966" t="s">
        <v>164</v>
      </c>
      <c r="U1966" t="s">
        <v>60</v>
      </c>
      <c r="V1966" t="s">
        <v>173</v>
      </c>
      <c r="W1966" t="s">
        <v>77</v>
      </c>
      <c r="X1966" t="s">
        <v>79</v>
      </c>
      <c r="Y1966" t="s">
        <v>188</v>
      </c>
      <c r="Z1966" t="s">
        <v>64</v>
      </c>
      <c r="AA1966" t="s">
        <v>646</v>
      </c>
      <c r="AB1966" t="s">
        <v>0</v>
      </c>
      <c r="AC1966" t="s">
        <v>5358</v>
      </c>
    </row>
    <row r="1967" spans="1:29">
      <c r="A1967" s="86" t="s">
        <v>5359</v>
      </c>
      <c r="B1967" s="88" t="str">
        <f>IF(ISNUMBER(SEARCH(E1967,A1967)),A1967,IF(OR(E1967="",E1967=""),A1967,A1967&amp;" - "&amp;E1967))</f>
        <v>Curaleaf Natural 27/1 PT WPT - Wedding Pop Triangle</v>
      </c>
      <c r="C1967" t="s">
        <v>463</v>
      </c>
      <c r="D1967" t="s">
        <v>468</v>
      </c>
      <c r="E1967" s="79" t="s">
        <v>1142</v>
      </c>
      <c r="F1967" s="81" t="s">
        <v>144</v>
      </c>
      <c r="G1967" s="83" t="s">
        <v>33</v>
      </c>
      <c r="H1967" s="83" t="s">
        <v>65</v>
      </c>
      <c r="I1967" t="s">
        <v>0</v>
      </c>
      <c r="J1967" t="s">
        <v>0</v>
      </c>
      <c r="K1967" t="s">
        <v>52</v>
      </c>
      <c r="L1967" t="s">
        <v>102</v>
      </c>
      <c r="M1967" t="s">
        <v>88</v>
      </c>
      <c r="N1967" t="s">
        <v>54</v>
      </c>
      <c r="O1967" t="s">
        <v>111</v>
      </c>
      <c r="P1967" t="s">
        <v>58</v>
      </c>
      <c r="Q1967" t="s">
        <v>74</v>
      </c>
      <c r="R1967" t="s">
        <v>75</v>
      </c>
      <c r="S1967" t="s">
        <v>106</v>
      </c>
      <c r="T1967" t="s">
        <v>62</v>
      </c>
      <c r="U1967" t="s">
        <v>147</v>
      </c>
      <c r="V1967" t="s">
        <v>79</v>
      </c>
      <c r="W1967" t="s">
        <v>77</v>
      </c>
      <c r="X1967" t="s">
        <v>107</v>
      </c>
      <c r="Y1967" t="s">
        <v>226</v>
      </c>
      <c r="Z1967" t="s">
        <v>64</v>
      </c>
      <c r="AA1967" t="s">
        <v>468</v>
      </c>
      <c r="AB1967" t="s">
        <v>0</v>
      </c>
      <c r="AC1967" t="s">
        <v>5360</v>
      </c>
    </row>
    <row r="1968" spans="1:29">
      <c r="A1968" s="96" t="s">
        <v>5361</v>
      </c>
      <c r="B1968" s="88" t="str">
        <f>IF(ISNUMBER(SEARCH(E1968,A1968)),A1968,IF(OR(E1968="",E1968=""),A1968,A1968&amp;" - "&amp;E1968))</f>
        <v>Medicus 27/1 EZA GMO - GMO Cookies</v>
      </c>
      <c r="C1968" s="92" t="s">
        <v>83</v>
      </c>
      <c r="D1968" s="92" t="s">
        <v>95</v>
      </c>
      <c r="E1968" s="78" t="s">
        <v>816</v>
      </c>
      <c r="F1968" s="80" t="s">
        <v>86</v>
      </c>
      <c r="G1968" s="82" t="s">
        <v>33</v>
      </c>
      <c r="H1968" s="82" t="s">
        <v>65</v>
      </c>
      <c r="I1968" s="92" t="s">
        <v>0</v>
      </c>
      <c r="J1968" s="92" t="s">
        <v>0</v>
      </c>
      <c r="K1968" s="92" t="s">
        <v>52</v>
      </c>
      <c r="L1968" s="92" t="s">
        <v>102</v>
      </c>
      <c r="M1968" s="92" t="s">
        <v>88</v>
      </c>
      <c r="N1968" s="92" t="s">
        <v>121</v>
      </c>
      <c r="O1968" s="92" t="s">
        <v>72</v>
      </c>
      <c r="P1968" s="92" t="s">
        <v>73</v>
      </c>
      <c r="Q1968" s="92" t="s">
        <v>0</v>
      </c>
      <c r="R1968" s="92" t="s">
        <v>0</v>
      </c>
      <c r="S1968" s="92" t="s">
        <v>106</v>
      </c>
      <c r="T1968" s="92" t="s">
        <v>234</v>
      </c>
      <c r="U1968" s="92" t="s">
        <v>147</v>
      </c>
      <c r="V1968" s="92" t="s">
        <v>116</v>
      </c>
      <c r="W1968" s="92" t="s">
        <v>92</v>
      </c>
      <c r="X1968" s="92" t="s">
        <v>79</v>
      </c>
      <c r="Y1968" s="92" t="s">
        <v>314</v>
      </c>
      <c r="Z1968" s="92" t="s">
        <v>64</v>
      </c>
      <c r="AA1968" s="92" t="s">
        <v>95</v>
      </c>
      <c r="AB1968" s="92" t="s">
        <v>4935</v>
      </c>
      <c r="AC1968" s="92" t="s">
        <v>5362</v>
      </c>
    </row>
    <row r="1969" spans="1:29">
      <c r="A1969" s="86" t="s">
        <v>5363</v>
      </c>
      <c r="B1969" s="88" t="str">
        <f>IF(ISNUMBER(SEARCH(E1969,A1969)),A1969,IF(OR(E1969="",E1969=""),A1969,A1969&amp;" - "&amp;E1969))</f>
        <v>Remexian 36/1 MER RUP - Runtz Punch</v>
      </c>
      <c r="C1969" t="s">
        <v>83</v>
      </c>
      <c r="D1969" t="s">
        <v>95</v>
      </c>
      <c r="E1969" s="79" t="s">
        <v>5364</v>
      </c>
      <c r="F1969" s="81" t="s">
        <v>86</v>
      </c>
      <c r="G1969" s="83" t="s">
        <v>5365</v>
      </c>
      <c r="H1969" s="83" t="s">
        <v>65</v>
      </c>
      <c r="I1969" t="s">
        <v>0</v>
      </c>
      <c r="J1969" t="s">
        <v>0</v>
      </c>
      <c r="K1969" t="s">
        <v>52</v>
      </c>
      <c r="L1969" t="s">
        <v>53</v>
      </c>
      <c r="M1969" t="s">
        <v>156</v>
      </c>
      <c r="N1969" t="s">
        <v>103</v>
      </c>
      <c r="O1969" t="s">
        <v>71</v>
      </c>
      <c r="P1969" t="s">
        <v>59</v>
      </c>
      <c r="Q1969" t="s">
        <v>75</v>
      </c>
      <c r="R1969" t="s">
        <v>89</v>
      </c>
      <c r="S1969" t="s">
        <v>106</v>
      </c>
      <c r="T1969" t="s">
        <v>62</v>
      </c>
      <c r="U1969" t="s">
        <v>123</v>
      </c>
      <c r="V1969" t="s">
        <v>93</v>
      </c>
      <c r="W1969" t="s">
        <v>92</v>
      </c>
      <c r="X1969" t="s">
        <v>165</v>
      </c>
      <c r="Y1969" t="s">
        <v>289</v>
      </c>
      <c r="Z1969" t="s">
        <v>64</v>
      </c>
      <c r="AA1969" t="s">
        <v>95</v>
      </c>
      <c r="AB1969" t="s">
        <v>0</v>
      </c>
      <c r="AC1969" t="s">
        <v>5366</v>
      </c>
    </row>
    <row r="1970" spans="1:29">
      <c r="A1970" s="86" t="s">
        <v>5367</v>
      </c>
      <c r="B1970" s="88" t="str">
        <f>IF(ISNUMBER(SEARCH(E1970,A1970)),A1970,IF(OR(E1970="",E1970=""),A1970,A1970&amp;" - "&amp;E1970))</f>
        <v>Pretty Smalls MR 21/1 - Midnight Runtz</v>
      </c>
      <c r="C1970" t="s">
        <v>564</v>
      </c>
      <c r="D1970" t="s">
        <v>565</v>
      </c>
      <c r="E1970" s="79" t="s">
        <v>5368</v>
      </c>
      <c r="F1970" s="81" t="s">
        <v>177</v>
      </c>
      <c r="G1970" s="83" t="s">
        <v>452</v>
      </c>
      <c r="H1970" s="83" t="s">
        <v>65</v>
      </c>
      <c r="I1970" t="s">
        <v>0</v>
      </c>
      <c r="J1970" t="s">
        <v>0</v>
      </c>
      <c r="K1970" t="s">
        <v>52</v>
      </c>
      <c r="L1970" t="s">
        <v>53</v>
      </c>
      <c r="M1970" t="s">
        <v>72</v>
      </c>
      <c r="N1970" t="s">
        <v>55</v>
      </c>
      <c r="O1970" t="s">
        <v>71</v>
      </c>
      <c r="P1970" t="s">
        <v>146</v>
      </c>
      <c r="Q1970" t="s">
        <v>59</v>
      </c>
      <c r="R1970" t="s">
        <v>89</v>
      </c>
      <c r="S1970" t="s">
        <v>106</v>
      </c>
      <c r="T1970" t="s">
        <v>62</v>
      </c>
      <c r="U1970" t="s">
        <v>123</v>
      </c>
      <c r="V1970" t="s">
        <v>914</v>
      </c>
      <c r="W1970" t="s">
        <v>77</v>
      </c>
      <c r="X1970" t="s">
        <v>79</v>
      </c>
      <c r="Y1970" t="s">
        <v>5369</v>
      </c>
      <c r="Z1970" t="s">
        <v>64</v>
      </c>
      <c r="AA1970" t="s">
        <v>565</v>
      </c>
      <c r="AB1970" t="s">
        <v>0</v>
      </c>
      <c r="AC1970" t="s">
        <v>5370</v>
      </c>
    </row>
    <row r="1971" spans="1:29">
      <c r="A1971" s="86" t="s">
        <v>5371</v>
      </c>
      <c r="B1971" s="88" t="str">
        <f>IF(ISNUMBER(SEARCH(E1971,A1971)),A1971,IF(OR(E1971="",E1971=""),A1971,A1971&amp;" - "&amp;E1971))</f>
        <v>Pretty Smalls BSC 21/1 - Biscotti</v>
      </c>
      <c r="C1971" t="s">
        <v>564</v>
      </c>
      <c r="D1971" t="s">
        <v>565</v>
      </c>
      <c r="E1971" s="79" t="s">
        <v>5372</v>
      </c>
      <c r="F1971" s="81" t="s">
        <v>177</v>
      </c>
      <c r="G1971" s="83" t="s">
        <v>452</v>
      </c>
      <c r="H1971" s="83" t="s">
        <v>65</v>
      </c>
      <c r="I1971" t="s">
        <v>0</v>
      </c>
      <c r="J1971" t="s">
        <v>0</v>
      </c>
      <c r="K1971" t="s">
        <v>52</v>
      </c>
      <c r="L1971" t="s">
        <v>53</v>
      </c>
      <c r="M1971" t="s">
        <v>55</v>
      </c>
      <c r="N1971" t="s">
        <v>178</v>
      </c>
      <c r="O1971" t="s">
        <v>111</v>
      </c>
      <c r="P1971" t="s">
        <v>186</v>
      </c>
      <c r="Q1971" t="s">
        <v>59</v>
      </c>
      <c r="R1971" t="s">
        <v>75</v>
      </c>
      <c r="S1971" t="s">
        <v>106</v>
      </c>
      <c r="T1971" t="s">
        <v>147</v>
      </c>
      <c r="U1971" t="s">
        <v>224</v>
      </c>
      <c r="V1971" t="s">
        <v>165</v>
      </c>
      <c r="W1971" t="s">
        <v>914</v>
      </c>
      <c r="X1971" t="s">
        <v>292</v>
      </c>
      <c r="Y1971" t="s">
        <v>1615</v>
      </c>
      <c r="Z1971" t="s">
        <v>64</v>
      </c>
      <c r="AA1971" t="s">
        <v>565</v>
      </c>
      <c r="AB1971" t="s">
        <v>0</v>
      </c>
      <c r="AC1971" t="s">
        <v>5373</v>
      </c>
    </row>
    <row r="1972" spans="1:29">
      <c r="A1972" s="86" t="s">
        <v>5374</v>
      </c>
      <c r="B1972" s="88" t="str">
        <f>IF(ISNUMBER(SEARCH(E1972,A1972)),A1972,IF(OR(E1972="",E1972=""),A1972,A1972&amp;" - "&amp;E1972))</f>
        <v>420 Evolution 27/1 CA MFG - Modified Grapes</v>
      </c>
      <c r="C1972" t="s">
        <v>463</v>
      </c>
      <c r="D1972" t="s">
        <v>468</v>
      </c>
      <c r="E1972" s="79" t="s">
        <v>5375</v>
      </c>
      <c r="F1972" s="81" t="s">
        <v>177</v>
      </c>
      <c r="G1972" s="83" t="s">
        <v>33</v>
      </c>
      <c r="H1972" s="83">
        <v>1</v>
      </c>
      <c r="I1972" t="s">
        <v>0</v>
      </c>
      <c r="J1972" t="s">
        <v>0</v>
      </c>
      <c r="K1972" t="s">
        <v>52</v>
      </c>
      <c r="L1972" t="s">
        <v>53</v>
      </c>
      <c r="M1972" t="s">
        <v>72</v>
      </c>
      <c r="N1972" t="s">
        <v>121</v>
      </c>
      <c r="O1972" t="s">
        <v>0</v>
      </c>
      <c r="P1972" t="s">
        <v>59</v>
      </c>
      <c r="Q1972" t="s">
        <v>57</v>
      </c>
      <c r="R1972" t="s">
        <v>89</v>
      </c>
      <c r="S1972" t="s">
        <v>106</v>
      </c>
      <c r="T1972" t="s">
        <v>62</v>
      </c>
      <c r="U1972" t="s">
        <v>147</v>
      </c>
      <c r="V1972" t="s">
        <v>107</v>
      </c>
      <c r="W1972" t="s">
        <v>77</v>
      </c>
      <c r="X1972" t="s">
        <v>116</v>
      </c>
      <c r="Y1972" t="s">
        <v>4446</v>
      </c>
      <c r="Z1972" t="s">
        <v>64</v>
      </c>
      <c r="AA1972" t="s">
        <v>468</v>
      </c>
      <c r="AB1972" t="s">
        <v>0</v>
      </c>
      <c r="AC1972" t="s">
        <v>5376</v>
      </c>
    </row>
    <row r="1973" spans="1:29">
      <c r="A1973" s="86" t="s">
        <v>5377</v>
      </c>
      <c r="B1973" s="88" t="str">
        <f>IF(ISNUMBER(SEARCH(E1973,A1973)),A1973,IF(OR(E1973="",E1973=""),A1973,A1973&amp;" - "&amp;E1973))</f>
        <v>420 Evolution 22/1 CA PVB - Private Banana</v>
      </c>
      <c r="C1973" t="s">
        <v>463</v>
      </c>
      <c r="D1973" t="s">
        <v>468</v>
      </c>
      <c r="E1973" s="79" t="s">
        <v>5378</v>
      </c>
      <c r="F1973" s="81" t="s">
        <v>177</v>
      </c>
      <c r="G1973" s="83" t="s">
        <v>4126</v>
      </c>
      <c r="H1973" s="83">
        <v>1</v>
      </c>
      <c r="I1973" t="s">
        <v>0</v>
      </c>
      <c r="J1973" t="s">
        <v>0</v>
      </c>
      <c r="K1973" t="s">
        <v>52</v>
      </c>
      <c r="L1973" t="s">
        <v>53</v>
      </c>
      <c r="M1973" t="s">
        <v>121</v>
      </c>
      <c r="N1973" t="s">
        <v>72</v>
      </c>
      <c r="O1973" t="s">
        <v>88</v>
      </c>
      <c r="P1973" t="s">
        <v>57</v>
      </c>
      <c r="Q1973" t="s">
        <v>136</v>
      </c>
      <c r="R1973" t="s">
        <v>89</v>
      </c>
      <c r="S1973" t="s">
        <v>106</v>
      </c>
      <c r="T1973" t="s">
        <v>62</v>
      </c>
      <c r="U1973" t="s">
        <v>147</v>
      </c>
      <c r="V1973" t="s">
        <v>77</v>
      </c>
      <c r="W1973" t="s">
        <v>116</v>
      </c>
      <c r="X1973" t="s">
        <v>180</v>
      </c>
      <c r="Y1973" t="s">
        <v>130</v>
      </c>
      <c r="Z1973" t="s">
        <v>64</v>
      </c>
      <c r="AA1973" t="s">
        <v>468</v>
      </c>
      <c r="AB1973" t="s">
        <v>0</v>
      </c>
      <c r="AC1973" t="s">
        <v>5379</v>
      </c>
    </row>
    <row r="1974" spans="1:29">
      <c r="A1974" s="86" t="s">
        <v>5380</v>
      </c>
      <c r="B1974" s="88" t="str">
        <f>IF(ISNUMBER(SEARCH(E1974,A1974)),A1974,IF(OR(E1974="",E1974=""),A1974,A1974&amp;" - "&amp;E1974))</f>
        <v>Huala 25/1 CA SCO - Scoops</v>
      </c>
      <c r="C1974" t="s">
        <v>463</v>
      </c>
      <c r="D1974" t="s">
        <v>468</v>
      </c>
      <c r="E1974" s="79" t="s">
        <v>5381</v>
      </c>
      <c r="F1974" s="81" t="s">
        <v>177</v>
      </c>
      <c r="G1974" s="83" t="s">
        <v>26</v>
      </c>
      <c r="H1974" s="83">
        <v>1</v>
      </c>
      <c r="I1974" t="s">
        <v>0</v>
      </c>
      <c r="J1974" t="s">
        <v>0</v>
      </c>
      <c r="K1974" t="s">
        <v>52</v>
      </c>
      <c r="L1974" t="s">
        <v>53</v>
      </c>
      <c r="M1974" t="s">
        <v>121</v>
      </c>
      <c r="N1974" t="s">
        <v>54</v>
      </c>
      <c r="O1974" t="s">
        <v>71</v>
      </c>
      <c r="P1974" t="s">
        <v>59</v>
      </c>
      <c r="Q1974" t="s">
        <v>57</v>
      </c>
      <c r="R1974" t="s">
        <v>89</v>
      </c>
      <c r="S1974" t="s">
        <v>128</v>
      </c>
      <c r="T1974" t="s">
        <v>106</v>
      </c>
      <c r="U1974" t="s">
        <v>123</v>
      </c>
      <c r="V1974" t="s">
        <v>77</v>
      </c>
      <c r="W1974" t="s">
        <v>116</v>
      </c>
      <c r="X1974" t="s">
        <v>138</v>
      </c>
      <c r="Y1974" t="s">
        <v>5382</v>
      </c>
      <c r="Z1974" t="s">
        <v>64</v>
      </c>
      <c r="AA1974" t="s">
        <v>468</v>
      </c>
      <c r="AB1974" t="s">
        <v>0</v>
      </c>
      <c r="AC1974" t="s">
        <v>5383</v>
      </c>
    </row>
    <row r="1975" spans="1:29">
      <c r="A1975" s="94" t="s">
        <v>5384</v>
      </c>
      <c r="B1975" s="91" t="s">
        <v>5384</v>
      </c>
      <c r="E1975" s="79"/>
      <c r="F1975" s="81"/>
      <c r="G1975" s="83"/>
      <c r="H1975" s="95"/>
    </row>
    <row r="1976" spans="1:29">
      <c r="A1976" s="86" t="s">
        <v>5385</v>
      </c>
      <c r="B1976" s="88" t="str">
        <f>IF(ISNUMBER(SEARCH(E1976,A1976)),A1976,IF(OR(E1976="",E1976=""),A1976,A1976&amp;" - "&amp;E1976))</f>
        <v>Bava Med 24/1 BAN-SP - Banana Split</v>
      </c>
      <c r="C1976" t="s">
        <v>4180</v>
      </c>
      <c r="D1976" t="s">
        <v>5258</v>
      </c>
      <c r="E1976" s="79" t="s">
        <v>5262</v>
      </c>
      <c r="F1976" s="81" t="s">
        <v>86</v>
      </c>
      <c r="G1976" s="83" t="s">
        <v>448</v>
      </c>
      <c r="H1976" s="83">
        <v>1</v>
      </c>
      <c r="I1976" t="s">
        <v>0</v>
      </c>
      <c r="J1976" t="s">
        <v>0</v>
      </c>
      <c r="K1976" t="s">
        <v>52</v>
      </c>
      <c r="L1976" t="s">
        <v>102</v>
      </c>
      <c r="M1976" t="s">
        <v>71</v>
      </c>
      <c r="N1976" t="s">
        <v>178</v>
      </c>
      <c r="O1976" t="s">
        <v>103</v>
      </c>
      <c r="P1976" t="s">
        <v>136</v>
      </c>
      <c r="Q1976" t="s">
        <v>57</v>
      </c>
      <c r="R1976" t="s">
        <v>59</v>
      </c>
      <c r="S1976" t="s">
        <v>62</v>
      </c>
      <c r="T1976" t="s">
        <v>147</v>
      </c>
      <c r="U1976" t="s">
        <v>192</v>
      </c>
      <c r="V1976" t="s">
        <v>292</v>
      </c>
      <c r="W1976" t="s">
        <v>79</v>
      </c>
      <c r="X1976" t="s">
        <v>107</v>
      </c>
      <c r="Y1976" t="s">
        <v>5386</v>
      </c>
      <c r="Z1976" t="s">
        <v>64</v>
      </c>
      <c r="AA1976" t="s">
        <v>5258</v>
      </c>
      <c r="AB1976" t="s">
        <v>0</v>
      </c>
      <c r="AC1976" t="s">
        <v>5387</v>
      </c>
    </row>
    <row r="1977" spans="1:29">
      <c r="A1977" s="86" t="s">
        <v>398</v>
      </c>
      <c r="B1977" s="88" t="str">
        <f>IF(ISNUMBER(SEARCH(E1977,A1977)),A1977,IF(OR(E1977="",E1977=""),A1977,A1977&amp;" - "&amp;E1977))</f>
        <v>TYSON 2.0 26/1 - Alexander The Great</v>
      </c>
      <c r="C1977" t="s">
        <v>141</v>
      </c>
      <c r="D1977" t="s">
        <v>149</v>
      </c>
      <c r="E1977" s="79" t="s">
        <v>5334</v>
      </c>
      <c r="F1977" s="81" t="s">
        <v>177</v>
      </c>
      <c r="G1977" s="83" t="s">
        <v>4086</v>
      </c>
      <c r="H1977" s="83">
        <v>1</v>
      </c>
      <c r="I1977" t="s">
        <v>0</v>
      </c>
      <c r="J1977" t="s">
        <v>0</v>
      </c>
      <c r="K1977" t="s">
        <v>52</v>
      </c>
      <c r="L1977" t="s">
        <v>145</v>
      </c>
      <c r="M1977" t="s">
        <v>72</v>
      </c>
      <c r="N1977" t="s">
        <v>178</v>
      </c>
      <c r="O1977" t="s">
        <v>54</v>
      </c>
      <c r="P1977" t="s">
        <v>59</v>
      </c>
      <c r="Q1977" t="s">
        <v>75</v>
      </c>
      <c r="R1977" t="s">
        <v>73</v>
      </c>
      <c r="S1977" t="s">
        <v>106</v>
      </c>
      <c r="T1977" t="s">
        <v>62</v>
      </c>
      <c r="U1977" t="s">
        <v>147</v>
      </c>
      <c r="V1977" t="s">
        <v>116</v>
      </c>
      <c r="W1977" t="s">
        <v>93</v>
      </c>
      <c r="X1977" t="s">
        <v>107</v>
      </c>
      <c r="Y1977" t="s">
        <v>555</v>
      </c>
      <c r="Z1977" t="s">
        <v>64</v>
      </c>
      <c r="AA1977" t="s">
        <v>149</v>
      </c>
      <c r="AB1977" t="s">
        <v>0</v>
      </c>
      <c r="AC1977" t="s">
        <v>5388</v>
      </c>
    </row>
    <row r="1978" spans="1:29">
      <c r="A1978" s="86" t="s">
        <v>5389</v>
      </c>
      <c r="B1978" s="88" t="str">
        <f>IF(ISNUMBER(SEARCH(E1978,A1978)),A1978,IF(OR(E1978="",E1978=""),A1978,A1978&amp;" - "&amp;E1978))</f>
        <v>Remexian 27/1 CBT CHK - Chemical Kush</v>
      </c>
      <c r="C1978" t="s">
        <v>83</v>
      </c>
      <c r="D1978" t="s">
        <v>95</v>
      </c>
      <c r="E1978" s="79" t="s">
        <v>3301</v>
      </c>
      <c r="F1978" s="81" t="s">
        <v>177</v>
      </c>
      <c r="G1978" s="83" t="s">
        <v>4057</v>
      </c>
      <c r="H1978" s="83" t="s">
        <v>65</v>
      </c>
      <c r="I1978" t="s">
        <v>0</v>
      </c>
      <c r="J1978" t="s">
        <v>0</v>
      </c>
      <c r="K1978" t="s">
        <v>52</v>
      </c>
      <c r="L1978" t="s">
        <v>53</v>
      </c>
      <c r="M1978" t="s">
        <v>72</v>
      </c>
      <c r="N1978" t="s">
        <v>71</v>
      </c>
      <c r="O1978" t="s">
        <v>178</v>
      </c>
      <c r="P1978" t="s">
        <v>73</v>
      </c>
      <c r="Q1978" t="s">
        <v>89</v>
      </c>
      <c r="R1978" t="s">
        <v>74</v>
      </c>
      <c r="S1978" t="s">
        <v>90</v>
      </c>
      <c r="T1978" t="s">
        <v>106</v>
      </c>
      <c r="U1978" t="s">
        <v>62</v>
      </c>
      <c r="V1978" t="s">
        <v>180</v>
      </c>
      <c r="W1978" t="s">
        <v>93</v>
      </c>
      <c r="X1978" t="s">
        <v>107</v>
      </c>
      <c r="Y1978" t="s">
        <v>1274</v>
      </c>
      <c r="Z1978" t="s">
        <v>64</v>
      </c>
      <c r="AA1978" t="s">
        <v>95</v>
      </c>
      <c r="AB1978" t="s">
        <v>0</v>
      </c>
      <c r="AC1978" t="s">
        <v>5390</v>
      </c>
    </row>
    <row r="1979" spans="1:29">
      <c r="A1979" s="86" t="s">
        <v>5391</v>
      </c>
      <c r="B1979" s="88" t="str">
        <f>IF(ISNUMBER(SEARCH(E1979,A1979)),A1979,IF(OR(E1979="",E1979=""),A1979,A1979&amp;" - "&amp;E1979))</f>
        <v>Ceres Cap J 25/1 - Cap Junky</v>
      </c>
      <c r="C1979" t="s">
        <v>564</v>
      </c>
      <c r="D1979" t="s">
        <v>565</v>
      </c>
      <c r="E1979" s="79" t="s">
        <v>1594</v>
      </c>
      <c r="F1979" s="81" t="s">
        <v>86</v>
      </c>
      <c r="G1979" s="83" t="s">
        <v>26</v>
      </c>
      <c r="H1979" s="83" t="s">
        <v>65</v>
      </c>
      <c r="I1979" t="s">
        <v>0</v>
      </c>
      <c r="J1979" t="s">
        <v>0</v>
      </c>
      <c r="K1979" t="s">
        <v>52</v>
      </c>
      <c r="L1979" t="s">
        <v>53</v>
      </c>
      <c r="M1979" t="s">
        <v>111</v>
      </c>
      <c r="N1979" t="s">
        <v>54</v>
      </c>
      <c r="O1979" t="s">
        <v>178</v>
      </c>
      <c r="P1979" t="s">
        <v>74</v>
      </c>
      <c r="Q1979" t="s">
        <v>59</v>
      </c>
      <c r="R1979" t="s">
        <v>89</v>
      </c>
      <c r="S1979" t="s">
        <v>106</v>
      </c>
      <c r="T1979" t="s">
        <v>62</v>
      </c>
      <c r="U1979" t="s">
        <v>123</v>
      </c>
      <c r="V1979" t="s">
        <v>116</v>
      </c>
      <c r="W1979" t="s">
        <v>107</v>
      </c>
      <c r="X1979" t="s">
        <v>77</v>
      </c>
      <c r="Y1979" t="s">
        <v>213</v>
      </c>
      <c r="Z1979" t="s">
        <v>64</v>
      </c>
      <c r="AA1979" t="s">
        <v>565</v>
      </c>
      <c r="AB1979" t="s">
        <v>0</v>
      </c>
      <c r="AC1979" t="s">
        <v>5392</v>
      </c>
    </row>
    <row r="1980" spans="1:29">
      <c r="A1980" s="86" t="s">
        <v>5393</v>
      </c>
      <c r="B1980" s="88" t="str">
        <f>IF(ISNUMBER(SEARCH(E1980,A1980)),A1980,IF(OR(E1980="",E1980=""),A1980,A1980&amp;" - "&amp;E1980))</f>
        <v>Roxton Air STV 25/1 - Jelly Rancher</v>
      </c>
      <c r="C1980" t="s">
        <v>564</v>
      </c>
      <c r="D1980" t="s">
        <v>565</v>
      </c>
      <c r="E1980" s="79" t="s">
        <v>5394</v>
      </c>
      <c r="F1980" s="81" t="s">
        <v>144</v>
      </c>
      <c r="G1980" s="83" t="s">
        <v>26</v>
      </c>
      <c r="H1980" s="83" t="s">
        <v>65</v>
      </c>
      <c r="I1980" t="s">
        <v>0</v>
      </c>
      <c r="J1980" t="s">
        <v>0</v>
      </c>
      <c r="K1980" t="s">
        <v>52</v>
      </c>
      <c r="L1980" t="s">
        <v>53</v>
      </c>
      <c r="M1980" t="s">
        <v>72</v>
      </c>
      <c r="N1980" t="s">
        <v>54</v>
      </c>
      <c r="O1980" t="s">
        <v>71</v>
      </c>
      <c r="P1980" t="s">
        <v>104</v>
      </c>
      <c r="Q1980" t="s">
        <v>136</v>
      </c>
      <c r="R1980" t="s">
        <v>113</v>
      </c>
      <c r="S1980" t="s">
        <v>106</v>
      </c>
      <c r="T1980" t="s">
        <v>62</v>
      </c>
      <c r="U1980" t="s">
        <v>192</v>
      </c>
      <c r="V1980" t="s">
        <v>292</v>
      </c>
      <c r="W1980" t="s">
        <v>79</v>
      </c>
      <c r="X1980" t="s">
        <v>107</v>
      </c>
      <c r="Y1980" t="s">
        <v>3080</v>
      </c>
      <c r="Z1980" t="s">
        <v>64</v>
      </c>
      <c r="AA1980" t="s">
        <v>565</v>
      </c>
      <c r="AB1980" t="s">
        <v>0</v>
      </c>
      <c r="AC1980" t="s">
        <v>5395</v>
      </c>
    </row>
    <row r="1981" spans="1:29">
      <c r="A1981" s="86" t="s">
        <v>5396</v>
      </c>
      <c r="B1981" s="88" t="str">
        <f>IF(ISNUMBER(SEARCH(E1981,A1981)),A1981,IF(OR(E1981="",E1981=""),A1981,A1981&amp;" - "&amp;E1981))</f>
        <v>Origine Nature GG 21/1 - Golden Gauth</v>
      </c>
      <c r="C1981" t="s">
        <v>564</v>
      </c>
      <c r="D1981" t="s">
        <v>565</v>
      </c>
      <c r="E1981" s="79" t="s">
        <v>5397</v>
      </c>
      <c r="F1981" s="81" t="s">
        <v>144</v>
      </c>
      <c r="G1981" s="83" t="s">
        <v>452</v>
      </c>
      <c r="H1981" s="83" t="s">
        <v>65</v>
      </c>
      <c r="I1981" t="s">
        <v>0</v>
      </c>
      <c r="J1981" t="s">
        <v>0</v>
      </c>
      <c r="K1981" t="s">
        <v>52</v>
      </c>
      <c r="L1981" t="s">
        <v>53</v>
      </c>
      <c r="M1981" t="s">
        <v>72</v>
      </c>
      <c r="N1981" t="s">
        <v>54</v>
      </c>
      <c r="O1981" t="s">
        <v>71</v>
      </c>
      <c r="P1981" t="s">
        <v>59</v>
      </c>
      <c r="Q1981" t="s">
        <v>136</v>
      </c>
      <c r="R1981" t="s">
        <v>74</v>
      </c>
      <c r="S1981" t="s">
        <v>106</v>
      </c>
      <c r="T1981" t="s">
        <v>62</v>
      </c>
      <c r="U1981" t="s">
        <v>192</v>
      </c>
      <c r="V1981" t="s">
        <v>165</v>
      </c>
      <c r="W1981" t="s">
        <v>129</v>
      </c>
      <c r="X1981" t="s">
        <v>138</v>
      </c>
      <c r="Y1981" t="s">
        <v>268</v>
      </c>
      <c r="Z1981" t="s">
        <v>64</v>
      </c>
      <c r="AA1981" t="s">
        <v>565</v>
      </c>
      <c r="AB1981" t="s">
        <v>0</v>
      </c>
      <c r="AC1981" t="s">
        <v>5398</v>
      </c>
    </row>
    <row r="1982" spans="1:29">
      <c r="A1982" s="86" t="s">
        <v>5399</v>
      </c>
      <c r="B1982" s="88" t="str">
        <f>IF(ISNUMBER(SEARCH(E1982,A1982)),A1982,IF(OR(E1982="",E1982=""),A1982,A1982&amp;" - "&amp;E1982))</f>
        <v>Pretty Smalls ICC 21/1 - Ice Cream Cake</v>
      </c>
      <c r="C1982" t="s">
        <v>564</v>
      </c>
      <c r="D1982" t="s">
        <v>565</v>
      </c>
      <c r="E1982" s="79" t="s">
        <v>1214</v>
      </c>
      <c r="F1982" s="81" t="s">
        <v>177</v>
      </c>
      <c r="G1982" s="83" t="s">
        <v>452</v>
      </c>
      <c r="H1982" s="83" t="s">
        <v>65</v>
      </c>
      <c r="I1982" t="s">
        <v>0</v>
      </c>
      <c r="J1982" t="s">
        <v>0</v>
      </c>
      <c r="K1982" t="s">
        <v>52</v>
      </c>
      <c r="L1982" t="s">
        <v>53</v>
      </c>
      <c r="M1982" t="s">
        <v>121</v>
      </c>
      <c r="N1982" t="s">
        <v>72</v>
      </c>
      <c r="O1982" t="s">
        <v>103</v>
      </c>
      <c r="P1982" t="s">
        <v>89</v>
      </c>
      <c r="Q1982" t="s">
        <v>57</v>
      </c>
      <c r="R1982" t="s">
        <v>0</v>
      </c>
      <c r="S1982" t="s">
        <v>106</v>
      </c>
      <c r="T1982" t="s">
        <v>234</v>
      </c>
      <c r="U1982" t="s">
        <v>123</v>
      </c>
      <c r="V1982" t="s">
        <v>107</v>
      </c>
      <c r="W1982" t="s">
        <v>77</v>
      </c>
      <c r="X1982" t="s">
        <v>173</v>
      </c>
      <c r="Y1982" t="s">
        <v>1615</v>
      </c>
      <c r="Z1982" t="s">
        <v>64</v>
      </c>
      <c r="AA1982" t="s">
        <v>565</v>
      </c>
      <c r="AB1982" t="s">
        <v>0</v>
      </c>
      <c r="AC1982" t="s">
        <v>5400</v>
      </c>
    </row>
    <row r="1983" spans="1:29">
      <c r="A1983" s="86" t="s">
        <v>5401</v>
      </c>
      <c r="B1983" s="88" t="str">
        <f>IF(ISNUMBER(SEARCH(E1983,A1983)),A1983,IF(OR(E1983="",E1983=""),A1983,A1983&amp;" - "&amp;E1983))</f>
        <v>Mediprocan African Ruby 30/1 - Black Cherry Punch</v>
      </c>
      <c r="C1983" t="s">
        <v>317</v>
      </c>
      <c r="D1983" t="s">
        <v>320</v>
      </c>
      <c r="E1983" s="79" t="s">
        <v>685</v>
      </c>
      <c r="F1983" s="81" t="s">
        <v>86</v>
      </c>
      <c r="G1983" s="83" t="s">
        <v>4057</v>
      </c>
      <c r="H1983" s="83" t="s">
        <v>65</v>
      </c>
      <c r="I1983" t="s">
        <v>0</v>
      </c>
      <c r="J1983" t="s">
        <v>0</v>
      </c>
      <c r="K1983" t="s">
        <v>52</v>
      </c>
      <c r="L1983" t="s">
        <v>102</v>
      </c>
      <c r="M1983" t="s">
        <v>72</v>
      </c>
      <c r="N1983" t="s">
        <v>121</v>
      </c>
      <c r="O1983" t="s">
        <v>103</v>
      </c>
      <c r="P1983" t="s">
        <v>58</v>
      </c>
      <c r="Q1983" t="s">
        <v>104</v>
      </c>
      <c r="R1983" t="s">
        <v>89</v>
      </c>
      <c r="S1983" t="s">
        <v>106</v>
      </c>
      <c r="T1983" t="s">
        <v>62</v>
      </c>
      <c r="U1983" t="s">
        <v>147</v>
      </c>
      <c r="V1983" t="s">
        <v>77</v>
      </c>
      <c r="W1983" t="s">
        <v>116</v>
      </c>
      <c r="X1983" t="s">
        <v>79</v>
      </c>
      <c r="Y1983" t="s">
        <v>3942</v>
      </c>
      <c r="Z1983" t="s">
        <v>64</v>
      </c>
      <c r="AA1983" t="s">
        <v>320</v>
      </c>
      <c r="AB1983" t="s">
        <v>0</v>
      </c>
      <c r="AC1983" t="s">
        <v>5402</v>
      </c>
    </row>
    <row r="1984" spans="1:29">
      <c r="A1984" s="86" t="s">
        <v>5403</v>
      </c>
      <c r="B1984" s="88" t="str">
        <f>IF(ISNUMBER(SEARCH(E1984,A1984)),A1984,IF(OR(E1984="",E1984=""),A1984,A1984&amp;" - "&amp;E1984))</f>
        <v>420 Evolution 25/1 CA MMI - Miracle Mint</v>
      </c>
      <c r="C1984" t="s">
        <v>463</v>
      </c>
      <c r="D1984" t="s">
        <v>468</v>
      </c>
      <c r="E1984" s="79" t="s">
        <v>1081</v>
      </c>
      <c r="F1984" s="81" t="s">
        <v>120</v>
      </c>
      <c r="G1984" s="83" t="s">
        <v>26</v>
      </c>
      <c r="H1984" s="83">
        <v>1</v>
      </c>
      <c r="I1984" t="s">
        <v>0</v>
      </c>
      <c r="J1984" t="s">
        <v>0</v>
      </c>
      <c r="K1984" t="s">
        <v>52</v>
      </c>
      <c r="L1984" t="s">
        <v>53</v>
      </c>
      <c r="M1984" t="s">
        <v>54</v>
      </c>
      <c r="N1984" t="s">
        <v>178</v>
      </c>
      <c r="O1984" t="s">
        <v>88</v>
      </c>
      <c r="P1984" t="s">
        <v>113</v>
      </c>
      <c r="Q1984" t="s">
        <v>74</v>
      </c>
      <c r="R1984" t="s">
        <v>157</v>
      </c>
      <c r="S1984" t="s">
        <v>106</v>
      </c>
      <c r="T1984" t="s">
        <v>123</v>
      </c>
      <c r="U1984" t="s">
        <v>91</v>
      </c>
      <c r="V1984" t="s">
        <v>79</v>
      </c>
      <c r="W1984" t="s">
        <v>173</v>
      </c>
      <c r="X1984" t="s">
        <v>107</v>
      </c>
      <c r="Y1984" t="s">
        <v>5106</v>
      </c>
      <c r="Z1984" t="s">
        <v>64</v>
      </c>
      <c r="AA1984" t="s">
        <v>468</v>
      </c>
      <c r="AB1984" t="s">
        <v>0</v>
      </c>
      <c r="AC1984" t="s">
        <v>5404</v>
      </c>
    </row>
    <row r="1985" spans="1:29">
      <c r="A1985" s="86" t="s">
        <v>5405</v>
      </c>
      <c r="B1985" s="88" t="str">
        <f>IF(ISNUMBER(SEARCH(E1985,A1985)),A1985,IF(OR(E1985="",E1985=""),A1985,A1985&amp;" - "&amp;E1985))</f>
        <v>420 Evolution 27/1 CA FRG - Frosted Gumbo</v>
      </c>
      <c r="C1985" t="s">
        <v>463</v>
      </c>
      <c r="D1985" t="s">
        <v>468</v>
      </c>
      <c r="E1985" s="79" t="s">
        <v>5406</v>
      </c>
      <c r="F1985" s="81" t="s">
        <v>177</v>
      </c>
      <c r="G1985" s="83" t="s">
        <v>33</v>
      </c>
      <c r="H1985" s="83">
        <v>1</v>
      </c>
      <c r="I1985" t="s">
        <v>0</v>
      </c>
      <c r="J1985" t="s">
        <v>0</v>
      </c>
      <c r="K1985" t="s">
        <v>52</v>
      </c>
      <c r="L1985" t="s">
        <v>53</v>
      </c>
      <c r="M1985" t="s">
        <v>54</v>
      </c>
      <c r="N1985" t="s">
        <v>121</v>
      </c>
      <c r="O1985" t="s">
        <v>103</v>
      </c>
      <c r="P1985" t="s">
        <v>58</v>
      </c>
      <c r="Q1985" t="s">
        <v>57</v>
      </c>
      <c r="R1985" t="s">
        <v>89</v>
      </c>
      <c r="S1985" t="s">
        <v>106</v>
      </c>
      <c r="T1985" t="s">
        <v>62</v>
      </c>
      <c r="U1985" t="s">
        <v>147</v>
      </c>
      <c r="V1985" t="s">
        <v>77</v>
      </c>
      <c r="W1985" t="s">
        <v>116</v>
      </c>
      <c r="X1985" t="s">
        <v>93</v>
      </c>
      <c r="Y1985" t="s">
        <v>833</v>
      </c>
      <c r="Z1985" t="s">
        <v>64</v>
      </c>
      <c r="AA1985" t="s">
        <v>468</v>
      </c>
      <c r="AB1985" t="s">
        <v>0</v>
      </c>
      <c r="AC1985" t="s">
        <v>5407</v>
      </c>
    </row>
    <row r="1986" spans="1:29">
      <c r="A1986" s="86" t="s">
        <v>5408</v>
      </c>
      <c r="B1986" s="88" t="str">
        <f>IF(ISNUMBER(SEARCH(E1986,A1986)),A1986,IF(OR(E1986="",E1986=""),A1986,A1986&amp;" - "&amp;E1986))</f>
        <v>Green Karat PF 22/1 - Permanent Fruz</v>
      </c>
      <c r="C1986" t="s">
        <v>564</v>
      </c>
      <c r="D1986" t="s">
        <v>565</v>
      </c>
      <c r="E1986" s="79" t="s">
        <v>5409</v>
      </c>
      <c r="F1986" s="81" t="s">
        <v>177</v>
      </c>
      <c r="G1986" s="83" t="s">
        <v>4126</v>
      </c>
      <c r="H1986" s="83" t="s">
        <v>65</v>
      </c>
      <c r="I1986" t="s">
        <v>0</v>
      </c>
      <c r="J1986" t="s">
        <v>0</v>
      </c>
      <c r="K1986" t="s">
        <v>52</v>
      </c>
      <c r="L1986" t="s">
        <v>53</v>
      </c>
      <c r="M1986" t="s">
        <v>103</v>
      </c>
      <c r="N1986" t="s">
        <v>121</v>
      </c>
      <c r="O1986" t="s">
        <v>72</v>
      </c>
      <c r="P1986" t="s">
        <v>136</v>
      </c>
      <c r="Q1986" t="s">
        <v>112</v>
      </c>
      <c r="R1986" t="s">
        <v>59</v>
      </c>
      <c r="S1986" t="s">
        <v>106</v>
      </c>
      <c r="T1986" t="s">
        <v>62</v>
      </c>
      <c r="U1986" t="s">
        <v>123</v>
      </c>
      <c r="V1986" t="s">
        <v>292</v>
      </c>
      <c r="W1986" t="s">
        <v>116</v>
      </c>
      <c r="X1986" t="s">
        <v>77</v>
      </c>
      <c r="Y1986" t="s">
        <v>2135</v>
      </c>
      <c r="Z1986" t="s">
        <v>64</v>
      </c>
      <c r="AA1986" t="s">
        <v>565</v>
      </c>
      <c r="AB1986" t="s">
        <v>699</v>
      </c>
      <c r="AC1986" t="s">
        <v>5410</v>
      </c>
    </row>
    <row r="1987" spans="1:29">
      <c r="A1987" s="86" t="s">
        <v>5411</v>
      </c>
      <c r="B1987" s="88" t="str">
        <f>IF(ISNUMBER(SEARCH(E1987,A1987)),A1987,IF(OR(E1987="",E1987=""),A1987,A1987&amp;" - "&amp;E1987))</f>
        <v>BC Green 14/1 A&amp;B - Apples &amp; Bananas</v>
      </c>
      <c r="C1987" t="s">
        <v>2522</v>
      </c>
      <c r="D1987" t="s">
        <v>2523</v>
      </c>
      <c r="E1987" s="79" t="s">
        <v>1120</v>
      </c>
      <c r="F1987" s="81" t="s">
        <v>86</v>
      </c>
      <c r="G1987" s="83" t="s">
        <v>40</v>
      </c>
      <c r="H1987" s="83" t="s">
        <v>65</v>
      </c>
      <c r="I1987" t="s">
        <v>0</v>
      </c>
      <c r="J1987" t="s">
        <v>0</v>
      </c>
      <c r="K1987" t="s">
        <v>52</v>
      </c>
      <c r="L1987" t="s">
        <v>102</v>
      </c>
      <c r="M1987" t="s">
        <v>72</v>
      </c>
      <c r="N1987" t="s">
        <v>55</v>
      </c>
      <c r="O1987" t="s">
        <v>71</v>
      </c>
      <c r="P1987" t="s">
        <v>58</v>
      </c>
      <c r="Q1987" t="s">
        <v>0</v>
      </c>
      <c r="R1987" t="s">
        <v>0</v>
      </c>
      <c r="S1987" t="s">
        <v>105</v>
      </c>
      <c r="T1987" t="s">
        <v>147</v>
      </c>
      <c r="U1987" t="s">
        <v>192</v>
      </c>
      <c r="V1987" t="s">
        <v>92</v>
      </c>
      <c r="W1987" t="s">
        <v>93</v>
      </c>
      <c r="X1987" t="s">
        <v>77</v>
      </c>
      <c r="Y1987" t="s">
        <v>5412</v>
      </c>
      <c r="Z1987" t="s">
        <v>64</v>
      </c>
      <c r="AA1987" t="s">
        <v>2523</v>
      </c>
      <c r="AB1987" t="s">
        <v>0</v>
      </c>
      <c r="AC1987" t="s">
        <v>5413</v>
      </c>
    </row>
    <row r="1988" spans="1:29">
      <c r="A1988" s="86" t="s">
        <v>5414</v>
      </c>
      <c r="B1988" s="88" t="str">
        <f>IF(ISNUMBER(SEARCH(E1988,A1988)),A1988,IF(OR(E1988="",E1988=""),A1988,A1988&amp;" - "&amp;E1988))</f>
        <v>Canify Cannabis Flos 27/1 CDA Ku. - Pink Slurricane</v>
      </c>
      <c r="C1988" t="s">
        <v>99</v>
      </c>
      <c r="D1988" t="s">
        <v>100</v>
      </c>
      <c r="E1988" s="79" t="s">
        <v>1894</v>
      </c>
      <c r="F1988" s="81" t="s">
        <v>177</v>
      </c>
      <c r="G1988" s="83" t="s">
        <v>33</v>
      </c>
      <c r="H1988" s="83" t="s">
        <v>65</v>
      </c>
      <c r="I1988" t="s">
        <v>0</v>
      </c>
      <c r="J1988" t="s">
        <v>0</v>
      </c>
      <c r="K1988" t="s">
        <v>52</v>
      </c>
      <c r="L1988" t="s">
        <v>53</v>
      </c>
      <c r="M1988" t="s">
        <v>72</v>
      </c>
      <c r="N1988" t="s">
        <v>88</v>
      </c>
      <c r="O1988" t="s">
        <v>0</v>
      </c>
      <c r="P1988" t="s">
        <v>75</v>
      </c>
      <c r="Q1988" t="s">
        <v>59</v>
      </c>
      <c r="R1988" t="s">
        <v>113</v>
      </c>
      <c r="S1988" t="s">
        <v>62</v>
      </c>
      <c r="T1988" t="s">
        <v>147</v>
      </c>
      <c r="U1988" t="s">
        <v>0</v>
      </c>
      <c r="V1988" t="s">
        <v>107</v>
      </c>
      <c r="W1988" t="s">
        <v>77</v>
      </c>
      <c r="X1988" t="s">
        <v>116</v>
      </c>
      <c r="Y1988" t="s">
        <v>213</v>
      </c>
      <c r="Z1988" t="s">
        <v>64</v>
      </c>
      <c r="AA1988" t="s">
        <v>100</v>
      </c>
      <c r="AB1988" t="s">
        <v>4634</v>
      </c>
      <c r="AC1988" t="s">
        <v>5415</v>
      </c>
    </row>
    <row r="1989" spans="1:29">
      <c r="A1989" s="86" t="s">
        <v>5416</v>
      </c>
      <c r="B1989" s="88" t="str">
        <f>IF(ISNUMBER(SEARCH(E1989,A1989)),A1989,IF(OR(E1989="",E1989=""),A1989,A1989&amp;" - "&amp;E1989))</f>
        <v>Canify Cannabis Flos 25/1 CSF Ku. - Carnez Citric</v>
      </c>
      <c r="C1989" t="s">
        <v>99</v>
      </c>
      <c r="D1989" t="s">
        <v>100</v>
      </c>
      <c r="E1989" s="79" t="s">
        <v>5417</v>
      </c>
      <c r="F1989" s="81" t="s">
        <v>144</v>
      </c>
      <c r="G1989" s="83" t="s">
        <v>26</v>
      </c>
      <c r="H1989" s="83" t="s">
        <v>65</v>
      </c>
      <c r="I1989" t="s">
        <v>0</v>
      </c>
      <c r="J1989" t="s">
        <v>0</v>
      </c>
      <c r="K1989" t="s">
        <v>52</v>
      </c>
      <c r="L1989" t="s">
        <v>53</v>
      </c>
      <c r="M1989" t="s">
        <v>178</v>
      </c>
      <c r="N1989" t="s">
        <v>54</v>
      </c>
      <c r="O1989" t="s">
        <v>111</v>
      </c>
      <c r="P1989" t="s">
        <v>59</v>
      </c>
      <c r="Q1989" t="s">
        <v>157</v>
      </c>
      <c r="R1989" t="s">
        <v>75</v>
      </c>
      <c r="S1989" t="s">
        <v>106</v>
      </c>
      <c r="T1989" t="s">
        <v>62</v>
      </c>
      <c r="U1989" t="s">
        <v>147</v>
      </c>
      <c r="V1989" t="s">
        <v>93</v>
      </c>
      <c r="W1989" t="s">
        <v>92</v>
      </c>
      <c r="X1989" t="s">
        <v>129</v>
      </c>
      <c r="Y1989" t="s">
        <v>1090</v>
      </c>
      <c r="Z1989" t="s">
        <v>64</v>
      </c>
      <c r="AA1989" t="s">
        <v>100</v>
      </c>
      <c r="AB1989" t="s">
        <v>678</v>
      </c>
      <c r="AC1989" t="s">
        <v>5418</v>
      </c>
    </row>
    <row r="1990" spans="1:29">
      <c r="A1990" s="86" t="s">
        <v>5419</v>
      </c>
      <c r="B1990" s="88" t="str">
        <f>IF(ISNUMBER(SEARCH(E1990,A1990)),A1990,IF(OR(E1990="",E1990=""),A1990,A1990&amp;" - "&amp;E1990))</f>
        <v>Wellford Aquaponic 32/1 LBO - Legendary Bozy</v>
      </c>
      <c r="C1990" t="s">
        <v>741</v>
      </c>
      <c r="D1990" t="s">
        <v>742</v>
      </c>
      <c r="E1990" s="79" t="s">
        <v>5420</v>
      </c>
      <c r="F1990" s="81" t="s">
        <v>177</v>
      </c>
      <c r="G1990" s="83" t="s">
        <v>4453</v>
      </c>
      <c r="H1990" s="83" t="s">
        <v>65</v>
      </c>
      <c r="I1990" t="s">
        <v>0</v>
      </c>
      <c r="J1990" t="s">
        <v>0</v>
      </c>
      <c r="K1990" t="s">
        <v>52</v>
      </c>
      <c r="L1990" t="s">
        <v>53</v>
      </c>
      <c r="M1990" t="s">
        <v>103</v>
      </c>
      <c r="N1990" t="s">
        <v>121</v>
      </c>
      <c r="O1990" t="s">
        <v>72</v>
      </c>
      <c r="P1990" t="s">
        <v>75</v>
      </c>
      <c r="Q1990" t="s">
        <v>89</v>
      </c>
      <c r="R1990" t="s">
        <v>112</v>
      </c>
      <c r="S1990" t="s">
        <v>90</v>
      </c>
      <c r="T1990" t="s">
        <v>106</v>
      </c>
      <c r="U1990" t="s">
        <v>105</v>
      </c>
      <c r="V1990" t="s">
        <v>93</v>
      </c>
      <c r="W1990" t="s">
        <v>116</v>
      </c>
      <c r="X1990" t="s">
        <v>0</v>
      </c>
      <c r="Y1990" t="s">
        <v>148</v>
      </c>
      <c r="Z1990" t="s">
        <v>64</v>
      </c>
      <c r="AA1990" t="s">
        <v>742</v>
      </c>
      <c r="AB1990" t="s">
        <v>979</v>
      </c>
      <c r="AC1990" t="s">
        <v>5421</v>
      </c>
    </row>
    <row r="1991" spans="1:29">
      <c r="A1991" s="86" t="s">
        <v>5422</v>
      </c>
      <c r="B1991" s="88" t="str">
        <f>IF(ISNUMBER(SEARCH(E1991,A1991)),A1991,IF(OR(E1991="",E1991=""),A1991,A1991&amp;" - "&amp;E1991))</f>
        <v>Wellford Peak CA T95 30/1 - Tres Dawg x I-95</v>
      </c>
      <c r="C1991" t="s">
        <v>741</v>
      </c>
      <c r="D1991" t="s">
        <v>742</v>
      </c>
      <c r="E1991" s="79" t="s">
        <v>5423</v>
      </c>
      <c r="F1991" s="81" t="s">
        <v>177</v>
      </c>
      <c r="G1991" s="83" t="s">
        <v>4057</v>
      </c>
      <c r="H1991" s="83" t="s">
        <v>65</v>
      </c>
      <c r="I1991" t="s">
        <v>0</v>
      </c>
      <c r="J1991" t="s">
        <v>0</v>
      </c>
      <c r="K1991" t="s">
        <v>52</v>
      </c>
      <c r="L1991" t="s">
        <v>53</v>
      </c>
      <c r="M1991" t="s">
        <v>103</v>
      </c>
      <c r="N1991" t="s">
        <v>54</v>
      </c>
      <c r="O1991" t="s">
        <v>111</v>
      </c>
      <c r="P1991" t="s">
        <v>75</v>
      </c>
      <c r="Q1991" t="s">
        <v>157</v>
      </c>
      <c r="R1991" t="s">
        <v>59</v>
      </c>
      <c r="S1991" t="s">
        <v>128</v>
      </c>
      <c r="T1991" t="s">
        <v>61</v>
      </c>
      <c r="U1991" t="s">
        <v>62</v>
      </c>
      <c r="V1991" t="s">
        <v>93</v>
      </c>
      <c r="W1991" t="s">
        <v>165</v>
      </c>
      <c r="X1991" t="s">
        <v>225</v>
      </c>
      <c r="Y1991" t="s">
        <v>331</v>
      </c>
      <c r="Z1991" t="s">
        <v>64</v>
      </c>
      <c r="AA1991" t="s">
        <v>742</v>
      </c>
      <c r="AB1991" t="s">
        <v>0</v>
      </c>
      <c r="AC1991" t="s">
        <v>5424</v>
      </c>
    </row>
    <row r="1992" spans="1:29">
      <c r="A1992" s="86" t="s">
        <v>5425</v>
      </c>
      <c r="B1992" s="88" t="str">
        <f>IF(ISNUMBER(SEARCH(E1992,A1992)),A1992,IF(OR(E1992="",E1992=""),A1992,A1992&amp;" - "&amp;E1992))</f>
        <v>Therismos 33/1 PKM - Pink Kush Mints</v>
      </c>
      <c r="C1992" t="s">
        <v>741</v>
      </c>
      <c r="D1992" t="s">
        <v>742</v>
      </c>
      <c r="E1992" s="79" t="s">
        <v>3938</v>
      </c>
      <c r="F1992" s="81" t="s">
        <v>177</v>
      </c>
      <c r="G1992" s="83" t="s">
        <v>4169</v>
      </c>
      <c r="H1992" s="83">
        <v>1</v>
      </c>
      <c r="I1992" t="s">
        <v>0</v>
      </c>
      <c r="J1992" t="s">
        <v>0</v>
      </c>
      <c r="K1992" t="s">
        <v>52</v>
      </c>
      <c r="L1992" t="s">
        <v>53</v>
      </c>
      <c r="M1992" t="s">
        <v>88</v>
      </c>
      <c r="N1992" t="s">
        <v>72</v>
      </c>
      <c r="O1992" t="s">
        <v>0</v>
      </c>
      <c r="P1992" t="s">
        <v>89</v>
      </c>
      <c r="Q1992" t="s">
        <v>104</v>
      </c>
      <c r="R1992" t="s">
        <v>59</v>
      </c>
      <c r="S1992" t="s">
        <v>106</v>
      </c>
      <c r="T1992" t="s">
        <v>62</v>
      </c>
      <c r="U1992" t="s">
        <v>123</v>
      </c>
      <c r="V1992" t="s">
        <v>107</v>
      </c>
      <c r="W1992" t="s">
        <v>138</v>
      </c>
      <c r="X1992" t="s">
        <v>116</v>
      </c>
      <c r="Y1992" t="s">
        <v>289</v>
      </c>
      <c r="Z1992" t="s">
        <v>64</v>
      </c>
      <c r="AA1992" t="s">
        <v>742</v>
      </c>
      <c r="AB1992" t="s">
        <v>0</v>
      </c>
      <c r="AC1992" t="s">
        <v>5426</v>
      </c>
    </row>
    <row r="1993" spans="1:29">
      <c r="A1993" s="86" t="s">
        <v>5427</v>
      </c>
      <c r="B1993" s="88" t="str">
        <f>IF(ISNUMBER(SEARCH(E1993,A1993)),A1993,IF(OR(E1993="",E1993=""),A1993,A1993&amp;" - "&amp;E1993))</f>
        <v>Wellford Aquaponic 23/1 GTH - Ghost Train Haze</v>
      </c>
      <c r="C1993" t="s">
        <v>741</v>
      </c>
      <c r="D1993" t="s">
        <v>742</v>
      </c>
      <c r="E1993" s="79" t="s">
        <v>343</v>
      </c>
      <c r="F1993" s="81" t="s">
        <v>144</v>
      </c>
      <c r="G1993" s="83" t="s">
        <v>436</v>
      </c>
      <c r="H1993" s="83" t="s">
        <v>65</v>
      </c>
      <c r="I1993" t="s">
        <v>0</v>
      </c>
      <c r="J1993" t="s">
        <v>0</v>
      </c>
      <c r="K1993" t="s">
        <v>52</v>
      </c>
      <c r="L1993" t="s">
        <v>53</v>
      </c>
      <c r="M1993" t="s">
        <v>55</v>
      </c>
      <c r="N1993" t="s">
        <v>111</v>
      </c>
      <c r="O1993" t="s">
        <v>178</v>
      </c>
      <c r="P1993" t="s">
        <v>75</v>
      </c>
      <c r="Q1993" t="s">
        <v>59</v>
      </c>
      <c r="R1993" t="s">
        <v>146</v>
      </c>
      <c r="S1993" t="s">
        <v>90</v>
      </c>
      <c r="T1993" t="s">
        <v>106</v>
      </c>
      <c r="U1993" t="s">
        <v>105</v>
      </c>
      <c r="V1993" t="s">
        <v>107</v>
      </c>
      <c r="W1993" t="s">
        <v>77</v>
      </c>
      <c r="X1993" t="s">
        <v>79</v>
      </c>
      <c r="Y1993" t="s">
        <v>213</v>
      </c>
      <c r="Z1993" t="s">
        <v>64</v>
      </c>
      <c r="AA1993" t="s">
        <v>742</v>
      </c>
      <c r="AB1993" t="s">
        <v>979</v>
      </c>
      <c r="AC1993" t="s">
        <v>5428</v>
      </c>
    </row>
    <row r="1994" spans="1:29">
      <c r="A1994" s="86" t="s">
        <v>5429</v>
      </c>
      <c r="B1994" s="88" t="str">
        <f>IF(ISNUMBER(SEARCH(E1994,A1994)),A1994,IF(OR(E1994="",E1994=""),A1994,A1994&amp;" - "&amp;E1994))</f>
        <v>Craft Botanics 30/1 - White Runtz</v>
      </c>
      <c r="C1994" t="s">
        <v>440</v>
      </c>
      <c r="D1994" t="s">
        <v>441</v>
      </c>
      <c r="E1994" s="79" t="s">
        <v>445</v>
      </c>
      <c r="F1994" s="81" t="s">
        <v>86</v>
      </c>
      <c r="G1994" s="83" t="s">
        <v>33</v>
      </c>
      <c r="H1994" s="83">
        <v>1</v>
      </c>
      <c r="I1994" t="s">
        <v>0</v>
      </c>
      <c r="J1994" t="s">
        <v>0</v>
      </c>
      <c r="K1994" t="s">
        <v>52</v>
      </c>
      <c r="L1994" t="s">
        <v>53</v>
      </c>
      <c r="M1994" t="s">
        <v>156</v>
      </c>
      <c r="N1994" t="s">
        <v>88</v>
      </c>
      <c r="O1994" t="s">
        <v>72</v>
      </c>
      <c r="P1994" t="s">
        <v>89</v>
      </c>
      <c r="Q1994" t="s">
        <v>58</v>
      </c>
      <c r="R1994" t="s">
        <v>75</v>
      </c>
      <c r="S1994" t="s">
        <v>106</v>
      </c>
      <c r="T1994" t="s">
        <v>123</v>
      </c>
      <c r="U1994" t="s">
        <v>147</v>
      </c>
      <c r="V1994" t="s">
        <v>77</v>
      </c>
      <c r="W1994" t="s">
        <v>79</v>
      </c>
      <c r="X1994" t="s">
        <v>173</v>
      </c>
      <c r="Y1994" t="s">
        <v>555</v>
      </c>
      <c r="Z1994" t="s">
        <v>64</v>
      </c>
      <c r="AA1994" t="s">
        <v>441</v>
      </c>
      <c r="AB1994" t="s">
        <v>0</v>
      </c>
      <c r="AC1994" t="s">
        <v>5430</v>
      </c>
    </row>
    <row r="1995" spans="1:29">
      <c r="A1995" s="86" t="s">
        <v>5431</v>
      </c>
      <c r="B1995" s="88" t="str">
        <f>IF(ISNUMBER(SEARCH(E1995,A1995)),A1995,IF(OR(E1995="",E1995=""),A1995,A1995&amp;" - "&amp;E1995))</f>
        <v>420 Compound 18/1 CA GAG - Glaced Apricot Gelato</v>
      </c>
      <c r="C1995" t="s">
        <v>463</v>
      </c>
      <c r="D1995" t="s">
        <v>468</v>
      </c>
      <c r="E1995" s="79" t="s">
        <v>5432</v>
      </c>
      <c r="F1995" s="81" t="s">
        <v>144</v>
      </c>
      <c r="G1995" s="83" t="s">
        <v>8</v>
      </c>
      <c r="H1995" s="83">
        <v>1</v>
      </c>
      <c r="I1995" t="s">
        <v>0</v>
      </c>
      <c r="J1995" t="s">
        <v>0</v>
      </c>
      <c r="K1995" t="s">
        <v>52</v>
      </c>
      <c r="L1995" t="s">
        <v>53</v>
      </c>
      <c r="M1995" t="s">
        <v>54</v>
      </c>
      <c r="N1995" t="s">
        <v>71</v>
      </c>
      <c r="O1995" t="s">
        <v>178</v>
      </c>
      <c r="P1995" t="s">
        <v>59</v>
      </c>
      <c r="Q1995" t="s">
        <v>57</v>
      </c>
      <c r="R1995" t="s">
        <v>136</v>
      </c>
      <c r="S1995" t="s">
        <v>90</v>
      </c>
      <c r="T1995" t="s">
        <v>106</v>
      </c>
      <c r="U1995" t="s">
        <v>147</v>
      </c>
      <c r="V1995" t="s">
        <v>77</v>
      </c>
      <c r="W1995" t="s">
        <v>165</v>
      </c>
      <c r="X1995" t="s">
        <v>79</v>
      </c>
      <c r="Y1995" t="s">
        <v>550</v>
      </c>
      <c r="Z1995" t="s">
        <v>64</v>
      </c>
      <c r="AA1995" t="s">
        <v>468</v>
      </c>
      <c r="AB1995" t="s">
        <v>0</v>
      </c>
      <c r="AC1995" t="s">
        <v>5433</v>
      </c>
    </row>
    <row r="1996" spans="1:29">
      <c r="A1996" s="96" t="s">
        <v>5434</v>
      </c>
      <c r="B1996" s="88" t="str">
        <f>IF(ISNUMBER(SEARCH(E1996,A1996)),A1996,IF(OR(E1996="",E1996=""),A1996,A1996&amp;" - "&amp;E1996))</f>
        <v>aleph air 13/1 - Sour Tangie</v>
      </c>
      <c r="C1996" s="92" t="s">
        <v>725</v>
      </c>
      <c r="D1996" s="92" t="s">
        <v>726</v>
      </c>
      <c r="E1996" s="78" t="s">
        <v>1663</v>
      </c>
      <c r="F1996" s="80" t="s">
        <v>144</v>
      </c>
      <c r="G1996" s="82" t="s">
        <v>6</v>
      </c>
      <c r="H1996" s="82" t="s">
        <v>65</v>
      </c>
      <c r="I1996" s="92" t="s">
        <v>0</v>
      </c>
      <c r="J1996" s="92" t="s">
        <v>0</v>
      </c>
      <c r="K1996" s="92" t="s">
        <v>52</v>
      </c>
      <c r="L1996" s="92" t="s">
        <v>102</v>
      </c>
      <c r="M1996" s="92" t="s">
        <v>111</v>
      </c>
      <c r="N1996" s="92" t="s">
        <v>72</v>
      </c>
      <c r="O1996" s="92" t="s">
        <v>54</v>
      </c>
      <c r="P1996" s="92" t="s">
        <v>75</v>
      </c>
      <c r="Q1996" s="92" t="s">
        <v>0</v>
      </c>
      <c r="R1996" s="92" t="s">
        <v>0</v>
      </c>
      <c r="S1996" s="92" t="s">
        <v>179</v>
      </c>
      <c r="T1996" s="92" t="s">
        <v>76</v>
      </c>
      <c r="U1996" s="92" t="s">
        <v>62</v>
      </c>
      <c r="V1996" s="92" t="s">
        <v>79</v>
      </c>
      <c r="W1996" s="92" t="s">
        <v>107</v>
      </c>
      <c r="X1996" s="92" t="s">
        <v>711</v>
      </c>
      <c r="Y1996" s="92" t="s">
        <v>307</v>
      </c>
      <c r="Z1996" s="92" t="s">
        <v>64</v>
      </c>
      <c r="AA1996" s="92" t="s">
        <v>726</v>
      </c>
      <c r="AB1996" s="92" t="s">
        <v>0</v>
      </c>
      <c r="AC1996" s="92" t="s">
        <v>5435</v>
      </c>
    </row>
    <row r="1997" spans="1:29">
      <c r="A1997" s="86" t="s">
        <v>5436</v>
      </c>
      <c r="B1997" s="88" t="str">
        <f>IF(ISNUMBER(SEARCH(E1997,A1997)),A1997,IF(OR(E1997="",E1997=""),A1997,A1997&amp;" - "&amp;E1997))</f>
        <v>MediCann 19/1 MC Oro 21 - Duende</v>
      </c>
      <c r="C1997" t="s">
        <v>2243</v>
      </c>
      <c r="D1997" t="s">
        <v>2244</v>
      </c>
      <c r="E1997" s="79" t="s">
        <v>5437</v>
      </c>
      <c r="F1997" s="81" t="s">
        <v>177</v>
      </c>
      <c r="G1997" s="83" t="s">
        <v>4160</v>
      </c>
      <c r="H1997" s="83" t="s">
        <v>65</v>
      </c>
      <c r="I1997" t="s">
        <v>0</v>
      </c>
      <c r="J1997" t="s">
        <v>0</v>
      </c>
      <c r="K1997" t="s">
        <v>52</v>
      </c>
      <c r="L1997" t="s">
        <v>53</v>
      </c>
      <c r="M1997" t="s">
        <v>121</v>
      </c>
      <c r="N1997" t="s">
        <v>88</v>
      </c>
      <c r="O1997" t="s">
        <v>72</v>
      </c>
      <c r="P1997" t="s">
        <v>74</v>
      </c>
      <c r="Q1997" t="s">
        <v>157</v>
      </c>
      <c r="R1997" t="s">
        <v>113</v>
      </c>
      <c r="S1997" t="s">
        <v>106</v>
      </c>
      <c r="T1997" t="s">
        <v>62</v>
      </c>
      <c r="U1997" t="s">
        <v>147</v>
      </c>
      <c r="V1997" t="s">
        <v>79</v>
      </c>
      <c r="W1997" t="s">
        <v>165</v>
      </c>
      <c r="X1997" t="s">
        <v>180</v>
      </c>
      <c r="Y1997" t="s">
        <v>1090</v>
      </c>
      <c r="Z1997" t="s">
        <v>64</v>
      </c>
      <c r="AA1997" t="s">
        <v>2244</v>
      </c>
      <c r="AB1997" t="s">
        <v>0</v>
      </c>
      <c r="AC1997" t="s">
        <v>5438</v>
      </c>
    </row>
    <row r="1998" spans="1:29">
      <c r="A1998" s="94" t="s">
        <v>5439</v>
      </c>
      <c r="B1998" s="91" t="s">
        <v>5439</v>
      </c>
      <c r="E1998" s="79"/>
      <c r="F1998" s="81"/>
      <c r="G1998" s="83"/>
      <c r="H1998" s="95"/>
    </row>
    <row r="1999" spans="1:29">
      <c r="A1999" s="86" t="s">
        <v>5440</v>
      </c>
      <c r="B1999" s="88" t="str">
        <f>IF(ISNUMBER(SEARCH(E1999,A1999)),A1999,IF(OR(E1999="",E1999=""),A1999,A1999&amp;" - "&amp;E1999))</f>
        <v>Luana 20/1 Delight - Carnez Citric</v>
      </c>
      <c r="C1999" t="s">
        <v>48</v>
      </c>
      <c r="D1999" t="s">
        <v>49</v>
      </c>
      <c r="E1999" s="79" t="s">
        <v>5417</v>
      </c>
      <c r="F1999" s="81" t="s">
        <v>69</v>
      </c>
      <c r="G1999" s="83" t="s">
        <v>460</v>
      </c>
      <c r="H1999" s="83">
        <v>1</v>
      </c>
      <c r="I1999" t="s">
        <v>0</v>
      </c>
      <c r="J1999" t="s">
        <v>0</v>
      </c>
      <c r="K1999" t="s">
        <v>52</v>
      </c>
      <c r="L1999" t="s">
        <v>53</v>
      </c>
      <c r="M1999" t="s">
        <v>178</v>
      </c>
      <c r="N1999" t="s">
        <v>54</v>
      </c>
      <c r="O1999" t="s">
        <v>111</v>
      </c>
      <c r="P1999" t="s">
        <v>59</v>
      </c>
      <c r="Q1999" t="s">
        <v>157</v>
      </c>
      <c r="R1999" t="s">
        <v>75</v>
      </c>
      <c r="S1999" t="s">
        <v>106</v>
      </c>
      <c r="T1999" t="s">
        <v>62</v>
      </c>
      <c r="U1999" t="s">
        <v>147</v>
      </c>
      <c r="V1999" t="s">
        <v>93</v>
      </c>
      <c r="W1999" t="s">
        <v>92</v>
      </c>
      <c r="X1999" t="s">
        <v>129</v>
      </c>
      <c r="Y1999" t="s">
        <v>418</v>
      </c>
      <c r="Z1999" t="s">
        <v>64</v>
      </c>
      <c r="AA1999" t="s">
        <v>49</v>
      </c>
      <c r="AB1999" t="s">
        <v>0</v>
      </c>
      <c r="AC1999" t="s">
        <v>5441</v>
      </c>
    </row>
    <row r="2000" spans="1:29">
      <c r="A2000" s="90" t="s">
        <v>5442</v>
      </c>
      <c r="B2000" s="89" t="s">
        <v>5442</v>
      </c>
      <c r="E2000" s="79"/>
      <c r="F2000" s="81"/>
      <c r="G2000" s="83"/>
      <c r="H2000" s="95"/>
    </row>
    <row r="2001" spans="1:29">
      <c r="A2001" s="86" t="s">
        <v>5443</v>
      </c>
      <c r="B2001" s="88" t="str">
        <f>IF(ISNUMBER(SEARCH(E2001,A2001)),A2001,IF(OR(E2001="",E2001=""),A2001,A2001&amp;" - "&amp;E2001))</f>
        <v>420 Cannabisextrakt THC 10 / CBD 10</v>
      </c>
      <c r="C2001" t="s">
        <v>463</v>
      </c>
      <c r="D2001" t="s">
        <v>468</v>
      </c>
      <c r="E2001" s="79"/>
      <c r="F2001" s="81"/>
      <c r="G2001" s="83" t="s">
        <v>0</v>
      </c>
      <c r="H2001" s="95" t="s">
        <v>0</v>
      </c>
      <c r="I2001" t="s">
        <v>12</v>
      </c>
      <c r="J2001" t="s">
        <v>12</v>
      </c>
      <c r="K2001" t="s">
        <v>1918</v>
      </c>
      <c r="M2001" t="s">
        <v>72</v>
      </c>
      <c r="N2001" t="s">
        <v>0</v>
      </c>
      <c r="O2001" t="s">
        <v>0</v>
      </c>
      <c r="P2001" t="s">
        <v>0</v>
      </c>
      <c r="Q2001" t="s">
        <v>0</v>
      </c>
      <c r="R2001" t="s">
        <v>0</v>
      </c>
      <c r="S2001" t="s">
        <v>106</v>
      </c>
      <c r="T2001" t="s">
        <v>234</v>
      </c>
      <c r="U2001" t="s">
        <v>164</v>
      </c>
      <c r="V2001" t="s">
        <v>77</v>
      </c>
      <c r="W2001" t="s">
        <v>116</v>
      </c>
      <c r="X2001" t="s">
        <v>107</v>
      </c>
      <c r="Y2001" t="s">
        <v>5444</v>
      </c>
      <c r="Z2001" t="s">
        <v>1915</v>
      </c>
      <c r="AA2001" t="s">
        <v>468</v>
      </c>
      <c r="AB2001" t="s">
        <v>0</v>
      </c>
      <c r="AC2001" t="s">
        <v>5445</v>
      </c>
    </row>
    <row r="2002" spans="1:29">
      <c r="A2002" s="86" t="s">
        <v>5446</v>
      </c>
      <c r="B2002" s="88" t="str">
        <f>IF(ISNUMBER(SEARCH(E2002,A2002)),A2002,IF(OR(E2002="",E2002=""),A2002,A2002&amp;" - "&amp;E2002))</f>
        <v>420 Cannabisextrakt THC 25 / CBD 25</v>
      </c>
      <c r="C2002" t="s">
        <v>463</v>
      </c>
      <c r="D2002" t="s">
        <v>468</v>
      </c>
      <c r="E2002" s="79"/>
      <c r="F2002" s="81"/>
      <c r="G2002" s="83" t="s">
        <v>0</v>
      </c>
      <c r="H2002" s="95" t="s">
        <v>0</v>
      </c>
      <c r="I2002" t="s">
        <v>26</v>
      </c>
      <c r="J2002" t="s">
        <v>26</v>
      </c>
      <c r="K2002" t="s">
        <v>1918</v>
      </c>
      <c r="M2002" t="s">
        <v>72</v>
      </c>
      <c r="N2002" t="s">
        <v>0</v>
      </c>
      <c r="O2002" t="s">
        <v>0</v>
      </c>
      <c r="P2002" t="s">
        <v>0</v>
      </c>
      <c r="Q2002" t="s">
        <v>0</v>
      </c>
      <c r="R2002" t="s">
        <v>0</v>
      </c>
      <c r="S2002" t="s">
        <v>128</v>
      </c>
      <c r="T2002" t="s">
        <v>62</v>
      </c>
      <c r="U2002" t="s">
        <v>430</v>
      </c>
      <c r="V2002" t="s">
        <v>77</v>
      </c>
      <c r="W2002" t="s">
        <v>116</v>
      </c>
      <c r="X2002" t="s">
        <v>107</v>
      </c>
      <c r="Y2002" t="s">
        <v>1139</v>
      </c>
      <c r="Z2002" t="s">
        <v>1915</v>
      </c>
      <c r="AA2002" t="s">
        <v>468</v>
      </c>
      <c r="AB2002" t="s">
        <v>0</v>
      </c>
      <c r="AC2002" t="s">
        <v>5447</v>
      </c>
    </row>
    <row r="2003" spans="1:29">
      <c r="A2003" s="86" t="s">
        <v>5448</v>
      </c>
      <c r="B2003" s="88" t="str">
        <f>IF(ISNUMBER(SEARCH(E2003,A2003)),A2003,IF(OR(E2003="",E2003=""),A2003,A2003&amp;" - "&amp;E2003))</f>
        <v>Somai Cannabisextrakt Senses Mango 25/1</v>
      </c>
      <c r="C2003" t="s">
        <v>5449</v>
      </c>
      <c r="D2003" t="s">
        <v>5450</v>
      </c>
      <c r="E2003" s="79" t="s">
        <v>0</v>
      </c>
      <c r="F2003" s="81" t="s">
        <v>69</v>
      </c>
      <c r="G2003" s="83" t="s">
        <v>0</v>
      </c>
      <c r="H2003" s="95" t="s">
        <v>0</v>
      </c>
      <c r="I2003" t="s">
        <v>26</v>
      </c>
      <c r="J2003" t="s">
        <v>65</v>
      </c>
      <c r="M2003" t="s">
        <v>0</v>
      </c>
      <c r="N2003" t="s">
        <v>0</v>
      </c>
      <c r="O2003" t="s">
        <v>0</v>
      </c>
      <c r="P2003" t="s">
        <v>0</v>
      </c>
      <c r="Q2003" t="s">
        <v>0</v>
      </c>
      <c r="R2003" t="s">
        <v>0</v>
      </c>
      <c r="S2003" t="s">
        <v>0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t="s">
        <v>2017</v>
      </c>
      <c r="Z2003" t="s">
        <v>1915</v>
      </c>
      <c r="AA2003" t="s">
        <v>5450</v>
      </c>
      <c r="AB2003" t="s">
        <v>0</v>
      </c>
      <c r="AC2003" t="s">
        <v>5451</v>
      </c>
    </row>
    <row r="2004" spans="1:29">
      <c r="A2004" s="86" t="s">
        <v>5452</v>
      </c>
      <c r="B2004" s="88" t="str">
        <f>IF(ISNUMBER(SEARCH(E2004,A2004)),A2004,IF(OR(E2004="",E2004=""),A2004,A2004&amp;" - "&amp;E2004))</f>
        <v>Somai Cannabisextrakt Senses Zitrone 25/1</v>
      </c>
      <c r="C2004" t="s">
        <v>5449</v>
      </c>
      <c r="D2004" t="s">
        <v>5450</v>
      </c>
      <c r="E2004" s="79" t="s">
        <v>0</v>
      </c>
      <c r="F2004" s="81" t="s">
        <v>86</v>
      </c>
      <c r="G2004" s="83" t="s">
        <v>0</v>
      </c>
      <c r="H2004" s="95" t="s">
        <v>0</v>
      </c>
      <c r="I2004" t="s">
        <v>26</v>
      </c>
      <c r="J2004" t="s">
        <v>65</v>
      </c>
      <c r="M2004" t="s">
        <v>0</v>
      </c>
      <c r="N2004" t="s">
        <v>0</v>
      </c>
      <c r="O2004" t="s">
        <v>0</v>
      </c>
      <c r="P2004" t="s">
        <v>0</v>
      </c>
      <c r="Q2004" t="s">
        <v>0</v>
      </c>
      <c r="R2004" t="s">
        <v>0</v>
      </c>
      <c r="S2004" t="s">
        <v>0</v>
      </c>
      <c r="T2004" t="s">
        <v>0</v>
      </c>
      <c r="U2004" t="s">
        <v>0</v>
      </c>
      <c r="V2004" t="s">
        <v>0</v>
      </c>
      <c r="W2004" t="s">
        <v>0</v>
      </c>
      <c r="X2004" t="s">
        <v>0</v>
      </c>
      <c r="Y2004" t="s">
        <v>2017</v>
      </c>
      <c r="Z2004" t="s">
        <v>1915</v>
      </c>
      <c r="AA2004" t="s">
        <v>5450</v>
      </c>
      <c r="AB2004" t="s">
        <v>0</v>
      </c>
      <c r="AC2004" t="s">
        <v>5453</v>
      </c>
    </row>
    <row r="2005" spans="1:29">
      <c r="A2005" s="86" t="s">
        <v>5454</v>
      </c>
      <c r="B2005" s="88" t="str">
        <f>IF(ISNUMBER(SEARCH(E2005,A2005)),A2005,IF(OR(E2005="",E2005=""),A2005,A2005&amp;" - "&amp;E2005))</f>
        <v>Somai Cannabisextrakt Senses Guave 25/1</v>
      </c>
      <c r="C2005" t="s">
        <v>5449</v>
      </c>
      <c r="D2005" t="s">
        <v>5450</v>
      </c>
      <c r="E2005" s="79" t="s">
        <v>0</v>
      </c>
      <c r="F2005" s="81" t="s">
        <v>120</v>
      </c>
      <c r="G2005" s="83" t="s">
        <v>0</v>
      </c>
      <c r="H2005" s="95" t="s">
        <v>0</v>
      </c>
      <c r="I2005" t="s">
        <v>26</v>
      </c>
      <c r="J2005" t="s">
        <v>65</v>
      </c>
      <c r="L2005" t="s">
        <v>102</v>
      </c>
      <c r="M2005" t="s">
        <v>0</v>
      </c>
      <c r="N2005" t="s">
        <v>0</v>
      </c>
      <c r="O2005" t="s">
        <v>0</v>
      </c>
      <c r="P2005" t="s">
        <v>0</v>
      </c>
      <c r="Q2005" t="s">
        <v>0</v>
      </c>
      <c r="R2005" t="s">
        <v>0</v>
      </c>
      <c r="S2005" t="s">
        <v>61</v>
      </c>
      <c r="T2005" t="s">
        <v>76</v>
      </c>
      <c r="U2005" t="s">
        <v>62</v>
      </c>
      <c r="V2005" t="s">
        <v>0</v>
      </c>
      <c r="W2005" t="s">
        <v>0</v>
      </c>
      <c r="X2005" t="s">
        <v>0</v>
      </c>
      <c r="Y2005" t="s">
        <v>2017</v>
      </c>
      <c r="Z2005" t="s">
        <v>1915</v>
      </c>
      <c r="AA2005" t="s">
        <v>5450</v>
      </c>
      <c r="AB2005" t="s">
        <v>0</v>
      </c>
      <c r="AC2005" t="s">
        <v>5455</v>
      </c>
    </row>
    <row r="2006" spans="1:29">
      <c r="A2006" s="86" t="s">
        <v>5456</v>
      </c>
      <c r="B2006" s="88" t="str">
        <f>IF(ISNUMBER(SEARCH(E2006,A2006)),A2006,IF(OR(E2006="",E2006=""),A2006,A2006&amp;" - "&amp;E2006))</f>
        <v>Demecan FE 800</v>
      </c>
      <c r="C2006" t="s">
        <v>484</v>
      </c>
      <c r="D2006" t="s">
        <v>485</v>
      </c>
      <c r="E2006" s="79"/>
      <c r="F2006" s="81" t="s">
        <v>86</v>
      </c>
      <c r="G2006" s="83" t="s">
        <v>0</v>
      </c>
      <c r="H2006" s="95" t="s">
        <v>0</v>
      </c>
      <c r="I2006" t="s">
        <v>5457</v>
      </c>
      <c r="J2006" t="s">
        <v>5458</v>
      </c>
      <c r="L2006" t="s">
        <v>527</v>
      </c>
      <c r="M2006" t="s">
        <v>121</v>
      </c>
      <c r="N2006" t="s">
        <v>72</v>
      </c>
      <c r="O2006" t="s">
        <v>103</v>
      </c>
      <c r="P2006" t="s">
        <v>0</v>
      </c>
      <c r="Q2006" t="s">
        <v>0</v>
      </c>
      <c r="R2006" t="s">
        <v>0</v>
      </c>
      <c r="S2006" t="s">
        <v>128</v>
      </c>
      <c r="T2006" t="s">
        <v>106</v>
      </c>
      <c r="U2006" t="s">
        <v>76</v>
      </c>
      <c r="V2006" t="s">
        <v>107</v>
      </c>
      <c r="W2006" t="s">
        <v>116</v>
      </c>
      <c r="X2006" t="s">
        <v>77</v>
      </c>
      <c r="Y2006" t="s">
        <v>5459</v>
      </c>
      <c r="Z2006" t="s">
        <v>1915</v>
      </c>
      <c r="AA2006" t="s">
        <v>0</v>
      </c>
      <c r="AB2006" t="s">
        <v>0</v>
      </c>
      <c r="AC2006" t="s">
        <v>5460</v>
      </c>
    </row>
    <row r="2007" spans="1:29">
      <c r="A2007" s="86" t="s">
        <v>5461</v>
      </c>
      <c r="B2007" s="88" t="str">
        <f>IF(ISNUMBER(SEARCH(E2007,A2007)),A2007,IF(OR(E2007="",E2007=""),A2007,A2007&amp;" - "&amp;E2007))</f>
        <v>Greyscale HF 31/1 - Hawaiian Faanta</v>
      </c>
      <c r="C2007" t="s">
        <v>564</v>
      </c>
      <c r="D2007" t="s">
        <v>565</v>
      </c>
      <c r="E2007" s="79" t="s">
        <v>5462</v>
      </c>
      <c r="F2007" s="81" t="s">
        <v>86</v>
      </c>
      <c r="G2007" s="83" t="s">
        <v>4488</v>
      </c>
      <c r="H2007" s="83" t="s">
        <v>65</v>
      </c>
      <c r="I2007" t="s">
        <v>0</v>
      </c>
      <c r="J2007" t="s">
        <v>0</v>
      </c>
      <c r="K2007" t="s">
        <v>52</v>
      </c>
      <c r="L2007" t="s">
        <v>53</v>
      </c>
      <c r="M2007" t="s">
        <v>72</v>
      </c>
      <c r="N2007" t="s">
        <v>54</v>
      </c>
      <c r="O2007" t="s">
        <v>71</v>
      </c>
      <c r="P2007" t="s">
        <v>75</v>
      </c>
      <c r="Q2007" t="s">
        <v>89</v>
      </c>
      <c r="R2007" t="s">
        <v>58</v>
      </c>
      <c r="S2007" t="s">
        <v>128</v>
      </c>
      <c r="T2007" t="s">
        <v>62</v>
      </c>
      <c r="U2007" t="s">
        <v>164</v>
      </c>
      <c r="V2007" t="s">
        <v>77</v>
      </c>
      <c r="W2007" t="s">
        <v>129</v>
      </c>
      <c r="X2007" t="s">
        <v>292</v>
      </c>
      <c r="Y2007" t="s">
        <v>1073</v>
      </c>
      <c r="Z2007" t="s">
        <v>64</v>
      </c>
      <c r="AA2007" t="s">
        <v>565</v>
      </c>
      <c r="AB2007" t="s">
        <v>0</v>
      </c>
      <c r="AC2007" t="s">
        <v>5463</v>
      </c>
    </row>
    <row r="2008" spans="1:29">
      <c r="A2008" s="96" t="s">
        <v>5464</v>
      </c>
      <c r="B2008" s="88" t="str">
        <f>IF(ISNUMBER(SEARCH(E2008,A2008)),A2008,IF(OR(E2008="",E2008=""),A2008,A2008&amp;" - "&amp;E2008))</f>
        <v>avaay Signature 29/1 LEM - Lemon Loaf</v>
      </c>
      <c r="C2008" s="92" t="s">
        <v>4601</v>
      </c>
      <c r="D2008" s="92" t="s">
        <v>572</v>
      </c>
      <c r="E2008" s="78" t="s">
        <v>5465</v>
      </c>
      <c r="F2008" s="80" t="s">
        <v>144</v>
      </c>
      <c r="G2008" s="82" t="s">
        <v>443</v>
      </c>
      <c r="H2008" s="82" t="s">
        <v>65</v>
      </c>
      <c r="I2008" s="92" t="s">
        <v>0</v>
      </c>
      <c r="J2008" s="92" t="s">
        <v>0</v>
      </c>
      <c r="K2008" s="92" t="s">
        <v>52</v>
      </c>
      <c r="L2008" s="92" t="s">
        <v>53</v>
      </c>
      <c r="M2008" s="92" t="s">
        <v>72</v>
      </c>
      <c r="N2008" s="92" t="s">
        <v>54</v>
      </c>
      <c r="O2008" s="92" t="s">
        <v>71</v>
      </c>
      <c r="P2008" s="92" t="s">
        <v>59</v>
      </c>
      <c r="Q2008" s="92" t="s">
        <v>89</v>
      </c>
      <c r="R2008" s="92" t="s">
        <v>58</v>
      </c>
      <c r="S2008" s="92" t="s">
        <v>106</v>
      </c>
      <c r="T2008" s="92" t="s">
        <v>62</v>
      </c>
      <c r="U2008" s="92" t="s">
        <v>4480</v>
      </c>
      <c r="V2008" s="92" t="s">
        <v>77</v>
      </c>
      <c r="W2008" s="92" t="s">
        <v>165</v>
      </c>
      <c r="X2008" s="92" t="s">
        <v>129</v>
      </c>
      <c r="Y2008" s="92" t="s">
        <v>3244</v>
      </c>
      <c r="Z2008" s="92" t="s">
        <v>64</v>
      </c>
      <c r="AA2008" s="92" t="s">
        <v>572</v>
      </c>
      <c r="AB2008" s="92" t="s">
        <v>0</v>
      </c>
      <c r="AC2008" s="92" t="s">
        <v>5466</v>
      </c>
    </row>
    <row r="2009" spans="1:29">
      <c r="A2009" s="86" t="s">
        <v>5467</v>
      </c>
      <c r="B2009" s="88" t="str">
        <f>IF(ISNUMBER(SEARCH(E2009,A2009)),A2009,IF(OR(E2009="",E2009=""),A2009,A2009&amp;" - "&amp;E2009))</f>
        <v>Remexian 24/1 HMA PYW - Peyote Wifi</v>
      </c>
      <c r="C2009" t="s">
        <v>83</v>
      </c>
      <c r="D2009" t="s">
        <v>95</v>
      </c>
      <c r="E2009" s="79" t="s">
        <v>3515</v>
      </c>
      <c r="F2009" s="81" t="s">
        <v>177</v>
      </c>
      <c r="G2009" s="83" t="s">
        <v>448</v>
      </c>
      <c r="H2009" s="83" t="s">
        <v>65</v>
      </c>
      <c r="I2009" t="s">
        <v>0</v>
      </c>
      <c r="J2009" t="s">
        <v>0</v>
      </c>
      <c r="K2009" t="s">
        <v>52</v>
      </c>
      <c r="L2009" t="s">
        <v>53</v>
      </c>
      <c r="M2009" t="s">
        <v>88</v>
      </c>
      <c r="N2009" t="s">
        <v>54</v>
      </c>
      <c r="O2009" t="s">
        <v>111</v>
      </c>
      <c r="P2009" t="s">
        <v>157</v>
      </c>
      <c r="Q2009" t="s">
        <v>59</v>
      </c>
      <c r="R2009" t="s">
        <v>75</v>
      </c>
      <c r="S2009" t="s">
        <v>106</v>
      </c>
      <c r="T2009" t="s">
        <v>147</v>
      </c>
      <c r="U2009" t="s">
        <v>192</v>
      </c>
      <c r="V2009" t="s">
        <v>79</v>
      </c>
      <c r="W2009" t="s">
        <v>116</v>
      </c>
      <c r="X2009" t="s">
        <v>107</v>
      </c>
      <c r="Y2009" t="s">
        <v>1464</v>
      </c>
      <c r="Z2009" t="s">
        <v>64</v>
      </c>
      <c r="AA2009" t="s">
        <v>95</v>
      </c>
      <c r="AB2009" t="s">
        <v>0</v>
      </c>
      <c r="AC2009" t="s">
        <v>5468</v>
      </c>
    </row>
    <row r="2010" spans="1:29">
      <c r="A2010" s="86" t="s">
        <v>5469</v>
      </c>
      <c r="B2010" s="88" t="str">
        <f>IF(ISNUMBER(SEARCH(E2010,A2010)),A2010,IF(OR(E2010="",E2010=""),A2010,A2010&amp;" - "&amp;E2010))</f>
        <v>Remexian 27/1 GCC CCK - Cold Creek Kush</v>
      </c>
      <c r="C2010" t="s">
        <v>83</v>
      </c>
      <c r="D2010" t="s">
        <v>95</v>
      </c>
      <c r="E2010" s="79" t="s">
        <v>652</v>
      </c>
      <c r="F2010" s="81" t="s">
        <v>177</v>
      </c>
      <c r="G2010" s="83" t="s">
        <v>33</v>
      </c>
      <c r="H2010" s="83" t="s">
        <v>65</v>
      </c>
      <c r="I2010" t="s">
        <v>0</v>
      </c>
      <c r="J2010" t="s">
        <v>0</v>
      </c>
      <c r="K2010" t="s">
        <v>52</v>
      </c>
      <c r="L2010" t="s">
        <v>53</v>
      </c>
      <c r="M2010" t="s">
        <v>156</v>
      </c>
      <c r="N2010" t="s">
        <v>54</v>
      </c>
      <c r="O2010" t="s">
        <v>71</v>
      </c>
      <c r="P2010" t="s">
        <v>74</v>
      </c>
      <c r="Q2010" t="s">
        <v>59</v>
      </c>
      <c r="R2010" t="s">
        <v>75</v>
      </c>
      <c r="S2010" t="s">
        <v>106</v>
      </c>
      <c r="T2010" t="s">
        <v>62</v>
      </c>
      <c r="U2010" t="s">
        <v>147</v>
      </c>
      <c r="V2010" t="s">
        <v>107</v>
      </c>
      <c r="W2010" t="s">
        <v>77</v>
      </c>
      <c r="X2010" t="s">
        <v>79</v>
      </c>
      <c r="Y2010" t="s">
        <v>3442</v>
      </c>
      <c r="Z2010" t="s">
        <v>64</v>
      </c>
      <c r="AA2010" t="s">
        <v>95</v>
      </c>
      <c r="AB2010" t="s">
        <v>0</v>
      </c>
      <c r="AC2010" t="s">
        <v>5470</v>
      </c>
    </row>
    <row r="2011" spans="1:29">
      <c r="A2011" s="86" t="s">
        <v>5471</v>
      </c>
      <c r="B2011" s="88" t="str">
        <f>IF(ISNUMBER(SEARCH(E2011,A2011)),A2011,IF(OR(E2011="",E2011=""),A2011,A2011&amp;" - "&amp;E2011))</f>
        <v>aleph air 16/1 - Sour Tangie</v>
      </c>
      <c r="C2011" t="s">
        <v>725</v>
      </c>
      <c r="D2011" t="s">
        <v>726</v>
      </c>
      <c r="E2011" s="79" t="s">
        <v>1663</v>
      </c>
      <c r="F2011" s="81" t="s">
        <v>144</v>
      </c>
      <c r="G2011" s="83" t="s">
        <v>18</v>
      </c>
      <c r="H2011" s="83" t="s">
        <v>65</v>
      </c>
      <c r="I2011" t="s">
        <v>0</v>
      </c>
      <c r="J2011" t="s">
        <v>0</v>
      </c>
      <c r="K2011" t="s">
        <v>52</v>
      </c>
      <c r="L2011" t="s">
        <v>102</v>
      </c>
      <c r="M2011" t="s">
        <v>111</v>
      </c>
      <c r="N2011" t="s">
        <v>72</v>
      </c>
      <c r="O2011" t="s">
        <v>54</v>
      </c>
      <c r="P2011" t="s">
        <v>75</v>
      </c>
      <c r="Q2011" t="s">
        <v>0</v>
      </c>
      <c r="R2011" t="s">
        <v>0</v>
      </c>
      <c r="S2011" t="s">
        <v>179</v>
      </c>
      <c r="T2011" t="s">
        <v>76</v>
      </c>
      <c r="U2011" t="s">
        <v>62</v>
      </c>
      <c r="V2011" t="s">
        <v>79</v>
      </c>
      <c r="W2011" t="s">
        <v>107</v>
      </c>
      <c r="X2011" t="s">
        <v>711</v>
      </c>
      <c r="Y2011" t="s">
        <v>1357</v>
      </c>
      <c r="Z2011" t="s">
        <v>64</v>
      </c>
      <c r="AA2011" t="s">
        <v>726</v>
      </c>
      <c r="AB2011" t="s">
        <v>0</v>
      </c>
      <c r="AC2011" t="s">
        <v>5472</v>
      </c>
    </row>
    <row r="2012" spans="1:29">
      <c r="A2012" s="96" t="s">
        <v>5473</v>
      </c>
      <c r="B2012" s="88" t="str">
        <f>IF(ISNUMBER(SEARCH(E2012,A2012)),A2012,IF(OR(E2012="",E2012=""),A2012,A2012&amp;" - "&amp;E2012))</f>
        <v>Remexian WTF 21/1 MIC ICC - Ice Cream Cake</v>
      </c>
      <c r="C2012" s="92" t="s">
        <v>83</v>
      </c>
      <c r="D2012" s="92" t="s">
        <v>95</v>
      </c>
      <c r="E2012" s="78" t="s">
        <v>1214</v>
      </c>
      <c r="F2012" s="80" t="s">
        <v>177</v>
      </c>
      <c r="G2012" s="82" t="s">
        <v>452</v>
      </c>
      <c r="H2012" s="82" t="s">
        <v>65</v>
      </c>
      <c r="I2012" s="92" t="s">
        <v>0</v>
      </c>
      <c r="J2012" s="92" t="s">
        <v>0</v>
      </c>
      <c r="K2012" s="92" t="s">
        <v>52</v>
      </c>
      <c r="L2012" s="92" t="s">
        <v>53</v>
      </c>
      <c r="M2012" s="92" t="s">
        <v>121</v>
      </c>
      <c r="N2012" s="92" t="s">
        <v>72</v>
      </c>
      <c r="O2012" s="92" t="s">
        <v>103</v>
      </c>
      <c r="P2012" s="92" t="s">
        <v>89</v>
      </c>
      <c r="Q2012" s="92" t="s">
        <v>57</v>
      </c>
      <c r="R2012" s="92" t="s">
        <v>0</v>
      </c>
      <c r="S2012" s="92" t="s">
        <v>106</v>
      </c>
      <c r="T2012" s="92" t="s">
        <v>234</v>
      </c>
      <c r="U2012" s="92" t="s">
        <v>123</v>
      </c>
      <c r="V2012" s="92" t="s">
        <v>107</v>
      </c>
      <c r="W2012" s="92" t="s">
        <v>77</v>
      </c>
      <c r="X2012" s="92" t="s">
        <v>173</v>
      </c>
      <c r="Y2012" s="92" t="s">
        <v>5474</v>
      </c>
      <c r="Z2012" s="92" t="s">
        <v>64</v>
      </c>
      <c r="AA2012" s="92" t="s">
        <v>95</v>
      </c>
      <c r="AB2012" s="92" t="s">
        <v>0</v>
      </c>
      <c r="AC2012" s="92" t="s">
        <v>5475</v>
      </c>
    </row>
    <row r="2013" spans="1:29">
      <c r="A2013" s="86" t="s">
        <v>5476</v>
      </c>
      <c r="B2013" s="88" t="str">
        <f>IF(ISNUMBER(SEARCH(E2013,A2013)),A2013,IF(OR(E2013="",E2013=""),A2013,A2013&amp;" - "&amp;E2013))</f>
        <v>Remexian WTF 21/1 MIC BJE - Bangerine</v>
      </c>
      <c r="C2013" t="s">
        <v>83</v>
      </c>
      <c r="D2013" t="s">
        <v>95</v>
      </c>
      <c r="E2013" s="79" t="s">
        <v>5477</v>
      </c>
      <c r="F2013" s="81" t="s">
        <v>144</v>
      </c>
      <c r="G2013" s="83" t="s">
        <v>452</v>
      </c>
      <c r="H2013" s="83" t="s">
        <v>65</v>
      </c>
      <c r="I2013" t="s">
        <v>0</v>
      </c>
      <c r="J2013" t="s">
        <v>0</v>
      </c>
      <c r="K2013" t="s">
        <v>52</v>
      </c>
      <c r="L2013" t="s">
        <v>53</v>
      </c>
      <c r="M2013" t="s">
        <v>88</v>
      </c>
      <c r="N2013" t="s">
        <v>54</v>
      </c>
      <c r="O2013" t="s">
        <v>111</v>
      </c>
      <c r="P2013" t="s">
        <v>89</v>
      </c>
      <c r="Q2013" t="s">
        <v>58</v>
      </c>
      <c r="R2013" t="s">
        <v>74</v>
      </c>
      <c r="S2013" t="s">
        <v>106</v>
      </c>
      <c r="T2013" t="s">
        <v>62</v>
      </c>
      <c r="U2013" t="s">
        <v>147</v>
      </c>
      <c r="V2013" t="s">
        <v>77</v>
      </c>
      <c r="W2013" t="s">
        <v>165</v>
      </c>
      <c r="X2013" t="s">
        <v>292</v>
      </c>
      <c r="Y2013" t="s">
        <v>1218</v>
      </c>
      <c r="Z2013" t="s">
        <v>64</v>
      </c>
      <c r="AA2013" t="s">
        <v>95</v>
      </c>
      <c r="AB2013" t="s">
        <v>0</v>
      </c>
      <c r="AC2013" t="s">
        <v>5478</v>
      </c>
    </row>
    <row r="2014" spans="1:29">
      <c r="A2014" s="86" t="s">
        <v>5479</v>
      </c>
      <c r="B2014" s="88" t="str">
        <f>IF(ISNUMBER(SEARCH(E2014,A2014)),A2014,IF(OR(E2014="",E2014=""),A2014,A2014&amp;" - "&amp;E2014))</f>
        <v>Remexian WTF 21/1 MIC TAP - Tangerine Punch</v>
      </c>
      <c r="C2014" t="s">
        <v>83</v>
      </c>
      <c r="D2014" t="s">
        <v>95</v>
      </c>
      <c r="E2014" s="79" t="s">
        <v>5480</v>
      </c>
      <c r="F2014" s="81" t="s">
        <v>144</v>
      </c>
      <c r="G2014" s="83" t="s">
        <v>452</v>
      </c>
      <c r="H2014" s="83" t="s">
        <v>65</v>
      </c>
      <c r="I2014" t="s">
        <v>0</v>
      </c>
      <c r="J2014" t="s">
        <v>0</v>
      </c>
      <c r="K2014" t="s">
        <v>52</v>
      </c>
      <c r="L2014" t="s">
        <v>53</v>
      </c>
      <c r="M2014" t="s">
        <v>72</v>
      </c>
      <c r="N2014" t="s">
        <v>54</v>
      </c>
      <c r="O2014" t="s">
        <v>71</v>
      </c>
      <c r="P2014" t="s">
        <v>59</v>
      </c>
      <c r="Q2014" t="s">
        <v>57</v>
      </c>
      <c r="R2014" t="s">
        <v>89</v>
      </c>
      <c r="S2014" t="s">
        <v>106</v>
      </c>
      <c r="T2014" t="s">
        <v>62</v>
      </c>
      <c r="U2014" t="s">
        <v>147</v>
      </c>
      <c r="V2014" t="s">
        <v>77</v>
      </c>
      <c r="W2014" t="s">
        <v>116</v>
      </c>
      <c r="X2014" t="s">
        <v>129</v>
      </c>
      <c r="Y2014" t="s">
        <v>5481</v>
      </c>
      <c r="Z2014" t="s">
        <v>64</v>
      </c>
      <c r="AA2014" t="s">
        <v>95</v>
      </c>
      <c r="AB2014" t="s">
        <v>0</v>
      </c>
      <c r="AC2014" t="s">
        <v>5482</v>
      </c>
    </row>
    <row r="2015" spans="1:29">
      <c r="A2015" s="96" t="s">
        <v>5483</v>
      </c>
      <c r="B2015" s="88" t="str">
        <f>IF(ISNUMBER(SEARCH(E2015,A2015)),A2015,IF(OR(E2015="",E2015=""),A2015,A2015&amp;" - "&amp;E2015))</f>
        <v>Social Choice 27/1 LUX - OMG</v>
      </c>
      <c r="C2015" s="92" t="s">
        <v>83</v>
      </c>
      <c r="D2015" s="92" t="s">
        <v>95</v>
      </c>
      <c r="E2015" s="78" t="s">
        <v>5211</v>
      </c>
      <c r="F2015" s="80" t="s">
        <v>177</v>
      </c>
      <c r="G2015" s="82" t="s">
        <v>33</v>
      </c>
      <c r="H2015" s="82" t="s">
        <v>65</v>
      </c>
      <c r="I2015" s="92" t="s">
        <v>0</v>
      </c>
      <c r="J2015" s="92" t="s">
        <v>0</v>
      </c>
      <c r="K2015" s="92" t="s">
        <v>52</v>
      </c>
      <c r="L2015" s="92"/>
      <c r="M2015" s="92" t="s">
        <v>121</v>
      </c>
      <c r="N2015" s="92" t="s">
        <v>88</v>
      </c>
      <c r="O2015" s="92" t="s">
        <v>72</v>
      </c>
      <c r="P2015" s="92" t="s">
        <v>113</v>
      </c>
      <c r="Q2015" s="92" t="s">
        <v>58</v>
      </c>
      <c r="R2015" s="92" t="s">
        <v>59</v>
      </c>
      <c r="S2015" s="92" t="s">
        <v>106</v>
      </c>
      <c r="T2015" s="92" t="s">
        <v>62</v>
      </c>
      <c r="U2015" s="92" t="s">
        <v>91</v>
      </c>
      <c r="V2015" s="92" t="s">
        <v>93</v>
      </c>
      <c r="W2015" s="92" t="s">
        <v>107</v>
      </c>
      <c r="X2015" s="92" t="s">
        <v>116</v>
      </c>
      <c r="Y2015" s="92" t="s">
        <v>418</v>
      </c>
      <c r="Z2015" s="92" t="s">
        <v>64</v>
      </c>
      <c r="AA2015" s="92" t="s">
        <v>95</v>
      </c>
      <c r="AB2015" s="92" t="s">
        <v>0</v>
      </c>
      <c r="AC2015" s="92" t="s">
        <v>5484</v>
      </c>
    </row>
    <row r="2016" spans="1:29">
      <c r="A2016" s="86" t="s">
        <v>439</v>
      </c>
      <c r="B2016" s="88" t="str">
        <f>IF(ISNUMBER(SEARCH(E2016,A2016)),A2016,IF(OR(E2016="",E2016=""),A2016,A2016&amp;" - "&amp;E2016))</f>
        <v>Craft Botanics 27/1 - Gelonade</v>
      </c>
      <c r="C2016" t="s">
        <v>440</v>
      </c>
      <c r="D2016" t="s">
        <v>441</v>
      </c>
      <c r="E2016" s="79" t="s">
        <v>869</v>
      </c>
      <c r="F2016" s="81" t="s">
        <v>144</v>
      </c>
      <c r="G2016" s="83" t="s">
        <v>33</v>
      </c>
      <c r="H2016" s="83" t="s">
        <v>65</v>
      </c>
      <c r="I2016" t="s">
        <v>0</v>
      </c>
      <c r="J2016" t="s">
        <v>0</v>
      </c>
      <c r="K2016" t="s">
        <v>52</v>
      </c>
      <c r="M2016" t="s">
        <v>178</v>
      </c>
      <c r="N2016" t="s">
        <v>55</v>
      </c>
      <c r="O2016" t="s">
        <v>156</v>
      </c>
      <c r="P2016" t="s">
        <v>113</v>
      </c>
      <c r="Q2016" t="s">
        <v>89</v>
      </c>
      <c r="R2016" t="s">
        <v>58</v>
      </c>
      <c r="S2016" t="s">
        <v>90</v>
      </c>
      <c r="T2016" t="s">
        <v>106</v>
      </c>
      <c r="U2016" t="s">
        <v>62</v>
      </c>
      <c r="V2016" t="s">
        <v>107</v>
      </c>
      <c r="W2016" t="s">
        <v>173</v>
      </c>
      <c r="X2016" t="s">
        <v>129</v>
      </c>
      <c r="Y2016" t="s">
        <v>3436</v>
      </c>
      <c r="Z2016" t="s">
        <v>64</v>
      </c>
      <c r="AA2016" t="s">
        <v>441</v>
      </c>
      <c r="AB2016" t="s">
        <v>0</v>
      </c>
      <c r="AC2016" t="s">
        <v>5485</v>
      </c>
    </row>
    <row r="2017" spans="1:29">
      <c r="A2017" s="96" t="s">
        <v>5486</v>
      </c>
      <c r="B2017" s="88" t="str">
        <f>IF(ISNUMBER(SEARCH(E2017,A2017)),A2017,IF(OR(E2017="",E2017=""),A2017,A2017&amp;" - "&amp;E2017))</f>
        <v>enua 22/1 USR CA Smalls - Ultra Sour</v>
      </c>
      <c r="C2017" s="92" t="s">
        <v>650</v>
      </c>
      <c r="D2017" s="92" t="s">
        <v>653</v>
      </c>
      <c r="E2017" s="78" t="s">
        <v>5254</v>
      </c>
      <c r="F2017" s="80" t="s">
        <v>144</v>
      </c>
      <c r="G2017" s="82" t="s">
        <v>4126</v>
      </c>
      <c r="H2017" s="82" t="s">
        <v>65</v>
      </c>
      <c r="I2017" s="92" t="s">
        <v>0</v>
      </c>
      <c r="J2017" s="92" t="s">
        <v>0</v>
      </c>
      <c r="K2017" s="92" t="s">
        <v>52</v>
      </c>
      <c r="L2017" s="92" t="s">
        <v>53</v>
      </c>
      <c r="M2017" s="92" t="s">
        <v>72</v>
      </c>
      <c r="N2017" s="92" t="s">
        <v>55</v>
      </c>
      <c r="O2017" s="92" t="s">
        <v>0</v>
      </c>
      <c r="P2017" s="92" t="s">
        <v>59</v>
      </c>
      <c r="Q2017" s="92" t="s">
        <v>73</v>
      </c>
      <c r="R2017" s="92" t="s">
        <v>75</v>
      </c>
      <c r="S2017" s="92" t="s">
        <v>90</v>
      </c>
      <c r="T2017" s="92" t="s">
        <v>61</v>
      </c>
      <c r="U2017" s="92" t="s">
        <v>62</v>
      </c>
      <c r="V2017" s="92" t="s">
        <v>116</v>
      </c>
      <c r="W2017" s="92" t="s">
        <v>173</v>
      </c>
      <c r="X2017" s="92" t="s">
        <v>77</v>
      </c>
      <c r="Y2017" s="92" t="s">
        <v>5487</v>
      </c>
      <c r="Z2017" s="92" t="s">
        <v>64</v>
      </c>
      <c r="AA2017" s="92" t="s">
        <v>653</v>
      </c>
      <c r="AB2017" s="92" t="s">
        <v>0</v>
      </c>
      <c r="AC2017" s="92" t="s">
        <v>5488</v>
      </c>
    </row>
    <row r="2018" spans="1:29">
      <c r="A2018" s="96" t="s">
        <v>5489</v>
      </c>
      <c r="B2018" s="88" t="str">
        <f>IF(ISNUMBER(SEARCH(E2018,A2018)),A2018,IF(OR(E2018="",E2018=""),A2018,A2018&amp;" - "&amp;E2018))</f>
        <v>Craft Serenova 31:01 - Cap Junky</v>
      </c>
      <c r="C2018" s="92" t="s">
        <v>484</v>
      </c>
      <c r="D2018" s="92" t="s">
        <v>485</v>
      </c>
      <c r="E2018" s="78" t="s">
        <v>1594</v>
      </c>
      <c r="F2018" s="80" t="s">
        <v>86</v>
      </c>
      <c r="G2018" s="82" t="s">
        <v>4488</v>
      </c>
      <c r="H2018" s="82">
        <v>1</v>
      </c>
      <c r="I2018" s="92" t="s">
        <v>0</v>
      </c>
      <c r="J2018" s="92" t="s">
        <v>0</v>
      </c>
      <c r="K2018" s="92" t="s">
        <v>52</v>
      </c>
      <c r="L2018" s="92" t="s">
        <v>53</v>
      </c>
      <c r="M2018" s="92" t="s">
        <v>111</v>
      </c>
      <c r="N2018" s="92" t="s">
        <v>54</v>
      </c>
      <c r="O2018" s="92" t="s">
        <v>178</v>
      </c>
      <c r="P2018" s="92" t="s">
        <v>74</v>
      </c>
      <c r="Q2018" s="92" t="s">
        <v>59</v>
      </c>
      <c r="R2018" s="92" t="s">
        <v>89</v>
      </c>
      <c r="S2018" s="92" t="s">
        <v>106</v>
      </c>
      <c r="T2018" s="92" t="s">
        <v>466</v>
      </c>
      <c r="U2018" s="92" t="s">
        <v>0</v>
      </c>
      <c r="V2018" s="92" t="s">
        <v>116</v>
      </c>
      <c r="W2018" s="92" t="s">
        <v>107</v>
      </c>
      <c r="X2018" s="92" t="s">
        <v>77</v>
      </c>
      <c r="Y2018" s="92" t="s">
        <v>80</v>
      </c>
      <c r="Z2018" s="92" t="s">
        <v>64</v>
      </c>
      <c r="AA2018" s="92" t="s">
        <v>485</v>
      </c>
      <c r="AB2018" s="92" t="s">
        <v>0</v>
      </c>
      <c r="AC2018" s="100" t="s">
        <v>5490</v>
      </c>
    </row>
    <row r="2019" spans="1:29">
      <c r="A2019" s="86" t="s">
        <v>5491</v>
      </c>
      <c r="B2019" s="88" t="str">
        <f>IF(ISNUMBER(SEARCH(E2019,A2019)),A2019,IF(OR(E2019="",E2019=""),A2019,A2019&amp;" - "&amp;E2019))</f>
        <v>Mother 26 B8 CAN - Beta 808</v>
      </c>
      <c r="C2019" t="s">
        <v>911</v>
      </c>
      <c r="D2019" t="s">
        <v>912</v>
      </c>
      <c r="E2019" s="79" t="s">
        <v>3143</v>
      </c>
      <c r="F2019" s="81" t="s">
        <v>86</v>
      </c>
      <c r="G2019" s="83" t="s">
        <v>4086</v>
      </c>
      <c r="H2019" s="83" t="s">
        <v>65</v>
      </c>
      <c r="I2019" t="s">
        <v>0</v>
      </c>
      <c r="J2019" t="s">
        <v>0</v>
      </c>
      <c r="K2019" t="s">
        <v>52</v>
      </c>
      <c r="L2019" t="s">
        <v>53</v>
      </c>
      <c r="M2019" t="s">
        <v>72</v>
      </c>
      <c r="N2019" t="s">
        <v>178</v>
      </c>
      <c r="O2019" t="s">
        <v>111</v>
      </c>
      <c r="P2019" t="s">
        <v>59</v>
      </c>
      <c r="Q2019" t="s">
        <v>73</v>
      </c>
      <c r="R2019" t="s">
        <v>75</v>
      </c>
      <c r="S2019" t="s">
        <v>106</v>
      </c>
      <c r="T2019" t="s">
        <v>179</v>
      </c>
      <c r="U2019" t="s">
        <v>466</v>
      </c>
      <c r="V2019" t="s">
        <v>107</v>
      </c>
      <c r="W2019" t="s">
        <v>79</v>
      </c>
      <c r="X2019" t="s">
        <v>116</v>
      </c>
      <c r="Y2019" t="s">
        <v>555</v>
      </c>
      <c r="Z2019" t="s">
        <v>64</v>
      </c>
      <c r="AA2019" t="s">
        <v>912</v>
      </c>
      <c r="AB2019" t="s">
        <v>0</v>
      </c>
      <c r="AC2019" t="s">
        <v>5492</v>
      </c>
    </row>
    <row r="2020" spans="1:29">
      <c r="A2020" s="96" t="s">
        <v>5493</v>
      </c>
      <c r="B2020" s="88" t="str">
        <f>IF(ISNUMBER(SEARCH(E2020,A2020)),A2020,IF(OR(E2020="",E2020=""),A2020,A2020&amp;" - "&amp;E2020))</f>
        <v>Barrocas PMK 24/1 Premium - Mandarin Kush</v>
      </c>
      <c r="C2020" s="92" t="s">
        <v>996</v>
      </c>
      <c r="D2020" s="92" t="s">
        <v>997</v>
      </c>
      <c r="E2020" s="78" t="s">
        <v>4583</v>
      </c>
      <c r="F2020" s="80" t="s">
        <v>144</v>
      </c>
      <c r="G2020" s="82" t="s">
        <v>448</v>
      </c>
      <c r="H2020" s="82">
        <v>1</v>
      </c>
      <c r="I2020" s="92" t="s">
        <v>0</v>
      </c>
      <c r="J2020" s="92" t="s">
        <v>0</v>
      </c>
      <c r="K2020" s="92" t="s">
        <v>52</v>
      </c>
      <c r="L2020" s="92" t="s">
        <v>102</v>
      </c>
      <c r="M2020" s="92" t="s">
        <v>88</v>
      </c>
      <c r="N2020" s="92" t="s">
        <v>121</v>
      </c>
      <c r="O2020" s="92" t="s">
        <v>54</v>
      </c>
      <c r="P2020" s="92" t="s">
        <v>58</v>
      </c>
      <c r="Q2020" s="92" t="s">
        <v>75</v>
      </c>
      <c r="R2020" s="92" t="s">
        <v>89</v>
      </c>
      <c r="S2020" s="92" t="s">
        <v>106</v>
      </c>
      <c r="T2020" s="92" t="s">
        <v>62</v>
      </c>
      <c r="U2020" s="92" t="s">
        <v>147</v>
      </c>
      <c r="V2020" s="92" t="s">
        <v>79</v>
      </c>
      <c r="W2020" s="92" t="s">
        <v>173</v>
      </c>
      <c r="X2020" s="92" t="s">
        <v>116</v>
      </c>
      <c r="Y2020" s="92" t="s">
        <v>1762</v>
      </c>
      <c r="Z2020" s="92" t="s">
        <v>64</v>
      </c>
      <c r="AA2020" s="92" t="s">
        <v>997</v>
      </c>
      <c r="AB2020" s="92" t="s">
        <v>0</v>
      </c>
      <c r="AC2020" s="92" t="s">
        <v>5494</v>
      </c>
    </row>
    <row r="2021" spans="1:29">
      <c r="A2021" s="86" t="s">
        <v>5495</v>
      </c>
      <c r="B2021" s="88" t="str">
        <f>IF(ISNUMBER(SEARCH(E2021,A2021)),A2021,IF(OR(E2021="",E2021=""),A2021,A2021&amp;" - "&amp;E2021))</f>
        <v>Canopy AKH 26/1 - Afghan Kush</v>
      </c>
      <c r="C2021" t="s">
        <v>547</v>
      </c>
      <c r="D2021" t="s">
        <v>551</v>
      </c>
      <c r="E2021" s="79" t="s">
        <v>549</v>
      </c>
      <c r="F2021" s="81" t="s">
        <v>120</v>
      </c>
      <c r="G2021" s="83" t="s">
        <v>4086</v>
      </c>
      <c r="H2021" s="83">
        <v>1</v>
      </c>
      <c r="I2021" t="s">
        <v>0</v>
      </c>
      <c r="J2021" t="s">
        <v>0</v>
      </c>
      <c r="K2021" t="s">
        <v>17</v>
      </c>
      <c r="L2021" t="s">
        <v>53</v>
      </c>
      <c r="M2021" t="s">
        <v>178</v>
      </c>
      <c r="N2021" t="s">
        <v>121</v>
      </c>
      <c r="O2021" t="s">
        <v>103</v>
      </c>
      <c r="P2021" t="s">
        <v>113</v>
      </c>
      <c r="Q2021" t="s">
        <v>59</v>
      </c>
      <c r="R2021" t="s">
        <v>122</v>
      </c>
      <c r="S2021" t="s">
        <v>61</v>
      </c>
      <c r="T2021" t="s">
        <v>62</v>
      </c>
      <c r="U2021" t="s">
        <v>0</v>
      </c>
      <c r="V2021" t="s">
        <v>107</v>
      </c>
      <c r="W2021" t="s">
        <v>77</v>
      </c>
      <c r="X2021" t="s">
        <v>116</v>
      </c>
      <c r="Y2021" t="s">
        <v>1036</v>
      </c>
      <c r="Z2021" t="s">
        <v>64</v>
      </c>
      <c r="AA2021" t="s">
        <v>551</v>
      </c>
      <c r="AB2021" t="s">
        <v>0</v>
      </c>
      <c r="AC2021" t="s">
        <v>5496</v>
      </c>
    </row>
    <row r="2022" spans="1:29">
      <c r="A2022" s="86" t="s">
        <v>5497</v>
      </c>
      <c r="B2022" s="88" t="str">
        <f>IF(ISNUMBER(SEARCH(E2022,A2022)),A2022,IF(OR(E2022="",E2022=""),A2022,A2022&amp;" - "&amp;E2022))</f>
        <v>IMC Cannabisblüten THC25 T18 - Notorious Gush</v>
      </c>
      <c r="C2022" t="s">
        <v>646</v>
      </c>
      <c r="D2022" t="s">
        <v>646</v>
      </c>
      <c r="E2022" s="79" t="s">
        <v>5498</v>
      </c>
      <c r="F2022" s="81" t="s">
        <v>144</v>
      </c>
      <c r="G2022" s="83" t="s">
        <v>26</v>
      </c>
      <c r="H2022" s="83" t="s">
        <v>65</v>
      </c>
      <c r="I2022" t="s">
        <v>0</v>
      </c>
      <c r="J2022" t="s">
        <v>0</v>
      </c>
      <c r="K2022" t="s">
        <v>52</v>
      </c>
      <c r="L2022" t="s">
        <v>423</v>
      </c>
      <c r="M2022" t="s">
        <v>121</v>
      </c>
      <c r="N2022" t="s">
        <v>72</v>
      </c>
      <c r="O2022" t="s">
        <v>54</v>
      </c>
      <c r="P2022" t="s">
        <v>59</v>
      </c>
      <c r="Q2022" t="s">
        <v>74</v>
      </c>
      <c r="R2022" t="s">
        <v>0</v>
      </c>
      <c r="S2022" t="s">
        <v>106</v>
      </c>
      <c r="T2022" t="s">
        <v>179</v>
      </c>
      <c r="U2022" t="s">
        <v>62</v>
      </c>
      <c r="V2022" t="s">
        <v>77</v>
      </c>
      <c r="W2022" t="s">
        <v>116</v>
      </c>
      <c r="X2022" t="s">
        <v>138</v>
      </c>
      <c r="Y2022" t="s">
        <v>307</v>
      </c>
      <c r="Z2022" t="s">
        <v>64</v>
      </c>
      <c r="AA2022" t="s">
        <v>646</v>
      </c>
      <c r="AB2022" t="s">
        <v>0</v>
      </c>
      <c r="AC2022" t="s">
        <v>5499</v>
      </c>
    </row>
    <row r="2023" spans="1:29">
      <c r="A2023" s="86" t="s">
        <v>5500</v>
      </c>
      <c r="B2023" s="88" t="str">
        <f>IF(ISNUMBER(SEARCH(E2023,A2023)),A2023,IF(OR(E2023="",E2023=""),A2023,A2023&amp;" - "&amp;E2023))</f>
        <v>Wellford Peak CA PKM 28/1 - Pink Kush Mints</v>
      </c>
      <c r="C2023" t="s">
        <v>741</v>
      </c>
      <c r="D2023" t="s">
        <v>742</v>
      </c>
      <c r="E2023" s="79" t="s">
        <v>3938</v>
      </c>
      <c r="F2023" s="81" t="s">
        <v>177</v>
      </c>
      <c r="G2023" s="83" t="s">
        <v>4164</v>
      </c>
      <c r="H2023" s="83" t="s">
        <v>65</v>
      </c>
      <c r="I2023" t="s">
        <v>0</v>
      </c>
      <c r="J2023" t="s">
        <v>0</v>
      </c>
      <c r="K2023" t="s">
        <v>52</v>
      </c>
      <c r="L2023" t="s">
        <v>53</v>
      </c>
      <c r="M2023" t="s">
        <v>88</v>
      </c>
      <c r="N2023" t="s">
        <v>72</v>
      </c>
      <c r="O2023" t="s">
        <v>0</v>
      </c>
      <c r="P2023" t="s">
        <v>89</v>
      </c>
      <c r="Q2023" t="s">
        <v>104</v>
      </c>
      <c r="R2023" t="s">
        <v>59</v>
      </c>
      <c r="S2023" t="s">
        <v>61</v>
      </c>
      <c r="T2023" t="s">
        <v>62</v>
      </c>
      <c r="U2023" t="s">
        <v>123</v>
      </c>
      <c r="V2023" t="s">
        <v>107</v>
      </c>
      <c r="W2023" t="s">
        <v>138</v>
      </c>
      <c r="X2023" t="s">
        <v>116</v>
      </c>
      <c r="Y2023" t="s">
        <v>1311</v>
      </c>
      <c r="Z2023" t="s">
        <v>64</v>
      </c>
      <c r="AA2023" t="s">
        <v>742</v>
      </c>
      <c r="AB2023" t="s">
        <v>0</v>
      </c>
      <c r="AC2023" t="s">
        <v>5501</v>
      </c>
    </row>
    <row r="2024" spans="1:29">
      <c r="A2024" s="86" t="s">
        <v>5502</v>
      </c>
      <c r="B2024" s="88" t="str">
        <f>IF(ISNUMBER(SEARCH(E2024,A2024)),A2024,IF(OR(E2024="",E2024=""),A2024,A2024&amp;" - "&amp;E2024))</f>
        <v>aleph Fire 32/1 Amnesia Skittlez - Amnesia Skittles</v>
      </c>
      <c r="C2024" t="s">
        <v>725</v>
      </c>
      <c r="D2024" t="s">
        <v>726</v>
      </c>
      <c r="E2024" s="79" t="s">
        <v>5503</v>
      </c>
      <c r="F2024" s="81" t="s">
        <v>144</v>
      </c>
      <c r="G2024" s="83" t="s">
        <v>4453</v>
      </c>
      <c r="H2024" s="83" t="s">
        <v>65</v>
      </c>
      <c r="I2024" t="s">
        <v>0</v>
      </c>
      <c r="J2024" t="s">
        <v>0</v>
      </c>
      <c r="K2024" t="s">
        <v>52</v>
      </c>
      <c r="L2024" t="s">
        <v>102</v>
      </c>
      <c r="M2024" t="s">
        <v>178</v>
      </c>
      <c r="N2024" t="s">
        <v>54</v>
      </c>
      <c r="O2024" t="s">
        <v>111</v>
      </c>
      <c r="P2024" t="s">
        <v>136</v>
      </c>
      <c r="Q2024" t="s">
        <v>75</v>
      </c>
      <c r="R2024" t="s">
        <v>74</v>
      </c>
      <c r="S2024" t="s">
        <v>106</v>
      </c>
      <c r="T2024" t="s">
        <v>76</v>
      </c>
      <c r="U2024" t="s">
        <v>62</v>
      </c>
      <c r="V2024" t="s">
        <v>138</v>
      </c>
      <c r="W2024" t="s">
        <v>79</v>
      </c>
      <c r="X2024" t="s">
        <v>0</v>
      </c>
      <c r="Y2024" t="s">
        <v>1333</v>
      </c>
      <c r="Z2024" t="s">
        <v>64</v>
      </c>
      <c r="AA2024" t="s">
        <v>726</v>
      </c>
      <c r="AB2024" t="s">
        <v>0</v>
      </c>
      <c r="AC2024" t="s">
        <v>5504</v>
      </c>
    </row>
    <row r="2025" spans="1:29">
      <c r="A2025" s="86" t="s">
        <v>5429</v>
      </c>
      <c r="B2025" s="88" t="str">
        <f>IF(ISNUMBER(SEARCH(E2025,A2025)),A2025,IF(OR(E2025="",E2025=""),A2025,A2025&amp;" - "&amp;E2025))</f>
        <v>Craft Botanics 30/1 - Mimosa</v>
      </c>
      <c r="C2025" t="s">
        <v>440</v>
      </c>
      <c r="D2025" t="s">
        <v>441</v>
      </c>
      <c r="E2025" s="79" t="s">
        <v>442</v>
      </c>
      <c r="F2025" s="81" t="s">
        <v>144</v>
      </c>
      <c r="G2025" s="83" t="s">
        <v>4057</v>
      </c>
      <c r="H2025" s="83">
        <v>1</v>
      </c>
      <c r="I2025" t="s">
        <v>0</v>
      </c>
      <c r="J2025" t="s">
        <v>0</v>
      </c>
      <c r="K2025" t="s">
        <v>52</v>
      </c>
      <c r="L2025" t="s">
        <v>53</v>
      </c>
      <c r="M2025" t="s">
        <v>88</v>
      </c>
      <c r="N2025" t="s">
        <v>72</v>
      </c>
      <c r="O2025" t="s">
        <v>111</v>
      </c>
      <c r="P2025" t="s">
        <v>75</v>
      </c>
      <c r="Q2025" t="s">
        <v>58</v>
      </c>
      <c r="R2025" t="s">
        <v>89</v>
      </c>
      <c r="S2025" t="s">
        <v>106</v>
      </c>
      <c r="T2025" t="s">
        <v>62</v>
      </c>
      <c r="U2025" t="s">
        <v>123</v>
      </c>
      <c r="V2025" t="s">
        <v>79</v>
      </c>
      <c r="W2025" t="s">
        <v>173</v>
      </c>
      <c r="X2025" t="s">
        <v>93</v>
      </c>
      <c r="Y2025" t="s">
        <v>555</v>
      </c>
      <c r="Z2025" t="s">
        <v>64</v>
      </c>
      <c r="AA2025" t="s">
        <v>441</v>
      </c>
      <c r="AB2025" t="s">
        <v>0</v>
      </c>
      <c r="AC2025" t="s">
        <v>5505</v>
      </c>
    </row>
    <row r="2026" spans="1:29">
      <c r="A2026" s="86" t="s">
        <v>5506</v>
      </c>
      <c r="B2026" s="88" t="str">
        <f>IF(ISNUMBER(SEARCH(E2026,A2026)),A2026,IF(OR(E2026="",E2026=""),A2026,A2026&amp;" - "&amp;E2026))</f>
        <v>Cannamedical Sativa ultra ES CDLC - Chem de la Chem</v>
      </c>
      <c r="C2026" t="s">
        <v>48</v>
      </c>
      <c r="D2026" t="s">
        <v>49</v>
      </c>
      <c r="E2026" s="79" t="s">
        <v>1151</v>
      </c>
      <c r="F2026" s="81" t="s">
        <v>144</v>
      </c>
      <c r="G2026" s="83" t="s">
        <v>4488</v>
      </c>
      <c r="H2026" s="83" t="s">
        <v>65</v>
      </c>
      <c r="I2026" t="s">
        <v>0</v>
      </c>
      <c r="J2026" t="s">
        <v>0</v>
      </c>
      <c r="K2026" t="s">
        <v>17</v>
      </c>
      <c r="L2026" t="s">
        <v>423</v>
      </c>
      <c r="M2026" t="s">
        <v>72</v>
      </c>
      <c r="N2026" t="s">
        <v>111</v>
      </c>
      <c r="O2026" t="s">
        <v>55</v>
      </c>
      <c r="P2026" t="s">
        <v>146</v>
      </c>
      <c r="Q2026" t="s">
        <v>75</v>
      </c>
      <c r="R2026" t="s">
        <v>59</v>
      </c>
      <c r="S2026" t="s">
        <v>128</v>
      </c>
      <c r="T2026" t="s">
        <v>106</v>
      </c>
      <c r="U2026" t="s">
        <v>62</v>
      </c>
      <c r="V2026" t="s">
        <v>77</v>
      </c>
      <c r="W2026" t="s">
        <v>79</v>
      </c>
      <c r="X2026" t="s">
        <v>107</v>
      </c>
      <c r="Y2026" t="s">
        <v>293</v>
      </c>
      <c r="Z2026" t="s">
        <v>64</v>
      </c>
      <c r="AA2026" t="s">
        <v>49</v>
      </c>
      <c r="AB2026" t="s">
        <v>298</v>
      </c>
      <c r="AC2026" t="s">
        <v>5507</v>
      </c>
    </row>
    <row r="2027" spans="1:29">
      <c r="A2027" s="86" t="s">
        <v>5508</v>
      </c>
      <c r="B2027" s="88" t="str">
        <f>IF(ISNUMBER(SEARCH(E2027,A2027)),A2027,IF(OR(E2027="",E2027=""),A2027,A2027&amp;" - "&amp;E2027))</f>
        <v>Herbasana Salsa Lover 20:01 - Cosmic Soda</v>
      </c>
      <c r="C2027" t="s">
        <v>1509</v>
      </c>
      <c r="D2027" t="s">
        <v>1512</v>
      </c>
      <c r="E2027" s="79" t="s">
        <v>5509</v>
      </c>
      <c r="F2027" s="81" t="s">
        <v>86</v>
      </c>
      <c r="G2027" s="83" t="s">
        <v>460</v>
      </c>
      <c r="H2027" s="83" t="s">
        <v>65</v>
      </c>
      <c r="I2027" t="s">
        <v>0</v>
      </c>
      <c r="J2027" t="s">
        <v>0</v>
      </c>
      <c r="K2027" t="s">
        <v>52</v>
      </c>
      <c r="L2027" t="s">
        <v>202</v>
      </c>
      <c r="M2027" t="s">
        <v>54</v>
      </c>
      <c r="N2027" t="s">
        <v>72</v>
      </c>
      <c r="O2027" t="s">
        <v>88</v>
      </c>
      <c r="P2027" t="s">
        <v>74</v>
      </c>
      <c r="Q2027" t="s">
        <v>113</v>
      </c>
      <c r="R2027" t="s">
        <v>75</v>
      </c>
      <c r="S2027" t="s">
        <v>90</v>
      </c>
      <c r="T2027" t="s">
        <v>106</v>
      </c>
      <c r="U2027" t="s">
        <v>62</v>
      </c>
      <c r="V2027" t="s">
        <v>116</v>
      </c>
      <c r="W2027" t="s">
        <v>107</v>
      </c>
      <c r="X2027" t="s">
        <v>138</v>
      </c>
      <c r="Y2027" t="s">
        <v>314</v>
      </c>
      <c r="Z2027" t="s">
        <v>64</v>
      </c>
      <c r="AA2027" t="s">
        <v>1512</v>
      </c>
      <c r="AB2027" t="s">
        <v>0</v>
      </c>
      <c r="AC2027" t="s">
        <v>5510</v>
      </c>
    </row>
    <row r="2028" spans="1:29">
      <c r="A2028" s="86" t="s">
        <v>3102</v>
      </c>
      <c r="B2028" s="88" t="str">
        <f>IF(ISNUMBER(SEARCH(E2028,A2028)),A2028,IF(OR(E2028="",E2028=""),A2028,A2028&amp;" - "&amp;E2028))</f>
        <v>Mediprocan Lunaris 19/1 - Forbidden Lolly</v>
      </c>
      <c r="C2028" t="s">
        <v>317</v>
      </c>
      <c r="D2028" t="s">
        <v>320</v>
      </c>
      <c r="E2028" s="79" t="s">
        <v>5511</v>
      </c>
      <c r="F2028" s="81" t="s">
        <v>177</v>
      </c>
      <c r="G2028" s="83" t="s">
        <v>4160</v>
      </c>
      <c r="H2028" s="83" t="s">
        <v>65</v>
      </c>
      <c r="I2028" t="s">
        <v>0</v>
      </c>
      <c r="J2028" t="s">
        <v>0</v>
      </c>
      <c r="K2028" t="s">
        <v>52</v>
      </c>
      <c r="L2028" t="s">
        <v>102</v>
      </c>
      <c r="M2028" t="s">
        <v>72</v>
      </c>
      <c r="N2028" t="s">
        <v>71</v>
      </c>
      <c r="O2028" t="s">
        <v>178</v>
      </c>
      <c r="P2028" t="s">
        <v>136</v>
      </c>
      <c r="Q2028" t="s">
        <v>89</v>
      </c>
      <c r="R2028" t="s">
        <v>59</v>
      </c>
      <c r="S2028" t="s">
        <v>62</v>
      </c>
      <c r="T2028" t="s">
        <v>123</v>
      </c>
      <c r="U2028" t="s">
        <v>147</v>
      </c>
      <c r="V2028" t="s">
        <v>92</v>
      </c>
      <c r="W2028" t="s">
        <v>165</v>
      </c>
      <c r="X2028" t="s">
        <v>107</v>
      </c>
      <c r="Y2028" t="s">
        <v>413</v>
      </c>
      <c r="Z2028" t="s">
        <v>64</v>
      </c>
      <c r="AA2028" t="s">
        <v>320</v>
      </c>
      <c r="AB2028" t="s">
        <v>0</v>
      </c>
      <c r="AC2028" t="s">
        <v>5512</v>
      </c>
    </row>
    <row r="2029" spans="1:29">
      <c r="A2029" s="86" t="s">
        <v>5513</v>
      </c>
      <c r="B2029" s="88" t="str">
        <f>IF(ISNUMBER(SEARCH(E2029,A2029)),A2029,IF(OR(E2029="",E2029=""),A2029,A2029&amp;" - "&amp;E2029))</f>
        <v>Canify Cannabis Flos 20/1 CSF Ku. - Bashengo</v>
      </c>
      <c r="C2029" t="s">
        <v>99</v>
      </c>
      <c r="D2029" t="s">
        <v>100</v>
      </c>
      <c r="E2029" s="79" t="s">
        <v>5514</v>
      </c>
      <c r="F2029" s="81" t="s">
        <v>144</v>
      </c>
      <c r="G2029" s="83" t="s">
        <v>4126</v>
      </c>
      <c r="H2029" s="83" t="s">
        <v>65</v>
      </c>
      <c r="I2029" t="s">
        <v>0</v>
      </c>
      <c r="J2029" t="s">
        <v>0</v>
      </c>
      <c r="K2029" t="s">
        <v>52</v>
      </c>
      <c r="L2029" t="s">
        <v>53</v>
      </c>
      <c r="M2029" t="s">
        <v>121</v>
      </c>
      <c r="N2029" t="s">
        <v>72</v>
      </c>
      <c r="O2029" t="s">
        <v>71</v>
      </c>
      <c r="P2029" t="s">
        <v>59</v>
      </c>
      <c r="Q2029" t="s">
        <v>89</v>
      </c>
      <c r="R2029" t="s">
        <v>74</v>
      </c>
      <c r="S2029" t="s">
        <v>0</v>
      </c>
      <c r="T2029" t="s">
        <v>0</v>
      </c>
      <c r="U2029" t="s">
        <v>0</v>
      </c>
      <c r="V2029" t="s">
        <v>77</v>
      </c>
      <c r="W2029" t="s">
        <v>225</v>
      </c>
      <c r="X2029" t="s">
        <v>116</v>
      </c>
      <c r="Y2029" t="s">
        <v>245</v>
      </c>
      <c r="Z2029" t="s">
        <v>64</v>
      </c>
      <c r="AA2029" t="s">
        <v>100</v>
      </c>
      <c r="AB2029" t="s">
        <v>678</v>
      </c>
      <c r="AC2029" t="s">
        <v>5515</v>
      </c>
    </row>
    <row r="2030" spans="1:29">
      <c r="A2030" s="86" t="s">
        <v>5516</v>
      </c>
      <c r="B2030" s="88" t="str">
        <f>IF(ISNUMBER(SEARCH(E2030,A2030)),A2030,IF(OR(E2030="",E2030=""),A2030,A2030&amp;" - "&amp;E2030))</f>
        <v>Social Choice 24/1 LUX MER - Meringue</v>
      </c>
      <c r="C2030" t="s">
        <v>83</v>
      </c>
      <c r="D2030" t="s">
        <v>95</v>
      </c>
      <c r="E2030" s="79" t="s">
        <v>3198</v>
      </c>
      <c r="F2030" s="81" t="s">
        <v>177</v>
      </c>
      <c r="G2030" s="83" t="s">
        <v>448</v>
      </c>
      <c r="H2030" s="83" t="s">
        <v>65</v>
      </c>
      <c r="I2030" t="s">
        <v>0</v>
      </c>
      <c r="J2030" t="s">
        <v>0</v>
      </c>
      <c r="K2030" t="s">
        <v>52</v>
      </c>
      <c r="L2030" t="s">
        <v>5212</v>
      </c>
      <c r="M2030" t="s">
        <v>54</v>
      </c>
      <c r="N2030" t="s">
        <v>55</v>
      </c>
      <c r="O2030" t="s">
        <v>72</v>
      </c>
      <c r="P2030" t="s">
        <v>89</v>
      </c>
      <c r="Q2030" t="s">
        <v>75</v>
      </c>
      <c r="R2030" t="s">
        <v>0</v>
      </c>
      <c r="S2030" t="s">
        <v>106</v>
      </c>
      <c r="T2030" t="s">
        <v>123</v>
      </c>
      <c r="U2030" t="s">
        <v>147</v>
      </c>
      <c r="V2030" t="s">
        <v>173</v>
      </c>
      <c r="W2030" t="s">
        <v>107</v>
      </c>
      <c r="X2030" t="s">
        <v>77</v>
      </c>
      <c r="Y2030" t="s">
        <v>1090</v>
      </c>
      <c r="Z2030" t="s">
        <v>64</v>
      </c>
      <c r="AA2030" t="s">
        <v>95</v>
      </c>
      <c r="AB2030" t="s">
        <v>4117</v>
      </c>
      <c r="AC2030" t="s">
        <v>5517</v>
      </c>
    </row>
    <row r="2031" spans="1:29">
      <c r="A2031" s="86" t="s">
        <v>5518</v>
      </c>
      <c r="B2031" s="88" t="str">
        <f>IF(ISNUMBER(SEARCH(E2031,A2031)),A2031,IF(OR(E2031="",E2031=""),A2031,A2031&amp;" - "&amp;E2031))</f>
        <v>Remexian 20/1 MHI GG4 - Gorilla Glue</v>
      </c>
      <c r="C2031" t="s">
        <v>83</v>
      </c>
      <c r="D2031" t="s">
        <v>95</v>
      </c>
      <c r="E2031" s="79" t="s">
        <v>363</v>
      </c>
      <c r="F2031" s="81" t="s">
        <v>177</v>
      </c>
      <c r="G2031" s="83" t="s">
        <v>460</v>
      </c>
      <c r="H2031" s="83" t="s">
        <v>65</v>
      </c>
      <c r="I2031" t="s">
        <v>0</v>
      </c>
      <c r="J2031" t="s">
        <v>0</v>
      </c>
      <c r="K2031" t="s">
        <v>52</v>
      </c>
      <c r="L2031" t="s">
        <v>102</v>
      </c>
      <c r="M2031" t="s">
        <v>121</v>
      </c>
      <c r="N2031" t="s">
        <v>72</v>
      </c>
      <c r="O2031" t="s">
        <v>103</v>
      </c>
      <c r="P2031" t="s">
        <v>59</v>
      </c>
      <c r="Q2031" t="s">
        <v>146</v>
      </c>
      <c r="R2031" t="s">
        <v>74</v>
      </c>
      <c r="S2031" t="s">
        <v>106</v>
      </c>
      <c r="T2031" t="s">
        <v>62</v>
      </c>
      <c r="U2031" t="s">
        <v>147</v>
      </c>
      <c r="V2031" t="s">
        <v>107</v>
      </c>
      <c r="W2031" t="s">
        <v>77</v>
      </c>
      <c r="X2031" t="s">
        <v>1242</v>
      </c>
      <c r="Y2031" t="s">
        <v>5519</v>
      </c>
      <c r="Z2031" t="s">
        <v>64</v>
      </c>
      <c r="AA2031" t="s">
        <v>95</v>
      </c>
      <c r="AB2031" t="s">
        <v>0</v>
      </c>
      <c r="AC2031" t="s">
        <v>5520</v>
      </c>
    </row>
    <row r="2032" spans="1:29">
      <c r="A2032" s="86" t="s">
        <v>5521</v>
      </c>
      <c r="B2032" s="88" t="str">
        <f>IF(ISNUMBER(SEARCH(E2032,A2032)),A2032,IF(OR(E2032="",E2032=""),A2032,A2032&amp;" - "&amp;E2032))</f>
        <v>Remexian 20/1 MHI HUW - Humble Warrior</v>
      </c>
      <c r="C2032" t="s">
        <v>83</v>
      </c>
      <c r="D2032" t="s">
        <v>95</v>
      </c>
      <c r="E2032" s="79" t="s">
        <v>1051</v>
      </c>
      <c r="F2032" s="81" t="s">
        <v>69</v>
      </c>
      <c r="G2032" s="83" t="s">
        <v>460</v>
      </c>
      <c r="H2032" s="83">
        <v>1</v>
      </c>
      <c r="I2032" t="s">
        <v>0</v>
      </c>
      <c r="J2032" t="s">
        <v>0</v>
      </c>
      <c r="K2032" t="s">
        <v>52</v>
      </c>
      <c r="L2032" t="s">
        <v>102</v>
      </c>
      <c r="M2032" t="s">
        <v>156</v>
      </c>
      <c r="N2032" t="s">
        <v>88</v>
      </c>
      <c r="O2032" t="s">
        <v>111</v>
      </c>
      <c r="P2032" t="s">
        <v>58</v>
      </c>
      <c r="Q2032" t="s">
        <v>0</v>
      </c>
      <c r="R2032" t="s">
        <v>0</v>
      </c>
      <c r="S2032" t="s">
        <v>62</v>
      </c>
      <c r="T2032" t="s">
        <v>105</v>
      </c>
      <c r="U2032" t="s">
        <v>147</v>
      </c>
      <c r="V2032" t="s">
        <v>79</v>
      </c>
      <c r="W2032" t="s">
        <v>107</v>
      </c>
      <c r="X2032" t="s">
        <v>77</v>
      </c>
      <c r="Y2032" t="s">
        <v>3550</v>
      </c>
      <c r="Z2032" t="s">
        <v>64</v>
      </c>
      <c r="AA2032" t="s">
        <v>95</v>
      </c>
      <c r="AB2032" t="s">
        <v>0</v>
      </c>
      <c r="AC2032" t="s">
        <v>5522</v>
      </c>
    </row>
    <row r="2033" spans="1:29">
      <c r="A2033" s="86" t="s">
        <v>5523</v>
      </c>
      <c r="B2033" s="88" t="str">
        <f>IF(ISNUMBER(SEARCH(E2033,A2033)),A2033,IF(OR(E2033="",E2033=""),A2033,A2033&amp;" - "&amp;E2033))</f>
        <v>Tikun  22/1 OZ</v>
      </c>
      <c r="C2033" t="s">
        <v>4565</v>
      </c>
      <c r="D2033" t="s">
        <v>4566</v>
      </c>
      <c r="E2033" s="79" t="s">
        <v>5524</v>
      </c>
      <c r="F2033" s="81" t="s">
        <v>86</v>
      </c>
      <c r="G2033" s="83" t="s">
        <v>4126</v>
      </c>
      <c r="H2033" s="83" t="s">
        <v>65</v>
      </c>
      <c r="I2033" t="s">
        <v>0</v>
      </c>
      <c r="J2033" t="s">
        <v>0</v>
      </c>
      <c r="K2033" t="s">
        <v>52</v>
      </c>
      <c r="L2033" t="s">
        <v>4567</v>
      </c>
      <c r="M2033" t="s">
        <v>72</v>
      </c>
      <c r="N2033" t="s">
        <v>54</v>
      </c>
      <c r="O2033" t="s">
        <v>111</v>
      </c>
      <c r="P2033" t="s">
        <v>59</v>
      </c>
      <c r="Q2033" t="s">
        <v>136</v>
      </c>
      <c r="R2033" t="s">
        <v>89</v>
      </c>
      <c r="S2033" t="s">
        <v>128</v>
      </c>
      <c r="T2033" t="s">
        <v>106</v>
      </c>
      <c r="U2033" t="s">
        <v>179</v>
      </c>
      <c r="V2033" t="s">
        <v>77</v>
      </c>
      <c r="W2033" t="s">
        <v>116</v>
      </c>
      <c r="X2033" t="s">
        <v>165</v>
      </c>
      <c r="Y2033" t="s">
        <v>3338</v>
      </c>
      <c r="Z2033" t="s">
        <v>64</v>
      </c>
      <c r="AA2033" t="s">
        <v>4566</v>
      </c>
      <c r="AB2033" t="s">
        <v>0</v>
      </c>
      <c r="AC2033" t="s">
        <v>5525</v>
      </c>
    </row>
    <row r="2034" spans="1:29">
      <c r="A2034" s="86" t="s">
        <v>5526</v>
      </c>
      <c r="B2034" s="88" t="str">
        <f>IF(ISNUMBER(SEARCH(E2034,A2034)),A2034,IF(OR(E2034="",E2034=""),A2034,A2034&amp;" - "&amp;E2034))</f>
        <v>Tikun CAP J 31/1 - Cap Junky</v>
      </c>
      <c r="C2034" t="s">
        <v>4565</v>
      </c>
      <c r="D2034" t="s">
        <v>4566</v>
      </c>
      <c r="E2034" s="79" t="s">
        <v>1594</v>
      </c>
      <c r="F2034" s="81" t="s">
        <v>86</v>
      </c>
      <c r="G2034" s="83" t="s">
        <v>4488</v>
      </c>
      <c r="H2034" s="83" t="s">
        <v>65</v>
      </c>
      <c r="I2034" t="s">
        <v>0</v>
      </c>
      <c r="J2034" t="s">
        <v>0</v>
      </c>
      <c r="K2034" t="s">
        <v>52</v>
      </c>
      <c r="L2034" t="s">
        <v>4567</v>
      </c>
      <c r="M2034" t="s">
        <v>111</v>
      </c>
      <c r="N2034" t="s">
        <v>54</v>
      </c>
      <c r="O2034" t="s">
        <v>178</v>
      </c>
      <c r="P2034" t="s">
        <v>74</v>
      </c>
      <c r="Q2034" t="s">
        <v>59</v>
      </c>
      <c r="R2034" t="s">
        <v>89</v>
      </c>
      <c r="S2034" t="s">
        <v>106</v>
      </c>
      <c r="T2034" t="s">
        <v>466</v>
      </c>
      <c r="U2034" t="s">
        <v>0</v>
      </c>
      <c r="V2034" t="s">
        <v>116</v>
      </c>
      <c r="W2034" t="s">
        <v>107</v>
      </c>
      <c r="X2034" t="s">
        <v>77</v>
      </c>
      <c r="Y2034" t="s">
        <v>311</v>
      </c>
      <c r="Z2034" t="s">
        <v>64</v>
      </c>
      <c r="AA2034" t="s">
        <v>4566</v>
      </c>
      <c r="AB2034" t="s">
        <v>0</v>
      </c>
      <c r="AC2034" t="s">
        <v>5527</v>
      </c>
    </row>
    <row r="2035" spans="1:29">
      <c r="A2035" s="86" t="s">
        <v>5528</v>
      </c>
      <c r="B2035" s="88" t="str">
        <f>IF(ISNUMBER(SEARCH(E2035,A2035)),A2035,IF(OR(E2035="",E2035=""),A2035,A2035&amp;" - "&amp;E2035))</f>
        <v>Roxton Air STV 21/1 - Jelly Rancher</v>
      </c>
      <c r="C2035" t="s">
        <v>564</v>
      </c>
      <c r="D2035" t="s">
        <v>565</v>
      </c>
      <c r="E2035" s="79" t="s">
        <v>5394</v>
      </c>
      <c r="F2035" s="81" t="s">
        <v>144</v>
      </c>
      <c r="G2035" s="83" t="s">
        <v>452</v>
      </c>
      <c r="H2035" s="83" t="s">
        <v>65</v>
      </c>
      <c r="I2035" t="s">
        <v>0</v>
      </c>
      <c r="J2035" t="s">
        <v>0</v>
      </c>
      <c r="K2035" t="s">
        <v>52</v>
      </c>
      <c r="L2035" t="s">
        <v>53</v>
      </c>
      <c r="M2035" t="s">
        <v>72</v>
      </c>
      <c r="N2035" t="s">
        <v>54</v>
      </c>
      <c r="O2035" t="s">
        <v>71</v>
      </c>
      <c r="P2035" t="s">
        <v>104</v>
      </c>
      <c r="Q2035" t="s">
        <v>136</v>
      </c>
      <c r="R2035" t="s">
        <v>113</v>
      </c>
      <c r="S2035" t="s">
        <v>106</v>
      </c>
      <c r="T2035" t="s">
        <v>62</v>
      </c>
      <c r="U2035" t="s">
        <v>192</v>
      </c>
      <c r="V2035" t="s">
        <v>292</v>
      </c>
      <c r="W2035" t="s">
        <v>79</v>
      </c>
      <c r="X2035" t="s">
        <v>107</v>
      </c>
      <c r="Y2035" t="s">
        <v>539</v>
      </c>
      <c r="Z2035" t="s">
        <v>64</v>
      </c>
      <c r="AA2035" t="s">
        <v>565</v>
      </c>
      <c r="AB2035" t="s">
        <v>0</v>
      </c>
      <c r="AC2035" t="s">
        <v>5529</v>
      </c>
    </row>
    <row r="2036" spans="1:29">
      <c r="A2036" s="86" t="s">
        <v>5530</v>
      </c>
      <c r="B2036" s="88" t="str">
        <f>IF(ISNUMBER(SEARCH(E2036,A2036)),A2036,IF(OR(E2036="",E2036=""),A2036,A2036&amp;" - "&amp;E2036))</f>
        <v>Remexian 24/1 GCC BBG - GG4 x Blueberry</v>
      </c>
      <c r="C2036" t="s">
        <v>83</v>
      </c>
      <c r="D2036" t="s">
        <v>95</v>
      </c>
      <c r="E2036" s="79" t="s">
        <v>5531</v>
      </c>
      <c r="F2036" s="81" t="s">
        <v>177</v>
      </c>
      <c r="G2036" s="83" t="s">
        <v>448</v>
      </c>
      <c r="H2036" s="83" t="s">
        <v>65</v>
      </c>
      <c r="I2036" t="s">
        <v>0</v>
      </c>
      <c r="J2036" t="s">
        <v>0</v>
      </c>
      <c r="K2036" t="s">
        <v>52</v>
      </c>
      <c r="L2036" t="s">
        <v>53</v>
      </c>
      <c r="M2036" t="s">
        <v>121</v>
      </c>
      <c r="N2036" t="s">
        <v>54</v>
      </c>
      <c r="O2036" t="s">
        <v>88</v>
      </c>
      <c r="P2036" t="s">
        <v>59</v>
      </c>
      <c r="Q2036" t="s">
        <v>89</v>
      </c>
      <c r="R2036" t="s">
        <v>58</v>
      </c>
      <c r="S2036" t="s">
        <v>62</v>
      </c>
      <c r="T2036" t="s">
        <v>91</v>
      </c>
      <c r="U2036" t="s">
        <v>147</v>
      </c>
      <c r="V2036" t="s">
        <v>92</v>
      </c>
      <c r="W2036" t="s">
        <v>77</v>
      </c>
      <c r="X2036" t="s">
        <v>116</v>
      </c>
      <c r="Y2036" t="s">
        <v>220</v>
      </c>
      <c r="Z2036" t="s">
        <v>64</v>
      </c>
      <c r="AA2036" t="s">
        <v>95</v>
      </c>
      <c r="AB2036" t="s">
        <v>0</v>
      </c>
      <c r="AC2036" t="s">
        <v>5532</v>
      </c>
    </row>
    <row r="2037" spans="1:29">
      <c r="A2037" s="86" t="s">
        <v>5533</v>
      </c>
      <c r="B2037" s="88" t="str">
        <f>IF(ISNUMBER(SEARCH(E2037,A2037)),A2037,IF(OR(E2037="",E2037=""),A2037,A2037&amp;" - "&amp;E2037))</f>
        <v>enua 30/1 JGF - Jungle Fumes</v>
      </c>
      <c r="C2037" t="s">
        <v>650</v>
      </c>
      <c r="D2037" t="s">
        <v>653</v>
      </c>
      <c r="E2037" s="79" t="s">
        <v>5534</v>
      </c>
      <c r="F2037" s="81" t="s">
        <v>144</v>
      </c>
      <c r="G2037" s="83" t="s">
        <v>4057</v>
      </c>
      <c r="H2037" s="83">
        <v>1</v>
      </c>
      <c r="I2037" t="s">
        <v>0</v>
      </c>
      <c r="J2037" t="s">
        <v>0</v>
      </c>
      <c r="K2037" t="s">
        <v>52</v>
      </c>
      <c r="L2037" t="s">
        <v>53</v>
      </c>
      <c r="M2037" t="s">
        <v>178</v>
      </c>
      <c r="N2037" t="s">
        <v>54</v>
      </c>
      <c r="O2037" t="s">
        <v>55</v>
      </c>
      <c r="P2037" t="s">
        <v>136</v>
      </c>
      <c r="Q2037" t="s">
        <v>59</v>
      </c>
      <c r="R2037" t="s">
        <v>104</v>
      </c>
      <c r="S2037" t="s">
        <v>106</v>
      </c>
      <c r="T2037" t="s">
        <v>62</v>
      </c>
      <c r="U2037" t="s">
        <v>147</v>
      </c>
      <c r="V2037" t="s">
        <v>77</v>
      </c>
      <c r="W2037" t="s">
        <v>292</v>
      </c>
      <c r="X2037" t="s">
        <v>711</v>
      </c>
      <c r="Y2037" t="s">
        <v>240</v>
      </c>
      <c r="Z2037" t="s">
        <v>64</v>
      </c>
      <c r="AA2037" t="s">
        <v>653</v>
      </c>
      <c r="AB2037" t="s">
        <v>0</v>
      </c>
      <c r="AC2037" t="s">
        <v>5535</v>
      </c>
    </row>
    <row r="2038" spans="1:29">
      <c r="A2038" s="86" t="s">
        <v>5536</v>
      </c>
      <c r="B2038" s="88" t="str">
        <f>IF(ISNUMBER(SEARCH(E2038,A2038)),A2038,IF(OR(E2038="",E2038=""),A2038,A2038&amp;" - "&amp;E2038))</f>
        <v>Social Choice 15/1 AUR LDO - Lemon Diamond OG</v>
      </c>
      <c r="C2038" t="s">
        <v>83</v>
      </c>
      <c r="D2038" t="s">
        <v>95</v>
      </c>
      <c r="E2038" s="79" t="s">
        <v>5537</v>
      </c>
      <c r="F2038" s="81" t="s">
        <v>86</v>
      </c>
      <c r="G2038" s="83" t="s">
        <v>20</v>
      </c>
      <c r="H2038" s="83">
        <v>1</v>
      </c>
      <c r="I2038" t="s">
        <v>0</v>
      </c>
      <c r="J2038" t="s">
        <v>0</v>
      </c>
      <c r="K2038" t="s">
        <v>52</v>
      </c>
      <c r="L2038" t="s">
        <v>53</v>
      </c>
      <c r="M2038" t="s">
        <v>54</v>
      </c>
      <c r="N2038" t="s">
        <v>178</v>
      </c>
      <c r="O2038" t="s">
        <v>111</v>
      </c>
      <c r="P2038" t="s">
        <v>59</v>
      </c>
      <c r="Q2038" t="s">
        <v>89</v>
      </c>
      <c r="R2038" t="s">
        <v>157</v>
      </c>
      <c r="S2038" t="s">
        <v>106</v>
      </c>
      <c r="T2038" t="s">
        <v>76</v>
      </c>
      <c r="U2038" t="s">
        <v>62</v>
      </c>
      <c r="V2038" t="s">
        <v>208</v>
      </c>
      <c r="W2038" t="s">
        <v>77</v>
      </c>
      <c r="X2038" t="s">
        <v>116</v>
      </c>
      <c r="Y2038" t="s">
        <v>1201</v>
      </c>
      <c r="Z2038" t="s">
        <v>64</v>
      </c>
      <c r="AA2038" t="s">
        <v>95</v>
      </c>
      <c r="AB2038" t="s">
        <v>512</v>
      </c>
      <c r="AC2038" t="s">
        <v>5538</v>
      </c>
    </row>
    <row r="2039" spans="1:29">
      <c r="A2039" s="86" t="s">
        <v>5539</v>
      </c>
      <c r="B2039" s="88" t="str">
        <f>IF(ISNUMBER(SEARCH(E2039,A2039)),A2039,IF(OR(E2039="",E2039=""),A2039,A2039&amp;" - "&amp;E2039))</f>
        <v>NICE 20/1 LMJ - Lemon Jane</v>
      </c>
      <c r="C2039" t="s">
        <v>996</v>
      </c>
      <c r="D2039" t="s">
        <v>997</v>
      </c>
      <c r="E2039" s="79" t="s">
        <v>3680</v>
      </c>
      <c r="F2039" s="81" t="s">
        <v>86</v>
      </c>
      <c r="G2039" s="83" t="s">
        <v>460</v>
      </c>
      <c r="H2039" s="83" t="s">
        <v>65</v>
      </c>
      <c r="I2039" t="s">
        <v>0</v>
      </c>
      <c r="J2039" t="s">
        <v>0</v>
      </c>
      <c r="K2039" t="s">
        <v>52</v>
      </c>
      <c r="L2039" t="s">
        <v>102</v>
      </c>
      <c r="M2039" t="s">
        <v>178</v>
      </c>
      <c r="N2039" t="s">
        <v>54</v>
      </c>
      <c r="O2039" t="s">
        <v>111</v>
      </c>
      <c r="P2039" t="s">
        <v>74</v>
      </c>
      <c r="Q2039" t="s">
        <v>59</v>
      </c>
      <c r="R2039" t="s">
        <v>58</v>
      </c>
      <c r="S2039" t="s">
        <v>106</v>
      </c>
      <c r="T2039" t="s">
        <v>123</v>
      </c>
      <c r="U2039" t="s">
        <v>147</v>
      </c>
      <c r="V2039" t="s">
        <v>93</v>
      </c>
      <c r="W2039" t="s">
        <v>107</v>
      </c>
      <c r="X2039" t="s">
        <v>173</v>
      </c>
      <c r="Y2039" t="s">
        <v>5540</v>
      </c>
      <c r="Z2039" t="s">
        <v>64</v>
      </c>
      <c r="AA2039" t="s">
        <v>997</v>
      </c>
      <c r="AB2039" t="s">
        <v>0</v>
      </c>
      <c r="AC2039" t="s">
        <v>5541</v>
      </c>
    </row>
    <row r="2040" spans="1:29">
      <c r="A2040" s="86" t="s">
        <v>5542</v>
      </c>
      <c r="B2040" s="88" t="str">
        <f>IF(ISNUMBER(SEARCH(E2040,A2040)),A2040,IF(OR(E2040="",E2040=""),A2040,A2040&amp;" - "&amp;E2040))</f>
        <v>NICE 19/1 FZK - Forbidden Zkittlez</v>
      </c>
      <c r="C2040" t="s">
        <v>996</v>
      </c>
      <c r="D2040" s="30" t="s">
        <v>997</v>
      </c>
      <c r="E2040" s="79" t="s">
        <v>5543</v>
      </c>
      <c r="F2040" s="81" t="s">
        <v>144</v>
      </c>
      <c r="G2040" s="83" t="s">
        <v>4160</v>
      </c>
      <c r="H2040" s="83" t="s">
        <v>65</v>
      </c>
      <c r="I2040" t="s">
        <v>0</v>
      </c>
      <c r="J2040" t="s">
        <v>0</v>
      </c>
      <c r="K2040" t="s">
        <v>52</v>
      </c>
      <c r="L2040" t="s">
        <v>102</v>
      </c>
      <c r="M2040" t="s">
        <v>103</v>
      </c>
      <c r="N2040" t="s">
        <v>71</v>
      </c>
      <c r="O2040" t="s">
        <v>121</v>
      </c>
      <c r="P2040" t="s">
        <v>104</v>
      </c>
      <c r="Q2040" t="s">
        <v>136</v>
      </c>
      <c r="R2040" t="s">
        <v>74</v>
      </c>
      <c r="S2040" t="s">
        <v>106</v>
      </c>
      <c r="T2040" t="s">
        <v>147</v>
      </c>
      <c r="U2040" t="s">
        <v>192</v>
      </c>
      <c r="V2040" t="s">
        <v>93</v>
      </c>
      <c r="W2040" t="s">
        <v>292</v>
      </c>
      <c r="X2040" t="s">
        <v>79</v>
      </c>
      <c r="Y2040" t="s">
        <v>358</v>
      </c>
      <c r="Z2040" t="s">
        <v>64</v>
      </c>
      <c r="AA2040" t="s">
        <v>997</v>
      </c>
      <c r="AB2040" t="s">
        <v>0</v>
      </c>
      <c r="AC2040" t="s">
        <v>5544</v>
      </c>
    </row>
    <row r="2041" spans="1:29">
      <c r="A2041" s="86" t="s">
        <v>5545</v>
      </c>
      <c r="B2041" s="88" t="str">
        <f>IF(ISNUMBER(SEARCH(E2041,A2041)),A2041,IF(OR(E2041="",E2041=""),A2041,A2041&amp;" - "&amp;E2041))</f>
        <v>Remexian 20/1 MHI MAD - Magic Dream</v>
      </c>
      <c r="C2041" t="s">
        <v>83</v>
      </c>
      <c r="D2041" t="s">
        <v>95</v>
      </c>
      <c r="E2041" s="79" t="s">
        <v>3236</v>
      </c>
      <c r="F2041" s="81" t="s">
        <v>86</v>
      </c>
      <c r="G2041" s="83" t="s">
        <v>460</v>
      </c>
      <c r="H2041" s="83" t="s">
        <v>65</v>
      </c>
      <c r="I2041" t="s">
        <v>0</v>
      </c>
      <c r="J2041" t="s">
        <v>0</v>
      </c>
      <c r="K2041" t="s">
        <v>52</v>
      </c>
      <c r="L2041" t="s">
        <v>102</v>
      </c>
      <c r="M2041" t="s">
        <v>72</v>
      </c>
      <c r="N2041" t="s">
        <v>178</v>
      </c>
      <c r="O2041" t="s">
        <v>88</v>
      </c>
      <c r="P2041" t="s">
        <v>58</v>
      </c>
      <c r="Q2041" t="s">
        <v>74</v>
      </c>
      <c r="R2041" t="s">
        <v>59</v>
      </c>
      <c r="S2041" t="s">
        <v>90</v>
      </c>
      <c r="T2041" t="s">
        <v>62</v>
      </c>
      <c r="U2041" t="s">
        <v>147</v>
      </c>
      <c r="V2041" t="s">
        <v>107</v>
      </c>
      <c r="W2041" t="s">
        <v>173</v>
      </c>
      <c r="X2041" t="s">
        <v>77</v>
      </c>
      <c r="Y2041" t="s">
        <v>5519</v>
      </c>
      <c r="Z2041" t="s">
        <v>64</v>
      </c>
      <c r="AA2041" t="s">
        <v>95</v>
      </c>
      <c r="AB2041" t="s">
        <v>0</v>
      </c>
      <c r="AC2041" t="s">
        <v>5546</v>
      </c>
    </row>
    <row r="2042" spans="1:29">
      <c r="A2042" s="86" t="s">
        <v>5547</v>
      </c>
      <c r="B2042" s="88" t="str">
        <f>IF(ISNUMBER(SEARCH(E2042,A2042)),A2042,IF(OR(E2042="",E2042=""),A2042,A2042&amp;" - "&amp;E2042))</f>
        <v>avaay 19/1 TNG - Tangie</v>
      </c>
      <c r="C2042" t="s">
        <v>4601</v>
      </c>
      <c r="D2042" s="30" t="s">
        <v>572</v>
      </c>
      <c r="E2042" s="79" t="s">
        <v>1240</v>
      </c>
      <c r="F2042" s="81" t="s">
        <v>144</v>
      </c>
      <c r="G2042" s="83" t="s">
        <v>4160</v>
      </c>
      <c r="H2042" s="83" t="s">
        <v>65</v>
      </c>
      <c r="I2042" t="s">
        <v>0</v>
      </c>
      <c r="J2042" t="s">
        <v>0</v>
      </c>
      <c r="K2042" t="s">
        <v>52</v>
      </c>
      <c r="L2042" t="s">
        <v>102</v>
      </c>
      <c r="M2042" t="s">
        <v>55</v>
      </c>
      <c r="N2042" t="s">
        <v>111</v>
      </c>
      <c r="O2042" t="s">
        <v>72</v>
      </c>
      <c r="P2042" t="s">
        <v>59</v>
      </c>
      <c r="Q2042" t="s">
        <v>74</v>
      </c>
      <c r="R2042" t="s">
        <v>75</v>
      </c>
      <c r="S2042" t="s">
        <v>106</v>
      </c>
      <c r="T2042" t="s">
        <v>147</v>
      </c>
      <c r="U2042" t="s">
        <v>192</v>
      </c>
      <c r="V2042" t="s">
        <v>292</v>
      </c>
      <c r="W2042" t="s">
        <v>1242</v>
      </c>
      <c r="X2042" t="s">
        <v>79</v>
      </c>
      <c r="Y2042" t="s">
        <v>1274</v>
      </c>
      <c r="Z2042" t="s">
        <v>64</v>
      </c>
      <c r="AA2042" t="s">
        <v>572</v>
      </c>
      <c r="AB2042" t="s">
        <v>0</v>
      </c>
      <c r="AC2042" t="s">
        <v>5548</v>
      </c>
    </row>
    <row r="2043" spans="1:29">
      <c r="A2043" s="86" t="s">
        <v>5549</v>
      </c>
      <c r="B2043" s="88" t="str">
        <f>IF(ISNUMBER(SEARCH(E2043,A2043)),A2043,IF(OR(E2043="",E2043=""),A2043,A2043&amp;" - "&amp;E2043))</f>
        <v>WEECO NG 1/16 - Nightingale</v>
      </c>
      <c r="C2043" t="s">
        <v>905</v>
      </c>
      <c r="D2043" s="30" t="s">
        <v>906</v>
      </c>
      <c r="E2043" s="79" t="s">
        <v>5550</v>
      </c>
      <c r="F2043" s="81" t="s">
        <v>177</v>
      </c>
      <c r="G2043" s="83" t="s">
        <v>65</v>
      </c>
      <c r="H2043" s="83" t="s">
        <v>18</v>
      </c>
      <c r="I2043" t="s">
        <v>0</v>
      </c>
      <c r="J2043" t="s">
        <v>0</v>
      </c>
      <c r="K2043" t="s">
        <v>17</v>
      </c>
      <c r="L2043" t="s">
        <v>87</v>
      </c>
      <c r="M2043" t="s">
        <v>121</v>
      </c>
      <c r="N2043" t="s">
        <v>72</v>
      </c>
      <c r="O2043" t="s">
        <v>111</v>
      </c>
      <c r="P2043" t="s">
        <v>89</v>
      </c>
      <c r="Q2043" t="s">
        <v>157</v>
      </c>
      <c r="R2043" t="s">
        <v>58</v>
      </c>
      <c r="S2043" t="s">
        <v>128</v>
      </c>
      <c r="T2043" t="s">
        <v>179</v>
      </c>
      <c r="U2043" t="s">
        <v>123</v>
      </c>
      <c r="V2043" t="s">
        <v>116</v>
      </c>
      <c r="W2043" t="s">
        <v>165</v>
      </c>
      <c r="X2043" t="s">
        <v>138</v>
      </c>
      <c r="Y2043" t="s">
        <v>1036</v>
      </c>
      <c r="Z2043" t="s">
        <v>64</v>
      </c>
      <c r="AA2043" t="s">
        <v>906</v>
      </c>
      <c r="AB2043" t="s">
        <v>0</v>
      </c>
      <c r="AC2043" t="s">
        <v>5551</v>
      </c>
    </row>
    <row r="2044" spans="1:29">
      <c r="A2044" s="86" t="s">
        <v>5552</v>
      </c>
      <c r="B2044" s="88" t="str">
        <f>IF(ISNUMBER(SEARCH(E2044,A2044)),A2044,IF(OR(E2044="",E2044=""),A2044,A2044&amp;" - "&amp;E2044))</f>
        <v>IMC Cannabisblüten RWT THC25 Token - White Rhino</v>
      </c>
      <c r="C2044" t="s">
        <v>646</v>
      </c>
      <c r="D2044" t="s">
        <v>646</v>
      </c>
      <c r="E2044" s="79" t="s">
        <v>5347</v>
      </c>
      <c r="F2044" s="81" t="s">
        <v>86</v>
      </c>
      <c r="G2044" s="83" t="s">
        <v>26</v>
      </c>
      <c r="H2044" s="83">
        <v>1</v>
      </c>
      <c r="I2044" t="s">
        <v>0</v>
      </c>
      <c r="J2044" t="s">
        <v>0</v>
      </c>
      <c r="K2044" t="s">
        <v>52</v>
      </c>
      <c r="L2044" t="s">
        <v>53</v>
      </c>
      <c r="M2044" t="s">
        <v>121</v>
      </c>
      <c r="N2044" t="s">
        <v>88</v>
      </c>
      <c r="O2044" t="s">
        <v>72</v>
      </c>
      <c r="P2044" t="s">
        <v>75</v>
      </c>
      <c r="Q2044" t="s">
        <v>59</v>
      </c>
      <c r="R2044" t="s">
        <v>89</v>
      </c>
      <c r="S2044" t="s">
        <v>106</v>
      </c>
      <c r="T2044" t="s">
        <v>62</v>
      </c>
      <c r="U2044" t="s">
        <v>147</v>
      </c>
      <c r="V2044" t="s">
        <v>93</v>
      </c>
      <c r="W2044" t="s">
        <v>173</v>
      </c>
      <c r="X2044" t="s">
        <v>116</v>
      </c>
      <c r="Y2044" t="s">
        <v>5064</v>
      </c>
      <c r="Z2044" t="s">
        <v>64</v>
      </c>
      <c r="AA2044" t="s">
        <v>646</v>
      </c>
      <c r="AB2044" t="s">
        <v>0</v>
      </c>
      <c r="AC2044" t="s">
        <v>5553</v>
      </c>
    </row>
    <row r="2045" spans="1:29">
      <c r="A2045" s="86" t="s">
        <v>5554</v>
      </c>
      <c r="B2045" s="88" t="str">
        <f>IF(ISNUMBER(SEARCH(E2045,A2045)),A2045,IF(OR(E2045="",E2045=""),A2045,A2045&amp;" - "&amp;E2045))</f>
        <v>avaay 34/1 JFP - Jet Fuel Pie</v>
      </c>
      <c r="C2045" t="s">
        <v>4601</v>
      </c>
      <c r="D2045" t="s">
        <v>572</v>
      </c>
      <c r="E2045" s="79" t="s">
        <v>4607</v>
      </c>
      <c r="F2045" s="81" t="s">
        <v>177</v>
      </c>
      <c r="G2045" s="83" t="s">
        <v>5021</v>
      </c>
      <c r="H2045" s="83" t="s">
        <v>65</v>
      </c>
      <c r="I2045" t="s">
        <v>0</v>
      </c>
      <c r="J2045" t="s">
        <v>0</v>
      </c>
      <c r="K2045" t="s">
        <v>52</v>
      </c>
      <c r="L2045" t="s">
        <v>102</v>
      </c>
      <c r="M2045" t="s">
        <v>72</v>
      </c>
      <c r="N2045" t="s">
        <v>111</v>
      </c>
      <c r="O2045" t="s">
        <v>88</v>
      </c>
      <c r="P2045" t="s">
        <v>74</v>
      </c>
      <c r="Q2045" t="s">
        <v>89</v>
      </c>
      <c r="R2045" t="s">
        <v>73</v>
      </c>
      <c r="S2045" t="s">
        <v>106</v>
      </c>
      <c r="T2045" t="s">
        <v>62</v>
      </c>
      <c r="U2045" t="s">
        <v>123</v>
      </c>
      <c r="V2045" t="s">
        <v>77</v>
      </c>
      <c r="W2045" t="s">
        <v>116</v>
      </c>
      <c r="X2045" t="s">
        <v>79</v>
      </c>
      <c r="Y2045" t="s">
        <v>80</v>
      </c>
      <c r="Z2045" t="s">
        <v>64</v>
      </c>
      <c r="AA2045" t="s">
        <v>572</v>
      </c>
      <c r="AB2045" t="s">
        <v>0</v>
      </c>
      <c r="AC2045" t="s">
        <v>5555</v>
      </c>
    </row>
    <row r="2046" spans="1:29">
      <c r="A2046" s="86" t="s">
        <v>5556</v>
      </c>
      <c r="B2046" s="88" t="str">
        <f>IF(ISNUMBER(SEARCH(E2046,A2046)),A2046,IF(OR(E2046="",E2046=""),A2046,A2046&amp;" - "&amp;E2046))</f>
        <v>Remexian 33/1 HMA LOG Minis - Lemon OG</v>
      </c>
      <c r="C2046" t="s">
        <v>83</v>
      </c>
      <c r="D2046" t="s">
        <v>95</v>
      </c>
      <c r="E2046" s="79" t="s">
        <v>913</v>
      </c>
      <c r="F2046" s="81" t="s">
        <v>86</v>
      </c>
      <c r="G2046" s="83" t="s">
        <v>4169</v>
      </c>
      <c r="H2046" s="83">
        <v>1</v>
      </c>
      <c r="I2046" t="s">
        <v>0</v>
      </c>
      <c r="J2046" t="s">
        <v>0</v>
      </c>
      <c r="K2046" t="s">
        <v>52</v>
      </c>
      <c r="L2046" t="s">
        <v>53</v>
      </c>
      <c r="M2046" t="s">
        <v>55</v>
      </c>
      <c r="N2046" t="s">
        <v>72</v>
      </c>
      <c r="O2046" t="s">
        <v>0</v>
      </c>
      <c r="P2046" t="s">
        <v>58</v>
      </c>
      <c r="Q2046" t="s">
        <v>75</v>
      </c>
      <c r="R2046" t="s">
        <v>0</v>
      </c>
      <c r="S2046" t="s">
        <v>106</v>
      </c>
      <c r="T2046" t="s">
        <v>62</v>
      </c>
      <c r="U2046" t="s">
        <v>123</v>
      </c>
      <c r="V2046" t="s">
        <v>914</v>
      </c>
      <c r="W2046" t="s">
        <v>79</v>
      </c>
      <c r="X2046" t="s">
        <v>93</v>
      </c>
      <c r="Y2046" t="s">
        <v>335</v>
      </c>
      <c r="Z2046" t="s">
        <v>64</v>
      </c>
      <c r="AA2046" t="s">
        <v>95</v>
      </c>
      <c r="AB2046" t="s">
        <v>5289</v>
      </c>
      <c r="AC2046" t="s">
        <v>5557</v>
      </c>
    </row>
    <row r="2047" spans="1:29">
      <c r="A2047" s="86" t="s">
        <v>5558</v>
      </c>
      <c r="B2047" s="88" t="str">
        <f>IF(ISNUMBER(SEARCH(E2047,A2047)),A2047,IF(OR(E2047="",E2047=""),A2047,A2047&amp;" - "&amp;E2047))</f>
        <v>Hycann KCO 27/1 CA - Kush Cookies</v>
      </c>
      <c r="C2047" t="s">
        <v>141</v>
      </c>
      <c r="D2047" t="s">
        <v>149</v>
      </c>
      <c r="E2047" s="79" t="s">
        <v>5197</v>
      </c>
      <c r="F2047" s="81" t="s">
        <v>120</v>
      </c>
      <c r="G2047" s="83" t="s">
        <v>33</v>
      </c>
      <c r="H2047" s="83">
        <v>1</v>
      </c>
      <c r="I2047" t="s">
        <v>0</v>
      </c>
      <c r="J2047" t="s">
        <v>0</v>
      </c>
      <c r="K2047" t="s">
        <v>52</v>
      </c>
      <c r="L2047" t="s">
        <v>53</v>
      </c>
      <c r="M2047" t="s">
        <v>54</v>
      </c>
      <c r="N2047" t="s">
        <v>88</v>
      </c>
      <c r="O2047" t="s">
        <v>121</v>
      </c>
      <c r="P2047" t="s">
        <v>59</v>
      </c>
      <c r="Q2047" t="s">
        <v>57</v>
      </c>
      <c r="R2047" t="s">
        <v>186</v>
      </c>
      <c r="S2047" t="s">
        <v>128</v>
      </c>
      <c r="T2047" t="s">
        <v>61</v>
      </c>
      <c r="U2047" t="s">
        <v>62</v>
      </c>
      <c r="V2047" t="s">
        <v>116</v>
      </c>
      <c r="W2047" t="s">
        <v>77</v>
      </c>
      <c r="X2047" t="s">
        <v>138</v>
      </c>
      <c r="Y2047" t="s">
        <v>1132</v>
      </c>
      <c r="Z2047" t="s">
        <v>64</v>
      </c>
      <c r="AA2047" t="s">
        <v>149</v>
      </c>
      <c r="AB2047" t="s">
        <v>5205</v>
      </c>
      <c r="AC2047" t="s">
        <v>5559</v>
      </c>
    </row>
    <row r="2048" spans="1:29">
      <c r="A2048" s="86" t="s">
        <v>1021</v>
      </c>
      <c r="B2048" s="88" t="str">
        <f>IF(ISNUMBER(SEARCH(E2048,A2048)),A2048,IF(OR(E2048="",E2048=""),A2048,A2048&amp;" - "&amp;E2048))</f>
        <v>Cannamedical Hybrid Forte NM - Rainbow Jungle</v>
      </c>
      <c r="C2048" t="s">
        <v>48</v>
      </c>
      <c r="D2048" t="s">
        <v>49</v>
      </c>
      <c r="E2048" s="79" t="s">
        <v>5560</v>
      </c>
      <c r="F2048" s="81" t="s">
        <v>144</v>
      </c>
      <c r="G2048" s="83" t="s">
        <v>26</v>
      </c>
      <c r="H2048" s="83" t="s">
        <v>65</v>
      </c>
      <c r="I2048" t="s">
        <v>0</v>
      </c>
      <c r="J2048" t="s">
        <v>0</v>
      </c>
      <c r="K2048" t="s">
        <v>17</v>
      </c>
      <c r="L2048" t="s">
        <v>145</v>
      </c>
      <c r="M2048" t="s">
        <v>178</v>
      </c>
      <c r="N2048" t="s">
        <v>55</v>
      </c>
      <c r="O2048" t="s">
        <v>54</v>
      </c>
      <c r="P2048" t="s">
        <v>74</v>
      </c>
      <c r="Q2048" t="s">
        <v>59</v>
      </c>
      <c r="R2048" t="s">
        <v>146</v>
      </c>
      <c r="S2048" t="s">
        <v>128</v>
      </c>
      <c r="T2048" t="s">
        <v>61</v>
      </c>
      <c r="U2048" t="s">
        <v>123</v>
      </c>
      <c r="V2048" t="s">
        <v>93</v>
      </c>
      <c r="W2048" t="s">
        <v>92</v>
      </c>
      <c r="X2048" t="s">
        <v>129</v>
      </c>
      <c r="Y2048" t="s">
        <v>331</v>
      </c>
      <c r="Z2048" t="s">
        <v>64</v>
      </c>
      <c r="AA2048" t="s">
        <v>49</v>
      </c>
      <c r="AB2048" t="s">
        <v>0</v>
      </c>
      <c r="AC2048" t="s">
        <v>5561</v>
      </c>
    </row>
    <row r="2049" spans="1:29">
      <c r="A2049" s="86" t="s">
        <v>5562</v>
      </c>
      <c r="B2049" s="88" t="str">
        <f>IF(ISNUMBER(SEARCH(E2049,A2049)),A2049,IF(OR(E2049="",E2049=""),A2049,A2049&amp;" - "&amp;E2049))</f>
        <v>Luana 25/1 Donny B - Bunatic</v>
      </c>
      <c r="C2049" t="s">
        <v>48</v>
      </c>
      <c r="D2049" t="s">
        <v>49</v>
      </c>
      <c r="E2049" s="79" t="s">
        <v>5563</v>
      </c>
      <c r="F2049" s="81" t="s">
        <v>120</v>
      </c>
      <c r="G2049" s="83" t="s">
        <v>26</v>
      </c>
      <c r="H2049" s="83">
        <v>1</v>
      </c>
      <c r="I2049" t="s">
        <v>0</v>
      </c>
      <c r="J2049" t="s">
        <v>0</v>
      </c>
      <c r="K2049" t="s">
        <v>52</v>
      </c>
      <c r="L2049" t="s">
        <v>53</v>
      </c>
      <c r="M2049" t="s">
        <v>121</v>
      </c>
      <c r="N2049" t="s">
        <v>71</v>
      </c>
      <c r="O2049" t="s">
        <v>88</v>
      </c>
      <c r="P2049" t="s">
        <v>59</v>
      </c>
      <c r="Q2049" t="s">
        <v>146</v>
      </c>
      <c r="R2049" t="s">
        <v>74</v>
      </c>
      <c r="S2049" t="s">
        <v>106</v>
      </c>
      <c r="T2049" t="s">
        <v>62</v>
      </c>
      <c r="U2049" t="s">
        <v>147</v>
      </c>
      <c r="V2049" t="s">
        <v>93</v>
      </c>
      <c r="W2049" t="s">
        <v>173</v>
      </c>
      <c r="X2049" t="s">
        <v>107</v>
      </c>
      <c r="Y2049" t="s">
        <v>1175</v>
      </c>
      <c r="Z2049" t="s">
        <v>64</v>
      </c>
      <c r="AA2049" t="s">
        <v>49</v>
      </c>
      <c r="AB2049" t="s">
        <v>0</v>
      </c>
      <c r="AC2049" t="s">
        <v>5564</v>
      </c>
    </row>
    <row r="2050" spans="1:29">
      <c r="A2050" s="86" t="s">
        <v>5565</v>
      </c>
      <c r="B2050" s="88" t="str">
        <f>IF(ISNUMBER(SEARCH(E2050,A2050)),A2050,IF(OR(E2050="",E2050=""),A2050,A2050&amp;" - "&amp;E2050))</f>
        <v>Remexian 33/1 GJY FLV - Flawless Victory</v>
      </c>
      <c r="C2050" t="s">
        <v>83</v>
      </c>
      <c r="D2050" t="s">
        <v>95</v>
      </c>
      <c r="E2050" s="79" t="s">
        <v>1221</v>
      </c>
      <c r="F2050" s="81" t="s">
        <v>177</v>
      </c>
      <c r="G2050" s="83" t="s">
        <v>4169</v>
      </c>
      <c r="H2050" s="83" t="s">
        <v>65</v>
      </c>
      <c r="I2050" t="s">
        <v>0</v>
      </c>
      <c r="J2050" t="s">
        <v>0</v>
      </c>
      <c r="K2050" t="s">
        <v>52</v>
      </c>
      <c r="L2050" t="s">
        <v>53</v>
      </c>
      <c r="M2050" t="s">
        <v>121</v>
      </c>
      <c r="N2050" t="s">
        <v>88</v>
      </c>
      <c r="O2050" t="s">
        <v>72</v>
      </c>
      <c r="P2050" t="s">
        <v>59</v>
      </c>
      <c r="Q2050" t="s">
        <v>73</v>
      </c>
      <c r="R2050" t="s">
        <v>0</v>
      </c>
      <c r="S2050" t="s">
        <v>128</v>
      </c>
      <c r="T2050" t="s">
        <v>106</v>
      </c>
      <c r="U2050" t="s">
        <v>62</v>
      </c>
      <c r="V2050" t="s">
        <v>107</v>
      </c>
      <c r="W2050" t="s">
        <v>138</v>
      </c>
      <c r="X2050" t="s">
        <v>116</v>
      </c>
      <c r="Y2050" t="s">
        <v>130</v>
      </c>
      <c r="Z2050" t="s">
        <v>64</v>
      </c>
      <c r="AA2050" t="s">
        <v>95</v>
      </c>
      <c r="AB2050" t="s">
        <v>5032</v>
      </c>
      <c r="AC2050" t="s">
        <v>5566</v>
      </c>
    </row>
    <row r="2051" spans="1:29">
      <c r="A2051" s="86" t="s">
        <v>5567</v>
      </c>
      <c r="B2051" s="88" t="str">
        <f>IF(ISNUMBER(SEARCH(E2051,A2051)),A2051,IF(OR(E2051="",E2051=""),A2051,A2051&amp;" - "&amp;E2051))</f>
        <v>Tilray THC22 Bienville</v>
      </c>
      <c r="C2051" t="s">
        <v>133</v>
      </c>
      <c r="D2051" t="s">
        <v>134</v>
      </c>
      <c r="E2051" s="79" t="s">
        <v>542</v>
      </c>
      <c r="F2051" s="81" t="s">
        <v>69</v>
      </c>
      <c r="G2051" s="83" t="s">
        <v>452</v>
      </c>
      <c r="H2051" s="83" t="s">
        <v>65</v>
      </c>
      <c r="I2051" t="s">
        <v>0</v>
      </c>
      <c r="J2051" t="s">
        <v>0</v>
      </c>
      <c r="K2051" t="s">
        <v>17</v>
      </c>
      <c r="L2051" t="s">
        <v>527</v>
      </c>
      <c r="M2051" t="s">
        <v>54</v>
      </c>
      <c r="N2051" t="s">
        <v>55</v>
      </c>
      <c r="O2051" t="s">
        <v>178</v>
      </c>
      <c r="P2051" t="s">
        <v>75</v>
      </c>
      <c r="Q2051" t="s">
        <v>0</v>
      </c>
      <c r="R2051" t="s">
        <v>0</v>
      </c>
      <c r="S2051" t="s">
        <v>106</v>
      </c>
      <c r="T2051" t="s">
        <v>179</v>
      </c>
      <c r="U2051" t="s">
        <v>234</v>
      </c>
      <c r="V2051" t="s">
        <v>107</v>
      </c>
      <c r="W2051" t="s">
        <v>77</v>
      </c>
      <c r="X2051" t="s">
        <v>173</v>
      </c>
      <c r="Y2051" t="s">
        <v>513</v>
      </c>
      <c r="Z2051" t="s">
        <v>64</v>
      </c>
      <c r="AA2051" t="s">
        <v>134</v>
      </c>
      <c r="AB2051" t="s">
        <v>0</v>
      </c>
      <c r="AC2051" t="s">
        <v>5568</v>
      </c>
    </row>
    <row r="2052" spans="1:29">
      <c r="A2052" s="86" t="s">
        <v>5569</v>
      </c>
      <c r="B2052" s="88" t="str">
        <f>IF(ISNUMBER(SEARCH(E2052,A2052)),A2052,IF(OR(E2052="",E2052=""),A2052,A2052&amp;" - "&amp;E2052))</f>
        <v>420 Evolution 33/1 CA MSP - Masterpiece</v>
      </c>
      <c r="C2052" t="s">
        <v>463</v>
      </c>
      <c r="D2052" t="s">
        <v>468</v>
      </c>
      <c r="E2052" s="79" t="s">
        <v>5570</v>
      </c>
      <c r="F2052" s="81" t="s">
        <v>120</v>
      </c>
      <c r="G2052" s="83" t="s">
        <v>4488</v>
      </c>
      <c r="H2052" s="83" t="s">
        <v>65</v>
      </c>
      <c r="I2052" t="s">
        <v>0</v>
      </c>
      <c r="J2052" t="s">
        <v>0</v>
      </c>
      <c r="K2052" t="s">
        <v>52</v>
      </c>
      <c r="L2052" t="s">
        <v>53</v>
      </c>
      <c r="M2052" t="s">
        <v>121</v>
      </c>
      <c r="N2052" t="s">
        <v>72</v>
      </c>
      <c r="O2052" t="s">
        <v>54</v>
      </c>
      <c r="P2052" t="s">
        <v>73</v>
      </c>
      <c r="Q2052" t="s">
        <v>113</v>
      </c>
      <c r="R2052" t="s">
        <v>58</v>
      </c>
      <c r="S2052" t="s">
        <v>106</v>
      </c>
      <c r="T2052" t="s">
        <v>62</v>
      </c>
      <c r="U2052" t="s">
        <v>123</v>
      </c>
      <c r="V2052" t="s">
        <v>116</v>
      </c>
      <c r="W2052" t="s">
        <v>129</v>
      </c>
      <c r="X2052" t="s">
        <v>138</v>
      </c>
      <c r="Y2052" t="s">
        <v>293</v>
      </c>
      <c r="Z2052" t="s">
        <v>64</v>
      </c>
      <c r="AA2052" t="s">
        <v>468</v>
      </c>
      <c r="AB2052" t="s">
        <v>5571</v>
      </c>
      <c r="AC2052" t="s">
        <v>5572</v>
      </c>
    </row>
    <row r="2053" spans="1:29">
      <c r="A2053" s="86" t="s">
        <v>5573</v>
      </c>
      <c r="B2053" s="88" t="str">
        <f>IF(ISNUMBER(SEARCH(E2053,A2053)),A2053,IF(OR(E2053="",E2053=""),A2053,A2053&amp;" - "&amp;E2053))</f>
        <v>canymed BC 24/1 - Pollux Green Pump</v>
      </c>
      <c r="C2053" t="s">
        <v>1957</v>
      </c>
      <c r="D2053" t="s">
        <v>1961</v>
      </c>
      <c r="E2053" s="79" t="s">
        <v>5574</v>
      </c>
      <c r="F2053" s="81" t="s">
        <v>86</v>
      </c>
      <c r="G2053" s="83" t="s">
        <v>448</v>
      </c>
      <c r="H2053" s="83">
        <v>1</v>
      </c>
      <c r="I2053" t="s">
        <v>0</v>
      </c>
      <c r="J2053" t="s">
        <v>0</v>
      </c>
      <c r="K2053" t="s">
        <v>52</v>
      </c>
      <c r="L2053" t="s">
        <v>53</v>
      </c>
      <c r="M2053" t="s">
        <v>71</v>
      </c>
      <c r="N2053" t="s">
        <v>103</v>
      </c>
      <c r="O2053" t="s">
        <v>72</v>
      </c>
      <c r="P2053" t="s">
        <v>75</v>
      </c>
      <c r="Q2053" t="s">
        <v>113</v>
      </c>
      <c r="R2053" t="s">
        <v>74</v>
      </c>
      <c r="S2053" t="s">
        <v>128</v>
      </c>
      <c r="T2053" t="s">
        <v>106</v>
      </c>
      <c r="U2053" t="s">
        <v>62</v>
      </c>
      <c r="V2053" t="s">
        <v>93</v>
      </c>
      <c r="W2053" t="s">
        <v>116</v>
      </c>
      <c r="X2053" t="s">
        <v>138</v>
      </c>
      <c r="Y2053" t="s">
        <v>331</v>
      </c>
      <c r="Z2053" t="s">
        <v>64</v>
      </c>
      <c r="AA2053" t="s">
        <v>1961</v>
      </c>
      <c r="AB2053" t="s">
        <v>0</v>
      </c>
      <c r="AC2053" t="s">
        <v>5575</v>
      </c>
    </row>
    <row r="2054" spans="1:29">
      <c r="A2054" s="86" t="s">
        <v>5576</v>
      </c>
      <c r="B2054" s="88" t="str">
        <f>IF(ISNUMBER(SEARCH(E2054,A2054)),A2054,IF(OR(E2054="",E2054=""),A2054,A2054&amp;" - "&amp;E2054))</f>
        <v>Luana 24/1 Pine - Solpina Magic</v>
      </c>
      <c r="C2054" t="s">
        <v>48</v>
      </c>
      <c r="D2054" t="s">
        <v>49</v>
      </c>
      <c r="E2054" s="79" t="s">
        <v>5577</v>
      </c>
      <c r="F2054" s="81" t="s">
        <v>120</v>
      </c>
      <c r="G2054" s="83" t="s">
        <v>448</v>
      </c>
      <c r="H2054" s="83">
        <v>1</v>
      </c>
      <c r="I2054" t="s">
        <v>0</v>
      </c>
      <c r="J2054" t="s">
        <v>0</v>
      </c>
      <c r="K2054" t="s">
        <v>52</v>
      </c>
      <c r="L2054" t="s">
        <v>53</v>
      </c>
      <c r="M2054" t="s">
        <v>103</v>
      </c>
      <c r="N2054" t="s">
        <v>178</v>
      </c>
      <c r="O2054" t="s">
        <v>71</v>
      </c>
      <c r="P2054" t="s">
        <v>59</v>
      </c>
      <c r="Q2054" t="s">
        <v>75</v>
      </c>
      <c r="R2054" t="s">
        <v>113</v>
      </c>
      <c r="S2054" t="s">
        <v>106</v>
      </c>
      <c r="T2054" t="s">
        <v>62</v>
      </c>
      <c r="U2054" t="s">
        <v>147</v>
      </c>
      <c r="V2054" t="s">
        <v>138</v>
      </c>
      <c r="W2054" t="s">
        <v>107</v>
      </c>
      <c r="X2054" t="s">
        <v>93</v>
      </c>
      <c r="Y2054" t="s">
        <v>1175</v>
      </c>
      <c r="Z2054" t="s">
        <v>64</v>
      </c>
      <c r="AA2054" t="s">
        <v>49</v>
      </c>
      <c r="AB2054" t="s">
        <v>0</v>
      </c>
      <c r="AC2054" t="s">
        <v>5578</v>
      </c>
    </row>
    <row r="2055" spans="1:29">
      <c r="A2055" s="86" t="s">
        <v>5579</v>
      </c>
      <c r="B2055" s="88" t="str">
        <f>IF(ISNUMBER(SEARCH(E2055,A2055)),A2055,IF(OR(E2055="",E2055=""),A2055,A2055&amp;" - "&amp;E2055))</f>
        <v>Remexian 21/1 NEB PLG - Platinum Gushers</v>
      </c>
      <c r="C2055" t="s">
        <v>83</v>
      </c>
      <c r="D2055" t="s">
        <v>95</v>
      </c>
      <c r="E2055" s="79" t="s">
        <v>5580</v>
      </c>
      <c r="F2055" s="81" t="s">
        <v>120</v>
      </c>
      <c r="G2055" s="83" t="s">
        <v>452</v>
      </c>
      <c r="H2055" s="83">
        <v>1</v>
      </c>
      <c r="I2055" t="s">
        <v>0</v>
      </c>
      <c r="J2055" t="s">
        <v>0</v>
      </c>
      <c r="K2055" t="s">
        <v>52</v>
      </c>
      <c r="L2055" t="s">
        <v>53</v>
      </c>
      <c r="M2055" t="s">
        <v>121</v>
      </c>
      <c r="N2055" t="s">
        <v>72</v>
      </c>
      <c r="O2055" t="s">
        <v>54</v>
      </c>
      <c r="P2055" t="s">
        <v>89</v>
      </c>
      <c r="Q2055" t="s">
        <v>58</v>
      </c>
      <c r="R2055" t="s">
        <v>74</v>
      </c>
      <c r="S2055" t="s">
        <v>106</v>
      </c>
      <c r="T2055" t="s">
        <v>62</v>
      </c>
      <c r="U2055" t="s">
        <v>493</v>
      </c>
      <c r="V2055" t="s">
        <v>116</v>
      </c>
      <c r="W2055" t="s">
        <v>138</v>
      </c>
      <c r="X2055" t="s">
        <v>79</v>
      </c>
      <c r="Y2055" t="s">
        <v>188</v>
      </c>
      <c r="Z2055" t="s">
        <v>64</v>
      </c>
      <c r="AA2055" t="s">
        <v>95</v>
      </c>
      <c r="AB2055" t="s">
        <v>0</v>
      </c>
      <c r="AC2055" t="s">
        <v>5581</v>
      </c>
    </row>
    <row r="2056" spans="1:29">
      <c r="A2056" s="86" t="s">
        <v>5582</v>
      </c>
      <c r="B2056" s="88" t="str">
        <f>IF(ISNUMBER(SEARCH(E2056,A2056)),A2056,IF(OR(E2056="",E2056=""),A2056,A2056&amp;" - "&amp;E2056))</f>
        <v>avaay 15/1 PYC - Peyote Critical</v>
      </c>
      <c r="C2056" t="s">
        <v>4601</v>
      </c>
      <c r="D2056" t="s">
        <v>572</v>
      </c>
      <c r="E2056" s="79" t="s">
        <v>1248</v>
      </c>
      <c r="F2056" s="81" t="s">
        <v>120</v>
      </c>
      <c r="G2056" s="83" t="s">
        <v>20</v>
      </c>
      <c r="H2056" s="83">
        <v>1</v>
      </c>
      <c r="I2056" t="s">
        <v>0</v>
      </c>
      <c r="J2056" t="s">
        <v>0</v>
      </c>
      <c r="K2056" t="s">
        <v>52</v>
      </c>
      <c r="L2056" t="s">
        <v>102</v>
      </c>
      <c r="M2056" t="s">
        <v>55</v>
      </c>
      <c r="N2056" t="s">
        <v>121</v>
      </c>
      <c r="O2056" t="s">
        <v>72</v>
      </c>
      <c r="P2056" t="s">
        <v>591</v>
      </c>
      <c r="Q2056" t="s">
        <v>157</v>
      </c>
      <c r="R2056" t="s">
        <v>57</v>
      </c>
      <c r="S2056" t="s">
        <v>106</v>
      </c>
      <c r="T2056" t="s">
        <v>179</v>
      </c>
      <c r="U2056" t="s">
        <v>76</v>
      </c>
      <c r="V2056" t="s">
        <v>77</v>
      </c>
      <c r="W2056" t="s">
        <v>79</v>
      </c>
      <c r="X2056" t="s">
        <v>116</v>
      </c>
      <c r="Y2056" t="s">
        <v>268</v>
      </c>
      <c r="Z2056" t="s">
        <v>64</v>
      </c>
      <c r="AA2056" t="s">
        <v>572</v>
      </c>
      <c r="AB2056" t="s">
        <v>3237</v>
      </c>
      <c r="AC2056" t="s">
        <v>5583</v>
      </c>
    </row>
    <row r="2057" spans="1:29">
      <c r="A2057" s="86" t="s">
        <v>5584</v>
      </c>
      <c r="B2057" s="88" t="str">
        <f>IF(ISNUMBER(SEARCH(E2057,A2057)),A2057,IF(OR(E2057="",E2057=""),A2057,A2057&amp;" - "&amp;E2057))</f>
        <v>IMC Cannabisblüten RWT THC21 Token - White Rhino</v>
      </c>
      <c r="C2057" t="s">
        <v>646</v>
      </c>
      <c r="D2057" t="s">
        <v>646</v>
      </c>
      <c r="E2057" s="79" t="s">
        <v>5347</v>
      </c>
      <c r="F2057" s="81" t="s">
        <v>86</v>
      </c>
      <c r="G2057" s="83" t="s">
        <v>452</v>
      </c>
      <c r="H2057" s="83">
        <v>1</v>
      </c>
      <c r="I2057" t="s">
        <v>0</v>
      </c>
      <c r="J2057" t="s">
        <v>0</v>
      </c>
      <c r="K2057" t="s">
        <v>52</v>
      </c>
      <c r="L2057" t="s">
        <v>53</v>
      </c>
      <c r="M2057" t="s">
        <v>121</v>
      </c>
      <c r="N2057" t="s">
        <v>88</v>
      </c>
      <c r="O2057" t="s">
        <v>72</v>
      </c>
      <c r="P2057" t="s">
        <v>75</v>
      </c>
      <c r="Q2057" t="s">
        <v>59</v>
      </c>
      <c r="R2057" t="s">
        <v>89</v>
      </c>
      <c r="S2057" t="s">
        <v>106</v>
      </c>
      <c r="T2057" t="s">
        <v>62</v>
      </c>
      <c r="U2057" t="s">
        <v>147</v>
      </c>
      <c r="V2057" t="s">
        <v>93</v>
      </c>
      <c r="W2057" t="s">
        <v>173</v>
      </c>
      <c r="X2057" t="s">
        <v>116</v>
      </c>
      <c r="Y2057" t="s">
        <v>3215</v>
      </c>
      <c r="Z2057" t="s">
        <v>64</v>
      </c>
      <c r="AA2057" t="s">
        <v>646</v>
      </c>
      <c r="AB2057" t="s">
        <v>0</v>
      </c>
      <c r="AC2057" t="s">
        <v>5585</v>
      </c>
    </row>
    <row r="2058" spans="1:29">
      <c r="A2058" s="86" t="s">
        <v>5586</v>
      </c>
      <c r="B2058" s="88" t="str">
        <f>IF(ISNUMBER(SEARCH(E2058,A2058)),A2058,IF(OR(E2058="",E2058=""),A2058,A2058&amp;" - "&amp;E2058))</f>
        <v>Tilray Spotlight Porto THC22 - Beach Crasher</v>
      </c>
      <c r="C2058" t="s">
        <v>133</v>
      </c>
      <c r="D2058" t="s">
        <v>134</v>
      </c>
      <c r="E2058" s="79" t="s">
        <v>4948</v>
      </c>
      <c r="F2058" s="81" t="s">
        <v>177</v>
      </c>
      <c r="G2058" s="83" t="s">
        <v>452</v>
      </c>
      <c r="H2058" s="83">
        <v>1</v>
      </c>
      <c r="I2058" t="s">
        <v>0</v>
      </c>
      <c r="J2058" t="s">
        <v>0</v>
      </c>
      <c r="K2058" t="s">
        <v>52</v>
      </c>
      <c r="L2058" t="s">
        <v>53</v>
      </c>
      <c r="M2058" t="s">
        <v>88</v>
      </c>
      <c r="N2058" t="s">
        <v>54</v>
      </c>
      <c r="O2058" t="s">
        <v>72</v>
      </c>
      <c r="P2058" t="s">
        <v>1100</v>
      </c>
      <c r="Q2058" t="s">
        <v>75</v>
      </c>
      <c r="R2058" t="s">
        <v>74</v>
      </c>
      <c r="S2058" t="s">
        <v>90</v>
      </c>
      <c r="T2058" t="s">
        <v>106</v>
      </c>
      <c r="U2058" t="s">
        <v>62</v>
      </c>
      <c r="V2058" t="s">
        <v>173</v>
      </c>
      <c r="W2058" t="s">
        <v>77</v>
      </c>
      <c r="X2058" t="s">
        <v>116</v>
      </c>
      <c r="Y2058" t="s">
        <v>1812</v>
      </c>
      <c r="Z2058" t="s">
        <v>64</v>
      </c>
      <c r="AA2058" t="s">
        <v>134</v>
      </c>
      <c r="AB2058" t="s">
        <v>0</v>
      </c>
      <c r="AC2058" t="s">
        <v>5587</v>
      </c>
    </row>
    <row r="2059" spans="1:29">
      <c r="A2059" s="60" t="s">
        <v>5588</v>
      </c>
      <c r="B2059" s="11" t="str">
        <f>IF(ISNUMBER(SEARCH(E2059,A2059)),A2059,IF(OR(E2059="",E2059=""),A2059,A2059&amp;" - "&amp;E2059))</f>
        <v>Nedcann JH 21/01 - Jack Herer</v>
      </c>
      <c r="C2059" t="s">
        <v>3537</v>
      </c>
      <c r="D2059" t="s">
        <v>3538</v>
      </c>
      <c r="E2059" s="79" t="s">
        <v>382</v>
      </c>
      <c r="F2059" s="81" t="s">
        <v>177</v>
      </c>
      <c r="G2059" s="83" t="s">
        <v>452</v>
      </c>
      <c r="H2059" s="83" t="s">
        <v>65</v>
      </c>
      <c r="I2059" t="s">
        <v>0</v>
      </c>
      <c r="J2059" t="s">
        <v>0</v>
      </c>
      <c r="K2059" t="s">
        <v>52</v>
      </c>
      <c r="L2059" t="s">
        <v>145</v>
      </c>
      <c r="M2059" t="s">
        <v>54</v>
      </c>
      <c r="N2059" t="s">
        <v>55</v>
      </c>
      <c r="O2059" t="s">
        <v>178</v>
      </c>
      <c r="P2059" t="s">
        <v>113</v>
      </c>
      <c r="Q2059" t="s">
        <v>59</v>
      </c>
      <c r="R2059" t="s">
        <v>146</v>
      </c>
      <c r="S2059" t="s">
        <v>90</v>
      </c>
      <c r="T2059" t="s">
        <v>179</v>
      </c>
      <c r="U2059" t="s">
        <v>76</v>
      </c>
      <c r="V2059" t="s">
        <v>77</v>
      </c>
      <c r="W2059" t="s">
        <v>79</v>
      </c>
      <c r="X2059" t="s">
        <v>292</v>
      </c>
      <c r="Y2059" t="s">
        <v>3510</v>
      </c>
      <c r="Z2059" t="s">
        <v>64</v>
      </c>
      <c r="AA2059" t="s">
        <v>3538</v>
      </c>
      <c r="AB2059" t="s">
        <v>0</v>
      </c>
      <c r="AC2059" t="s">
        <v>5589</v>
      </c>
    </row>
    <row r="2060" spans="1:29">
      <c r="A2060" s="60" t="s">
        <v>5590</v>
      </c>
      <c r="B2060" s="11" t="str">
        <f>IF(ISNUMBER(SEARCH(E2060,A2060)),A2060,IF(OR(E2060="",E2060=""),A2060,A2060&amp;" - "&amp;E2060))</f>
        <v>NOC SE 15 Light - Scoop of Chem x Early Orange</v>
      </c>
      <c r="C2060" t="s">
        <v>2841</v>
      </c>
      <c r="D2060" t="s">
        <v>2842</v>
      </c>
      <c r="E2060" s="79" t="s">
        <v>5591</v>
      </c>
      <c r="F2060" s="81" t="s">
        <v>177</v>
      </c>
      <c r="G2060" s="83" t="s">
        <v>20</v>
      </c>
      <c r="H2060" s="83" t="s">
        <v>65</v>
      </c>
      <c r="I2060" t="s">
        <v>0</v>
      </c>
      <c r="J2060" t="s">
        <v>0</v>
      </c>
      <c r="K2060" t="s">
        <v>52</v>
      </c>
      <c r="L2060" t="s">
        <v>3739</v>
      </c>
      <c r="M2060" t="s">
        <v>111</v>
      </c>
      <c r="N2060" t="s">
        <v>178</v>
      </c>
      <c r="O2060" t="s">
        <v>54</v>
      </c>
      <c r="P2060" t="s">
        <v>157</v>
      </c>
      <c r="Q2060" t="s">
        <v>104</v>
      </c>
      <c r="R2060" t="s">
        <v>75</v>
      </c>
      <c r="S2060" t="s">
        <v>90</v>
      </c>
      <c r="T2060" t="s">
        <v>128</v>
      </c>
      <c r="U2060" t="s">
        <v>179</v>
      </c>
      <c r="V2060" t="s">
        <v>93</v>
      </c>
      <c r="W2060" t="s">
        <v>107</v>
      </c>
      <c r="X2060" t="s">
        <v>711</v>
      </c>
      <c r="Y2060" t="s">
        <v>130</v>
      </c>
      <c r="Z2060" t="s">
        <v>64</v>
      </c>
      <c r="AA2060" t="s">
        <v>2842</v>
      </c>
      <c r="AB2060" t="s">
        <v>0</v>
      </c>
      <c r="AC2060" t="s">
        <v>5592</v>
      </c>
    </row>
    <row r="2061" spans="1:29">
      <c r="A2061" s="60" t="s">
        <v>5593</v>
      </c>
      <c r="B2061" s="11" t="str">
        <f>IF(ISNUMBER(SEARCH(E2061,A2061)),A2061,IF(OR(E2061="",E2061=""),A2061,A2061&amp;" - "&amp;E2061))</f>
        <v>Adrexpharma Beacon Pink Kush Cannabisextrakt 10:10</v>
      </c>
      <c r="C2061" t="s">
        <v>911</v>
      </c>
      <c r="D2061" t="s">
        <v>912</v>
      </c>
      <c r="E2061" s="79" t="s">
        <v>0</v>
      </c>
      <c r="F2061" s="81" t="s">
        <v>86</v>
      </c>
      <c r="G2061" s="83" t="s">
        <v>0</v>
      </c>
      <c r="H2061" s="95" t="s">
        <v>0</v>
      </c>
      <c r="I2061" t="s">
        <v>12</v>
      </c>
      <c r="J2061" t="s">
        <v>12</v>
      </c>
      <c r="L2061" t="s">
        <v>53</v>
      </c>
      <c r="M2061" t="s">
        <v>88</v>
      </c>
      <c r="N2061" t="s">
        <v>71</v>
      </c>
      <c r="O2061" t="s">
        <v>121</v>
      </c>
      <c r="P2061" t="s">
        <v>0</v>
      </c>
      <c r="Q2061" t="s">
        <v>0</v>
      </c>
      <c r="R2061" t="s">
        <v>0</v>
      </c>
      <c r="S2061" t="s">
        <v>106</v>
      </c>
      <c r="T2061" t="s">
        <v>123</v>
      </c>
      <c r="U2061" t="s">
        <v>147</v>
      </c>
      <c r="V2061" t="s">
        <v>107</v>
      </c>
      <c r="W2061" t="s">
        <v>77</v>
      </c>
      <c r="X2061" t="s">
        <v>79</v>
      </c>
      <c r="Y2061" t="s">
        <v>2033</v>
      </c>
      <c r="Z2061" t="s">
        <v>1915</v>
      </c>
      <c r="AA2061" t="s">
        <v>912</v>
      </c>
      <c r="AB2061" t="s">
        <v>0</v>
      </c>
      <c r="AC2061" t="s">
        <v>5594</v>
      </c>
    </row>
    <row r="2062" spans="1:29">
      <c r="A2062" s="60" t="s">
        <v>5595</v>
      </c>
      <c r="B2062" s="11" t="str">
        <f>IF(ISNUMBER(SEARCH(E2062,A2062)),A2062,IF(OR(E2062="",E2062=""),A2062,A2062&amp;" - "&amp;E2062))</f>
        <v>Christophorus Pedanios 22/1 Ghost Train Haze Extrakt</v>
      </c>
      <c r="C2062" t="s">
        <v>511</v>
      </c>
      <c r="D2062" s="92" t="s">
        <v>512</v>
      </c>
      <c r="E2062" s="79" t="s">
        <v>0</v>
      </c>
      <c r="F2062" s="81" t="s">
        <v>144</v>
      </c>
      <c r="G2062" s="83" t="s">
        <v>0</v>
      </c>
      <c r="H2062" s="95" t="s">
        <v>0</v>
      </c>
      <c r="I2062" t="s">
        <v>4126</v>
      </c>
      <c r="J2062" t="s">
        <v>65</v>
      </c>
      <c r="K2062" t="s">
        <v>1918</v>
      </c>
      <c r="L2062" t="s">
        <v>87</v>
      </c>
      <c r="M2062" t="s">
        <v>55</v>
      </c>
      <c r="N2062" t="s">
        <v>111</v>
      </c>
      <c r="O2062" t="s">
        <v>178</v>
      </c>
      <c r="P2062" t="s">
        <v>0</v>
      </c>
      <c r="Q2062" t="s">
        <v>0</v>
      </c>
      <c r="R2062" t="s">
        <v>0</v>
      </c>
      <c r="S2062" t="s">
        <v>90</v>
      </c>
      <c r="T2062" t="s">
        <v>128</v>
      </c>
      <c r="U2062" t="s">
        <v>106</v>
      </c>
      <c r="V2062" t="s">
        <v>107</v>
      </c>
      <c r="W2062" t="s">
        <v>77</v>
      </c>
      <c r="X2062" t="s">
        <v>79</v>
      </c>
      <c r="Y2062" t="s">
        <v>5596</v>
      </c>
      <c r="Z2062" t="s">
        <v>1915</v>
      </c>
      <c r="AA2062" t="s">
        <v>0</v>
      </c>
      <c r="AB2062" t="s">
        <v>0</v>
      </c>
      <c r="AC2062" t="s">
        <v>5597</v>
      </c>
    </row>
    <row r="2063" spans="1:29">
      <c r="A2063" s="60" t="s">
        <v>5598</v>
      </c>
      <c r="B2063" s="11" t="str">
        <f>IF(ISNUMBER(SEARCH(E2063,A2063)),A2063,IF(OR(E2063="",E2063=""),A2063,A2063&amp;" - "&amp;E2063))</f>
        <v>Drapalin 12,5/12,5 M Runtz Cannabisextrakt</v>
      </c>
      <c r="C2063" t="s">
        <v>668</v>
      </c>
      <c r="D2063" t="s">
        <v>671</v>
      </c>
      <c r="E2063" s="79" t="s">
        <v>0</v>
      </c>
      <c r="F2063" s="81" t="s">
        <v>2560</v>
      </c>
      <c r="G2063" s="83" t="s">
        <v>0</v>
      </c>
      <c r="H2063" s="95" t="s">
        <v>0</v>
      </c>
      <c r="I2063" t="s">
        <v>16</v>
      </c>
      <c r="J2063" t="s">
        <v>16</v>
      </c>
      <c r="K2063" t="s">
        <v>5599</v>
      </c>
      <c r="M2063" t="s">
        <v>121</v>
      </c>
      <c r="N2063" t="s">
        <v>111</v>
      </c>
      <c r="O2063" t="s">
        <v>54</v>
      </c>
      <c r="P2063" t="s">
        <v>0</v>
      </c>
      <c r="Q2063" t="s">
        <v>0</v>
      </c>
      <c r="R2063" t="s">
        <v>0</v>
      </c>
      <c r="S2063" t="s">
        <v>128</v>
      </c>
      <c r="T2063" t="s">
        <v>61</v>
      </c>
      <c r="U2063" t="s">
        <v>76</v>
      </c>
      <c r="V2063" t="s">
        <v>92</v>
      </c>
      <c r="W2063" t="s">
        <v>93</v>
      </c>
      <c r="X2063" t="s">
        <v>116</v>
      </c>
      <c r="Y2063" t="s">
        <v>5600</v>
      </c>
      <c r="Z2063" t="s">
        <v>1915</v>
      </c>
      <c r="AA2063" t="s">
        <v>671</v>
      </c>
      <c r="AB2063" t="s">
        <v>0</v>
      </c>
      <c r="AC2063" t="s">
        <v>5601</v>
      </c>
    </row>
    <row r="2064" spans="1:29">
      <c r="A2064" s="60" t="s">
        <v>5602</v>
      </c>
      <c r="B2064" s="11" t="str">
        <f>IF(ISNUMBER(SEARCH(E2064,A2064)),A2064,IF(OR(E2064="",E2064=""),A2064,A2064&amp;" - "&amp;E2064))</f>
        <v>Christophorus Pedanios 24/1 LAC-CA Extrakt</v>
      </c>
      <c r="C2064" t="s">
        <v>511</v>
      </c>
      <c r="D2064" s="92" t="s">
        <v>512</v>
      </c>
      <c r="E2064" s="79" t="s">
        <v>0</v>
      </c>
      <c r="F2064" s="81" t="s">
        <v>120</v>
      </c>
      <c r="G2064" s="83" t="s">
        <v>0</v>
      </c>
      <c r="H2064" s="95" t="s">
        <v>0</v>
      </c>
      <c r="I2064" t="s">
        <v>448</v>
      </c>
      <c r="J2064" t="s">
        <v>65</v>
      </c>
      <c r="K2064" t="s">
        <v>1918</v>
      </c>
      <c r="L2064" t="s">
        <v>53</v>
      </c>
      <c r="M2064" t="s">
        <v>88</v>
      </c>
      <c r="N2064" t="s">
        <v>121</v>
      </c>
      <c r="O2064" t="s">
        <v>103</v>
      </c>
      <c r="P2064" t="s">
        <v>0</v>
      </c>
      <c r="Q2064" t="s">
        <v>0</v>
      </c>
      <c r="R2064" t="s">
        <v>0</v>
      </c>
      <c r="S2064" t="s">
        <v>128</v>
      </c>
      <c r="T2064" t="s">
        <v>106</v>
      </c>
      <c r="U2064" t="s">
        <v>62</v>
      </c>
      <c r="V2064" t="s">
        <v>107</v>
      </c>
      <c r="W2064" t="s">
        <v>77</v>
      </c>
      <c r="X2064" t="s">
        <v>0</v>
      </c>
      <c r="Y2064" t="s">
        <v>5603</v>
      </c>
      <c r="Z2064" t="s">
        <v>1915</v>
      </c>
      <c r="AA2064" t="s">
        <v>0</v>
      </c>
      <c r="AB2064" t="s">
        <v>0</v>
      </c>
      <c r="AC2064" t="s">
        <v>5604</v>
      </c>
    </row>
    <row r="2065" spans="1:29">
      <c r="A2065" s="60" t="s">
        <v>5605</v>
      </c>
      <c r="B2065" s="11" t="str">
        <f>IF(ISNUMBER(SEARCH(E2065,A2065)),A2065,IF(OR(E2065="",E2065=""),A2065,A2065&amp;" - "&amp;E2065))</f>
        <v>Christophorus Pedanios 10/10 EQI-CA Equiposa Extrakt</v>
      </c>
      <c r="C2065" t="s">
        <v>511</v>
      </c>
      <c r="D2065" s="92" t="s">
        <v>512</v>
      </c>
      <c r="E2065" s="79" t="s">
        <v>0</v>
      </c>
      <c r="F2065" s="81" t="s">
        <v>177</v>
      </c>
      <c r="G2065" s="83" t="s">
        <v>0</v>
      </c>
      <c r="H2065" s="95" t="s">
        <v>0</v>
      </c>
      <c r="I2065" t="s">
        <v>12</v>
      </c>
      <c r="J2065" t="s">
        <v>12</v>
      </c>
      <c r="K2065" t="s">
        <v>1918</v>
      </c>
      <c r="L2065" t="s">
        <v>53</v>
      </c>
      <c r="M2065" t="s">
        <v>54</v>
      </c>
      <c r="N2065" t="s">
        <v>55</v>
      </c>
      <c r="O2065" t="s">
        <v>111</v>
      </c>
      <c r="P2065" t="s">
        <v>0</v>
      </c>
      <c r="Q2065" t="s">
        <v>0</v>
      </c>
      <c r="R2065" t="s">
        <v>0</v>
      </c>
      <c r="S2065" t="s">
        <v>128</v>
      </c>
      <c r="T2065" t="s">
        <v>106</v>
      </c>
      <c r="U2065" t="s">
        <v>179</v>
      </c>
      <c r="V2065" t="s">
        <v>116</v>
      </c>
      <c r="W2065" t="s">
        <v>79</v>
      </c>
      <c r="X2065" t="s">
        <v>0</v>
      </c>
      <c r="Y2065" t="s">
        <v>5603</v>
      </c>
      <c r="Z2065" t="s">
        <v>1915</v>
      </c>
      <c r="AA2065" t="s">
        <v>0</v>
      </c>
      <c r="AB2065" t="s">
        <v>0</v>
      </c>
      <c r="AC2065" t="s">
        <v>5606</v>
      </c>
    </row>
    <row r="2066" spans="1:29">
      <c r="A2066" s="60" t="s">
        <v>5607</v>
      </c>
      <c r="B2066" s="11" t="str">
        <f>IF(ISNUMBER(SEARCH(E2066,A2066)),A2066,IF(OR(E2066="",E2066=""),A2066,A2066&amp;" - "&amp;E2066))</f>
        <v>Drapalin 25/1 M Runtz Cannabisextrakt</v>
      </c>
      <c r="C2066" t="s">
        <v>668</v>
      </c>
      <c r="D2066" t="s">
        <v>671</v>
      </c>
      <c r="E2066" s="79" t="s">
        <v>0</v>
      </c>
      <c r="F2066" s="81" t="s">
        <v>2560</v>
      </c>
      <c r="G2066" s="83" t="s">
        <v>0</v>
      </c>
      <c r="H2066" s="95" t="s">
        <v>0</v>
      </c>
      <c r="I2066" t="s">
        <v>26</v>
      </c>
      <c r="J2066" t="s">
        <v>65</v>
      </c>
      <c r="K2066" t="s">
        <v>5599</v>
      </c>
      <c r="M2066" t="s">
        <v>121</v>
      </c>
      <c r="N2066" t="s">
        <v>111</v>
      </c>
      <c r="O2066" t="s">
        <v>54</v>
      </c>
      <c r="P2066" t="s">
        <v>0</v>
      </c>
      <c r="Q2066" t="s">
        <v>0</v>
      </c>
      <c r="R2066" t="s">
        <v>0</v>
      </c>
      <c r="S2066" t="s">
        <v>128</v>
      </c>
      <c r="T2066" t="s">
        <v>61</v>
      </c>
      <c r="U2066" t="s">
        <v>76</v>
      </c>
      <c r="V2066" t="s">
        <v>92</v>
      </c>
      <c r="W2066" t="s">
        <v>93</v>
      </c>
      <c r="X2066" t="s">
        <v>116</v>
      </c>
      <c r="Y2066" t="s">
        <v>5603</v>
      </c>
      <c r="Z2066" t="s">
        <v>1915</v>
      </c>
      <c r="AA2066" t="s">
        <v>671</v>
      </c>
      <c r="AB2066" t="s">
        <v>0</v>
      </c>
      <c r="AC2066" t="s">
        <v>5608</v>
      </c>
    </row>
    <row r="2067" spans="1:29">
      <c r="A2067" s="60" t="s">
        <v>5609</v>
      </c>
      <c r="B2067" s="11" t="str">
        <f>IF(ISNUMBER(SEARCH(E2067,A2067)),A2067,IF(OR(E2067="",E2067=""),A2067,A2067&amp;" - "&amp;E2067))</f>
        <v>Astrum 10:10 Stenocare</v>
      </c>
      <c r="C2067" t="s">
        <v>911</v>
      </c>
      <c r="D2067" t="s">
        <v>912</v>
      </c>
      <c r="E2067" s="79" t="s">
        <v>0</v>
      </c>
      <c r="F2067" s="81" t="s">
        <v>86</v>
      </c>
      <c r="G2067" s="83" t="s">
        <v>0</v>
      </c>
      <c r="H2067" s="95" t="s">
        <v>0</v>
      </c>
      <c r="I2067" t="s">
        <v>12</v>
      </c>
      <c r="J2067" t="s">
        <v>12</v>
      </c>
      <c r="L2067" t="s">
        <v>53</v>
      </c>
      <c r="M2067" t="s">
        <v>0</v>
      </c>
      <c r="N2067" t="s">
        <v>0</v>
      </c>
      <c r="O2067" t="s">
        <v>0</v>
      </c>
      <c r="P2067" t="s">
        <v>0</v>
      </c>
      <c r="Q2067" t="s">
        <v>0</v>
      </c>
      <c r="R2067" t="s">
        <v>0</v>
      </c>
      <c r="S2067" t="s">
        <v>90</v>
      </c>
      <c r="T2067" t="s">
        <v>128</v>
      </c>
      <c r="U2067" t="s">
        <v>106</v>
      </c>
      <c r="V2067" t="s">
        <v>0</v>
      </c>
      <c r="W2067" t="s">
        <v>0</v>
      </c>
      <c r="X2067" t="s">
        <v>0</v>
      </c>
      <c r="Y2067" t="s">
        <v>5610</v>
      </c>
      <c r="Z2067" t="s">
        <v>1915</v>
      </c>
      <c r="AA2067" t="s">
        <v>912</v>
      </c>
      <c r="AB2067" t="s">
        <v>0</v>
      </c>
      <c r="AC2067" t="s">
        <v>5611</v>
      </c>
    </row>
    <row r="2068" spans="1:29">
      <c r="A2068" s="60" t="s">
        <v>5612</v>
      </c>
      <c r="B2068" s="11" t="str">
        <f>IF(ISNUMBER(SEARCH(E2068,A2068)),A2068,IF(OR(E2068="",E2068=""),A2068,A2068&amp;" - "&amp;E2068))</f>
        <v>420 Cannabisextrakt THC 20 / CBD 0</v>
      </c>
      <c r="C2068" t="s">
        <v>463</v>
      </c>
      <c r="D2068" t="s">
        <v>468</v>
      </c>
      <c r="E2068" s="79" t="s">
        <v>0</v>
      </c>
      <c r="F2068" s="81"/>
      <c r="G2068" s="83" t="s">
        <v>0</v>
      </c>
      <c r="H2068" s="95" t="s">
        <v>0</v>
      </c>
      <c r="I2068" t="s">
        <v>460</v>
      </c>
      <c r="J2068" s="2">
        <v>1</v>
      </c>
      <c r="K2068" t="s">
        <v>1918</v>
      </c>
      <c r="M2068" t="s">
        <v>72</v>
      </c>
      <c r="N2068" t="s">
        <v>0</v>
      </c>
      <c r="O2068" t="s">
        <v>0</v>
      </c>
      <c r="P2068" t="s">
        <v>0</v>
      </c>
      <c r="Q2068" t="s">
        <v>0</v>
      </c>
      <c r="R2068" t="s">
        <v>0</v>
      </c>
      <c r="S2068" t="s">
        <v>76</v>
      </c>
      <c r="T2068" t="s">
        <v>234</v>
      </c>
      <c r="U2068" t="s">
        <v>123</v>
      </c>
      <c r="V2068" t="s">
        <v>77</v>
      </c>
      <c r="W2068" t="s">
        <v>116</v>
      </c>
      <c r="X2068" t="s">
        <v>107</v>
      </c>
      <c r="Y2068" t="s">
        <v>5613</v>
      </c>
      <c r="Z2068" t="s">
        <v>1915</v>
      </c>
      <c r="AA2068" t="s">
        <v>468</v>
      </c>
      <c r="AB2068" t="s">
        <v>0</v>
      </c>
      <c r="AC2068" t="s">
        <v>5614</v>
      </c>
    </row>
    <row r="2069" spans="1:29">
      <c r="A2069" s="60" t="s">
        <v>5615</v>
      </c>
      <c r="B2069" s="11" t="str">
        <f>IF(ISNUMBER(SEARCH(E2069,A2069)),A2069,IF(OR(E2069="",E2069=""),A2069,A2069&amp;" - "&amp;E2069))</f>
        <v>Adrexpharma Adrex Astrum Cannabisextrakt 10:10</v>
      </c>
      <c r="C2069" t="s">
        <v>911</v>
      </c>
      <c r="D2069" t="s">
        <v>912</v>
      </c>
      <c r="E2069" s="79" t="s">
        <v>0</v>
      </c>
      <c r="F2069" s="81" t="s">
        <v>86</v>
      </c>
      <c r="G2069" s="83" t="s">
        <v>0</v>
      </c>
      <c r="H2069" s="95" t="s">
        <v>0</v>
      </c>
      <c r="I2069" t="s">
        <v>12</v>
      </c>
      <c r="J2069" t="s">
        <v>12</v>
      </c>
      <c r="L2069" t="s">
        <v>53</v>
      </c>
      <c r="M2069" t="s">
        <v>0</v>
      </c>
      <c r="N2069" t="s">
        <v>0</v>
      </c>
      <c r="O2069" t="s">
        <v>0</v>
      </c>
      <c r="P2069" t="s">
        <v>0</v>
      </c>
      <c r="Q2069" t="s">
        <v>0</v>
      </c>
      <c r="R2069" t="s">
        <v>0</v>
      </c>
      <c r="S2069" t="s">
        <v>0</v>
      </c>
      <c r="T2069" t="s">
        <v>0</v>
      </c>
      <c r="U2069" t="s">
        <v>0</v>
      </c>
      <c r="V2069" t="s">
        <v>0</v>
      </c>
      <c r="W2069" t="s">
        <v>0</v>
      </c>
      <c r="X2069" t="s">
        <v>0</v>
      </c>
      <c r="Y2069" t="s">
        <v>5613</v>
      </c>
      <c r="Z2069" t="s">
        <v>1915</v>
      </c>
      <c r="AA2069" t="s">
        <v>912</v>
      </c>
      <c r="AB2069" t="s">
        <v>0</v>
      </c>
      <c r="AC2069" t="s">
        <v>5616</v>
      </c>
    </row>
    <row r="2070" spans="1:29">
      <c r="A2070" s="60" t="s">
        <v>5617</v>
      </c>
      <c r="B2070" s="11" t="str">
        <f>IF(ISNUMBER(SEARCH(E2070,A2070)),A2070,IF(OR(E2070="",E2070=""),A2070,A2070&amp;" - "&amp;E2070))</f>
        <v>Drapalin 5/50 M Runtz Cannabisextrakt</v>
      </c>
      <c r="C2070" t="s">
        <v>668</v>
      </c>
      <c r="D2070" t="s">
        <v>671</v>
      </c>
      <c r="E2070" s="79" t="s">
        <v>0</v>
      </c>
      <c r="F2070" s="81" t="s">
        <v>86</v>
      </c>
      <c r="G2070" s="83" t="s">
        <v>0</v>
      </c>
      <c r="H2070" s="95" t="s">
        <v>0</v>
      </c>
      <c r="I2070" t="s">
        <v>5458</v>
      </c>
      <c r="J2070" t="s">
        <v>45</v>
      </c>
      <c r="K2070" t="s">
        <v>5599</v>
      </c>
      <c r="M2070" t="s">
        <v>121</v>
      </c>
      <c r="N2070" t="s">
        <v>111</v>
      </c>
      <c r="O2070" t="s">
        <v>54</v>
      </c>
      <c r="P2070" t="s">
        <v>0</v>
      </c>
      <c r="Q2070" t="s">
        <v>0</v>
      </c>
      <c r="R2070" t="s">
        <v>0</v>
      </c>
      <c r="S2070" t="s">
        <v>90</v>
      </c>
      <c r="T2070" t="s">
        <v>128</v>
      </c>
      <c r="U2070" t="s">
        <v>62</v>
      </c>
      <c r="V2070" t="s">
        <v>92</v>
      </c>
      <c r="W2070" t="s">
        <v>93</v>
      </c>
      <c r="X2070" t="s">
        <v>116</v>
      </c>
      <c r="Y2070" t="s">
        <v>5618</v>
      </c>
      <c r="Z2070" t="s">
        <v>1915</v>
      </c>
      <c r="AA2070" t="s">
        <v>671</v>
      </c>
      <c r="AB2070" t="s">
        <v>0</v>
      </c>
      <c r="AC2070" t="s">
        <v>5619</v>
      </c>
    </row>
    <row r="2071" spans="1:29">
      <c r="A2071" s="60" t="s">
        <v>5620</v>
      </c>
      <c r="B2071" s="11" t="str">
        <f>IF(ISNUMBER(SEARCH(E2071,A2071)),A2071,IF(OR(E2071="",E2071=""),A2071,A2071&amp;" - "&amp;E2071))</f>
        <v>Drapalin 27/25 M Runtz Cannabisextrakt</v>
      </c>
      <c r="C2071" t="s">
        <v>668</v>
      </c>
      <c r="D2071" t="s">
        <v>671</v>
      </c>
      <c r="E2071" s="79" t="s">
        <v>0</v>
      </c>
      <c r="F2071" s="81" t="s">
        <v>86</v>
      </c>
      <c r="G2071" s="83" t="s">
        <v>0</v>
      </c>
      <c r="H2071" s="95" t="s">
        <v>0</v>
      </c>
      <c r="I2071" t="s">
        <v>33</v>
      </c>
      <c r="J2071" t="s">
        <v>26</v>
      </c>
      <c r="K2071" t="s">
        <v>5599</v>
      </c>
      <c r="M2071" t="s">
        <v>121</v>
      </c>
      <c r="N2071" t="s">
        <v>111</v>
      </c>
      <c r="O2071" t="s">
        <v>54</v>
      </c>
      <c r="P2071" t="s">
        <v>0</v>
      </c>
      <c r="Q2071" t="s">
        <v>0</v>
      </c>
      <c r="R2071" t="s">
        <v>0</v>
      </c>
      <c r="S2071" t="s">
        <v>62</v>
      </c>
      <c r="T2071" t="s">
        <v>430</v>
      </c>
      <c r="U2071" t="s">
        <v>123</v>
      </c>
      <c r="V2071" t="s">
        <v>92</v>
      </c>
      <c r="W2071" t="s">
        <v>93</v>
      </c>
      <c r="X2071" t="s">
        <v>116</v>
      </c>
      <c r="Y2071" t="s">
        <v>4408</v>
      </c>
      <c r="Z2071" t="s">
        <v>1915</v>
      </c>
      <c r="AA2071" t="s">
        <v>671</v>
      </c>
      <c r="AB2071" t="s">
        <v>0</v>
      </c>
      <c r="AC2071" t="s">
        <v>5621</v>
      </c>
    </row>
    <row r="2072" spans="1:29">
      <c r="A2072" s="60" t="s">
        <v>5622</v>
      </c>
      <c r="B2072" s="11" t="str">
        <f>IF(ISNUMBER(SEARCH(E2072,A2072)),A2072,IF(OR(E2072="",E2072=""),A2072,A2072&amp;" - "&amp;E2072))</f>
        <v>Somai Canify Cannabisextrakt 10/10</v>
      </c>
      <c r="C2072" t="s">
        <v>99</v>
      </c>
      <c r="D2072" t="s">
        <v>100</v>
      </c>
      <c r="E2072" s="79" t="s">
        <v>0</v>
      </c>
      <c r="F2072" s="81" t="s">
        <v>120</v>
      </c>
      <c r="G2072" s="83" t="s">
        <v>0</v>
      </c>
      <c r="H2072" s="95" t="s">
        <v>0</v>
      </c>
      <c r="I2072" t="s">
        <v>12</v>
      </c>
      <c r="J2072" t="s">
        <v>12</v>
      </c>
      <c r="K2072" t="s">
        <v>1918</v>
      </c>
      <c r="L2072" t="s">
        <v>102</v>
      </c>
      <c r="M2072" t="s">
        <v>121</v>
      </c>
      <c r="N2072" t="s">
        <v>72</v>
      </c>
      <c r="O2072" t="s">
        <v>103</v>
      </c>
      <c r="P2072" t="s">
        <v>0</v>
      </c>
      <c r="Q2072" t="s">
        <v>0</v>
      </c>
      <c r="R2072" t="s">
        <v>0</v>
      </c>
      <c r="S2072" t="s">
        <v>62</v>
      </c>
      <c r="T2072" t="s">
        <v>430</v>
      </c>
      <c r="U2072" t="s">
        <v>164</v>
      </c>
      <c r="V2072" t="s">
        <v>107</v>
      </c>
      <c r="W2072" t="s">
        <v>77</v>
      </c>
      <c r="X2072" t="s">
        <v>78</v>
      </c>
      <c r="Y2072" t="s">
        <v>424</v>
      </c>
      <c r="Z2072" t="s">
        <v>1915</v>
      </c>
      <c r="AA2072" t="s">
        <v>100</v>
      </c>
      <c r="AB2072" t="s">
        <v>0</v>
      </c>
      <c r="AC2072" t="s">
        <v>5623</v>
      </c>
    </row>
    <row r="2073" spans="1:29">
      <c r="A2073" s="60" t="s">
        <v>5624</v>
      </c>
      <c r="B2073" s="11" t="str">
        <f>IF(ISNUMBER(SEARCH(E2073,A2073)),A2073,IF(OR(E2073="",E2073=""),A2073,A2073&amp;" - "&amp;E2073))</f>
        <v>420 Cannabisextrakt THC 0 / CBD 50</v>
      </c>
      <c r="C2073" t="s">
        <v>463</v>
      </c>
      <c r="D2073" t="s">
        <v>468</v>
      </c>
      <c r="E2073" s="79" t="s">
        <v>0</v>
      </c>
      <c r="F2073" s="81"/>
      <c r="G2073" s="83" t="s">
        <v>0</v>
      </c>
      <c r="H2073" s="95" t="s">
        <v>0</v>
      </c>
      <c r="I2073" s="2">
        <v>1</v>
      </c>
      <c r="J2073" t="s">
        <v>45</v>
      </c>
      <c r="K2073" t="s">
        <v>1918</v>
      </c>
      <c r="M2073" t="s">
        <v>0</v>
      </c>
      <c r="N2073" t="s">
        <v>0</v>
      </c>
      <c r="O2073" t="s">
        <v>0</v>
      </c>
      <c r="P2073" t="s">
        <v>0</v>
      </c>
      <c r="Q2073" t="s">
        <v>0</v>
      </c>
      <c r="R2073" t="s">
        <v>0</v>
      </c>
      <c r="S2073" t="s">
        <v>128</v>
      </c>
      <c r="T2073" t="s">
        <v>62</v>
      </c>
      <c r="U2073" t="s">
        <v>430</v>
      </c>
      <c r="V2073" t="s">
        <v>0</v>
      </c>
      <c r="W2073" t="s">
        <v>0</v>
      </c>
      <c r="X2073" t="s">
        <v>0</v>
      </c>
      <c r="Y2073" t="s">
        <v>311</v>
      </c>
      <c r="Z2073" t="s">
        <v>1915</v>
      </c>
      <c r="AA2073" t="s">
        <v>468</v>
      </c>
      <c r="AB2073" t="s">
        <v>0</v>
      </c>
      <c r="AC2073" t="s">
        <v>5625</v>
      </c>
    </row>
    <row r="2074" spans="1:29">
      <c r="A2074" s="60" t="s">
        <v>5626</v>
      </c>
      <c r="B2074" s="11" t="str">
        <f>IF(ISNUMBER(SEARCH(E2074,A2074)),A2074,IF(OR(E2074="",E2074=""),A2074,A2074&amp;" - "&amp;E2074))</f>
        <v>Somai Canify Cannabisextrakt 25/1</v>
      </c>
      <c r="C2074" t="s">
        <v>99</v>
      </c>
      <c r="D2074" t="s">
        <v>100</v>
      </c>
      <c r="E2074" s="79" t="s">
        <v>0</v>
      </c>
      <c r="F2074" s="81" t="s">
        <v>120</v>
      </c>
      <c r="G2074" s="83" t="s">
        <v>0</v>
      </c>
      <c r="H2074" s="95" t="s">
        <v>0</v>
      </c>
      <c r="I2074" t="s">
        <v>26</v>
      </c>
      <c r="J2074" t="s">
        <v>65</v>
      </c>
      <c r="K2074" t="s">
        <v>1918</v>
      </c>
      <c r="L2074" t="s">
        <v>102</v>
      </c>
      <c r="M2074" t="s">
        <v>121</v>
      </c>
      <c r="N2074" t="s">
        <v>72</v>
      </c>
      <c r="O2074" t="s">
        <v>103</v>
      </c>
      <c r="P2074" t="s">
        <v>0</v>
      </c>
      <c r="Q2074" t="s">
        <v>0</v>
      </c>
      <c r="R2074" t="s">
        <v>0</v>
      </c>
      <c r="S2074" t="s">
        <v>62</v>
      </c>
      <c r="T2074" t="s">
        <v>430</v>
      </c>
      <c r="U2074" t="s">
        <v>164</v>
      </c>
      <c r="V2074" t="s">
        <v>107</v>
      </c>
      <c r="W2074" t="s">
        <v>77</v>
      </c>
      <c r="X2074" t="s">
        <v>78</v>
      </c>
      <c r="Y2074" t="s">
        <v>467</v>
      </c>
      <c r="Z2074" t="s">
        <v>1915</v>
      </c>
      <c r="AA2074" t="s">
        <v>100</v>
      </c>
      <c r="AB2074" t="s">
        <v>0</v>
      </c>
      <c r="AC2074" t="s">
        <v>5627</v>
      </c>
    </row>
    <row r="2075" spans="1:29">
      <c r="A2075" s="60" t="s">
        <v>5628</v>
      </c>
      <c r="B2075" s="11" t="str">
        <f>IF(ISNUMBER(SEARCH(E2075,A2075)),A2075,IF(OR(E2075="",E2075=""),A2075,A2075&amp;" - "&amp;E2075))</f>
        <v>Cannabistada Extrakt THC15/CBD30 CA</v>
      </c>
      <c r="C2075" t="s">
        <v>478</v>
      </c>
      <c r="D2075" t="s">
        <v>481</v>
      </c>
      <c r="E2075" s="79" t="s">
        <v>0</v>
      </c>
      <c r="F2075" s="81" t="s">
        <v>86</v>
      </c>
      <c r="G2075" s="83" t="s">
        <v>0</v>
      </c>
      <c r="H2075" s="95" t="s">
        <v>0</v>
      </c>
      <c r="I2075" t="s">
        <v>20</v>
      </c>
      <c r="J2075" t="s">
        <v>4057</v>
      </c>
      <c r="K2075" t="s">
        <v>5599</v>
      </c>
      <c r="L2075" t="s">
        <v>53</v>
      </c>
      <c r="M2075" t="s">
        <v>121</v>
      </c>
      <c r="N2075" t="s">
        <v>72</v>
      </c>
      <c r="O2075" t="s">
        <v>103</v>
      </c>
      <c r="P2075" t="s">
        <v>0</v>
      </c>
      <c r="Q2075" t="s">
        <v>0</v>
      </c>
      <c r="R2075" t="s">
        <v>0</v>
      </c>
      <c r="S2075" t="s">
        <v>0</v>
      </c>
      <c r="T2075" t="s">
        <v>0</v>
      </c>
      <c r="U2075" t="s">
        <v>0</v>
      </c>
      <c r="V2075" t="s">
        <v>107</v>
      </c>
      <c r="W2075" t="s">
        <v>77</v>
      </c>
      <c r="X2075" t="s">
        <v>1242</v>
      </c>
      <c r="Y2075" t="s">
        <v>5629</v>
      </c>
      <c r="Z2075" t="s">
        <v>1915</v>
      </c>
      <c r="AA2075" t="s">
        <v>481</v>
      </c>
      <c r="AB2075" t="s">
        <v>0</v>
      </c>
      <c r="AC2075" t="s">
        <v>5630</v>
      </c>
    </row>
    <row r="2076" spans="1:29">
      <c r="A2076" s="60" t="s">
        <v>5631</v>
      </c>
      <c r="B2076" s="11" t="str">
        <f>IF(ISNUMBER(SEARCH(E2076,A2076)),A2076,IF(OR(E2076="",E2076=""),A2076,A2076&amp;" - "&amp;E2076))</f>
        <v>Drapalin 250/1 M Runtz Cannabisextrakt</v>
      </c>
      <c r="C2076" t="s">
        <v>668</v>
      </c>
      <c r="D2076" t="s">
        <v>671</v>
      </c>
      <c r="E2076" s="79" t="s">
        <v>0</v>
      </c>
      <c r="F2076" s="81" t="s">
        <v>86</v>
      </c>
      <c r="G2076" s="83" t="s">
        <v>0</v>
      </c>
      <c r="H2076" s="95" t="s">
        <v>0</v>
      </c>
      <c r="I2076" t="s">
        <v>2261</v>
      </c>
      <c r="J2076" t="s">
        <v>65</v>
      </c>
      <c r="K2076" t="s">
        <v>5599</v>
      </c>
      <c r="M2076" t="s">
        <v>121</v>
      </c>
      <c r="N2076" t="s">
        <v>111</v>
      </c>
      <c r="O2076" t="s">
        <v>54</v>
      </c>
      <c r="P2076" t="s">
        <v>0</v>
      </c>
      <c r="Q2076" t="s">
        <v>0</v>
      </c>
      <c r="R2076" t="s">
        <v>0</v>
      </c>
      <c r="S2076" t="s">
        <v>128</v>
      </c>
      <c r="T2076" t="s">
        <v>61</v>
      </c>
      <c r="U2076" t="s">
        <v>76</v>
      </c>
      <c r="V2076" t="s">
        <v>92</v>
      </c>
      <c r="W2076" t="s">
        <v>93</v>
      </c>
      <c r="X2076" t="s">
        <v>116</v>
      </c>
      <c r="Y2076" t="s">
        <v>5632</v>
      </c>
      <c r="Z2076" t="s">
        <v>1915</v>
      </c>
      <c r="AA2076" t="s">
        <v>671</v>
      </c>
      <c r="AB2076" t="s">
        <v>0</v>
      </c>
      <c r="AC2076" t="s">
        <v>5633</v>
      </c>
    </row>
    <row r="2077" spans="1:29">
      <c r="A2077" s="60" t="s">
        <v>5634</v>
      </c>
      <c r="B2077" s="11" t="str">
        <f>IF(ISNUMBER(SEARCH(E2077,A2077)),A2077,IF(OR(E2077="",E2077=""),A2077,A2077&amp;" - "&amp;E2077))</f>
        <v>Demecan Oktonia Typ 1 30:01 (Cannabisextrakt)</v>
      </c>
      <c r="C2077" t="s">
        <v>484</v>
      </c>
      <c r="D2077" t="s">
        <v>485</v>
      </c>
      <c r="E2077" s="79" t="s">
        <v>0</v>
      </c>
      <c r="F2077" s="81" t="s">
        <v>177</v>
      </c>
      <c r="G2077" s="83" t="s">
        <v>0</v>
      </c>
      <c r="H2077" s="95" t="s">
        <v>0</v>
      </c>
      <c r="I2077" t="s">
        <v>4057</v>
      </c>
      <c r="J2077" t="s">
        <v>65</v>
      </c>
      <c r="K2077" t="s">
        <v>5599</v>
      </c>
      <c r="L2077" t="s">
        <v>527</v>
      </c>
      <c r="M2077" t="s">
        <v>121</v>
      </c>
      <c r="N2077" t="s">
        <v>72</v>
      </c>
      <c r="O2077" t="s">
        <v>103</v>
      </c>
      <c r="P2077" t="s">
        <v>0</v>
      </c>
      <c r="Q2077" t="s">
        <v>0</v>
      </c>
      <c r="R2077" t="s">
        <v>0</v>
      </c>
      <c r="S2077" t="s">
        <v>90</v>
      </c>
      <c r="T2077" t="s">
        <v>128</v>
      </c>
      <c r="U2077" t="s">
        <v>106</v>
      </c>
      <c r="V2077" t="s">
        <v>107</v>
      </c>
      <c r="W2077" t="s">
        <v>116</v>
      </c>
      <c r="X2077" t="s">
        <v>77</v>
      </c>
      <c r="Y2077" t="s">
        <v>0</v>
      </c>
      <c r="Z2077" t="s">
        <v>1915</v>
      </c>
      <c r="AA2077" t="s">
        <v>485</v>
      </c>
      <c r="AB2077" t="s">
        <v>0</v>
      </c>
      <c r="AC2077" t="s">
        <v>5635</v>
      </c>
    </row>
    <row r="2078" spans="1:29">
      <c r="A2078" t="s">
        <v>5636</v>
      </c>
      <c r="B2078" s="11" t="str">
        <f>IF(ISNUMBER(SEARCH(E2078,A2078)),A2078,IF(OR(E2078="",E2078=""),A2078,A2078&amp;" - "&amp;E2078))</f>
        <v>Huala 22/1 CA GRF - Grape Face</v>
      </c>
      <c r="C2078" t="s">
        <v>463</v>
      </c>
      <c r="D2078" t="s">
        <v>468</v>
      </c>
      <c r="E2078" s="79" t="s">
        <v>3569</v>
      </c>
      <c r="F2078" s="81" t="s">
        <v>86</v>
      </c>
      <c r="G2078" s="83" t="s">
        <v>4126</v>
      </c>
      <c r="H2078" s="83">
        <v>1</v>
      </c>
      <c r="I2078" t="s">
        <v>0</v>
      </c>
      <c r="J2078" t="s">
        <v>0</v>
      </c>
      <c r="K2078" t="s">
        <v>52</v>
      </c>
      <c r="L2078" t="s">
        <v>53</v>
      </c>
      <c r="M2078" t="s">
        <v>103</v>
      </c>
      <c r="N2078" t="s">
        <v>88</v>
      </c>
      <c r="O2078" t="s">
        <v>71</v>
      </c>
      <c r="P2078" t="s">
        <v>157</v>
      </c>
      <c r="Q2078" t="s">
        <v>146</v>
      </c>
      <c r="R2078" t="s">
        <v>58</v>
      </c>
      <c r="S2078" t="s">
        <v>128</v>
      </c>
      <c r="T2078" t="s">
        <v>0</v>
      </c>
      <c r="U2078" t="s">
        <v>0</v>
      </c>
      <c r="V2078" t="s">
        <v>93</v>
      </c>
      <c r="W2078" t="s">
        <v>107</v>
      </c>
      <c r="X2078" t="s">
        <v>77</v>
      </c>
      <c r="Y2078" t="s">
        <v>1090</v>
      </c>
      <c r="Z2078" t="s">
        <v>64</v>
      </c>
      <c r="AA2078" t="s">
        <v>468</v>
      </c>
      <c r="AB2078" t="s">
        <v>0</v>
      </c>
      <c r="AC2078" t="s">
        <v>5637</v>
      </c>
    </row>
    <row r="2079" spans="1:29">
      <c r="A2079" t="s">
        <v>5638</v>
      </c>
      <c r="B2079" s="11" t="str">
        <f>IF(ISNUMBER(SEARCH(E2079,A2079)),A2079,IF(OR(E2079="",E2079=""),A2079,A2079&amp;" - "&amp;E2079))</f>
        <v>Demecan Craft Vert 25/1 - Blueberry Cookies</v>
      </c>
      <c r="C2079" t="s">
        <v>484</v>
      </c>
      <c r="D2079" t="s">
        <v>485</v>
      </c>
      <c r="E2079" s="79" t="s">
        <v>5639</v>
      </c>
      <c r="F2079" s="81" t="s">
        <v>177</v>
      </c>
      <c r="G2079" s="83" t="s">
        <v>26</v>
      </c>
      <c r="H2079" s="83" t="s">
        <v>65</v>
      </c>
      <c r="I2079" t="s">
        <v>0</v>
      </c>
      <c r="J2079" t="s">
        <v>0</v>
      </c>
      <c r="K2079" t="s">
        <v>17</v>
      </c>
      <c r="L2079" t="s">
        <v>53</v>
      </c>
      <c r="M2079" t="s">
        <v>121</v>
      </c>
      <c r="N2079" t="s">
        <v>72</v>
      </c>
      <c r="O2079" t="s">
        <v>88</v>
      </c>
      <c r="P2079" t="s">
        <v>59</v>
      </c>
      <c r="Q2079" t="s">
        <v>112</v>
      </c>
      <c r="R2079" t="s">
        <v>146</v>
      </c>
      <c r="S2079" t="s">
        <v>106</v>
      </c>
      <c r="T2079" t="s">
        <v>62</v>
      </c>
      <c r="U2079" t="s">
        <v>147</v>
      </c>
      <c r="V2079" t="s">
        <v>77</v>
      </c>
      <c r="W2079" t="s">
        <v>116</v>
      </c>
      <c r="X2079" t="s">
        <v>79</v>
      </c>
      <c r="Y2079" t="s">
        <v>391</v>
      </c>
      <c r="Z2079" t="s">
        <v>64</v>
      </c>
      <c r="AA2079" t="s">
        <v>485</v>
      </c>
      <c r="AB2079" t="s">
        <v>0</v>
      </c>
      <c r="AC2079" t="s">
        <v>5640</v>
      </c>
    </row>
    <row r="2080" spans="1:29">
      <c r="A2080" t="s">
        <v>5641</v>
      </c>
      <c r="B2080" s="11" t="str">
        <f>IF(ISNUMBER(SEARCH(E2080,A2080)),A2080,IF(OR(E2080="",E2080=""),A2080,A2080&amp;" - "&amp;E2080))</f>
        <v>Demecan BB Regular Drop 25/1 - Prodigy</v>
      </c>
      <c r="C2080" t="s">
        <v>484</v>
      </c>
      <c r="D2080" t="s">
        <v>485</v>
      </c>
      <c r="E2080" s="79" t="s">
        <v>5642</v>
      </c>
      <c r="F2080" s="81" t="s">
        <v>177</v>
      </c>
      <c r="G2080" s="83" t="s">
        <v>26</v>
      </c>
      <c r="H2080" s="83" t="s">
        <v>65</v>
      </c>
      <c r="I2080" t="s">
        <v>0</v>
      </c>
      <c r="J2080" t="s">
        <v>0</v>
      </c>
      <c r="K2080" t="s">
        <v>52</v>
      </c>
      <c r="L2080" t="s">
        <v>53</v>
      </c>
      <c r="M2080" t="s">
        <v>121</v>
      </c>
      <c r="N2080" t="s">
        <v>72</v>
      </c>
      <c r="O2080" t="s">
        <v>71</v>
      </c>
      <c r="P2080" t="s">
        <v>136</v>
      </c>
      <c r="Q2080" t="s">
        <v>89</v>
      </c>
      <c r="R2080" t="s">
        <v>157</v>
      </c>
      <c r="S2080" t="s">
        <v>128</v>
      </c>
      <c r="T2080" t="s">
        <v>106</v>
      </c>
      <c r="U2080" t="s">
        <v>164</v>
      </c>
      <c r="V2080" t="s">
        <v>77</v>
      </c>
      <c r="W2080" t="s">
        <v>116</v>
      </c>
      <c r="X2080" t="s">
        <v>93</v>
      </c>
      <c r="Y2080" t="s">
        <v>268</v>
      </c>
      <c r="Z2080" t="s">
        <v>64</v>
      </c>
      <c r="AA2080" t="s">
        <v>485</v>
      </c>
      <c r="AB2080" t="s">
        <v>0</v>
      </c>
      <c r="AC2080" t="s">
        <v>5643</v>
      </c>
    </row>
    <row r="2081" spans="1:29">
      <c r="A2081" t="s">
        <v>5644</v>
      </c>
      <c r="B2081" s="11" t="str">
        <f>IF(ISNUMBER(SEARCH(E2081,A2081)),A2081,IF(OR(E2081="",E2081=""),A2081,A2081&amp;" - "&amp;E2081))</f>
        <v>Demecan MC Strong Drop 27/1 - Exotic Marker</v>
      </c>
      <c r="C2081" t="s">
        <v>484</v>
      </c>
      <c r="D2081" t="s">
        <v>485</v>
      </c>
      <c r="E2081" s="79" t="s">
        <v>5645</v>
      </c>
      <c r="F2081" s="81" t="s">
        <v>177</v>
      </c>
      <c r="G2081" s="83" t="s">
        <v>33</v>
      </c>
      <c r="H2081" s="83" t="s">
        <v>65</v>
      </c>
      <c r="I2081" t="s">
        <v>0</v>
      </c>
      <c r="J2081" t="s">
        <v>0</v>
      </c>
      <c r="K2081" t="s">
        <v>52</v>
      </c>
      <c r="L2081" t="s">
        <v>53</v>
      </c>
      <c r="M2081" t="s">
        <v>72</v>
      </c>
      <c r="N2081" t="s">
        <v>178</v>
      </c>
      <c r="O2081" t="s">
        <v>88</v>
      </c>
      <c r="P2081" t="s">
        <v>59</v>
      </c>
      <c r="Q2081" t="s">
        <v>57</v>
      </c>
      <c r="R2081" t="s">
        <v>74</v>
      </c>
      <c r="S2081" t="s">
        <v>106</v>
      </c>
      <c r="T2081" t="s">
        <v>62</v>
      </c>
      <c r="U2081" t="s">
        <v>123</v>
      </c>
      <c r="V2081" t="s">
        <v>197</v>
      </c>
      <c r="W2081" t="s">
        <v>914</v>
      </c>
      <c r="X2081" t="s">
        <v>138</v>
      </c>
      <c r="Y2081" t="s">
        <v>240</v>
      </c>
      <c r="Z2081" t="s">
        <v>64</v>
      </c>
      <c r="AA2081" t="s">
        <v>485</v>
      </c>
      <c r="AB2081" t="s">
        <v>0</v>
      </c>
      <c r="AC2081" t="s">
        <v>5646</v>
      </c>
    </row>
    <row r="2082" spans="1:29">
      <c r="A2082" t="s">
        <v>5647</v>
      </c>
      <c r="B2082" s="11" t="str">
        <f>IF(ISNUMBER(SEARCH(E2082,A2082)),A2082,IF(OR(E2082="",E2082=""),A2082,A2082&amp;" - "&amp;E2082))</f>
        <v>J.R. Strain 22/1 - Sudz</v>
      </c>
      <c r="C2082" t="s">
        <v>564</v>
      </c>
      <c r="D2082" t="s">
        <v>565</v>
      </c>
      <c r="E2082" s="79" t="s">
        <v>4491</v>
      </c>
      <c r="F2082" s="81" t="s">
        <v>177</v>
      </c>
      <c r="G2082" s="83" t="s">
        <v>4126</v>
      </c>
      <c r="H2082" s="83">
        <v>1</v>
      </c>
      <c r="I2082" t="s">
        <v>0</v>
      </c>
      <c r="J2082" t="s">
        <v>0</v>
      </c>
      <c r="K2082" t="s">
        <v>52</v>
      </c>
      <c r="L2082" t="s">
        <v>53</v>
      </c>
      <c r="M2082" t="s">
        <v>71</v>
      </c>
      <c r="N2082" t="s">
        <v>72</v>
      </c>
      <c r="O2082" t="s">
        <v>54</v>
      </c>
      <c r="P2082" t="s">
        <v>89</v>
      </c>
      <c r="Q2082" t="s">
        <v>112</v>
      </c>
      <c r="R2082" t="s">
        <v>75</v>
      </c>
      <c r="S2082" t="s">
        <v>106</v>
      </c>
      <c r="T2082" t="s">
        <v>62</v>
      </c>
      <c r="U2082" t="s">
        <v>123</v>
      </c>
      <c r="V2082" t="s">
        <v>79</v>
      </c>
      <c r="W2082" t="s">
        <v>173</v>
      </c>
      <c r="X2082" t="s">
        <v>93</v>
      </c>
      <c r="Y2082" t="s">
        <v>755</v>
      </c>
      <c r="Z2082" t="s">
        <v>64</v>
      </c>
      <c r="AA2082" t="s">
        <v>565</v>
      </c>
      <c r="AB2082" t="s">
        <v>5648</v>
      </c>
      <c r="AC2082" t="s">
        <v>5649</v>
      </c>
    </row>
    <row r="2083" spans="1:29">
      <c r="A2083" t="s">
        <v>5650</v>
      </c>
      <c r="B2083" s="11" t="str">
        <f>IF(ISNUMBER(SEARCH(E2083,A2083)),A2083,IF(OR(E2083="",E2083=""),A2083,A2083&amp;" - "&amp;E2083))</f>
        <v>Sibanax SHB 28/1 Shishkaberry - Shiskaberry</v>
      </c>
      <c r="C2083" t="s">
        <v>2296</v>
      </c>
      <c r="D2083" t="s">
        <v>2298</v>
      </c>
      <c r="E2083" s="79" t="s">
        <v>2408</v>
      </c>
      <c r="F2083" s="81" t="s">
        <v>120</v>
      </c>
      <c r="G2083" s="83" t="s">
        <v>4164</v>
      </c>
      <c r="H2083" s="83">
        <v>1</v>
      </c>
      <c r="I2083" t="s">
        <v>0</v>
      </c>
      <c r="J2083" t="s">
        <v>0</v>
      </c>
      <c r="K2083" t="s">
        <v>52</v>
      </c>
      <c r="L2083" t="s">
        <v>102</v>
      </c>
      <c r="M2083" t="s">
        <v>121</v>
      </c>
      <c r="N2083" t="s">
        <v>212</v>
      </c>
      <c r="O2083" t="s">
        <v>72</v>
      </c>
      <c r="P2083" t="s">
        <v>89</v>
      </c>
      <c r="Q2083" t="s">
        <v>58</v>
      </c>
      <c r="R2083" t="s">
        <v>0</v>
      </c>
      <c r="S2083" t="s">
        <v>128</v>
      </c>
      <c r="T2083" t="s">
        <v>106</v>
      </c>
      <c r="U2083" t="s">
        <v>62</v>
      </c>
      <c r="V2083" t="s">
        <v>107</v>
      </c>
      <c r="W2083" t="s">
        <v>77</v>
      </c>
      <c r="X2083" t="s">
        <v>129</v>
      </c>
      <c r="Y2083" t="s">
        <v>2880</v>
      </c>
      <c r="Z2083" t="s">
        <v>64</v>
      </c>
      <c r="AA2083" t="s">
        <v>2298</v>
      </c>
      <c r="AB2083" t="s">
        <v>5651</v>
      </c>
      <c r="AC2083" t="s">
        <v>5652</v>
      </c>
    </row>
    <row r="2084" spans="1:29">
      <c r="A2084" t="s">
        <v>5653</v>
      </c>
      <c r="B2084" s="11" t="str">
        <f>IF(ISNUMBER(SEARCH(E2084,A2084)),A2084,IF(OR(E2084="",E2084=""),A2084,A2084&amp;" - "&amp;E2084))</f>
        <v>Cannamedical indica Ultra AU LKC - LA Kush Cake</v>
      </c>
      <c r="C2084" t="s">
        <v>48</v>
      </c>
      <c r="D2084" t="s">
        <v>49</v>
      </c>
      <c r="E2084" s="79" t="s">
        <v>578</v>
      </c>
      <c r="F2084" s="81" t="s">
        <v>177</v>
      </c>
      <c r="G2084" s="83" t="s">
        <v>4164</v>
      </c>
      <c r="H2084" s="83" t="s">
        <v>65</v>
      </c>
      <c r="I2084" t="s">
        <v>0</v>
      </c>
      <c r="J2084" t="s">
        <v>0</v>
      </c>
      <c r="K2084" t="s">
        <v>52</v>
      </c>
      <c r="L2084" t="s">
        <v>145</v>
      </c>
      <c r="M2084" t="s">
        <v>156</v>
      </c>
      <c r="N2084" t="s">
        <v>121</v>
      </c>
      <c r="O2084" t="s">
        <v>72</v>
      </c>
      <c r="P2084" t="s">
        <v>112</v>
      </c>
      <c r="Q2084" t="s">
        <v>59</v>
      </c>
      <c r="R2084" t="s">
        <v>57</v>
      </c>
      <c r="S2084" t="s">
        <v>106</v>
      </c>
      <c r="T2084" t="s">
        <v>123</v>
      </c>
      <c r="U2084" t="s">
        <v>466</v>
      </c>
      <c r="V2084" t="s">
        <v>107</v>
      </c>
      <c r="W2084" t="s">
        <v>79</v>
      </c>
      <c r="X2084" t="s">
        <v>173</v>
      </c>
      <c r="Y2084" t="s">
        <v>217</v>
      </c>
      <c r="Z2084" t="s">
        <v>64</v>
      </c>
      <c r="AA2084" t="s">
        <v>49</v>
      </c>
      <c r="AB2084" t="s">
        <v>0</v>
      </c>
      <c r="AC2084" t="s">
        <v>5654</v>
      </c>
    </row>
    <row r="2085" spans="1:29">
      <c r="A2085" t="s">
        <v>2364</v>
      </c>
      <c r="B2085" s="11" t="str">
        <f>IF(ISNUMBER(SEARCH(E2085,A2085)),A2085,IF(OR(E2085="",E2085=""),A2085,A2085&amp;" - "&amp;E2085))</f>
        <v>Cannamedical Sativa Forte NM - Amsterdam Amnesia</v>
      </c>
      <c r="C2085" t="s">
        <v>48</v>
      </c>
      <c r="D2085" t="s">
        <v>49</v>
      </c>
      <c r="E2085" s="79" t="s">
        <v>2777</v>
      </c>
      <c r="F2085" s="81" t="s">
        <v>69</v>
      </c>
      <c r="G2085" s="83" t="s">
        <v>448</v>
      </c>
      <c r="H2085" s="83">
        <v>1</v>
      </c>
      <c r="I2085" t="s">
        <v>0</v>
      </c>
      <c r="J2085" t="s">
        <v>0</v>
      </c>
      <c r="K2085" t="s">
        <v>52</v>
      </c>
      <c r="L2085" t="s">
        <v>145</v>
      </c>
      <c r="M2085" t="s">
        <v>54</v>
      </c>
      <c r="N2085" t="s">
        <v>55</v>
      </c>
      <c r="O2085" t="s">
        <v>72</v>
      </c>
      <c r="P2085" t="s">
        <v>59</v>
      </c>
      <c r="Q2085" t="s">
        <v>75</v>
      </c>
      <c r="R2085" t="s">
        <v>0</v>
      </c>
      <c r="S2085" t="s">
        <v>128</v>
      </c>
      <c r="T2085" t="s">
        <v>106</v>
      </c>
      <c r="U2085" t="s">
        <v>76</v>
      </c>
      <c r="V2085" t="s">
        <v>292</v>
      </c>
      <c r="W2085" t="s">
        <v>79</v>
      </c>
      <c r="X2085" t="s">
        <v>107</v>
      </c>
      <c r="Y2085" t="s">
        <v>581</v>
      </c>
      <c r="Z2085" t="s">
        <v>64</v>
      </c>
      <c r="AA2085" t="s">
        <v>49</v>
      </c>
      <c r="AB2085" t="s">
        <v>298</v>
      </c>
      <c r="AC2085" t="s">
        <v>5655</v>
      </c>
    </row>
    <row r="2086" spans="1:29">
      <c r="A2086" t="s">
        <v>5656</v>
      </c>
      <c r="B2086" s="11" t="str">
        <f>IF(ISNUMBER(SEARCH(E2086,A2086)),A2086,IF(OR(E2086="",E2086=""),A2086,A2086&amp;" - "&amp;E2086))</f>
        <v>Demecan SC Light Drop 19:01 - Mimosa</v>
      </c>
      <c r="C2086" t="s">
        <v>484</v>
      </c>
      <c r="D2086" t="s">
        <v>485</v>
      </c>
      <c r="E2086" t="s">
        <v>442</v>
      </c>
      <c r="F2086" t="s">
        <v>86</v>
      </c>
      <c r="G2086" t="s">
        <v>4160</v>
      </c>
      <c r="H2086" s="2">
        <v>1</v>
      </c>
      <c r="I2086" t="s">
        <v>0</v>
      </c>
      <c r="J2086" t="s">
        <v>0</v>
      </c>
      <c r="K2086" t="s">
        <v>52</v>
      </c>
      <c r="L2086" t="s">
        <v>497</v>
      </c>
      <c r="M2086" t="s">
        <v>88</v>
      </c>
      <c r="N2086" t="s">
        <v>72</v>
      </c>
      <c r="O2086" t="s">
        <v>111</v>
      </c>
      <c r="P2086" t="s">
        <v>75</v>
      </c>
      <c r="Q2086" t="s">
        <v>58</v>
      </c>
      <c r="R2086" t="s">
        <v>89</v>
      </c>
      <c r="S2086" t="s">
        <v>128</v>
      </c>
      <c r="T2086" t="s">
        <v>106</v>
      </c>
      <c r="U2086" t="s">
        <v>62</v>
      </c>
      <c r="V2086" t="s">
        <v>79</v>
      </c>
      <c r="W2086" t="s">
        <v>173</v>
      </c>
      <c r="X2086" t="s">
        <v>93</v>
      </c>
      <c r="Y2086" t="s">
        <v>314</v>
      </c>
      <c r="Z2086" t="s">
        <v>64</v>
      </c>
      <c r="AA2086" t="s">
        <v>485</v>
      </c>
      <c r="AB2086" t="s">
        <v>0</v>
      </c>
      <c r="AC2086" t="s">
        <v>5657</v>
      </c>
    </row>
    <row r="2087" spans="1:29">
      <c r="A2087" t="s">
        <v>5658</v>
      </c>
      <c r="B2087" s="11" t="str">
        <f>IF(ISNUMBER(SEARCH(E2087,A2087)),A2087,IF(OR(E2087="",E2087=""),A2087,A2087&amp;" - "&amp;E2087))</f>
        <v>bava med 24/1 SUN DI - Sunset Diesel</v>
      </c>
      <c r="C2087" t="s">
        <v>4180</v>
      </c>
      <c r="D2087" t="s">
        <v>5258</v>
      </c>
      <c r="E2087" s="79" t="s">
        <v>4182</v>
      </c>
      <c r="F2087" s="81" t="s">
        <v>69</v>
      </c>
      <c r="G2087" s="83" t="s">
        <v>448</v>
      </c>
      <c r="H2087" s="83">
        <v>1</v>
      </c>
      <c r="I2087" t="s">
        <v>0</v>
      </c>
      <c r="J2087" t="s">
        <v>0</v>
      </c>
      <c r="K2087" t="s">
        <v>52</v>
      </c>
      <c r="L2087" t="s">
        <v>102</v>
      </c>
      <c r="M2087" t="s">
        <v>121</v>
      </c>
      <c r="N2087" t="s">
        <v>88</v>
      </c>
      <c r="O2087" t="s">
        <v>178</v>
      </c>
      <c r="P2087" t="s">
        <v>59</v>
      </c>
      <c r="Q2087" t="s">
        <v>74</v>
      </c>
      <c r="R2087" t="s">
        <v>75</v>
      </c>
      <c r="S2087" t="s">
        <v>62</v>
      </c>
      <c r="T2087" t="s">
        <v>91</v>
      </c>
      <c r="U2087" t="s">
        <v>147</v>
      </c>
      <c r="V2087" t="s">
        <v>93</v>
      </c>
      <c r="W2087" t="s">
        <v>107</v>
      </c>
      <c r="X2087" t="s">
        <v>79</v>
      </c>
      <c r="Y2087" t="s">
        <v>5136</v>
      </c>
      <c r="Z2087" t="s">
        <v>64</v>
      </c>
      <c r="AA2087" t="s">
        <v>5258</v>
      </c>
      <c r="AB2087" t="s">
        <v>0</v>
      </c>
      <c r="AC2087" t="s">
        <v>5659</v>
      </c>
    </row>
    <row r="2088" spans="1:29">
      <c r="A2088" t="s">
        <v>5660</v>
      </c>
      <c r="B2088" s="11" t="str">
        <f>IF(ISNUMBER(SEARCH(E2088,A2088)),A2088,IF(OR(E2088="",E2088=""),A2088,A2088&amp;" - "&amp;E2088))</f>
        <v>Good Supply Cannabisblüten THC28 SAC - Space Age Cake</v>
      </c>
      <c r="C2088" t="s">
        <v>133</v>
      </c>
      <c r="D2088" t="s">
        <v>134</v>
      </c>
      <c r="E2088" s="79" t="s">
        <v>5661</v>
      </c>
      <c r="F2088" s="81" t="s">
        <v>86</v>
      </c>
      <c r="G2088" s="83" t="s">
        <v>4164</v>
      </c>
      <c r="H2088" s="83" t="s">
        <v>65</v>
      </c>
      <c r="I2088" t="s">
        <v>0</v>
      </c>
      <c r="J2088" t="s">
        <v>0</v>
      </c>
      <c r="K2088" t="s">
        <v>52</v>
      </c>
      <c r="L2088" t="s">
        <v>102</v>
      </c>
      <c r="M2088" t="s">
        <v>121</v>
      </c>
      <c r="N2088" t="s">
        <v>111</v>
      </c>
      <c r="O2088" t="s">
        <v>72</v>
      </c>
      <c r="P2088" t="s">
        <v>157</v>
      </c>
      <c r="Q2088" t="s">
        <v>74</v>
      </c>
      <c r="R2088" t="s">
        <v>59</v>
      </c>
      <c r="S2088" t="s">
        <v>90</v>
      </c>
      <c r="T2088" t="s">
        <v>106</v>
      </c>
      <c r="U2088" t="s">
        <v>62</v>
      </c>
      <c r="V2088" t="s">
        <v>4398</v>
      </c>
      <c r="W2088" t="s">
        <v>138</v>
      </c>
      <c r="X2088" t="s">
        <v>165</v>
      </c>
      <c r="Y2088" t="s">
        <v>5662</v>
      </c>
      <c r="Z2088" t="s">
        <v>64</v>
      </c>
      <c r="AA2088" t="s">
        <v>134</v>
      </c>
      <c r="AB2088" t="s">
        <v>0</v>
      </c>
      <c r="AC2088" t="s">
        <v>5663</v>
      </c>
    </row>
    <row r="2089" spans="1:29">
      <c r="A2089" t="s">
        <v>5664</v>
      </c>
      <c r="B2089" s="11" t="str">
        <f>IF(ISNUMBER(SEARCH(E2089,A2089)),A2089,IF(OR(E2089="",E2089=""),A2089,A2089&amp;" - "&amp;E2089))</f>
        <v>Good Supply Cannabisblüten THC18 SWK - Skywalker Kush</v>
      </c>
      <c r="C2089" t="s">
        <v>133</v>
      </c>
      <c r="D2089" t="s">
        <v>134</v>
      </c>
      <c r="E2089" s="79" t="s">
        <v>4193</v>
      </c>
      <c r="F2089" s="81" t="s">
        <v>177</v>
      </c>
      <c r="G2089" s="83" t="s">
        <v>8</v>
      </c>
      <c r="H2089" s="83" t="s">
        <v>65</v>
      </c>
      <c r="I2089" t="s">
        <v>0</v>
      </c>
      <c r="J2089" t="s">
        <v>0</v>
      </c>
      <c r="K2089" t="s">
        <v>52</v>
      </c>
      <c r="L2089" t="s">
        <v>102</v>
      </c>
      <c r="M2089" t="s">
        <v>88</v>
      </c>
      <c r="N2089" t="s">
        <v>72</v>
      </c>
      <c r="O2089" t="s">
        <v>0</v>
      </c>
      <c r="P2089" t="s">
        <v>146</v>
      </c>
      <c r="Q2089" t="s">
        <v>75</v>
      </c>
      <c r="R2089" t="s">
        <v>59</v>
      </c>
      <c r="S2089" t="s">
        <v>62</v>
      </c>
      <c r="T2089" t="s">
        <v>91</v>
      </c>
      <c r="U2089" t="s">
        <v>147</v>
      </c>
      <c r="V2089" t="s">
        <v>79</v>
      </c>
      <c r="W2089" t="s">
        <v>107</v>
      </c>
      <c r="X2089" t="s">
        <v>77</v>
      </c>
      <c r="Y2089" t="s">
        <v>4483</v>
      </c>
      <c r="Z2089" t="s">
        <v>64</v>
      </c>
      <c r="AA2089" t="s">
        <v>134</v>
      </c>
      <c r="AB2089" t="s">
        <v>0</v>
      </c>
      <c r="AC2089" t="s">
        <v>5665</v>
      </c>
    </row>
    <row r="2090" spans="1:29">
      <c r="A2090" t="s">
        <v>5666</v>
      </c>
      <c r="B2090" s="11" t="str">
        <f>IF(ISNUMBER(SEARCH(E2090,A2090)),A2090,IF(OR(E2090="",E2090=""),A2090,A2090&amp;" - "&amp;E2090))</f>
        <v>Good Supply Cannabisblüten THC25 MRG - Meringue 64</v>
      </c>
      <c r="C2090" t="s">
        <v>133</v>
      </c>
      <c r="D2090" t="s">
        <v>134</v>
      </c>
      <c r="E2090" s="79" t="s">
        <v>5667</v>
      </c>
      <c r="F2090" s="81" t="s">
        <v>86</v>
      </c>
      <c r="G2090" s="83" t="s">
        <v>26</v>
      </c>
      <c r="H2090" s="83" t="s">
        <v>65</v>
      </c>
      <c r="I2090" t="s">
        <v>0</v>
      </c>
      <c r="J2090" t="s">
        <v>0</v>
      </c>
      <c r="K2090" t="s">
        <v>52</v>
      </c>
      <c r="L2090" t="s">
        <v>102</v>
      </c>
      <c r="M2090" t="s">
        <v>103</v>
      </c>
      <c r="N2090" t="s">
        <v>121</v>
      </c>
      <c r="O2090" t="s">
        <v>72</v>
      </c>
      <c r="P2090" t="s">
        <v>74</v>
      </c>
      <c r="Q2090" t="s">
        <v>59</v>
      </c>
      <c r="R2090" t="s">
        <v>75</v>
      </c>
      <c r="S2090" t="s">
        <v>106</v>
      </c>
      <c r="T2090" t="s">
        <v>62</v>
      </c>
      <c r="U2090" t="s">
        <v>147</v>
      </c>
      <c r="V2090" t="s">
        <v>138</v>
      </c>
      <c r="W2090" t="s">
        <v>165</v>
      </c>
      <c r="X2090" t="s">
        <v>93</v>
      </c>
      <c r="Y2090" t="s">
        <v>220</v>
      </c>
      <c r="Z2090" t="s">
        <v>64</v>
      </c>
      <c r="AA2090" t="s">
        <v>134</v>
      </c>
      <c r="AB2090" t="s">
        <v>0</v>
      </c>
      <c r="AC2090" t="s">
        <v>5668</v>
      </c>
    </row>
    <row r="2091" spans="1:29">
      <c r="A2091" t="s">
        <v>5669</v>
      </c>
      <c r="B2091" s="11" t="str">
        <f>IF(ISNUMBER(SEARCH(E2091,A2091)),A2091,IF(OR(E2091="",E2091=""),A2091,A2091&amp;" - "&amp;E2091))</f>
        <v>Good Supply Cannabisblüten THC22 SNL - Snow Leopard</v>
      </c>
      <c r="C2091" t="s">
        <v>133</v>
      </c>
      <c r="D2091" t="s">
        <v>134</v>
      </c>
      <c r="E2091" s="79" t="s">
        <v>5670</v>
      </c>
      <c r="F2091" s="81" t="s">
        <v>177</v>
      </c>
      <c r="G2091" s="83" t="s">
        <v>460</v>
      </c>
      <c r="H2091" s="83" t="s">
        <v>65</v>
      </c>
      <c r="I2091" t="s">
        <v>0</v>
      </c>
      <c r="J2091" t="s">
        <v>0</v>
      </c>
      <c r="K2091" t="s">
        <v>52</v>
      </c>
      <c r="L2091" t="s">
        <v>102</v>
      </c>
      <c r="M2091" t="s">
        <v>121</v>
      </c>
      <c r="N2091" t="s">
        <v>72</v>
      </c>
      <c r="O2091" t="s">
        <v>54</v>
      </c>
      <c r="P2091" t="s">
        <v>59</v>
      </c>
      <c r="Q2091" t="s">
        <v>157</v>
      </c>
      <c r="R2091" t="s">
        <v>74</v>
      </c>
      <c r="S2091" t="s">
        <v>147</v>
      </c>
      <c r="T2091" t="s">
        <v>192</v>
      </c>
      <c r="U2091" t="s">
        <v>224</v>
      </c>
      <c r="V2091" t="s">
        <v>77</v>
      </c>
      <c r="W2091" t="s">
        <v>116</v>
      </c>
      <c r="X2091" t="s">
        <v>180</v>
      </c>
      <c r="Y2091" t="s">
        <v>5671</v>
      </c>
      <c r="Z2091" t="s">
        <v>64</v>
      </c>
      <c r="AA2091" t="s">
        <v>134</v>
      </c>
      <c r="AB2091" t="s">
        <v>0</v>
      </c>
      <c r="AC2091" t="s">
        <v>5672</v>
      </c>
    </row>
    <row r="2092" spans="1:29">
      <c r="A2092" t="s">
        <v>5673</v>
      </c>
      <c r="B2092" s="11" t="str">
        <f>IF(ISNUMBER(SEARCH(E2092,A2092)),A2092,IF(OR(E2092="",E2092=""),A2092,A2092&amp;" - "&amp;E2092))</f>
        <v>All Nations MD 21/1 - Mac Daddy</v>
      </c>
      <c r="C2092" t="s">
        <v>564</v>
      </c>
      <c r="D2092" t="s">
        <v>565</v>
      </c>
      <c r="E2092" s="79" t="s">
        <v>1467</v>
      </c>
      <c r="F2092" s="81" t="s">
        <v>177</v>
      </c>
      <c r="G2092" s="83" t="s">
        <v>452</v>
      </c>
      <c r="H2092" s="83" t="s">
        <v>65</v>
      </c>
      <c r="I2092" t="s">
        <v>0</v>
      </c>
      <c r="J2092" t="s">
        <v>0</v>
      </c>
      <c r="K2092" t="s">
        <v>52</v>
      </c>
      <c r="L2092" t="s">
        <v>102</v>
      </c>
      <c r="M2092" t="s">
        <v>111</v>
      </c>
      <c r="N2092" t="s">
        <v>72</v>
      </c>
      <c r="O2092" t="s">
        <v>54</v>
      </c>
      <c r="P2092" t="s">
        <v>73</v>
      </c>
      <c r="Q2092" t="s">
        <v>58</v>
      </c>
      <c r="R2092" t="s">
        <v>74</v>
      </c>
      <c r="S2092" t="s">
        <v>106</v>
      </c>
      <c r="T2092" t="s">
        <v>91</v>
      </c>
      <c r="U2092" t="s">
        <v>147</v>
      </c>
      <c r="V2092" t="s">
        <v>77</v>
      </c>
      <c r="W2092" t="s">
        <v>116</v>
      </c>
      <c r="X2092" t="s">
        <v>107</v>
      </c>
      <c r="Y2092" t="s">
        <v>1357</v>
      </c>
      <c r="Z2092" t="s">
        <v>64</v>
      </c>
      <c r="AA2092" t="s">
        <v>565</v>
      </c>
      <c r="AB2092" t="s">
        <v>1232</v>
      </c>
      <c r="AC2092" t="s">
        <v>5674</v>
      </c>
    </row>
    <row r="2093" spans="1:29">
      <c r="A2093" t="s">
        <v>5675</v>
      </c>
      <c r="B2093" s="11" t="str">
        <f>IF(ISNUMBER(SEARCH(E2093,A2093)),A2093,IF(OR(E2093="",E2093=""),A2093,A2093&amp;" - "&amp;E2093))</f>
        <v>Mera A&amp;P 27/1 - Apes &amp; Space</v>
      </c>
      <c r="C2093" t="s">
        <v>5676</v>
      </c>
      <c r="D2093" t="s">
        <v>5677</v>
      </c>
      <c r="E2093" s="79" t="s">
        <v>5678</v>
      </c>
      <c r="F2093" s="81" t="s">
        <v>177</v>
      </c>
      <c r="G2093" s="83" t="s">
        <v>443</v>
      </c>
      <c r="H2093" s="83" t="s">
        <v>65</v>
      </c>
      <c r="I2093" t="s">
        <v>0</v>
      </c>
      <c r="J2093" t="s">
        <v>0</v>
      </c>
      <c r="K2093" t="s">
        <v>52</v>
      </c>
      <c r="L2093" t="s">
        <v>53</v>
      </c>
      <c r="M2093" t="s">
        <v>121</v>
      </c>
      <c r="N2093" t="s">
        <v>72</v>
      </c>
      <c r="O2093" t="s">
        <v>54</v>
      </c>
      <c r="P2093" t="s">
        <v>59</v>
      </c>
      <c r="Q2093" t="s">
        <v>89</v>
      </c>
      <c r="R2093" t="s">
        <v>157</v>
      </c>
      <c r="S2093" t="s">
        <v>106</v>
      </c>
      <c r="T2093" t="s">
        <v>466</v>
      </c>
      <c r="U2093" t="s">
        <v>493</v>
      </c>
      <c r="V2093" t="s">
        <v>77</v>
      </c>
      <c r="W2093" t="s">
        <v>116</v>
      </c>
      <c r="X2093" t="s">
        <v>180</v>
      </c>
      <c r="Y2093" t="s">
        <v>213</v>
      </c>
      <c r="Z2093" t="s">
        <v>64</v>
      </c>
      <c r="AA2093" t="s">
        <v>5677</v>
      </c>
      <c r="AB2093" t="s">
        <v>5679</v>
      </c>
      <c r="AC2093" t="s">
        <v>5680</v>
      </c>
    </row>
    <row r="2094" spans="1:29">
      <c r="A2094" t="s">
        <v>5681</v>
      </c>
      <c r="B2094" s="11" t="str">
        <f>IF(ISNUMBER(SEARCH(E2094,A2094)),A2094,IF(OR(E2094="",E2094=""),A2094,A2094&amp;" - "&amp;E2094))</f>
        <v>TRUU GT 26:01 - Skull Cap</v>
      </c>
      <c r="C2094" t="s">
        <v>484</v>
      </c>
      <c r="D2094" t="s">
        <v>485</v>
      </c>
      <c r="E2094" s="79" t="s">
        <v>5280</v>
      </c>
      <c r="F2094" s="81" t="s">
        <v>177</v>
      </c>
      <c r="G2094" s="83" t="s">
        <v>4086</v>
      </c>
      <c r="H2094" s="83" t="s">
        <v>65</v>
      </c>
      <c r="I2094" t="s">
        <v>0</v>
      </c>
      <c r="J2094" t="s">
        <v>0</v>
      </c>
      <c r="K2094" t="s">
        <v>52</v>
      </c>
      <c r="L2094" t="s">
        <v>53</v>
      </c>
      <c r="M2094" t="s">
        <v>121</v>
      </c>
      <c r="N2094" t="s">
        <v>72</v>
      </c>
      <c r="O2094" t="s">
        <v>54</v>
      </c>
      <c r="P2094" t="s">
        <v>59</v>
      </c>
      <c r="Q2094" t="s">
        <v>89</v>
      </c>
      <c r="R2094" t="s">
        <v>73</v>
      </c>
      <c r="S2094" t="s">
        <v>128</v>
      </c>
      <c r="T2094" t="s">
        <v>106</v>
      </c>
      <c r="U2094" t="s">
        <v>466</v>
      </c>
      <c r="V2094" t="s">
        <v>116</v>
      </c>
      <c r="W2094" t="s">
        <v>107</v>
      </c>
      <c r="X2094" t="s">
        <v>93</v>
      </c>
      <c r="Y2094" t="s">
        <v>3442</v>
      </c>
      <c r="Z2094" t="s">
        <v>64</v>
      </c>
      <c r="AA2094" t="s">
        <v>485</v>
      </c>
      <c r="AB2094" t="s">
        <v>0</v>
      </c>
      <c r="AC2094" t="s">
        <v>5682</v>
      </c>
    </row>
    <row r="2095" spans="1:29">
      <c r="A2095" t="s">
        <v>5683</v>
      </c>
      <c r="B2095" s="11" t="str">
        <f>IF(ISNUMBER(SEARCH(E2095,A2095)),A2095,IF(OR(E2095="",E2095=""),A2095,A2095&amp;" - "&amp;E2095))</f>
        <v>420 Evolution 20/1 CA LCG Lemon Cherry Gelato - Sunset Sherbert x Girl Scout Cookies</v>
      </c>
      <c r="C2095" t="s">
        <v>463</v>
      </c>
      <c r="D2095" t="s">
        <v>468</v>
      </c>
      <c r="E2095" s="79" t="s">
        <v>5684</v>
      </c>
      <c r="F2095" s="81" t="s">
        <v>120</v>
      </c>
      <c r="G2095" s="83" t="s">
        <v>460</v>
      </c>
      <c r="H2095" s="83" t="s">
        <v>65</v>
      </c>
      <c r="I2095" t="s">
        <v>0</v>
      </c>
      <c r="J2095" t="s">
        <v>0</v>
      </c>
      <c r="K2095" t="s">
        <v>52</v>
      </c>
      <c r="L2095" t="s">
        <v>53</v>
      </c>
      <c r="M2095" t="s">
        <v>121</v>
      </c>
      <c r="N2095" t="s">
        <v>72</v>
      </c>
      <c r="O2095" t="s">
        <v>54</v>
      </c>
      <c r="P2095" t="s">
        <v>74</v>
      </c>
      <c r="Q2095" t="s">
        <v>75</v>
      </c>
      <c r="R2095" t="s">
        <v>57</v>
      </c>
      <c r="S2095" t="s">
        <v>106</v>
      </c>
      <c r="T2095" t="s">
        <v>164</v>
      </c>
      <c r="U2095" t="s">
        <v>123</v>
      </c>
      <c r="V2095" t="s">
        <v>77</v>
      </c>
      <c r="W2095" t="s">
        <v>116</v>
      </c>
      <c r="X2095" t="s">
        <v>180</v>
      </c>
      <c r="Y2095" t="s">
        <v>338</v>
      </c>
      <c r="Z2095" t="s">
        <v>64</v>
      </c>
      <c r="AA2095" t="s">
        <v>468</v>
      </c>
      <c r="AB2095" t="s">
        <v>0</v>
      </c>
      <c r="AC2095" t="s">
        <v>5685</v>
      </c>
    </row>
    <row r="2096" spans="1:29">
      <c r="A2096" t="s">
        <v>5686</v>
      </c>
      <c r="B2096" s="11" t="str">
        <f>IF(ISNUMBER(SEARCH(E2096,A2096)),A2096,IF(OR(E2096="",E2096=""),A2096,A2096&amp;" - "&amp;E2096))</f>
        <v>Remexian 24/1 MHI MAD - Magic Dream</v>
      </c>
      <c r="C2096" t="s">
        <v>83</v>
      </c>
      <c r="D2096" t="s">
        <v>95</v>
      </c>
      <c r="E2096" s="79" t="s">
        <v>3236</v>
      </c>
      <c r="F2096" s="81" t="s">
        <v>86</v>
      </c>
      <c r="G2096" s="83" t="s">
        <v>436</v>
      </c>
      <c r="H2096" s="83" t="s">
        <v>65</v>
      </c>
      <c r="I2096" t="s">
        <v>0</v>
      </c>
      <c r="J2096" t="s">
        <v>0</v>
      </c>
      <c r="K2096" t="s">
        <v>52</v>
      </c>
      <c r="L2096" t="s">
        <v>102</v>
      </c>
      <c r="M2096" t="s">
        <v>72</v>
      </c>
      <c r="N2096" t="s">
        <v>178</v>
      </c>
      <c r="O2096" t="s">
        <v>88</v>
      </c>
      <c r="P2096" t="s">
        <v>58</v>
      </c>
      <c r="Q2096" t="s">
        <v>74</v>
      </c>
      <c r="R2096" t="s">
        <v>59</v>
      </c>
      <c r="S2096" t="s">
        <v>90</v>
      </c>
      <c r="T2096" t="s">
        <v>62</v>
      </c>
      <c r="U2096" t="s">
        <v>147</v>
      </c>
      <c r="V2096" t="s">
        <v>107</v>
      </c>
      <c r="W2096" t="s">
        <v>173</v>
      </c>
      <c r="X2096" t="s">
        <v>77</v>
      </c>
      <c r="Y2096" t="s">
        <v>5687</v>
      </c>
      <c r="Z2096" t="s">
        <v>64</v>
      </c>
      <c r="AA2096" t="s">
        <v>95</v>
      </c>
      <c r="AB2096" t="s">
        <v>0</v>
      </c>
      <c r="AC2096" t="s">
        <v>5688</v>
      </c>
    </row>
    <row r="2097" spans="1:29">
      <c r="A2097" t="s">
        <v>5689</v>
      </c>
      <c r="B2097" s="11" t="str">
        <f>IF(ISNUMBER(SEARCH(E2097,A2097)),A2097,IF(OR(E2097="",E2097=""),A2097,A2097&amp;" - "&amp;E2097))</f>
        <v>Remexian 24/1 GCC SWB - Strawberry Banana</v>
      </c>
      <c r="C2097" t="s">
        <v>83</v>
      </c>
      <c r="D2097" t="s">
        <v>95</v>
      </c>
      <c r="E2097" s="79" t="s">
        <v>196</v>
      </c>
      <c r="F2097" s="81" t="s">
        <v>177</v>
      </c>
      <c r="G2097" s="83" t="s">
        <v>448</v>
      </c>
      <c r="H2097" s="83" t="s">
        <v>65</v>
      </c>
      <c r="I2097" t="s">
        <v>0</v>
      </c>
      <c r="J2097" t="s">
        <v>0</v>
      </c>
      <c r="K2097" t="s">
        <v>52</v>
      </c>
      <c r="L2097" t="s">
        <v>53</v>
      </c>
      <c r="M2097" t="s">
        <v>71</v>
      </c>
      <c r="N2097" t="s">
        <v>72</v>
      </c>
      <c r="O2097" t="s">
        <v>103</v>
      </c>
      <c r="P2097" t="s">
        <v>89</v>
      </c>
      <c r="Q2097" t="s">
        <v>58</v>
      </c>
      <c r="R2097" t="s">
        <v>0</v>
      </c>
      <c r="S2097" t="s">
        <v>106</v>
      </c>
      <c r="T2097" t="s">
        <v>62</v>
      </c>
      <c r="U2097" t="s">
        <v>147</v>
      </c>
      <c r="V2097" t="s">
        <v>77</v>
      </c>
      <c r="W2097" t="s">
        <v>79</v>
      </c>
      <c r="X2097" t="s">
        <v>173</v>
      </c>
      <c r="Y2097" t="s">
        <v>5687</v>
      </c>
      <c r="Z2097" t="s">
        <v>64</v>
      </c>
      <c r="AA2097" t="s">
        <v>95</v>
      </c>
      <c r="AB2097" t="s">
        <v>0</v>
      </c>
      <c r="AC2097" t="s">
        <v>5690</v>
      </c>
    </row>
    <row r="2098" spans="1:29">
      <c r="A2098" t="s">
        <v>5691</v>
      </c>
      <c r="B2098" s="11" t="str">
        <f>IF(ISNUMBER(SEARCH(E2098,A2098)),A2098,IF(OR(E2098="",E2098=""),A2098,A2098&amp;" - "&amp;E2098))</f>
        <v>IMC THC25 Token OGC - OG Cheese</v>
      </c>
      <c r="C2098" t="s">
        <v>646</v>
      </c>
      <c r="D2098" t="s">
        <v>646</v>
      </c>
      <c r="E2098" s="79" t="s">
        <v>5692</v>
      </c>
      <c r="F2098" s="81" t="s">
        <v>177</v>
      </c>
      <c r="G2098" s="83" t="s">
        <v>26</v>
      </c>
      <c r="H2098" s="83">
        <v>1</v>
      </c>
      <c r="I2098" t="s">
        <v>0</v>
      </c>
      <c r="J2098" t="s">
        <v>0</v>
      </c>
      <c r="K2098" t="s">
        <v>52</v>
      </c>
      <c r="L2098" t="s">
        <v>53</v>
      </c>
      <c r="M2098" t="s">
        <v>121</v>
      </c>
      <c r="N2098" t="s">
        <v>88</v>
      </c>
      <c r="O2098" t="s">
        <v>72</v>
      </c>
      <c r="P2098" t="s">
        <v>59</v>
      </c>
      <c r="Q2098" t="s">
        <v>75</v>
      </c>
      <c r="R2098" t="s">
        <v>74</v>
      </c>
      <c r="S2098" t="s">
        <v>106</v>
      </c>
      <c r="T2098" t="s">
        <v>62</v>
      </c>
      <c r="U2098" t="s">
        <v>123</v>
      </c>
      <c r="V2098" t="s">
        <v>93</v>
      </c>
      <c r="W2098" t="s">
        <v>173</v>
      </c>
      <c r="X2098" t="s">
        <v>77</v>
      </c>
      <c r="Y2098" t="s">
        <v>1820</v>
      </c>
      <c r="Z2098" t="s">
        <v>64</v>
      </c>
      <c r="AA2098" t="s">
        <v>646</v>
      </c>
      <c r="AB2098" t="s">
        <v>0</v>
      </c>
      <c r="AC2098" t="s">
        <v>5693</v>
      </c>
    </row>
    <row r="2099" spans="1:29">
      <c r="A2099" t="s">
        <v>5694</v>
      </c>
      <c r="B2099" s="11" t="str">
        <f>IF(ISNUMBER(SEARCH(E2099,A2099)),A2099,IF(OR(E2099="",E2099=""),A2099,A2099&amp;" - "&amp;E2099))</f>
        <v>Khiron SLH 26/1 - Super Lemon Haze</v>
      </c>
      <c r="C2099" t="s">
        <v>1871</v>
      </c>
      <c r="D2099" t="s">
        <v>1872</v>
      </c>
      <c r="E2099" s="79" t="s">
        <v>1875</v>
      </c>
      <c r="F2099" s="81" t="s">
        <v>69</v>
      </c>
      <c r="G2099" s="83" t="s">
        <v>4086</v>
      </c>
      <c r="H2099" s="83">
        <v>1</v>
      </c>
      <c r="I2099" t="s">
        <v>0</v>
      </c>
      <c r="J2099" t="s">
        <v>0</v>
      </c>
      <c r="K2099" t="s">
        <v>52</v>
      </c>
      <c r="L2099" t="s">
        <v>102</v>
      </c>
      <c r="M2099" t="s">
        <v>111</v>
      </c>
      <c r="N2099" t="s">
        <v>178</v>
      </c>
      <c r="O2099" t="s">
        <v>54</v>
      </c>
      <c r="P2099" t="s">
        <v>58</v>
      </c>
      <c r="Q2099" t="s">
        <v>75</v>
      </c>
      <c r="R2099" t="s">
        <v>0</v>
      </c>
      <c r="S2099" t="s">
        <v>106</v>
      </c>
      <c r="T2099" t="s">
        <v>62</v>
      </c>
      <c r="U2099" t="s">
        <v>91</v>
      </c>
      <c r="V2099" t="s">
        <v>173</v>
      </c>
      <c r="W2099" t="s">
        <v>116</v>
      </c>
      <c r="X2099" t="s">
        <v>93</v>
      </c>
      <c r="Y2099" t="s">
        <v>262</v>
      </c>
      <c r="Z2099" t="s">
        <v>64</v>
      </c>
      <c r="AA2099" t="s">
        <v>1872</v>
      </c>
      <c r="AB2099" t="s">
        <v>0</v>
      </c>
      <c r="AC2099" t="s">
        <v>5695</v>
      </c>
    </row>
    <row r="2100" spans="1:29">
      <c r="A2100" t="s">
        <v>5696</v>
      </c>
      <c r="B2100" s="11" t="str">
        <f>IF(ISNUMBER(SEARCH(E2100,A2100)),A2100,IF(OR(E2100="",E2100=""),A2100,A2100&amp;" - "&amp;E2100))</f>
        <v>Demecan CB Regular Drop 25/1 - Slurricane x Platinum Kush Breath</v>
      </c>
      <c r="C2100" t="s">
        <v>484</v>
      </c>
      <c r="D2100" t="s">
        <v>485</v>
      </c>
      <c r="E2100" s="79" t="s">
        <v>5697</v>
      </c>
      <c r="F2100" s="81" t="s">
        <v>86</v>
      </c>
      <c r="G2100" s="83" t="s">
        <v>26</v>
      </c>
      <c r="H2100" s="83" t="s">
        <v>65</v>
      </c>
      <c r="I2100" t="s">
        <v>0</v>
      </c>
      <c r="J2100" t="s">
        <v>0</v>
      </c>
      <c r="K2100" t="s">
        <v>52</v>
      </c>
      <c r="L2100" t="s">
        <v>5698</v>
      </c>
      <c r="M2100" t="s">
        <v>121</v>
      </c>
      <c r="N2100" t="s">
        <v>72</v>
      </c>
      <c r="O2100" t="s">
        <v>54</v>
      </c>
      <c r="P2100" t="s">
        <v>74</v>
      </c>
      <c r="Q2100" t="s">
        <v>59</v>
      </c>
      <c r="R2100" t="s">
        <v>57</v>
      </c>
      <c r="S2100" t="s">
        <v>62</v>
      </c>
      <c r="T2100" t="s">
        <v>164</v>
      </c>
      <c r="U2100" t="s">
        <v>192</v>
      </c>
      <c r="V2100" t="s">
        <v>138</v>
      </c>
      <c r="W2100" t="s">
        <v>79</v>
      </c>
      <c r="X2100" t="s">
        <v>107</v>
      </c>
      <c r="Y2100" t="s">
        <v>768</v>
      </c>
      <c r="Z2100" t="s">
        <v>64</v>
      </c>
      <c r="AA2100" t="s">
        <v>485</v>
      </c>
      <c r="AB2100" t="s">
        <v>0</v>
      </c>
      <c r="AC2100" t="s">
        <v>5699</v>
      </c>
    </row>
    <row r="2101" spans="1:29">
      <c r="A2101" t="s">
        <v>5700</v>
      </c>
      <c r="B2101" s="11" t="str">
        <f>IF(ISNUMBER(SEARCH(E2101,A2101)),A2101,IF(OR(E2101="",E2101=""),A2101,A2101&amp;" - "&amp;E2101))</f>
        <v>Demecan CV Regular Drop 25/1 - Moby Dick</v>
      </c>
      <c r="C2101" t="s">
        <v>484</v>
      </c>
      <c r="D2101" t="s">
        <v>485</v>
      </c>
      <c r="E2101" s="79" t="s">
        <v>5701</v>
      </c>
      <c r="F2101" s="81" t="s">
        <v>144</v>
      </c>
      <c r="G2101" s="83" t="s">
        <v>26</v>
      </c>
      <c r="H2101" s="83" t="s">
        <v>65</v>
      </c>
      <c r="I2101" t="s">
        <v>0</v>
      </c>
      <c r="J2101" t="s">
        <v>0</v>
      </c>
      <c r="K2101" t="s">
        <v>52</v>
      </c>
      <c r="L2101" t="s">
        <v>53</v>
      </c>
      <c r="M2101" t="s">
        <v>178</v>
      </c>
      <c r="N2101" t="s">
        <v>71</v>
      </c>
      <c r="O2101" t="s">
        <v>55</v>
      </c>
      <c r="P2101" t="s">
        <v>59</v>
      </c>
      <c r="Q2101" t="s">
        <v>89</v>
      </c>
      <c r="R2101" t="s">
        <v>146</v>
      </c>
      <c r="S2101" t="s">
        <v>90</v>
      </c>
      <c r="T2101" t="s">
        <v>105</v>
      </c>
      <c r="U2101" t="s">
        <v>147</v>
      </c>
      <c r="V2101" t="s">
        <v>79</v>
      </c>
      <c r="W2101" t="s">
        <v>711</v>
      </c>
      <c r="X2101" t="s">
        <v>292</v>
      </c>
      <c r="Y2101" t="s">
        <v>643</v>
      </c>
      <c r="Z2101" t="s">
        <v>64</v>
      </c>
      <c r="AA2101" t="s">
        <v>485</v>
      </c>
      <c r="AB2101" t="s">
        <v>0</v>
      </c>
      <c r="AC2101" t="s">
        <v>5702</v>
      </c>
    </row>
    <row r="2102" spans="1:29">
      <c r="A2102" t="s">
        <v>5703</v>
      </c>
      <c r="B2102" s="11" t="str">
        <f>IF(ISNUMBER(SEARCH(E2102,A2102)),A2102,IF(OR(E2102="",E2102=""),A2102,A2102&amp;" - "&amp;E2102))</f>
        <v>avaay Khalifa 24/1 KK - Khalifa Kush</v>
      </c>
      <c r="C2102" t="s">
        <v>4601</v>
      </c>
      <c r="D2102" t="s">
        <v>572</v>
      </c>
      <c r="E2102" s="79" t="s">
        <v>3986</v>
      </c>
      <c r="F2102" s="81" t="s">
        <v>86</v>
      </c>
      <c r="G2102" s="83" t="s">
        <v>448</v>
      </c>
      <c r="H2102" s="83" t="s">
        <v>65</v>
      </c>
      <c r="I2102" t="s">
        <v>0</v>
      </c>
      <c r="J2102" t="s">
        <v>0</v>
      </c>
      <c r="K2102" t="s">
        <v>52</v>
      </c>
      <c r="L2102" t="s">
        <v>53</v>
      </c>
      <c r="M2102" t="s">
        <v>54</v>
      </c>
      <c r="N2102" t="s">
        <v>178</v>
      </c>
      <c r="O2102" t="s">
        <v>55</v>
      </c>
      <c r="P2102" t="s">
        <v>89</v>
      </c>
      <c r="Q2102" t="s">
        <v>75</v>
      </c>
      <c r="R2102" t="s">
        <v>59</v>
      </c>
      <c r="S2102" t="s">
        <v>106</v>
      </c>
      <c r="T2102" t="s">
        <v>62</v>
      </c>
      <c r="U2102" t="s">
        <v>147</v>
      </c>
      <c r="V2102" t="s">
        <v>79</v>
      </c>
      <c r="W2102" t="s">
        <v>93</v>
      </c>
      <c r="X2102" t="s">
        <v>107</v>
      </c>
      <c r="Y2102" t="s">
        <v>293</v>
      </c>
      <c r="Z2102" t="s">
        <v>64</v>
      </c>
      <c r="AA2102" t="s">
        <v>572</v>
      </c>
      <c r="AB2102" t="s">
        <v>663</v>
      </c>
      <c r="AC2102" t="s">
        <v>5704</v>
      </c>
    </row>
    <row r="2103" spans="1:29">
      <c r="A2103" t="s">
        <v>1541</v>
      </c>
      <c r="B2103" s="11" t="str">
        <f>IF(ISNUMBER(SEARCH(E2103,A2103)),A2103,IF(OR(E2103="",E2103=""),A2103,A2103&amp;" - "&amp;E2103))</f>
        <v>Tilray THC22 Spotlight Porto - King Sherb</v>
      </c>
      <c r="C2103" t="s">
        <v>133</v>
      </c>
      <c r="D2103" t="s">
        <v>134</v>
      </c>
      <c r="E2103" s="79" t="s">
        <v>5705</v>
      </c>
      <c r="F2103" s="81" t="s">
        <v>177</v>
      </c>
      <c r="G2103" s="83" t="s">
        <v>436</v>
      </c>
      <c r="H2103" s="83" t="s">
        <v>65</v>
      </c>
      <c r="I2103" t="s">
        <v>0</v>
      </c>
      <c r="J2103" t="s">
        <v>0</v>
      </c>
      <c r="K2103" t="s">
        <v>52</v>
      </c>
      <c r="L2103" t="s">
        <v>102</v>
      </c>
      <c r="M2103" t="s">
        <v>121</v>
      </c>
      <c r="N2103" t="s">
        <v>72</v>
      </c>
      <c r="O2103" t="s">
        <v>88</v>
      </c>
      <c r="P2103" t="s">
        <v>59</v>
      </c>
      <c r="Q2103" t="s">
        <v>89</v>
      </c>
      <c r="R2103" t="s">
        <v>113</v>
      </c>
      <c r="S2103" t="s">
        <v>106</v>
      </c>
      <c r="T2103" t="s">
        <v>62</v>
      </c>
      <c r="U2103" t="s">
        <v>105</v>
      </c>
      <c r="V2103" t="s">
        <v>77</v>
      </c>
      <c r="W2103" t="s">
        <v>116</v>
      </c>
      <c r="X2103" t="s">
        <v>208</v>
      </c>
      <c r="Y2103" t="s">
        <v>4206</v>
      </c>
      <c r="Z2103" t="s">
        <v>64</v>
      </c>
      <c r="AA2103" t="s">
        <v>134</v>
      </c>
      <c r="AB2103" t="s">
        <v>0</v>
      </c>
      <c r="AC2103" t="s">
        <v>5706</v>
      </c>
    </row>
    <row r="2104" spans="1:29">
      <c r="A2104" t="s">
        <v>5707</v>
      </c>
      <c r="B2104" s="11" t="str">
        <f>IF(ISNUMBER(SEARCH(E2104,A2104)),A2104,IF(OR(E2104="",E2104=""),A2104,A2104&amp;" - "&amp;E2104))</f>
        <v>Demecan JM7 25/1 - Jelly Mints</v>
      </c>
      <c r="C2104" t="s">
        <v>484</v>
      </c>
      <c r="D2104" t="s">
        <v>485</v>
      </c>
      <c r="E2104" s="79" t="s">
        <v>3778</v>
      </c>
      <c r="F2104" s="81" t="s">
        <v>177</v>
      </c>
      <c r="G2104" s="83" t="s">
        <v>26</v>
      </c>
      <c r="H2104" s="83" t="s">
        <v>65</v>
      </c>
      <c r="I2104" t="s">
        <v>0</v>
      </c>
      <c r="J2104" t="s">
        <v>0</v>
      </c>
      <c r="K2104" t="s">
        <v>52</v>
      </c>
      <c r="L2104" t="s">
        <v>527</v>
      </c>
      <c r="M2104" t="s">
        <v>72</v>
      </c>
      <c r="N2104" t="s">
        <v>121</v>
      </c>
      <c r="O2104" t="s">
        <v>88</v>
      </c>
      <c r="P2104" t="s">
        <v>146</v>
      </c>
      <c r="Q2104" t="s">
        <v>113</v>
      </c>
      <c r="R2104" t="s">
        <v>58</v>
      </c>
      <c r="S2104" t="s">
        <v>106</v>
      </c>
      <c r="T2104" t="s">
        <v>62</v>
      </c>
      <c r="U2104" t="s">
        <v>123</v>
      </c>
      <c r="V2104" t="s">
        <v>79</v>
      </c>
      <c r="W2104" t="s">
        <v>93</v>
      </c>
      <c r="X2104" t="s">
        <v>107</v>
      </c>
      <c r="Y2104" t="s">
        <v>437</v>
      </c>
      <c r="Z2104" t="s">
        <v>64</v>
      </c>
      <c r="AA2104" t="s">
        <v>485</v>
      </c>
      <c r="AB2104" t="s">
        <v>0</v>
      </c>
      <c r="AC2104" t="s">
        <v>5708</v>
      </c>
    </row>
    <row r="2105" spans="1:29">
      <c r="A2105" t="s">
        <v>5709</v>
      </c>
      <c r="B2105" s="11" t="str">
        <f>IF(ISNUMBER(SEARCH(E2105,A2105)),A2105,IF(OR(E2105="",E2105=""),A2105,A2105&amp;" - "&amp;E2105))</f>
        <v>Tilray Craft THC22 BCR - Beach Crasher</v>
      </c>
      <c r="C2105" t="s">
        <v>133</v>
      </c>
      <c r="D2105" t="s">
        <v>134</v>
      </c>
      <c r="E2105" s="79" t="s">
        <v>4948</v>
      </c>
      <c r="F2105" s="81" t="s">
        <v>177</v>
      </c>
      <c r="G2105" s="83" t="s">
        <v>4126</v>
      </c>
      <c r="H2105" s="83">
        <v>1</v>
      </c>
      <c r="I2105" t="s">
        <v>0</v>
      </c>
      <c r="J2105" t="s">
        <v>0</v>
      </c>
      <c r="K2105" t="s">
        <v>52</v>
      </c>
      <c r="L2105" t="s">
        <v>53</v>
      </c>
      <c r="M2105" t="s">
        <v>88</v>
      </c>
      <c r="N2105" t="s">
        <v>54</v>
      </c>
      <c r="O2105" t="s">
        <v>72</v>
      </c>
      <c r="P2105" t="s">
        <v>1100</v>
      </c>
      <c r="Q2105" t="s">
        <v>75</v>
      </c>
      <c r="R2105" t="s">
        <v>74</v>
      </c>
      <c r="S2105" t="s">
        <v>90</v>
      </c>
      <c r="T2105" t="s">
        <v>106</v>
      </c>
      <c r="U2105" t="s">
        <v>62</v>
      </c>
      <c r="V2105" t="s">
        <v>173</v>
      </c>
      <c r="W2105" t="s">
        <v>77</v>
      </c>
      <c r="X2105" t="s">
        <v>116</v>
      </c>
      <c r="Y2105" t="s">
        <v>283</v>
      </c>
      <c r="Z2105" t="s">
        <v>64</v>
      </c>
      <c r="AA2105" t="s">
        <v>134</v>
      </c>
      <c r="AB2105" t="s">
        <v>0</v>
      </c>
      <c r="AC2105" t="s">
        <v>5710</v>
      </c>
    </row>
    <row r="2106" spans="1:29">
      <c r="A2106" t="s">
        <v>5711</v>
      </c>
      <c r="B2106" s="11" t="str">
        <f>IF(ISNUMBER(SEARCH(E2106,A2106)),A2106,IF(OR(E2106="",E2106=""),A2106,A2106&amp;" - "&amp;E2106))</f>
        <v>Tilray Craft Cannabisblüten THC28 CTB - Cactus Breath</v>
      </c>
      <c r="C2106" t="s">
        <v>133</v>
      </c>
      <c r="D2106" t="s">
        <v>134</v>
      </c>
      <c r="E2106" s="79" t="s">
        <v>5712</v>
      </c>
      <c r="F2106" s="81" t="s">
        <v>86</v>
      </c>
      <c r="G2106" s="83" t="s">
        <v>443</v>
      </c>
      <c r="H2106" s="83">
        <v>1</v>
      </c>
      <c r="I2106" t="s">
        <v>0</v>
      </c>
      <c r="J2106" t="s">
        <v>0</v>
      </c>
      <c r="K2106" t="s">
        <v>52</v>
      </c>
      <c r="L2106" t="s">
        <v>527</v>
      </c>
      <c r="M2106" t="s">
        <v>103</v>
      </c>
      <c r="N2106" t="s">
        <v>121</v>
      </c>
      <c r="O2106" t="s">
        <v>71</v>
      </c>
      <c r="P2106" t="s">
        <v>89</v>
      </c>
      <c r="Q2106" t="s">
        <v>146</v>
      </c>
      <c r="R2106" t="s">
        <v>112</v>
      </c>
      <c r="S2106" t="s">
        <v>90</v>
      </c>
      <c r="T2106" t="s">
        <v>105</v>
      </c>
      <c r="U2106" t="s">
        <v>147</v>
      </c>
      <c r="V2106" t="s">
        <v>138</v>
      </c>
      <c r="W2106" t="s">
        <v>93</v>
      </c>
      <c r="X2106" t="s">
        <v>173</v>
      </c>
      <c r="Y2106" t="s">
        <v>289</v>
      </c>
      <c r="Z2106" t="s">
        <v>64</v>
      </c>
      <c r="AA2106" t="s">
        <v>134</v>
      </c>
      <c r="AB2106" t="s">
        <v>0</v>
      </c>
      <c r="AC2106" t="s">
        <v>5713</v>
      </c>
    </row>
    <row r="2107" spans="1:29">
      <c r="A2107" t="s">
        <v>5714</v>
      </c>
      <c r="B2107" s="11" t="str">
        <f>IF(ISNUMBER(SEARCH(E2107,A2107)),A2107,IF(OR(E2107="",E2107=""),A2107,A2107&amp;" - "&amp;E2107))</f>
        <v>Remexian 33/1 BCL GRY - Grape Yogurt</v>
      </c>
      <c r="C2107" t="s">
        <v>83</v>
      </c>
      <c r="D2107" t="s">
        <v>95</v>
      </c>
      <c r="E2107" s="79" t="s">
        <v>5715</v>
      </c>
      <c r="F2107" s="81" t="s">
        <v>86</v>
      </c>
      <c r="G2107" s="83" t="s">
        <v>4169</v>
      </c>
      <c r="H2107" s="83" t="s">
        <v>65</v>
      </c>
      <c r="I2107" t="s">
        <v>0</v>
      </c>
      <c r="J2107" t="s">
        <v>0</v>
      </c>
      <c r="K2107" t="s">
        <v>52</v>
      </c>
      <c r="L2107" t="s">
        <v>53</v>
      </c>
      <c r="M2107" t="s">
        <v>72</v>
      </c>
      <c r="N2107" t="s">
        <v>54</v>
      </c>
      <c r="O2107" t="s">
        <v>88</v>
      </c>
      <c r="P2107" t="s">
        <v>89</v>
      </c>
      <c r="Q2107" t="s">
        <v>157</v>
      </c>
      <c r="R2107" t="s">
        <v>113</v>
      </c>
      <c r="S2107" t="s">
        <v>62</v>
      </c>
      <c r="T2107" t="s">
        <v>123</v>
      </c>
      <c r="U2107" t="s">
        <v>147</v>
      </c>
      <c r="V2107" t="s">
        <v>77</v>
      </c>
      <c r="W2107" t="s">
        <v>116</v>
      </c>
      <c r="X2107" t="s">
        <v>138</v>
      </c>
      <c r="Y2107" t="s">
        <v>4183</v>
      </c>
      <c r="Z2107" t="s">
        <v>64</v>
      </c>
      <c r="AA2107" t="s">
        <v>95</v>
      </c>
      <c r="AB2107" t="s">
        <v>5716</v>
      </c>
      <c r="AC2107" t="s">
        <v>5717</v>
      </c>
    </row>
    <row r="2108" spans="1:29">
      <c r="A2108" t="s">
        <v>5718</v>
      </c>
      <c r="B2108" s="11" t="str">
        <f>IF(ISNUMBER(SEARCH(E2108,A2108)),A2108,IF(OR(E2108="",E2108=""),A2108,A2108&amp;" - "&amp;E2108))</f>
        <v>bava med 24/1 BLU-SK - Blue Skittlz</v>
      </c>
      <c r="C2108" t="s">
        <v>4180</v>
      </c>
      <c r="D2108" t="s">
        <v>5258</v>
      </c>
      <c r="E2108" s="79" t="s">
        <v>4205</v>
      </c>
      <c r="F2108" s="81" t="s">
        <v>177</v>
      </c>
      <c r="G2108" s="83" t="s">
        <v>448</v>
      </c>
      <c r="H2108" s="83" t="s">
        <v>65</v>
      </c>
      <c r="I2108" t="s">
        <v>0</v>
      </c>
      <c r="J2108" t="s">
        <v>0</v>
      </c>
      <c r="K2108" t="s">
        <v>52</v>
      </c>
      <c r="L2108" t="s">
        <v>102</v>
      </c>
      <c r="M2108" t="s">
        <v>55</v>
      </c>
      <c r="N2108" t="s">
        <v>54</v>
      </c>
      <c r="O2108" t="s">
        <v>88</v>
      </c>
      <c r="P2108" t="s">
        <v>112</v>
      </c>
      <c r="Q2108" t="s">
        <v>89</v>
      </c>
      <c r="R2108" t="s">
        <v>75</v>
      </c>
      <c r="S2108" t="s">
        <v>128</v>
      </c>
      <c r="T2108" t="s">
        <v>106</v>
      </c>
      <c r="U2108" t="s">
        <v>62</v>
      </c>
      <c r="V2108" t="s">
        <v>292</v>
      </c>
      <c r="W2108" t="s">
        <v>107</v>
      </c>
      <c r="X2108" t="s">
        <v>173</v>
      </c>
      <c r="Y2108" t="s">
        <v>5136</v>
      </c>
      <c r="Z2108" t="s">
        <v>64</v>
      </c>
      <c r="AA2108" t="s">
        <v>5258</v>
      </c>
      <c r="AB2108" t="s">
        <v>0</v>
      </c>
      <c r="AC2108" t="s">
        <v>5719</v>
      </c>
    </row>
    <row r="2109" spans="1:29">
      <c r="A2109" t="s">
        <v>5720</v>
      </c>
      <c r="B2109" s="11" t="str">
        <f>IF(ISNUMBER(SEARCH(E2109,A2109)),A2109,IF(OR(E2109="",E2109=""),A2109,A2109&amp;" - "&amp;E2109))</f>
        <v>Wellford Aquaponic 26/1 GTH - Ghost Train Haze</v>
      </c>
      <c r="C2109" t="s">
        <v>741</v>
      </c>
      <c r="D2109" t="s">
        <v>742</v>
      </c>
      <c r="E2109" s="79" t="s">
        <v>343</v>
      </c>
      <c r="F2109" s="81" t="s">
        <v>144</v>
      </c>
      <c r="G2109" s="83" t="s">
        <v>4086</v>
      </c>
      <c r="H2109" s="83" t="s">
        <v>65</v>
      </c>
      <c r="I2109" t="s">
        <v>0</v>
      </c>
      <c r="J2109" t="s">
        <v>0</v>
      </c>
      <c r="K2109" t="s">
        <v>52</v>
      </c>
      <c r="L2109" t="s">
        <v>53</v>
      </c>
      <c r="M2109" t="s">
        <v>55</v>
      </c>
      <c r="N2109" t="s">
        <v>111</v>
      </c>
      <c r="O2109" t="s">
        <v>178</v>
      </c>
      <c r="P2109" t="s">
        <v>75</v>
      </c>
      <c r="Q2109" t="s">
        <v>59</v>
      </c>
      <c r="R2109" t="s">
        <v>146</v>
      </c>
      <c r="S2109" t="s">
        <v>90</v>
      </c>
      <c r="T2109" t="s">
        <v>106</v>
      </c>
      <c r="U2109" t="s">
        <v>105</v>
      </c>
      <c r="V2109" t="s">
        <v>107</v>
      </c>
      <c r="W2109" t="s">
        <v>77</v>
      </c>
      <c r="X2109" t="s">
        <v>79</v>
      </c>
      <c r="Y2109" t="s">
        <v>1372</v>
      </c>
      <c r="Z2109" t="s">
        <v>64</v>
      </c>
      <c r="AA2109" t="s">
        <v>742</v>
      </c>
      <c r="AB2109" t="s">
        <v>979</v>
      </c>
      <c r="AC2109" t="s">
        <v>5721</v>
      </c>
    </row>
    <row r="2110" spans="1:29">
      <c r="A2110" t="s">
        <v>5722</v>
      </c>
      <c r="B2110" s="11" t="str">
        <f>IF(ISNUMBER(SEARCH(E2110,A2110)),A2110,IF(OR(E2110="",E2110=""),A2110,A2110&amp;" - "&amp;E2110))</f>
        <v>Wellford Aquaponic 23/1 CRO - Crescendo Cookies</v>
      </c>
      <c r="C2110" t="s">
        <v>741</v>
      </c>
      <c r="D2110" t="s">
        <v>742</v>
      </c>
      <c r="E2110" s="79" t="s">
        <v>893</v>
      </c>
      <c r="F2110" s="81" t="s">
        <v>120</v>
      </c>
      <c r="G2110" s="83" t="s">
        <v>436</v>
      </c>
      <c r="H2110" s="83" t="s">
        <v>65</v>
      </c>
      <c r="I2110" t="s">
        <v>0</v>
      </c>
      <c r="J2110" t="s">
        <v>0</v>
      </c>
      <c r="K2110" t="s">
        <v>52</v>
      </c>
      <c r="L2110" t="s">
        <v>53</v>
      </c>
      <c r="M2110" t="s">
        <v>72</v>
      </c>
      <c r="N2110" t="s">
        <v>212</v>
      </c>
      <c r="O2110" t="s">
        <v>88</v>
      </c>
      <c r="P2110" t="s">
        <v>113</v>
      </c>
      <c r="Q2110" t="s">
        <v>58</v>
      </c>
      <c r="R2110" t="s">
        <v>89</v>
      </c>
      <c r="S2110" t="s">
        <v>128</v>
      </c>
      <c r="T2110" t="s">
        <v>61</v>
      </c>
      <c r="U2110" t="s">
        <v>62</v>
      </c>
      <c r="V2110" t="s">
        <v>116</v>
      </c>
      <c r="W2110" t="s">
        <v>173</v>
      </c>
      <c r="X2110" t="s">
        <v>77</v>
      </c>
      <c r="Y2110" t="s">
        <v>1372</v>
      </c>
      <c r="Z2110" t="s">
        <v>64</v>
      </c>
      <c r="AA2110" t="s">
        <v>742</v>
      </c>
      <c r="AB2110" t="s">
        <v>979</v>
      </c>
      <c r="AC2110" t="s">
        <v>5723</v>
      </c>
    </row>
    <row r="2111" spans="1:29">
      <c r="A2111" t="s">
        <v>5724</v>
      </c>
      <c r="B2111" s="11" t="str">
        <f>IF(ISNUMBER(SEARCH(E2111,A2111)),A2111,IF(OR(E2111="",E2111=""),A2111,A2111&amp;" - "&amp;E2111))</f>
        <v>Bathera 35/1 PP - Polar Pop</v>
      </c>
      <c r="C2111" t="s">
        <v>4625</v>
      </c>
      <c r="D2111" t="s">
        <v>160</v>
      </c>
      <c r="E2111" s="79" t="s">
        <v>1600</v>
      </c>
      <c r="F2111" s="81" t="s">
        <v>144</v>
      </c>
      <c r="G2111" s="83" t="s">
        <v>5365</v>
      </c>
      <c r="H2111" s="83" t="s">
        <v>65</v>
      </c>
      <c r="I2111" t="s">
        <v>0</v>
      </c>
      <c r="J2111" t="s">
        <v>0</v>
      </c>
      <c r="K2111" t="s">
        <v>52</v>
      </c>
      <c r="L2111" t="s">
        <v>102</v>
      </c>
      <c r="M2111" t="s">
        <v>72</v>
      </c>
      <c r="N2111" t="s">
        <v>54</v>
      </c>
      <c r="O2111" t="s">
        <v>88</v>
      </c>
      <c r="P2111" t="s">
        <v>74</v>
      </c>
      <c r="Q2111" t="s">
        <v>89</v>
      </c>
      <c r="R2111" t="s">
        <v>112</v>
      </c>
      <c r="S2111" t="s">
        <v>128</v>
      </c>
      <c r="T2111" t="s">
        <v>61</v>
      </c>
      <c r="U2111" t="s">
        <v>62</v>
      </c>
      <c r="V2111" t="s">
        <v>79</v>
      </c>
      <c r="W2111" t="s">
        <v>107</v>
      </c>
      <c r="X2111" t="s">
        <v>77</v>
      </c>
      <c r="Y2111" t="s">
        <v>130</v>
      </c>
      <c r="Z2111" t="s">
        <v>64</v>
      </c>
      <c r="AA2111" t="s">
        <v>160</v>
      </c>
      <c r="AB2111" t="s">
        <v>160</v>
      </c>
      <c r="AC2111" t="s">
        <v>5725</v>
      </c>
    </row>
    <row r="2112" spans="1:29">
      <c r="A2112" t="s">
        <v>5726</v>
      </c>
      <c r="B2112" s="11" t="str">
        <f>IF(ISNUMBER(SEARCH(E2112,A2112)),A2112,IF(OR(E2112="",E2112=""),A2112,A2112&amp;" - "&amp;E2112))</f>
        <v>IMC THC22 Token OGC - OG Cheese</v>
      </c>
      <c r="C2112" t="s">
        <v>646</v>
      </c>
      <c r="D2112" t="s">
        <v>646</v>
      </c>
      <c r="E2112" s="79" t="s">
        <v>5692</v>
      </c>
      <c r="F2112" s="81" t="s">
        <v>177</v>
      </c>
      <c r="G2112" s="83" t="s">
        <v>4126</v>
      </c>
      <c r="H2112" s="83">
        <v>1</v>
      </c>
      <c r="I2112" t="s">
        <v>0</v>
      </c>
      <c r="J2112" t="s">
        <v>0</v>
      </c>
      <c r="K2112" t="s">
        <v>52</v>
      </c>
      <c r="L2112" t="s">
        <v>53</v>
      </c>
      <c r="M2112" t="s">
        <v>121</v>
      </c>
      <c r="N2112" t="s">
        <v>88</v>
      </c>
      <c r="O2112" t="s">
        <v>72</v>
      </c>
      <c r="P2112" t="s">
        <v>59</v>
      </c>
      <c r="Q2112" t="s">
        <v>75</v>
      </c>
      <c r="R2112" t="s">
        <v>74</v>
      </c>
      <c r="S2112" t="s">
        <v>106</v>
      </c>
      <c r="T2112" t="s">
        <v>62</v>
      </c>
      <c r="U2112" t="s">
        <v>123</v>
      </c>
      <c r="V2112" t="s">
        <v>93</v>
      </c>
      <c r="W2112" t="s">
        <v>173</v>
      </c>
      <c r="X2112" t="s">
        <v>77</v>
      </c>
      <c r="Y2112" t="s">
        <v>1175</v>
      </c>
      <c r="Z2112" t="s">
        <v>64</v>
      </c>
      <c r="AA2112" t="s">
        <v>646</v>
      </c>
      <c r="AB2112" t="s">
        <v>0</v>
      </c>
      <c r="AC2112" t="s">
        <v>5727</v>
      </c>
    </row>
    <row r="2113" spans="1:29">
      <c r="A2113" t="s">
        <v>5728</v>
      </c>
      <c r="B2113" s="11" t="str">
        <f>IF(ISNUMBER(SEARCH(E2113,A2113)),A2113,IF(OR(E2113="",E2113=""),A2113,A2113&amp;" - "&amp;E2113))</f>
        <v>Nedcann JOG 23/01 Joker OG #3</v>
      </c>
      <c r="C2113" t="s">
        <v>5133</v>
      </c>
      <c r="D2113" t="s">
        <v>5176</v>
      </c>
      <c r="E2113" s="79" t="s">
        <v>5177</v>
      </c>
      <c r="F2113" s="81" t="s">
        <v>177</v>
      </c>
      <c r="G2113" s="83" t="s">
        <v>436</v>
      </c>
      <c r="H2113" s="83">
        <v>1</v>
      </c>
      <c r="I2113" t="s">
        <v>0</v>
      </c>
      <c r="J2113" t="s">
        <v>0</v>
      </c>
      <c r="K2113" t="s">
        <v>52</v>
      </c>
      <c r="L2113" t="s">
        <v>145</v>
      </c>
      <c r="M2113" t="s">
        <v>71</v>
      </c>
      <c r="N2113" t="s">
        <v>72</v>
      </c>
      <c r="O2113" t="s">
        <v>88</v>
      </c>
      <c r="P2113" t="s">
        <v>75</v>
      </c>
      <c r="Q2113" t="s">
        <v>73</v>
      </c>
      <c r="R2113" t="s">
        <v>59</v>
      </c>
      <c r="S2113" t="s">
        <v>179</v>
      </c>
      <c r="T2113" t="s">
        <v>62</v>
      </c>
      <c r="U2113" t="s">
        <v>164</v>
      </c>
      <c r="V2113" t="s">
        <v>107</v>
      </c>
      <c r="W2113" t="s">
        <v>79</v>
      </c>
      <c r="X2113" t="s">
        <v>173</v>
      </c>
      <c r="Y2113" t="s">
        <v>1090</v>
      </c>
      <c r="Z2113" t="s">
        <v>64</v>
      </c>
      <c r="AA2113" t="s">
        <v>5176</v>
      </c>
      <c r="AB2113" t="s">
        <v>0</v>
      </c>
      <c r="AC2113" t="s">
        <v>5729</v>
      </c>
    </row>
    <row r="2114" spans="1:29">
      <c r="A2114" t="s">
        <v>5730</v>
      </c>
      <c r="B2114" s="11" t="str">
        <f>IF(ISNUMBER(SEARCH(E2114,A2114)),A2114,IF(OR(E2114="",E2114=""),A2114,A2114&amp;" - "&amp;E2114))</f>
        <v>Buuo 20/1 FO USS Ultra Sour Sativa</v>
      </c>
      <c r="C2114" t="s">
        <v>641</v>
      </c>
      <c r="D2114" t="s">
        <v>642</v>
      </c>
      <c r="E2114" s="79" t="s">
        <v>5254</v>
      </c>
      <c r="F2114" s="81" t="s">
        <v>144</v>
      </c>
      <c r="G2114" s="83" t="s">
        <v>460</v>
      </c>
      <c r="H2114" s="83">
        <v>1</v>
      </c>
      <c r="I2114" t="s">
        <v>0</v>
      </c>
      <c r="J2114" t="s">
        <v>0</v>
      </c>
      <c r="K2114" t="s">
        <v>52</v>
      </c>
      <c r="L2114" t="s">
        <v>53</v>
      </c>
      <c r="M2114" t="s">
        <v>72</v>
      </c>
      <c r="N2114" t="s">
        <v>55</v>
      </c>
      <c r="O2114" t="s">
        <v>0</v>
      </c>
      <c r="P2114" t="s">
        <v>59</v>
      </c>
      <c r="Q2114" t="s">
        <v>73</v>
      </c>
      <c r="R2114" t="s">
        <v>75</v>
      </c>
      <c r="S2114" t="s">
        <v>90</v>
      </c>
      <c r="T2114" t="s">
        <v>106</v>
      </c>
      <c r="U2114" t="s">
        <v>62</v>
      </c>
      <c r="V2114" t="s">
        <v>116</v>
      </c>
      <c r="W2114" t="s">
        <v>173</v>
      </c>
      <c r="X2114" t="s">
        <v>77</v>
      </c>
      <c r="Y2114" t="s">
        <v>1820</v>
      </c>
      <c r="Z2114" t="s">
        <v>64</v>
      </c>
      <c r="AA2114" t="s">
        <v>642</v>
      </c>
      <c r="AB2114" t="s">
        <v>0</v>
      </c>
      <c r="AC2114" t="s">
        <v>5731</v>
      </c>
    </row>
    <row r="2115" spans="1:29">
      <c r="A2115" t="s">
        <v>5732</v>
      </c>
      <c r="B2115" s="11" t="str">
        <f>IF(ISNUMBER(SEARCH(E2115,A2115)),A2115,IF(OR(E2115="",E2115=""),A2115,A2115&amp;" - "&amp;E2115))</f>
        <v>Buuo 20/1 FO BH - Boss Haze</v>
      </c>
      <c r="C2115" t="s">
        <v>641</v>
      </c>
      <c r="D2115" t="s">
        <v>642</v>
      </c>
      <c r="E2115" s="79" t="s">
        <v>5733</v>
      </c>
      <c r="F2115" s="81" t="s">
        <v>144</v>
      </c>
      <c r="G2115" s="83" t="s">
        <v>452</v>
      </c>
      <c r="H2115" s="83">
        <v>1</v>
      </c>
      <c r="I2115" t="s">
        <v>0</v>
      </c>
      <c r="J2115" t="s">
        <v>0</v>
      </c>
      <c r="K2115" t="s">
        <v>52</v>
      </c>
      <c r="L2115" t="s">
        <v>53</v>
      </c>
      <c r="M2115" t="s">
        <v>54</v>
      </c>
      <c r="N2115" t="s">
        <v>55</v>
      </c>
      <c r="O2115" t="s">
        <v>111</v>
      </c>
      <c r="P2115" t="s">
        <v>73</v>
      </c>
      <c r="Q2115" t="s">
        <v>74</v>
      </c>
      <c r="R2115" t="s">
        <v>59</v>
      </c>
      <c r="S2115" t="s">
        <v>106</v>
      </c>
      <c r="T2115" t="s">
        <v>62</v>
      </c>
      <c r="U2115" t="s">
        <v>147</v>
      </c>
      <c r="V2115" t="s">
        <v>107</v>
      </c>
      <c r="W2115" t="s">
        <v>173</v>
      </c>
      <c r="X2115" t="s">
        <v>77</v>
      </c>
      <c r="Y2115" t="s">
        <v>1820</v>
      </c>
      <c r="Z2115" t="s">
        <v>64</v>
      </c>
      <c r="AA2115" t="s">
        <v>642</v>
      </c>
      <c r="AB2115" t="s">
        <v>0</v>
      </c>
      <c r="AC2115" t="s">
        <v>5734</v>
      </c>
    </row>
    <row r="2116" spans="1:29">
      <c r="A2116" t="s">
        <v>3388</v>
      </c>
      <c r="B2116" s="11" t="str">
        <f>IF(ISNUMBER(SEARCH(E2116,A2116)),A2116,IF(OR(E2116="",E2116=""),A2116,A2116&amp;" - "&amp;E2116))</f>
        <v>Tilray THC 18 Spotlight Vancouver - Island Sweet Skunk</v>
      </c>
      <c r="C2116" t="s">
        <v>133</v>
      </c>
      <c r="D2116" t="s">
        <v>134</v>
      </c>
      <c r="E2116" s="79" t="s">
        <v>135</v>
      </c>
      <c r="F2116" s="81" t="s">
        <v>69</v>
      </c>
      <c r="G2116" s="83" t="s">
        <v>8</v>
      </c>
      <c r="H2116" s="83">
        <v>1</v>
      </c>
      <c r="I2116" t="s">
        <v>0</v>
      </c>
      <c r="J2116" t="s">
        <v>0</v>
      </c>
      <c r="K2116" t="s">
        <v>17</v>
      </c>
      <c r="L2116" t="s">
        <v>53</v>
      </c>
      <c r="M2116" t="s">
        <v>54</v>
      </c>
      <c r="N2116" t="s">
        <v>55</v>
      </c>
      <c r="O2116" t="s">
        <v>178</v>
      </c>
      <c r="P2116" t="s">
        <v>89</v>
      </c>
      <c r="Q2116" t="s">
        <v>136</v>
      </c>
      <c r="R2116" t="s">
        <v>58</v>
      </c>
      <c r="S2116" t="s">
        <v>90</v>
      </c>
      <c r="T2116" t="s">
        <v>179</v>
      </c>
      <c r="U2116" t="s">
        <v>62</v>
      </c>
      <c r="V2116" t="s">
        <v>107</v>
      </c>
      <c r="W2116" t="s">
        <v>77</v>
      </c>
      <c r="X2116" t="s">
        <v>79</v>
      </c>
      <c r="Y2116" t="s">
        <v>213</v>
      </c>
      <c r="Z2116" t="s">
        <v>64</v>
      </c>
      <c r="AA2116" t="s">
        <v>134</v>
      </c>
      <c r="AB2116" t="s">
        <v>0</v>
      </c>
      <c r="AC2116" t="s">
        <v>5735</v>
      </c>
    </row>
    <row r="2117" spans="1:29">
      <c r="A2117" t="s">
        <v>5736</v>
      </c>
      <c r="B2117" s="11" t="str">
        <f>IF(ISNUMBER(SEARCH(E2117,A2117)),A2117,IF(OR(E2117="",E2117=""),A2117,A2117&amp;" - "&amp;E2117))</f>
        <v>Somai Canify Cannabisextrakt 25/25</v>
      </c>
      <c r="C2117" t="s">
        <v>99</v>
      </c>
      <c r="D2117" t="s">
        <v>100</v>
      </c>
      <c r="E2117" s="79" t="s">
        <v>0</v>
      </c>
      <c r="F2117" s="81" t="s">
        <v>120</v>
      </c>
      <c r="G2117" s="83" t="s">
        <v>0</v>
      </c>
      <c r="H2117" s="95" t="s">
        <v>0</v>
      </c>
      <c r="I2117" t="s">
        <v>26</v>
      </c>
      <c r="J2117" t="s">
        <v>26</v>
      </c>
      <c r="K2117" t="s">
        <v>1918</v>
      </c>
      <c r="L2117" t="s">
        <v>102</v>
      </c>
      <c r="M2117" t="s">
        <v>121</v>
      </c>
      <c r="N2117" t="s">
        <v>72</v>
      </c>
      <c r="O2117" t="s">
        <v>103</v>
      </c>
      <c r="P2117" t="s">
        <v>0</v>
      </c>
      <c r="Q2117" t="s">
        <v>0</v>
      </c>
      <c r="R2117" t="s">
        <v>0</v>
      </c>
      <c r="S2117" t="s">
        <v>90</v>
      </c>
      <c r="T2117" t="s">
        <v>128</v>
      </c>
      <c r="U2117" t="s">
        <v>62</v>
      </c>
      <c r="V2117" t="s">
        <v>107</v>
      </c>
      <c r="W2117" t="s">
        <v>77</v>
      </c>
      <c r="X2117" t="s">
        <v>78</v>
      </c>
      <c r="Y2117" t="s">
        <v>0</v>
      </c>
      <c r="Z2117" t="s">
        <v>1915</v>
      </c>
      <c r="AA2117" t="s">
        <v>100</v>
      </c>
      <c r="AB2117" t="s">
        <v>0</v>
      </c>
      <c r="AC2117" t="s">
        <v>5737</v>
      </c>
    </row>
    <row r="2118" spans="1:29">
      <c r="A2118" t="s">
        <v>5738</v>
      </c>
      <c r="B2118" s="11" t="str">
        <f>IF(ISNUMBER(SEARCH(E2118,A2118)),A2118,IF(OR(E2118="",E2118=""),A2118,A2118&amp;" - "&amp;E2118))</f>
        <v>Becanex PIEX 1 70% THC Rohextrakt</v>
      </c>
      <c r="C2118" s="29" t="s">
        <v>3818</v>
      </c>
      <c r="D2118" s="33" t="s">
        <v>3819</v>
      </c>
      <c r="E2118" s="79" t="s">
        <v>0</v>
      </c>
      <c r="F2118" s="81"/>
      <c r="G2118" s="83" t="s">
        <v>0</v>
      </c>
      <c r="H2118" s="95" t="s">
        <v>0</v>
      </c>
      <c r="I2118" t="s">
        <v>44</v>
      </c>
      <c r="J2118" t="s">
        <v>65</v>
      </c>
      <c r="K2118" t="s">
        <v>5739</v>
      </c>
      <c r="L2118" t="s">
        <v>527</v>
      </c>
      <c r="M2118" t="s">
        <v>0</v>
      </c>
      <c r="N2118" t="s">
        <v>0</v>
      </c>
      <c r="O2118" t="s">
        <v>0</v>
      </c>
      <c r="P2118" t="s">
        <v>0</v>
      </c>
      <c r="Q2118" t="s">
        <v>0</v>
      </c>
      <c r="R2118" t="s">
        <v>0</v>
      </c>
      <c r="S2118" t="s">
        <v>128</v>
      </c>
      <c r="T2118" t="s">
        <v>61</v>
      </c>
      <c r="U2118" t="s">
        <v>62</v>
      </c>
      <c r="V2118" t="s">
        <v>0</v>
      </c>
      <c r="W2118" t="s">
        <v>0</v>
      </c>
      <c r="X2118" t="s">
        <v>0</v>
      </c>
      <c r="Y2118" t="s">
        <v>0</v>
      </c>
      <c r="Z2118" t="s">
        <v>1915</v>
      </c>
      <c r="AA2118" t="s">
        <v>0</v>
      </c>
      <c r="AB2118" t="s">
        <v>0</v>
      </c>
      <c r="AC2118" t="s">
        <v>5740</v>
      </c>
    </row>
    <row r="2119" spans="1:29">
      <c r="A2119" t="s">
        <v>5741</v>
      </c>
      <c r="B2119" s="11" t="str">
        <f>IF(ISNUMBER(SEARCH(E2119,A2119)),A2119,IF(OR(E2119="",E2119=""),A2119,A2119&amp;" - "&amp;E2119))</f>
        <v>Nimbus Vita Pura 25:1</v>
      </c>
      <c r="C2119" t="s">
        <v>141</v>
      </c>
      <c r="D2119" t="s">
        <v>149</v>
      </c>
      <c r="E2119" s="79" t="s">
        <v>0</v>
      </c>
      <c r="F2119" s="81" t="s">
        <v>120</v>
      </c>
      <c r="G2119" s="83" t="s">
        <v>0</v>
      </c>
      <c r="H2119" s="95" t="s">
        <v>0</v>
      </c>
      <c r="I2119" t="s">
        <v>26</v>
      </c>
      <c r="J2119" t="s">
        <v>65</v>
      </c>
      <c r="M2119" t="s">
        <v>121</v>
      </c>
      <c r="N2119" t="s">
        <v>72</v>
      </c>
      <c r="O2119" t="s">
        <v>0</v>
      </c>
      <c r="P2119" t="s">
        <v>0</v>
      </c>
      <c r="Q2119" t="s">
        <v>0</v>
      </c>
      <c r="R2119" t="s">
        <v>0</v>
      </c>
      <c r="S2119" t="s">
        <v>106</v>
      </c>
      <c r="T2119" t="s">
        <v>62</v>
      </c>
      <c r="U2119" t="s">
        <v>123</v>
      </c>
      <c r="V2119" t="s">
        <v>107</v>
      </c>
      <c r="W2119" t="s">
        <v>116</v>
      </c>
      <c r="X2119" t="s">
        <v>77</v>
      </c>
      <c r="Y2119" t="s">
        <v>0</v>
      </c>
      <c r="Z2119" t="s">
        <v>1915</v>
      </c>
      <c r="AA2119" t="s">
        <v>149</v>
      </c>
      <c r="AB2119" t="s">
        <v>0</v>
      </c>
      <c r="AC2119" t="s">
        <v>5742</v>
      </c>
    </row>
    <row r="2120" spans="1:29">
      <c r="A2120" t="s">
        <v>5743</v>
      </c>
      <c r="B2120" s="11" t="str">
        <f>IF(ISNUMBER(SEARCH(E2120,A2120)),A2120,IF(OR(E2120="",E2120=""),A2120,A2120&amp;" - "&amp;E2120))</f>
        <v>Nimbus Vita Balance 25:25</v>
      </c>
      <c r="C2120" t="s">
        <v>141</v>
      </c>
      <c r="D2120" t="s">
        <v>149</v>
      </c>
      <c r="E2120" s="79" t="s">
        <v>0</v>
      </c>
      <c r="F2120" s="81"/>
      <c r="G2120" s="83" t="s">
        <v>0</v>
      </c>
      <c r="H2120" s="95" t="s">
        <v>0</v>
      </c>
      <c r="I2120" t="s">
        <v>26</v>
      </c>
      <c r="J2120" t="s">
        <v>26</v>
      </c>
      <c r="M2120" t="s">
        <v>0</v>
      </c>
      <c r="N2120" t="s">
        <v>0</v>
      </c>
      <c r="O2120" t="s">
        <v>0</v>
      </c>
      <c r="P2120" t="s">
        <v>0</v>
      </c>
      <c r="Q2120" t="s">
        <v>0</v>
      </c>
      <c r="R2120" t="s">
        <v>0</v>
      </c>
      <c r="S2120" t="s">
        <v>128</v>
      </c>
      <c r="T2120" t="s">
        <v>62</v>
      </c>
      <c r="U2120" t="s">
        <v>91</v>
      </c>
      <c r="V2120" t="s">
        <v>0</v>
      </c>
      <c r="W2120" t="s">
        <v>0</v>
      </c>
      <c r="X2120" t="s">
        <v>0</v>
      </c>
      <c r="Y2120" t="s">
        <v>0</v>
      </c>
      <c r="Z2120" t="s">
        <v>1915</v>
      </c>
      <c r="AA2120" t="s">
        <v>149</v>
      </c>
      <c r="AB2120" t="s">
        <v>0</v>
      </c>
      <c r="AC2120" t="s">
        <v>5744</v>
      </c>
    </row>
    <row r="2121" spans="1:29">
      <c r="A2121" t="s">
        <v>5745</v>
      </c>
      <c r="B2121" s="11" t="str">
        <f>IF(ISNUMBER(SEARCH(E2121,A2121)),A2121,IF(OR(E2121="",E2121=""),A2121,A2121&amp;" - "&amp;E2121))</f>
        <v>enua 22/1 USR CA - Ultra Sour</v>
      </c>
      <c r="C2121" t="s">
        <v>650</v>
      </c>
      <c r="D2121" t="s">
        <v>653</v>
      </c>
      <c r="E2121" t="s">
        <v>5254</v>
      </c>
      <c r="F2121" t="s">
        <v>144</v>
      </c>
      <c r="G2121" t="s">
        <v>452</v>
      </c>
      <c r="H2121" t="s">
        <v>65</v>
      </c>
      <c r="I2121" t="s">
        <v>0</v>
      </c>
      <c r="J2121" t="s">
        <v>0</v>
      </c>
      <c r="K2121" t="s">
        <v>52</v>
      </c>
      <c r="L2121" t="s">
        <v>53</v>
      </c>
      <c r="M2121" t="s">
        <v>72</v>
      </c>
      <c r="N2121" t="s">
        <v>55</v>
      </c>
      <c r="O2121" t="s">
        <v>0</v>
      </c>
      <c r="P2121" t="s">
        <v>59</v>
      </c>
      <c r="Q2121" t="s">
        <v>73</v>
      </c>
      <c r="R2121" t="s">
        <v>75</v>
      </c>
      <c r="S2121" t="s">
        <v>90</v>
      </c>
      <c r="T2121" t="s">
        <v>61</v>
      </c>
      <c r="U2121" t="s">
        <v>62</v>
      </c>
      <c r="V2121" t="s">
        <v>116</v>
      </c>
      <c r="W2121" t="s">
        <v>173</v>
      </c>
      <c r="X2121" t="s">
        <v>77</v>
      </c>
      <c r="Y2121" t="s">
        <v>1820</v>
      </c>
      <c r="Z2121" t="s">
        <v>64</v>
      </c>
      <c r="AA2121" t="s">
        <v>653</v>
      </c>
      <c r="AB2121" t="s">
        <v>0</v>
      </c>
      <c r="AC2121" t="s">
        <v>5746</v>
      </c>
    </row>
    <row r="2122" spans="1:29">
      <c r="A2122" t="s">
        <v>5747</v>
      </c>
      <c r="B2122" s="11" t="str">
        <f>IF(ISNUMBER(SEARCH(E2122,A2122)),A2122,IF(OR(E2122="",E2122=""),A2122,A2122&amp;" - "&amp;E2122))</f>
        <v>420 Evolution 25/1 CA UNC - Unicorn Cake</v>
      </c>
      <c r="C2122" t="str">
        <f>_xlfn.XLOOKUP(D2122,$D$2:$D$2120,$C$2:$C$2120,"",0)</f>
        <v>FOUR20PHAR</v>
      </c>
      <c r="D2122" t="s">
        <v>468</v>
      </c>
      <c r="E2122" s="79" t="s">
        <v>5748</v>
      </c>
      <c r="F2122" s="81" t="s">
        <v>177</v>
      </c>
      <c r="G2122" s="83" t="s">
        <v>448</v>
      </c>
      <c r="H2122" s="95" t="s">
        <v>65</v>
      </c>
      <c r="I2122" t="s">
        <v>0</v>
      </c>
      <c r="J2122" t="s">
        <v>0</v>
      </c>
      <c r="K2122" t="s">
        <v>52</v>
      </c>
      <c r="L2122" t="s">
        <v>53</v>
      </c>
      <c r="M2122" t="s">
        <v>111</v>
      </c>
      <c r="N2122" t="s">
        <v>71</v>
      </c>
      <c r="O2122" t="s">
        <v>72</v>
      </c>
      <c r="P2122" t="s">
        <v>59</v>
      </c>
      <c r="Q2122" t="s">
        <v>136</v>
      </c>
      <c r="R2122" t="s">
        <v>104</v>
      </c>
      <c r="S2122" t="s">
        <v>128</v>
      </c>
      <c r="T2122" t="s">
        <v>106</v>
      </c>
      <c r="U2122" t="s">
        <v>164</v>
      </c>
      <c r="V2122" t="s">
        <v>79</v>
      </c>
      <c r="W2122" t="s">
        <v>77</v>
      </c>
      <c r="X2122" t="s">
        <v>0</v>
      </c>
      <c r="Y2122" t="s">
        <v>361</v>
      </c>
      <c r="Z2122" t="s">
        <v>64</v>
      </c>
      <c r="AA2122" t="s">
        <v>468</v>
      </c>
      <c r="AB2122" t="s">
        <v>0</v>
      </c>
      <c r="AC2122" t="s">
        <v>5749</v>
      </c>
    </row>
    <row r="2123" spans="1:29">
      <c r="A2123" t="s">
        <v>5750</v>
      </c>
      <c r="B2123" s="11" t="str">
        <f>IF(ISNUMBER(SEARCH(E2123,A2123)),A2123,IF(OR(E2123="",E2123=""),A2123,A2123&amp;" - "&amp;E2123))</f>
        <v>Luana 28/1 Pine - Solpina Magic</v>
      </c>
      <c r="C2123" t="str">
        <f>_xlfn.XLOOKUP(D2123,$D$2:$D$2120,$C$2:$C$2120,"",0)</f>
        <v>CANNAMEDIC</v>
      </c>
      <c r="D2123" t="s">
        <v>49</v>
      </c>
      <c r="E2123" s="79" t="s">
        <v>5577</v>
      </c>
      <c r="F2123" s="81" t="s">
        <v>120</v>
      </c>
      <c r="G2123" s="83" t="s">
        <v>4164</v>
      </c>
      <c r="H2123" s="95">
        <v>1</v>
      </c>
      <c r="I2123" t="s">
        <v>0</v>
      </c>
      <c r="J2123" t="s">
        <v>0</v>
      </c>
      <c r="K2123" t="s">
        <v>52</v>
      </c>
      <c r="L2123" t="s">
        <v>53</v>
      </c>
      <c r="M2123" t="s">
        <v>103</v>
      </c>
      <c r="N2123" t="s">
        <v>178</v>
      </c>
      <c r="O2123" t="s">
        <v>71</v>
      </c>
      <c r="P2123" t="s">
        <v>59</v>
      </c>
      <c r="Q2123" t="s">
        <v>75</v>
      </c>
      <c r="R2123" t="s">
        <v>113</v>
      </c>
      <c r="S2123" t="s">
        <v>106</v>
      </c>
      <c r="T2123" t="s">
        <v>62</v>
      </c>
      <c r="U2123" t="s">
        <v>147</v>
      </c>
      <c r="V2123" t="s">
        <v>138</v>
      </c>
      <c r="W2123" t="s">
        <v>107</v>
      </c>
      <c r="X2123" t="s">
        <v>93</v>
      </c>
      <c r="Y2123" t="s">
        <v>322</v>
      </c>
      <c r="Z2123" t="s">
        <v>64</v>
      </c>
      <c r="AA2123" t="s">
        <v>49</v>
      </c>
      <c r="AB2123" t="s">
        <v>0</v>
      </c>
      <c r="AC2123" t="s">
        <v>5751</v>
      </c>
    </row>
    <row r="2124" spans="1:29">
      <c r="A2124" t="s">
        <v>5752</v>
      </c>
      <c r="B2124" s="11" t="str">
        <f>IF(ISNUMBER(SEARCH(E2124,A2124)),A2124,IF(OR(E2124="",E2124=""),A2124,A2124&amp;" - "&amp;E2124))</f>
        <v>Demecan Craft Cali 31:01 - Hawaiian Rain X Permanent Marker</v>
      </c>
      <c r="C2124" t="str">
        <f>_xlfn.XLOOKUP(D2124,$D$2:$D$2120,$C$2:$C$2120,"",0)</f>
        <v>DEMECAN</v>
      </c>
      <c r="D2124" t="s">
        <v>485</v>
      </c>
      <c r="E2124" s="79" t="s">
        <v>1568</v>
      </c>
      <c r="F2124" s="81" t="s">
        <v>177</v>
      </c>
      <c r="G2124" s="83" t="s">
        <v>4488</v>
      </c>
      <c r="H2124" s="95" t="s">
        <v>65</v>
      </c>
      <c r="I2124" t="s">
        <v>0</v>
      </c>
      <c r="J2124" t="s">
        <v>0</v>
      </c>
      <c r="K2124" t="s">
        <v>52</v>
      </c>
      <c r="L2124" t="s">
        <v>53</v>
      </c>
      <c r="M2124" t="s">
        <v>54</v>
      </c>
      <c r="N2124" t="s">
        <v>71</v>
      </c>
      <c r="O2124" t="s">
        <v>72</v>
      </c>
      <c r="P2124" t="s">
        <v>73</v>
      </c>
      <c r="Q2124" t="s">
        <v>89</v>
      </c>
      <c r="R2124" t="s">
        <v>58</v>
      </c>
      <c r="S2124" t="s">
        <v>106</v>
      </c>
      <c r="T2124" t="s">
        <v>62</v>
      </c>
      <c r="U2124" t="s">
        <v>782</v>
      </c>
      <c r="V2124" t="s">
        <v>129</v>
      </c>
      <c r="W2124" t="s">
        <v>77</v>
      </c>
      <c r="X2124" t="s">
        <v>116</v>
      </c>
      <c r="Y2124" t="s">
        <v>978</v>
      </c>
      <c r="Z2124" t="s">
        <v>64</v>
      </c>
      <c r="AA2124" t="s">
        <v>485</v>
      </c>
      <c r="AB2124" t="s">
        <v>0</v>
      </c>
      <c r="AC2124" t="s">
        <v>5753</v>
      </c>
    </row>
    <row r="2125" spans="1:29">
      <c r="A2125" t="s">
        <v>5754</v>
      </c>
      <c r="B2125" s="11" t="str">
        <f>IF(ISNUMBER(SEARCH(E2125,A2125)),A2125,IF(OR(E2125="",E2125=""),A2125,A2125&amp;" - "&amp;E2125))</f>
        <v>ZOIKS 22/1 TG  - Tangrini</v>
      </c>
      <c r="C2125" t="str">
        <f>_xlfn.XLOOKUP(D2125,$D$2:$D$2120,$C$2:$C$2120,"",0)</f>
        <v>AVAAY</v>
      </c>
      <c r="D2125" t="s">
        <v>572</v>
      </c>
      <c r="E2125" s="79" t="s">
        <v>5755</v>
      </c>
      <c r="F2125" s="81" t="s">
        <v>144</v>
      </c>
      <c r="G2125" s="83" t="s">
        <v>448</v>
      </c>
      <c r="H2125" s="95" t="s">
        <v>65</v>
      </c>
      <c r="I2125" t="s">
        <v>0</v>
      </c>
      <c r="J2125" t="s">
        <v>0</v>
      </c>
      <c r="K2125" t="s">
        <v>52</v>
      </c>
      <c r="L2125" t="s">
        <v>53</v>
      </c>
      <c r="M2125" t="s">
        <v>72</v>
      </c>
      <c r="N2125" t="s">
        <v>54</v>
      </c>
      <c r="O2125" t="s">
        <v>71</v>
      </c>
      <c r="P2125" t="s">
        <v>59</v>
      </c>
      <c r="Q2125" t="s">
        <v>75</v>
      </c>
      <c r="R2125" t="s">
        <v>89</v>
      </c>
      <c r="S2125" t="s">
        <v>90</v>
      </c>
      <c r="T2125" t="s">
        <v>62</v>
      </c>
      <c r="U2125" t="s">
        <v>147</v>
      </c>
      <c r="V2125" t="s">
        <v>79</v>
      </c>
      <c r="W2125" t="s">
        <v>77</v>
      </c>
      <c r="X2125" t="s">
        <v>292</v>
      </c>
      <c r="Y2125" t="s">
        <v>3550</v>
      </c>
      <c r="Z2125" t="s">
        <v>64</v>
      </c>
      <c r="AA2125" t="s">
        <v>572</v>
      </c>
      <c r="AB2125" t="s">
        <v>0</v>
      </c>
      <c r="AC2125" t="s">
        <v>5756</v>
      </c>
    </row>
    <row r="2126" spans="1:29">
      <c r="A2126" t="s">
        <v>5757</v>
      </c>
      <c r="B2126" s="11" t="str">
        <f>IF(ISNUMBER(SEARCH(E2126,A2126)),A2126,IF(OR(E2126="",E2126=""),A2126,A2126&amp;" - "&amp;E2126))</f>
        <v>TRUU GT 28:01 - Cookies OG</v>
      </c>
      <c r="C2126" t="str">
        <f>_xlfn.XLOOKUP(D2126,$D$2:$D$2120,$C$2:$C$2120,"",0)</f>
        <v>DEMECAN</v>
      </c>
      <c r="D2126" t="s">
        <v>485</v>
      </c>
      <c r="E2126" s="79" t="s">
        <v>5204</v>
      </c>
      <c r="F2126" s="81" t="s">
        <v>86</v>
      </c>
      <c r="G2126" s="83" t="s">
        <v>4086</v>
      </c>
      <c r="H2126" s="95">
        <v>1</v>
      </c>
      <c r="I2126" t="s">
        <v>0</v>
      </c>
      <c r="J2126" t="s">
        <v>0</v>
      </c>
      <c r="K2126" t="s">
        <v>52</v>
      </c>
      <c r="L2126" t="s">
        <v>53</v>
      </c>
      <c r="M2126" t="s">
        <v>121</v>
      </c>
      <c r="N2126" t="s">
        <v>72</v>
      </c>
      <c r="O2126" t="s">
        <v>0</v>
      </c>
      <c r="P2126" t="s">
        <v>89</v>
      </c>
      <c r="Q2126" t="s">
        <v>157</v>
      </c>
      <c r="R2126" t="s">
        <v>113</v>
      </c>
      <c r="S2126" t="s">
        <v>128</v>
      </c>
      <c r="T2126" t="s">
        <v>62</v>
      </c>
      <c r="U2126" t="s">
        <v>164</v>
      </c>
      <c r="V2126" t="s">
        <v>79</v>
      </c>
      <c r="W2126" t="s">
        <v>116</v>
      </c>
      <c r="X2126" t="s">
        <v>107</v>
      </c>
      <c r="Y2126" t="s">
        <v>1354</v>
      </c>
      <c r="Z2126" t="s">
        <v>64</v>
      </c>
      <c r="AA2126" t="s">
        <v>485</v>
      </c>
      <c r="AB2126" t="s">
        <v>5205</v>
      </c>
      <c r="AC2126" t="s">
        <v>5758</v>
      </c>
    </row>
    <row r="2127" spans="1:29">
      <c r="A2127" t="s">
        <v>5759</v>
      </c>
      <c r="B2127" s="11" t="str">
        <f>IF(ISNUMBER(SEARCH(E2127,A2127)),A2127,IF(OR(E2127="",E2127=""),A2127,A2127&amp;" - "&amp;E2127))</f>
        <v>Breezy Organics GGL 25/1 - Green Gelato</v>
      </c>
      <c r="C2127" t="s">
        <v>2114</v>
      </c>
      <c r="D2127" t="s">
        <v>2115</v>
      </c>
      <c r="E2127" s="79" t="s">
        <v>2598</v>
      </c>
      <c r="F2127" s="81" t="s">
        <v>86</v>
      </c>
      <c r="G2127" s="83" t="s">
        <v>26</v>
      </c>
      <c r="H2127" s="95">
        <v>1</v>
      </c>
      <c r="I2127" t="s">
        <v>0</v>
      </c>
      <c r="J2127" t="s">
        <v>0</v>
      </c>
      <c r="K2127" t="s">
        <v>52</v>
      </c>
      <c r="L2127" t="s">
        <v>70</v>
      </c>
      <c r="M2127" t="s">
        <v>121</v>
      </c>
      <c r="N2127" t="s">
        <v>178</v>
      </c>
      <c r="O2127" t="s">
        <v>88</v>
      </c>
      <c r="P2127" t="s">
        <v>58</v>
      </c>
      <c r="Q2127" t="s">
        <v>75</v>
      </c>
      <c r="R2127" t="s">
        <v>89</v>
      </c>
      <c r="S2127" t="s">
        <v>147</v>
      </c>
      <c r="T2127" t="s">
        <v>0</v>
      </c>
      <c r="U2127" t="s">
        <v>0</v>
      </c>
      <c r="V2127" t="s">
        <v>107</v>
      </c>
      <c r="W2127" t="s">
        <v>116</v>
      </c>
      <c r="X2127" t="s">
        <v>77</v>
      </c>
      <c r="Y2127" t="s">
        <v>5760</v>
      </c>
      <c r="Z2127" t="s">
        <v>64</v>
      </c>
      <c r="AA2127" t="s">
        <v>2115</v>
      </c>
      <c r="AB2127" t="s">
        <v>0</v>
      </c>
      <c r="AC2127" t="s">
        <v>5761</v>
      </c>
    </row>
    <row r="2128" spans="1:29">
      <c r="A2128" t="s">
        <v>5762</v>
      </c>
      <c r="B2128" s="11" t="str">
        <f>IF(ISNUMBER(SEARCH(E2128,A2128)),A2128,IF(OR(E2128="",E2128=""),A2128,A2128&amp;" - "&amp;E2128))</f>
        <v>canymed BC 28/1 - Diesel Crisp</v>
      </c>
      <c r="C2128" t="s">
        <v>1957</v>
      </c>
      <c r="D2128" t="s">
        <v>1961</v>
      </c>
      <c r="E2128" s="79" t="s">
        <v>5763</v>
      </c>
      <c r="F2128" s="81" t="s">
        <v>69</v>
      </c>
      <c r="G2128" s="83" t="s">
        <v>4164</v>
      </c>
      <c r="H2128" s="95">
        <v>1</v>
      </c>
      <c r="I2128" t="s">
        <v>0</v>
      </c>
      <c r="J2128" t="s">
        <v>0</v>
      </c>
      <c r="K2128" t="s">
        <v>52</v>
      </c>
      <c r="L2128" t="s">
        <v>102</v>
      </c>
      <c r="M2128" t="s">
        <v>72</v>
      </c>
      <c r="N2128" t="s">
        <v>54</v>
      </c>
      <c r="O2128" t="s">
        <v>71</v>
      </c>
      <c r="P2128" t="s">
        <v>59</v>
      </c>
      <c r="Q2128" t="s">
        <v>157</v>
      </c>
      <c r="R2128" t="s">
        <v>74</v>
      </c>
      <c r="S2128" t="s">
        <v>106</v>
      </c>
      <c r="T2128" t="s">
        <v>123</v>
      </c>
      <c r="U2128" t="s">
        <v>60</v>
      </c>
      <c r="V2128" t="s">
        <v>77</v>
      </c>
      <c r="W2128" t="s">
        <v>129</v>
      </c>
      <c r="X2128" t="s">
        <v>79</v>
      </c>
      <c r="Y2128" t="s">
        <v>1849</v>
      </c>
      <c r="Z2128" t="s">
        <v>64</v>
      </c>
      <c r="AA2128" t="s">
        <v>1961</v>
      </c>
      <c r="AB2128" t="s">
        <v>0</v>
      </c>
      <c r="AC2128" t="s">
        <v>5764</v>
      </c>
    </row>
    <row r="2129" spans="1:29">
      <c r="A2129" t="s">
        <v>5765</v>
      </c>
      <c r="B2129" s="11" t="str">
        <f>IF(ISNUMBER(SEARCH(E2129,A2129)),A2129,IF(OR(E2129="",E2129=""),A2129,A2129&amp;" - "&amp;E2129))</f>
        <v>Tannenbusch 31/1 TF - Tubitti Frubitti</v>
      </c>
      <c r="C2129" t="str">
        <f t="shared" ref="C2129:C2134" si="1">_xlfn.XLOOKUP(D2129,$D$2:$D$2120,$C$2:$C$2120,"",0)</f>
        <v>VAYAMED</v>
      </c>
      <c r="D2129" t="s">
        <v>570</v>
      </c>
      <c r="E2129" s="79" t="s">
        <v>5766</v>
      </c>
      <c r="F2129" s="81" t="s">
        <v>177</v>
      </c>
      <c r="G2129" s="83" t="s">
        <v>4488</v>
      </c>
      <c r="H2129" s="95" t="s">
        <v>65</v>
      </c>
      <c r="I2129" t="s">
        <v>0</v>
      </c>
      <c r="J2129" t="s">
        <v>0</v>
      </c>
      <c r="K2129" t="s">
        <v>52</v>
      </c>
      <c r="L2129" t="s">
        <v>53</v>
      </c>
      <c r="M2129" t="s">
        <v>54</v>
      </c>
      <c r="N2129" t="s">
        <v>71</v>
      </c>
      <c r="O2129" t="s">
        <v>178</v>
      </c>
      <c r="P2129" t="s">
        <v>59</v>
      </c>
      <c r="Q2129" t="s">
        <v>136</v>
      </c>
      <c r="R2129" t="s">
        <v>89</v>
      </c>
      <c r="S2129" t="s">
        <v>106</v>
      </c>
      <c r="T2129" t="s">
        <v>62</v>
      </c>
      <c r="U2129" t="s">
        <v>147</v>
      </c>
      <c r="V2129" t="s">
        <v>77</v>
      </c>
      <c r="W2129" t="s">
        <v>129</v>
      </c>
      <c r="X2129" t="s">
        <v>79</v>
      </c>
      <c r="Y2129" t="s">
        <v>1699</v>
      </c>
      <c r="Z2129" t="s">
        <v>64</v>
      </c>
      <c r="AA2129" t="s">
        <v>570</v>
      </c>
      <c r="AB2129" t="s">
        <v>0</v>
      </c>
      <c r="AC2129" t="s">
        <v>5767</v>
      </c>
    </row>
    <row r="2130" spans="1:29">
      <c r="A2130" t="s">
        <v>5768</v>
      </c>
      <c r="B2130" s="11" t="str">
        <f>IF(ISNUMBER(SEARCH(E2130,A2130)),A2130,IF(OR(E2130="",E2130=""),A2130,A2130&amp;" - "&amp;E2130))</f>
        <v>bava med 27/1 BLA-GA - Black Gas</v>
      </c>
      <c r="C2130" t="str">
        <f t="shared" si="1"/>
        <v>BAVAMED</v>
      </c>
      <c r="D2130" t="s">
        <v>5258</v>
      </c>
      <c r="E2130" s="79" t="s">
        <v>5769</v>
      </c>
      <c r="F2130" s="81" t="s">
        <v>177</v>
      </c>
      <c r="G2130" s="83" t="s">
        <v>33</v>
      </c>
      <c r="H2130" s="95" t="s">
        <v>65</v>
      </c>
      <c r="I2130" t="s">
        <v>0</v>
      </c>
      <c r="J2130" t="s">
        <v>0</v>
      </c>
      <c r="K2130" t="s">
        <v>52</v>
      </c>
      <c r="L2130" t="s">
        <v>102</v>
      </c>
      <c r="M2130" t="s">
        <v>121</v>
      </c>
      <c r="N2130" t="s">
        <v>72</v>
      </c>
      <c r="O2130" t="s">
        <v>71</v>
      </c>
      <c r="P2130" t="s">
        <v>73</v>
      </c>
      <c r="Q2130" t="s">
        <v>59</v>
      </c>
      <c r="R2130" t="s">
        <v>89</v>
      </c>
      <c r="S2130" t="s">
        <v>128</v>
      </c>
      <c r="T2130" t="s">
        <v>106</v>
      </c>
      <c r="U2130" t="s">
        <v>62</v>
      </c>
      <c r="V2130" t="s">
        <v>77</v>
      </c>
      <c r="W2130" t="s">
        <v>225</v>
      </c>
      <c r="X2130" t="s">
        <v>116</v>
      </c>
      <c r="Y2130" t="s">
        <v>5770</v>
      </c>
      <c r="Z2130" t="s">
        <v>64</v>
      </c>
      <c r="AA2130" t="s">
        <v>5258</v>
      </c>
      <c r="AB2130" t="s">
        <v>0</v>
      </c>
      <c r="AC2130" t="s">
        <v>5771</v>
      </c>
    </row>
    <row r="2131" spans="1:29">
      <c r="A2131" t="s">
        <v>5772</v>
      </c>
      <c r="B2131" s="11" t="str">
        <f>IF(ISNUMBER(SEARCH(E2131,A2131)),A2131,IF(OR(E2131="",E2131=""),A2131,A2131&amp;" - "&amp;E2131))</f>
        <v>bava med 29/1 MON-BU - Monkey Butter</v>
      </c>
      <c r="C2131" t="str">
        <f t="shared" si="1"/>
        <v>BAVAMED</v>
      </c>
      <c r="D2131" t="s">
        <v>5258</v>
      </c>
      <c r="E2131" s="79" t="s">
        <v>5773</v>
      </c>
      <c r="F2131" s="81" t="s">
        <v>177</v>
      </c>
      <c r="G2131" s="83" t="s">
        <v>443</v>
      </c>
      <c r="H2131" s="95" t="s">
        <v>65</v>
      </c>
      <c r="I2131" t="s">
        <v>0</v>
      </c>
      <c r="J2131" t="s">
        <v>0</v>
      </c>
      <c r="K2131" t="s">
        <v>52</v>
      </c>
      <c r="L2131" t="s">
        <v>102</v>
      </c>
      <c r="M2131" t="s">
        <v>121</v>
      </c>
      <c r="N2131" t="s">
        <v>72</v>
      </c>
      <c r="O2131" t="s">
        <v>71</v>
      </c>
      <c r="P2131" t="s">
        <v>59</v>
      </c>
      <c r="Q2131" t="s">
        <v>89</v>
      </c>
      <c r="R2131" t="s">
        <v>157</v>
      </c>
      <c r="S2131" t="s">
        <v>62</v>
      </c>
      <c r="T2131" t="s">
        <v>91</v>
      </c>
      <c r="U2131" t="s">
        <v>192</v>
      </c>
      <c r="V2131" t="s">
        <v>77</v>
      </c>
      <c r="W2131" t="s">
        <v>225</v>
      </c>
      <c r="X2131" t="s">
        <v>116</v>
      </c>
      <c r="Y2131" t="s">
        <v>274</v>
      </c>
      <c r="Z2131" t="s">
        <v>64</v>
      </c>
      <c r="AA2131" t="s">
        <v>5258</v>
      </c>
      <c r="AB2131" t="s">
        <v>0</v>
      </c>
      <c r="AC2131" t="s">
        <v>5774</v>
      </c>
    </row>
    <row r="2132" spans="1:29">
      <c r="A2132" t="s">
        <v>5775</v>
      </c>
      <c r="B2132" s="11" t="str">
        <f>IF(ISNUMBER(SEARCH(E2132,A2132)),A2132,IF(OR(E2132="",E2132=""),A2132,A2132&amp;" - "&amp;E2132))</f>
        <v>bava med 26/1 PLA-OG - Platinum OG</v>
      </c>
      <c r="C2132" t="str">
        <f t="shared" si="1"/>
        <v>BAVAMED</v>
      </c>
      <c r="D2132" t="s">
        <v>5258</v>
      </c>
      <c r="E2132" s="79" t="s">
        <v>5776</v>
      </c>
      <c r="F2132" s="81" t="s">
        <v>177</v>
      </c>
      <c r="G2132" s="83" t="s">
        <v>4086</v>
      </c>
      <c r="H2132" s="95" t="s">
        <v>65</v>
      </c>
      <c r="I2132" t="s">
        <v>0</v>
      </c>
      <c r="J2132" t="s">
        <v>0</v>
      </c>
      <c r="K2132" t="s">
        <v>52</v>
      </c>
      <c r="L2132" t="s">
        <v>102</v>
      </c>
      <c r="M2132" t="s">
        <v>72</v>
      </c>
      <c r="N2132" t="s">
        <v>88</v>
      </c>
      <c r="O2132" t="s">
        <v>0</v>
      </c>
      <c r="P2132" t="s">
        <v>591</v>
      </c>
      <c r="Q2132" t="s">
        <v>113</v>
      </c>
      <c r="R2132" t="s">
        <v>1100</v>
      </c>
      <c r="S2132" t="s">
        <v>106</v>
      </c>
      <c r="T2132" t="s">
        <v>62</v>
      </c>
      <c r="U2132" t="s">
        <v>147</v>
      </c>
      <c r="V2132" t="s">
        <v>116</v>
      </c>
      <c r="W2132" t="s">
        <v>165</v>
      </c>
      <c r="X2132" t="s">
        <v>180</v>
      </c>
      <c r="Y2132" t="s">
        <v>314</v>
      </c>
      <c r="Z2132" t="s">
        <v>64</v>
      </c>
      <c r="AA2132" t="s">
        <v>5258</v>
      </c>
      <c r="AB2132" t="s">
        <v>0</v>
      </c>
      <c r="AC2132" t="s">
        <v>5777</v>
      </c>
    </row>
    <row r="2133" spans="1:29">
      <c r="A2133" t="s">
        <v>5778</v>
      </c>
      <c r="B2133" s="11" t="str">
        <f>IF(ISNUMBER(SEARCH(E2133,A2133)),A2133,IF(OR(E2133="",E2133=""),A2133,A2133&amp;" - "&amp;E2133))</f>
        <v>ZOIKS 26/1 SR - Space Rider</v>
      </c>
      <c r="C2133" t="str">
        <f t="shared" si="1"/>
        <v>AVAAY</v>
      </c>
      <c r="D2133" t="s">
        <v>572</v>
      </c>
      <c r="E2133" s="79" t="s">
        <v>5779</v>
      </c>
      <c r="F2133" s="81" t="s">
        <v>177</v>
      </c>
      <c r="G2133" s="83" t="s">
        <v>4086</v>
      </c>
      <c r="H2133" s="95" t="s">
        <v>65</v>
      </c>
      <c r="I2133" t="s">
        <v>0</v>
      </c>
      <c r="J2133" t="s">
        <v>0</v>
      </c>
      <c r="K2133" t="s">
        <v>52</v>
      </c>
      <c r="L2133" t="s">
        <v>53</v>
      </c>
      <c r="M2133" t="s">
        <v>88</v>
      </c>
      <c r="N2133" t="s">
        <v>71</v>
      </c>
      <c r="O2133" t="s">
        <v>121</v>
      </c>
      <c r="P2133" t="s">
        <v>59</v>
      </c>
      <c r="Q2133" t="s">
        <v>75</v>
      </c>
      <c r="R2133" t="s">
        <v>104</v>
      </c>
      <c r="S2133" t="s">
        <v>106</v>
      </c>
      <c r="T2133" t="s">
        <v>62</v>
      </c>
      <c r="U2133" t="s">
        <v>147</v>
      </c>
      <c r="V2133" t="s">
        <v>93</v>
      </c>
      <c r="W2133" t="s">
        <v>173</v>
      </c>
      <c r="X2133" t="s">
        <v>107</v>
      </c>
      <c r="Y2133" t="s">
        <v>5136</v>
      </c>
      <c r="Z2133" t="s">
        <v>64</v>
      </c>
      <c r="AA2133" t="s">
        <v>572</v>
      </c>
      <c r="AB2133" t="s">
        <v>0</v>
      </c>
      <c r="AC2133" t="s">
        <v>5780</v>
      </c>
    </row>
    <row r="2134" spans="1:29">
      <c r="A2134" t="s">
        <v>5781</v>
      </c>
      <c r="B2134" s="11" t="str">
        <f>IF(ISNUMBER(SEARCH(E2134,A2134)),A2134,IF(OR(E2134="",E2134=""),A2134,A2134&amp;" - "&amp;E2134))</f>
        <v>Demecan Core Horizon 27:01 - Lava Cake</v>
      </c>
      <c r="C2134" t="str">
        <f t="shared" si="1"/>
        <v>DEMECAN</v>
      </c>
      <c r="D2134" t="s">
        <v>485</v>
      </c>
      <c r="E2134" t="s">
        <v>319</v>
      </c>
      <c r="F2134" t="s">
        <v>86</v>
      </c>
      <c r="G2134" t="s">
        <v>4164</v>
      </c>
      <c r="H2134">
        <v>1</v>
      </c>
      <c r="I2134" t="s">
        <v>0</v>
      </c>
      <c r="J2134" t="s">
        <v>0</v>
      </c>
      <c r="K2134" t="s">
        <v>52</v>
      </c>
      <c r="L2134" t="s">
        <v>53</v>
      </c>
      <c r="M2134" t="s">
        <v>72</v>
      </c>
      <c r="N2134" t="s">
        <v>0</v>
      </c>
      <c r="O2134" t="s">
        <v>0</v>
      </c>
      <c r="P2134" t="s">
        <v>112</v>
      </c>
      <c r="Q2134" t="s">
        <v>57</v>
      </c>
      <c r="R2134" t="s">
        <v>89</v>
      </c>
      <c r="S2134" t="s">
        <v>62</v>
      </c>
      <c r="T2134" t="s">
        <v>91</v>
      </c>
      <c r="U2134" t="s">
        <v>147</v>
      </c>
      <c r="V2134" t="s">
        <v>173</v>
      </c>
      <c r="W2134" t="s">
        <v>77</v>
      </c>
      <c r="X2134" t="s">
        <v>107</v>
      </c>
      <c r="Y2134" t="s">
        <v>213</v>
      </c>
      <c r="Z2134" t="s">
        <v>64</v>
      </c>
      <c r="AA2134" t="s">
        <v>485</v>
      </c>
      <c r="AB2134" t="s">
        <v>0</v>
      </c>
      <c r="AC2134" t="s">
        <v>5782</v>
      </c>
    </row>
    <row r="2135" spans="1:29">
      <c r="A2135" t="s">
        <v>5783</v>
      </c>
      <c r="B2135" s="11" t="str">
        <f>IF(ISNUMBER(SEARCH(E2135,A2135)),A2135,IF(OR(E2135="",E2135=""),A2135,A2135&amp;" - "&amp;E2135))</f>
        <v>IMC NCH THC18 - Nag Champa</v>
      </c>
      <c r="C2135" t="s">
        <v>646</v>
      </c>
      <c r="D2135" t="s">
        <v>646</v>
      </c>
      <c r="E2135" s="79" t="s">
        <v>5784</v>
      </c>
      <c r="F2135" s="81" t="s">
        <v>177</v>
      </c>
      <c r="G2135" s="83" t="s">
        <v>8</v>
      </c>
      <c r="H2135" s="95">
        <v>1</v>
      </c>
      <c r="I2135" t="s">
        <v>0</v>
      </c>
      <c r="J2135" t="s">
        <v>0</v>
      </c>
      <c r="K2135" t="s">
        <v>52</v>
      </c>
      <c r="L2135" t="s">
        <v>53</v>
      </c>
      <c r="M2135" t="s">
        <v>72</v>
      </c>
      <c r="N2135" t="s">
        <v>54</v>
      </c>
      <c r="O2135" t="s">
        <v>71</v>
      </c>
      <c r="P2135" t="s">
        <v>157</v>
      </c>
      <c r="Q2135" t="s">
        <v>58</v>
      </c>
      <c r="R2135" t="s">
        <v>74</v>
      </c>
      <c r="S2135" t="s">
        <v>61</v>
      </c>
      <c r="T2135" t="s">
        <v>76</v>
      </c>
      <c r="U2135" t="s">
        <v>62</v>
      </c>
      <c r="V2135" t="s">
        <v>77</v>
      </c>
      <c r="W2135" t="s">
        <v>129</v>
      </c>
      <c r="X2135" t="s">
        <v>79</v>
      </c>
      <c r="Y2135" t="s">
        <v>5785</v>
      </c>
      <c r="Z2135" t="s">
        <v>64</v>
      </c>
      <c r="AA2135" t="s">
        <v>646</v>
      </c>
      <c r="AB2135" t="s">
        <v>0</v>
      </c>
      <c r="AC2135" t="s">
        <v>5786</v>
      </c>
    </row>
    <row r="2136" spans="1:29">
      <c r="A2136" t="s">
        <v>5787</v>
      </c>
      <c r="B2136" s="11" t="str">
        <f>IF(ISNUMBER(SEARCH(E2136,A2136)),A2136,IF(OR(E2136="",E2136=""),A2136,A2136&amp;" - "&amp;E2136))</f>
        <v>MGF CANN SNL 26/1 - Honey Suckle</v>
      </c>
      <c r="C2136" t="s">
        <v>3108</v>
      </c>
      <c r="D2136" t="s">
        <v>3109</v>
      </c>
      <c r="E2136" s="79" t="s">
        <v>5788</v>
      </c>
      <c r="F2136" s="81" t="s">
        <v>86</v>
      </c>
      <c r="G2136" s="83" t="s">
        <v>4086</v>
      </c>
      <c r="H2136" s="95" t="s">
        <v>65</v>
      </c>
      <c r="I2136" t="s">
        <v>0</v>
      </c>
      <c r="J2136" t="s">
        <v>0</v>
      </c>
      <c r="K2136" t="s">
        <v>52</v>
      </c>
      <c r="L2136" t="s">
        <v>102</v>
      </c>
      <c r="M2136" t="s">
        <v>71</v>
      </c>
      <c r="N2136" t="s">
        <v>72</v>
      </c>
      <c r="O2136" t="s">
        <v>54</v>
      </c>
      <c r="P2136" t="s">
        <v>104</v>
      </c>
      <c r="Q2136" t="s">
        <v>136</v>
      </c>
      <c r="R2136" t="s">
        <v>59</v>
      </c>
      <c r="S2136" t="s">
        <v>106</v>
      </c>
      <c r="T2136" t="s">
        <v>62</v>
      </c>
      <c r="U2136" t="s">
        <v>147</v>
      </c>
      <c r="V2136" t="s">
        <v>165</v>
      </c>
      <c r="W2136" t="s">
        <v>180</v>
      </c>
      <c r="X2136" t="s">
        <v>92</v>
      </c>
      <c r="Y2136" t="s">
        <v>240</v>
      </c>
      <c r="Z2136" t="s">
        <v>64</v>
      </c>
      <c r="AA2136" t="s">
        <v>3109</v>
      </c>
      <c r="AB2136" t="s">
        <v>0</v>
      </c>
      <c r="AC2136" t="s">
        <v>5789</v>
      </c>
    </row>
    <row r="2137" spans="1:29">
      <c r="A2137" t="s">
        <v>5790</v>
      </c>
      <c r="B2137" s="11" t="str">
        <f>IF(ISNUMBER(SEARCH(E2137,A2137)),A2137,IF(OR(E2137="",E2137=""),A2137,A2137&amp;" - "&amp;E2137))</f>
        <v>THC AKUT TM 24 RB - Rainbow Belts</v>
      </c>
      <c r="C2137" t="s">
        <v>4625</v>
      </c>
      <c r="D2137" t="s">
        <v>160</v>
      </c>
      <c r="E2137" s="79" t="s">
        <v>5791</v>
      </c>
      <c r="F2137" s="81" t="s">
        <v>177</v>
      </c>
      <c r="G2137" s="83" t="s">
        <v>4126</v>
      </c>
      <c r="H2137" s="95" t="s">
        <v>65</v>
      </c>
      <c r="I2137" t="s">
        <v>0</v>
      </c>
      <c r="J2137" t="s">
        <v>0</v>
      </c>
      <c r="K2137" t="s">
        <v>52</v>
      </c>
      <c r="L2137" t="s">
        <v>102</v>
      </c>
      <c r="M2137" t="s">
        <v>72</v>
      </c>
      <c r="N2137" t="s">
        <v>54</v>
      </c>
      <c r="O2137" t="s">
        <v>71</v>
      </c>
      <c r="P2137" t="s">
        <v>59</v>
      </c>
      <c r="Q2137" t="s">
        <v>136</v>
      </c>
      <c r="R2137" t="s">
        <v>89</v>
      </c>
      <c r="S2137" t="s">
        <v>106</v>
      </c>
      <c r="T2137" t="s">
        <v>62</v>
      </c>
      <c r="U2137" t="s">
        <v>123</v>
      </c>
      <c r="V2137" t="s">
        <v>77</v>
      </c>
      <c r="W2137" t="s">
        <v>180</v>
      </c>
      <c r="X2137" t="s">
        <v>129</v>
      </c>
      <c r="Y2137" t="s">
        <v>4883</v>
      </c>
      <c r="Z2137" t="s">
        <v>64</v>
      </c>
      <c r="AA2137" t="s">
        <v>160</v>
      </c>
      <c r="AB2137" t="s">
        <v>0</v>
      </c>
      <c r="AC2137" t="s">
        <v>5792</v>
      </c>
    </row>
    <row r="2138" spans="1:29">
      <c r="A2138" t="s">
        <v>5793</v>
      </c>
      <c r="B2138" s="11" t="str">
        <f>IF(ISNUMBER(SEARCH(E2138,A2138)),A2138,IF(OR(E2138="",E2138=""),A2138,A2138&amp;" - "&amp;E2138))</f>
        <v>Greyscales FJ 26/1 Flapjacks - Flap Jacks</v>
      </c>
      <c r="C2138" t="s">
        <v>564</v>
      </c>
      <c r="D2138" t="s">
        <v>565</v>
      </c>
      <c r="E2138" s="79" t="s">
        <v>1709</v>
      </c>
      <c r="F2138" s="81" t="s">
        <v>177</v>
      </c>
      <c r="G2138" s="83" t="s">
        <v>4086</v>
      </c>
      <c r="H2138" s="95" t="s">
        <v>65</v>
      </c>
      <c r="I2138" t="s">
        <v>0</v>
      </c>
      <c r="J2138" t="s">
        <v>0</v>
      </c>
      <c r="K2138" t="s">
        <v>52</v>
      </c>
      <c r="L2138" t="s">
        <v>527</v>
      </c>
      <c r="M2138" t="s">
        <v>54</v>
      </c>
      <c r="N2138" t="s">
        <v>178</v>
      </c>
      <c r="O2138" t="s">
        <v>88</v>
      </c>
      <c r="P2138" t="s">
        <v>59</v>
      </c>
      <c r="Q2138" t="s">
        <v>74</v>
      </c>
      <c r="R2138" t="s">
        <v>146</v>
      </c>
      <c r="S2138" t="s">
        <v>106</v>
      </c>
      <c r="T2138" t="s">
        <v>62</v>
      </c>
      <c r="U2138" t="s">
        <v>123</v>
      </c>
      <c r="V2138" t="s">
        <v>77</v>
      </c>
      <c r="W2138" t="s">
        <v>107</v>
      </c>
      <c r="X2138" t="s">
        <v>116</v>
      </c>
      <c r="Y2138" t="s">
        <v>561</v>
      </c>
      <c r="Z2138" t="s">
        <v>64</v>
      </c>
      <c r="AA2138" t="s">
        <v>565</v>
      </c>
      <c r="AB2138" t="s">
        <v>0</v>
      </c>
      <c r="AC2138" t="s">
        <v>5794</v>
      </c>
    </row>
    <row r="2139" spans="1:29">
      <c r="A2139" t="s">
        <v>5795</v>
      </c>
      <c r="B2139" s="11" t="str">
        <f>IF(ISNUMBER(SEARCH(E2139,A2139)),A2139,IF(OR(E2139="",E2139=""),A2139,A2139&amp;" - "&amp;E2139))</f>
        <v>IMC THC20 GGA - Purple Grape</v>
      </c>
      <c r="C2139" t="s">
        <v>646</v>
      </c>
      <c r="D2139" t="s">
        <v>646</v>
      </c>
      <c r="E2139" s="79" t="s">
        <v>3019</v>
      </c>
      <c r="F2139" s="81" t="s">
        <v>120</v>
      </c>
      <c r="G2139" s="83" t="s">
        <v>460</v>
      </c>
      <c r="H2139" s="95" t="s">
        <v>65</v>
      </c>
      <c r="I2139" t="s">
        <v>0</v>
      </c>
      <c r="J2139" t="s">
        <v>0</v>
      </c>
      <c r="K2139" t="s">
        <v>52</v>
      </c>
      <c r="L2139" t="s">
        <v>497</v>
      </c>
      <c r="M2139" t="s">
        <v>121</v>
      </c>
      <c r="N2139" t="s">
        <v>72</v>
      </c>
      <c r="O2139" t="s">
        <v>71</v>
      </c>
      <c r="P2139" t="s">
        <v>74</v>
      </c>
      <c r="Q2139" t="s">
        <v>58</v>
      </c>
      <c r="R2139" t="s">
        <v>89</v>
      </c>
      <c r="S2139" t="s">
        <v>106</v>
      </c>
      <c r="T2139" t="s">
        <v>62</v>
      </c>
      <c r="U2139" t="s">
        <v>493</v>
      </c>
      <c r="V2139" t="s">
        <v>77</v>
      </c>
      <c r="W2139" t="s">
        <v>107</v>
      </c>
      <c r="X2139" t="s">
        <v>173</v>
      </c>
      <c r="Y2139" t="s">
        <v>1139</v>
      </c>
      <c r="Z2139" t="s">
        <v>64</v>
      </c>
      <c r="AA2139" t="s">
        <v>646</v>
      </c>
      <c r="AB2139" t="s">
        <v>0</v>
      </c>
      <c r="AC2139" t="s">
        <v>5796</v>
      </c>
    </row>
    <row r="2140" spans="1:29">
      <c r="A2140" t="s">
        <v>5797</v>
      </c>
      <c r="B2140" s="11" t="str">
        <f>IF(ISNUMBER(SEARCH(E2140,A2140)),A2140,IF(OR(E2140="",E2140=""),A2140,A2140&amp;" - "&amp;E2140))</f>
        <v>Bubba OG - Bubbalooch</v>
      </c>
      <c r="C2140" t="s">
        <v>564</v>
      </c>
      <c r="D2140" t="s">
        <v>565</v>
      </c>
      <c r="E2140" s="79" t="s">
        <v>5798</v>
      </c>
      <c r="F2140" s="81" t="s">
        <v>86</v>
      </c>
      <c r="G2140" s="83" t="s">
        <v>436</v>
      </c>
      <c r="H2140" s="95" t="s">
        <v>65</v>
      </c>
      <c r="I2140" t="s">
        <v>0</v>
      </c>
      <c r="J2140" t="s">
        <v>0</v>
      </c>
      <c r="K2140" t="s">
        <v>52</v>
      </c>
      <c r="L2140" t="s">
        <v>497</v>
      </c>
      <c r="M2140" t="s">
        <v>72</v>
      </c>
      <c r="N2140" t="s">
        <v>54</v>
      </c>
      <c r="O2140" t="s">
        <v>71</v>
      </c>
      <c r="P2140" t="s">
        <v>73</v>
      </c>
      <c r="Q2140" t="s">
        <v>59</v>
      </c>
      <c r="R2140" t="s">
        <v>89</v>
      </c>
      <c r="S2140" t="s">
        <v>106</v>
      </c>
      <c r="T2140" t="s">
        <v>62</v>
      </c>
      <c r="U2140" t="s">
        <v>147</v>
      </c>
      <c r="V2140" t="s">
        <v>77</v>
      </c>
      <c r="W2140" t="s">
        <v>180</v>
      </c>
      <c r="X2140" t="s">
        <v>79</v>
      </c>
      <c r="Y2140" t="s">
        <v>424</v>
      </c>
      <c r="Z2140" t="s">
        <v>64</v>
      </c>
      <c r="AA2140" t="s">
        <v>565</v>
      </c>
      <c r="AB2140" t="s">
        <v>0</v>
      </c>
      <c r="AC2140" t="s">
        <v>5799</v>
      </c>
    </row>
    <row r="2141" spans="1:29">
      <c r="A2141" t="s">
        <v>5800</v>
      </c>
      <c r="B2141" s="11" t="str">
        <f>IF(ISNUMBER(SEARCH(E2141,A2141)),A2141,IF(OR(E2141="",E2141=""),A2141,A2141&amp;" - "&amp;E2141))</f>
        <v>bava med 23/1 LAV-FU - Lava Fuel</v>
      </c>
      <c r="C2141" t="s">
        <v>4180</v>
      </c>
      <c r="D2141" t="s">
        <v>5258</v>
      </c>
      <c r="E2141" s="79" t="s">
        <v>5801</v>
      </c>
      <c r="F2141" s="81" t="s">
        <v>177</v>
      </c>
      <c r="G2141" s="83" t="s">
        <v>436</v>
      </c>
      <c r="H2141" s="95" t="s">
        <v>65</v>
      </c>
      <c r="I2141" t="s">
        <v>0</v>
      </c>
      <c r="J2141" t="s">
        <v>0</v>
      </c>
      <c r="K2141" t="s">
        <v>52</v>
      </c>
      <c r="L2141" t="s">
        <v>102</v>
      </c>
      <c r="M2141" t="s">
        <v>71</v>
      </c>
      <c r="N2141" t="s">
        <v>178</v>
      </c>
      <c r="O2141" t="s">
        <v>111</v>
      </c>
      <c r="P2141" t="s">
        <v>58</v>
      </c>
      <c r="Q2141" t="s">
        <v>74</v>
      </c>
      <c r="R2141" t="s">
        <v>73</v>
      </c>
      <c r="S2141" t="s">
        <v>106</v>
      </c>
      <c r="T2141" t="s">
        <v>62</v>
      </c>
      <c r="U2141" t="s">
        <v>147</v>
      </c>
      <c r="V2141" t="s">
        <v>395</v>
      </c>
      <c r="W2141" t="s">
        <v>292</v>
      </c>
      <c r="X2141" t="s">
        <v>138</v>
      </c>
      <c r="Y2141" t="s">
        <v>367</v>
      </c>
      <c r="Z2141" t="s">
        <v>64</v>
      </c>
      <c r="AA2141" t="s">
        <v>5258</v>
      </c>
      <c r="AB2141" t="s">
        <v>0</v>
      </c>
      <c r="AC2141" t="s">
        <v>5802</v>
      </c>
    </row>
    <row r="2142" spans="1:29">
      <c r="A2142" t="s">
        <v>5803</v>
      </c>
      <c r="B2142" s="11" t="str">
        <f>IF(ISNUMBER(SEARCH(E2142,A2142)),A2142,IF(OR(E2142="",E2142=""),A2142,A2142&amp;" - "&amp;E2142))</f>
        <v>bava med 23/1 MIM-CO - Mimosa Cookies</v>
      </c>
      <c r="C2142" t="s">
        <v>4180</v>
      </c>
      <c r="D2142" t="s">
        <v>5258</v>
      </c>
      <c r="E2142" s="79" t="s">
        <v>5804</v>
      </c>
      <c r="F2142" s="81" t="s">
        <v>144</v>
      </c>
      <c r="G2142" s="83" t="s">
        <v>436</v>
      </c>
      <c r="H2142" s="95" t="s">
        <v>65</v>
      </c>
      <c r="I2142" t="s">
        <v>0</v>
      </c>
      <c r="J2142" t="s">
        <v>0</v>
      </c>
      <c r="K2142" t="s">
        <v>52</v>
      </c>
      <c r="L2142" t="s">
        <v>102</v>
      </c>
      <c r="M2142" t="s">
        <v>72</v>
      </c>
      <c r="N2142" t="s">
        <v>212</v>
      </c>
      <c r="O2142" t="s">
        <v>54</v>
      </c>
      <c r="P2142" t="s">
        <v>59</v>
      </c>
      <c r="Q2142" t="s">
        <v>136</v>
      </c>
      <c r="R2142" t="s">
        <v>89</v>
      </c>
      <c r="S2142" t="s">
        <v>106</v>
      </c>
      <c r="T2142" t="s">
        <v>62</v>
      </c>
      <c r="U2142" t="s">
        <v>147</v>
      </c>
      <c r="V2142" t="s">
        <v>77</v>
      </c>
      <c r="W2142" t="s">
        <v>79</v>
      </c>
      <c r="X2142" t="s">
        <v>93</v>
      </c>
      <c r="Y2142" t="s">
        <v>5519</v>
      </c>
      <c r="Z2142" t="s">
        <v>64</v>
      </c>
      <c r="AA2142" t="s">
        <v>5258</v>
      </c>
      <c r="AB2142" t="s">
        <v>0</v>
      </c>
      <c r="AC2142" t="s">
        <v>5805</v>
      </c>
    </row>
    <row r="2143" spans="1:29">
      <c r="A2143" t="s">
        <v>5806</v>
      </c>
      <c r="B2143" s="11" t="str">
        <f>IF(ISNUMBER(SEARCH(E2143,A2143)),A2143,IF(OR(E2143="",E2143=""),A2143,A2143&amp;" - "&amp;E2143))</f>
        <v>Weeco BR 22/1 - Black Russian</v>
      </c>
      <c r="C2143" t="s">
        <v>905</v>
      </c>
      <c r="D2143" t="s">
        <v>906</v>
      </c>
      <c r="E2143" s="79" t="s">
        <v>1350</v>
      </c>
      <c r="F2143" s="81" t="s">
        <v>177</v>
      </c>
      <c r="G2143" s="83" t="s">
        <v>4126</v>
      </c>
      <c r="H2143" s="95" t="s">
        <v>65</v>
      </c>
      <c r="I2143" t="s">
        <v>0</v>
      </c>
      <c r="J2143" t="s">
        <v>0</v>
      </c>
      <c r="K2143" t="s">
        <v>17</v>
      </c>
      <c r="L2143" t="s">
        <v>423</v>
      </c>
      <c r="M2143" t="s">
        <v>121</v>
      </c>
      <c r="N2143" t="s">
        <v>72</v>
      </c>
      <c r="O2143" t="s">
        <v>0</v>
      </c>
      <c r="P2143" t="s">
        <v>74</v>
      </c>
      <c r="Q2143" t="s">
        <v>89</v>
      </c>
      <c r="R2143" t="s">
        <v>59</v>
      </c>
      <c r="S2143" t="s">
        <v>106</v>
      </c>
      <c r="T2143" t="s">
        <v>76</v>
      </c>
      <c r="U2143" t="s">
        <v>2784</v>
      </c>
      <c r="V2143" t="s">
        <v>107</v>
      </c>
      <c r="W2143" t="s">
        <v>173</v>
      </c>
      <c r="X2143" t="s">
        <v>77</v>
      </c>
      <c r="Y2143" t="s">
        <v>755</v>
      </c>
      <c r="Z2143" t="s">
        <v>64</v>
      </c>
      <c r="AA2143" t="s">
        <v>906</v>
      </c>
      <c r="AB2143" t="s">
        <v>0</v>
      </c>
      <c r="AC2143" t="s">
        <v>5807</v>
      </c>
    </row>
    <row r="2144" spans="1:29">
      <c r="A2144" t="s">
        <v>5808</v>
      </c>
      <c r="B2144" s="11" t="str">
        <f>IF(ISNUMBER(SEARCH(E2144,A2144)),A2144,IF(OR(E2144="",E2144=""),A2144,A2144&amp;" - "&amp;E2144))</f>
        <v>Weeco 23/1 KL Prince Louis - Cali Sunset</v>
      </c>
      <c r="C2144" t="s">
        <v>905</v>
      </c>
      <c r="D2144" t="s">
        <v>906</v>
      </c>
      <c r="E2144" s="79" t="s">
        <v>3445</v>
      </c>
      <c r="F2144" s="81" t="s">
        <v>177</v>
      </c>
      <c r="G2144" s="83" t="s">
        <v>436</v>
      </c>
      <c r="H2144" s="95" t="s">
        <v>65</v>
      </c>
      <c r="I2144" t="s">
        <v>0</v>
      </c>
      <c r="J2144" t="s">
        <v>0</v>
      </c>
      <c r="K2144" t="s">
        <v>17</v>
      </c>
      <c r="L2144" t="s">
        <v>87</v>
      </c>
      <c r="M2144" t="s">
        <v>88</v>
      </c>
      <c r="N2144" t="s">
        <v>72</v>
      </c>
      <c r="O2144" t="s">
        <v>0</v>
      </c>
      <c r="P2144" t="s">
        <v>74</v>
      </c>
      <c r="Q2144" t="s">
        <v>75</v>
      </c>
      <c r="R2144" t="s">
        <v>136</v>
      </c>
      <c r="S2144" t="s">
        <v>128</v>
      </c>
      <c r="T2144" t="s">
        <v>106</v>
      </c>
      <c r="U2144" t="s">
        <v>62</v>
      </c>
      <c r="V2144" t="s">
        <v>93</v>
      </c>
      <c r="W2144" t="s">
        <v>4398</v>
      </c>
      <c r="X2144" t="s">
        <v>107</v>
      </c>
      <c r="Y2144" t="s">
        <v>2023</v>
      </c>
      <c r="Z2144" t="s">
        <v>64</v>
      </c>
      <c r="AA2144" t="s">
        <v>906</v>
      </c>
      <c r="AB2144" t="s">
        <v>0</v>
      </c>
      <c r="AC2144" t="s">
        <v>5809</v>
      </c>
    </row>
    <row r="2145" spans="1:29">
      <c r="A2145" t="s">
        <v>4624</v>
      </c>
      <c r="B2145" s="11" t="str">
        <f>IF(ISNUMBER(SEARCH(E2145,A2145)),A2145,IF(OR(E2145="",E2145=""),A2145,A2145&amp;" - "&amp;E2145))</f>
        <v>20/1 IUVO OC - Temptation</v>
      </c>
      <c r="C2145" s="97" t="s">
        <v>5810</v>
      </c>
      <c r="D2145" t="s">
        <v>5811</v>
      </c>
      <c r="E2145" s="79" t="s">
        <v>5812</v>
      </c>
      <c r="F2145" s="81" t="s">
        <v>86</v>
      </c>
      <c r="G2145" s="83" t="s">
        <v>460</v>
      </c>
      <c r="H2145" s="95" t="s">
        <v>65</v>
      </c>
      <c r="I2145" t="s">
        <v>0</v>
      </c>
      <c r="J2145" t="s">
        <v>0</v>
      </c>
      <c r="K2145" t="s">
        <v>52</v>
      </c>
      <c r="L2145" t="s">
        <v>53</v>
      </c>
      <c r="M2145" t="s">
        <v>121</v>
      </c>
      <c r="N2145" t="s">
        <v>72</v>
      </c>
      <c r="O2145" t="s">
        <v>111</v>
      </c>
      <c r="P2145" t="s">
        <v>59</v>
      </c>
      <c r="Q2145" t="s">
        <v>57</v>
      </c>
      <c r="R2145" t="s">
        <v>75</v>
      </c>
      <c r="S2145" t="s">
        <v>106</v>
      </c>
      <c r="T2145" t="s">
        <v>62</v>
      </c>
      <c r="U2145" t="s">
        <v>786</v>
      </c>
      <c r="V2145" t="s">
        <v>93</v>
      </c>
      <c r="W2145" t="s">
        <v>79</v>
      </c>
      <c r="X2145" t="s">
        <v>77</v>
      </c>
      <c r="Y2145" t="s">
        <v>870</v>
      </c>
      <c r="Z2145" t="s">
        <v>64</v>
      </c>
      <c r="AA2145" t="s">
        <v>5811</v>
      </c>
      <c r="AB2145" t="s">
        <v>2693</v>
      </c>
      <c r="AC2145" t="s">
        <v>5813</v>
      </c>
    </row>
    <row r="2146" spans="1:29">
      <c r="A2146" t="s">
        <v>5814</v>
      </c>
      <c r="B2146" s="11" t="str">
        <f>IF(ISNUMBER(SEARCH(E2146,A2146)),A2146,IF(OR(E2146="",E2146=""),A2146,A2146&amp;" - "&amp;E2146))</f>
        <v>Greatsoul LL1 18/1 - Legendary Larry</v>
      </c>
      <c r="C2146" t="s">
        <v>564</v>
      </c>
      <c r="D2146" t="s">
        <v>565</v>
      </c>
      <c r="E2146" s="79" t="s">
        <v>746</v>
      </c>
      <c r="F2146" s="81" t="s">
        <v>120</v>
      </c>
      <c r="G2146" s="83" t="s">
        <v>8</v>
      </c>
      <c r="H2146" s="95" t="s">
        <v>65</v>
      </c>
      <c r="I2146" t="s">
        <v>0</v>
      </c>
      <c r="J2146" t="s">
        <v>0</v>
      </c>
      <c r="K2146" t="s">
        <v>52</v>
      </c>
      <c r="L2146" t="s">
        <v>53</v>
      </c>
      <c r="M2146" t="s">
        <v>72</v>
      </c>
      <c r="N2146" t="s">
        <v>0</v>
      </c>
      <c r="O2146" t="s">
        <v>0</v>
      </c>
      <c r="P2146" t="s">
        <v>59</v>
      </c>
      <c r="Q2146" t="s">
        <v>75</v>
      </c>
      <c r="R2146" t="s">
        <v>74</v>
      </c>
      <c r="S2146" t="s">
        <v>62</v>
      </c>
      <c r="T2146" t="s">
        <v>430</v>
      </c>
      <c r="U2146" t="s">
        <v>114</v>
      </c>
      <c r="V2146" t="s">
        <v>165</v>
      </c>
      <c r="W2146" t="s">
        <v>107</v>
      </c>
      <c r="X2146" t="s">
        <v>116</v>
      </c>
      <c r="Y2146" t="s">
        <v>314</v>
      </c>
      <c r="Z2146" t="s">
        <v>64</v>
      </c>
      <c r="AA2146" t="s">
        <v>565</v>
      </c>
      <c r="AB2146" t="s">
        <v>0</v>
      </c>
      <c r="AC2146" t="s">
        <v>5815</v>
      </c>
    </row>
    <row r="2147" spans="1:29">
      <c r="A2147" t="s">
        <v>5816</v>
      </c>
      <c r="B2147" s="11" t="str">
        <f>IF(ISNUMBER(SEARCH(E2147,A2147)),A2147,IF(OR(E2147="",E2147=""),A2147,A2147&amp;" - "&amp;E2147))</f>
        <v>MGF CANN BKR 30/1 - Delicata Cookies</v>
      </c>
      <c r="C2147" t="s">
        <v>3108</v>
      </c>
      <c r="D2147" t="s">
        <v>3109</v>
      </c>
      <c r="E2147" s="79" t="s">
        <v>5817</v>
      </c>
      <c r="F2147" s="81" t="s">
        <v>144</v>
      </c>
      <c r="G2147" s="83" t="s">
        <v>4057</v>
      </c>
      <c r="H2147" s="95" t="s">
        <v>65</v>
      </c>
      <c r="I2147" t="s">
        <v>0</v>
      </c>
      <c r="J2147" t="s">
        <v>0</v>
      </c>
      <c r="K2147" t="s">
        <v>52</v>
      </c>
      <c r="L2147" t="s">
        <v>102</v>
      </c>
      <c r="M2147" t="s">
        <v>121</v>
      </c>
      <c r="N2147" t="s">
        <v>72</v>
      </c>
      <c r="O2147" t="s">
        <v>71</v>
      </c>
      <c r="P2147" t="s">
        <v>89</v>
      </c>
      <c r="Q2147" t="s">
        <v>58</v>
      </c>
      <c r="R2147" t="s">
        <v>74</v>
      </c>
      <c r="S2147" t="s">
        <v>61</v>
      </c>
      <c r="T2147" t="s">
        <v>62</v>
      </c>
      <c r="U2147" t="s">
        <v>123</v>
      </c>
      <c r="V2147" t="s">
        <v>77</v>
      </c>
      <c r="W2147" t="s">
        <v>116</v>
      </c>
      <c r="X2147" t="s">
        <v>180</v>
      </c>
      <c r="Y2147" t="s">
        <v>391</v>
      </c>
      <c r="Z2147" t="s">
        <v>64</v>
      </c>
      <c r="AA2147" t="s">
        <v>3109</v>
      </c>
      <c r="AB2147" t="s">
        <v>0</v>
      </c>
      <c r="AC2147" t="s">
        <v>5818</v>
      </c>
    </row>
    <row r="2148" spans="1:29">
      <c r="A2148" t="s">
        <v>272</v>
      </c>
      <c r="B2148" s="11" t="str">
        <f>IF(ISNUMBER(SEARCH(E2148,A2148)),A2148,IF(OR(E2148="",E2148=""),A2148,A2148&amp;" - "&amp;E2148))</f>
        <v>Nimbus easy 20/1 - Jet Fuel Apricot</v>
      </c>
      <c r="C2148" t="s">
        <v>141</v>
      </c>
      <c r="D2148" t="s">
        <v>149</v>
      </c>
      <c r="E2148" s="79" t="s">
        <v>5819</v>
      </c>
      <c r="F2148" s="81" t="s">
        <v>86</v>
      </c>
      <c r="G2148" s="83" t="s">
        <v>460</v>
      </c>
      <c r="H2148" s="95" t="s">
        <v>65</v>
      </c>
      <c r="I2148" t="s">
        <v>0</v>
      </c>
      <c r="J2148" t="s">
        <v>0</v>
      </c>
      <c r="K2148" t="s">
        <v>52</v>
      </c>
      <c r="L2148" t="s">
        <v>145</v>
      </c>
      <c r="M2148" t="s">
        <v>71</v>
      </c>
      <c r="N2148" t="s">
        <v>54</v>
      </c>
      <c r="O2148" t="s">
        <v>55</v>
      </c>
      <c r="P2148" t="s">
        <v>58</v>
      </c>
      <c r="Q2148" t="s">
        <v>146</v>
      </c>
      <c r="R2148" t="s">
        <v>75</v>
      </c>
      <c r="S2148" t="s">
        <v>106</v>
      </c>
      <c r="T2148" t="s">
        <v>62</v>
      </c>
      <c r="U2148" t="s">
        <v>147</v>
      </c>
      <c r="V2148" t="s">
        <v>292</v>
      </c>
      <c r="W2148" t="s">
        <v>129</v>
      </c>
      <c r="X2148" t="s">
        <v>107</v>
      </c>
      <c r="Y2148" t="s">
        <v>314</v>
      </c>
      <c r="Z2148" t="s">
        <v>64</v>
      </c>
      <c r="AA2148" t="s">
        <v>149</v>
      </c>
      <c r="AB2148" t="s">
        <v>0</v>
      </c>
      <c r="AC2148" t="s">
        <v>5820</v>
      </c>
    </row>
    <row r="2149" spans="1:29">
      <c r="A2149" t="s">
        <v>5821</v>
      </c>
      <c r="B2149" s="11" t="str">
        <f>IF(ISNUMBER(SEARCH(E2149,A2149)),A2149,IF(OR(E2149="",E2149=""),A2149,A2149&amp;" - "&amp;E2149))</f>
        <v>MGF CANN JGN 26/1 - - Motor Crasher</v>
      </c>
      <c r="C2149" t="s">
        <v>3108</v>
      </c>
      <c r="D2149" t="s">
        <v>3109</v>
      </c>
      <c r="E2149" s="79" t="s">
        <v>4934</v>
      </c>
      <c r="F2149" s="81" t="s">
        <v>144</v>
      </c>
      <c r="G2149" s="83" t="s">
        <v>4086</v>
      </c>
      <c r="H2149" s="95" t="s">
        <v>65</v>
      </c>
      <c r="I2149" t="s">
        <v>0</v>
      </c>
      <c r="J2149" t="s">
        <v>0</v>
      </c>
      <c r="K2149" t="s">
        <v>52</v>
      </c>
      <c r="L2149" t="s">
        <v>102</v>
      </c>
      <c r="M2149" t="s">
        <v>178</v>
      </c>
      <c r="N2149" t="s">
        <v>71</v>
      </c>
      <c r="O2149" t="s">
        <v>72</v>
      </c>
      <c r="P2149" t="s">
        <v>75</v>
      </c>
      <c r="Q2149" t="s">
        <v>74</v>
      </c>
      <c r="R2149" t="s">
        <v>73</v>
      </c>
      <c r="S2149" t="s">
        <v>62</v>
      </c>
      <c r="T2149" t="s">
        <v>164</v>
      </c>
      <c r="U2149" t="s">
        <v>123</v>
      </c>
      <c r="V2149" t="s">
        <v>93</v>
      </c>
      <c r="W2149" t="s">
        <v>77</v>
      </c>
      <c r="X2149" t="s">
        <v>180</v>
      </c>
      <c r="Y2149" t="s">
        <v>124</v>
      </c>
      <c r="Z2149" t="s">
        <v>64</v>
      </c>
      <c r="AA2149" t="s">
        <v>3109</v>
      </c>
      <c r="AB2149" t="s">
        <v>0</v>
      </c>
      <c r="AC2149" t="s">
        <v>5822</v>
      </c>
    </row>
    <row r="2150" spans="1:29">
      <c r="A2150" t="s">
        <v>247</v>
      </c>
      <c r="B2150" s="11" t="str">
        <f>IF(ISNUMBER(SEARCH(E2150,A2150)),A2150,IF(OR(E2150="",E2150=""),A2150,A2150&amp;" - "&amp;E2150))</f>
        <v>Nimbus easy 26/1 - Appalachian Trail</v>
      </c>
      <c r="C2150" t="s">
        <v>141</v>
      </c>
      <c r="D2150" t="s">
        <v>149</v>
      </c>
      <c r="E2150" s="79" t="s">
        <v>5823</v>
      </c>
      <c r="F2150" s="81" t="s">
        <v>86</v>
      </c>
      <c r="G2150" s="83" t="s">
        <v>4086</v>
      </c>
      <c r="H2150" s="95" t="s">
        <v>65</v>
      </c>
      <c r="I2150" t="s">
        <v>0</v>
      </c>
      <c r="J2150" t="s">
        <v>0</v>
      </c>
      <c r="K2150" t="s">
        <v>52</v>
      </c>
      <c r="L2150" t="s">
        <v>145</v>
      </c>
      <c r="M2150" t="s">
        <v>72</v>
      </c>
      <c r="N2150" t="s">
        <v>54</v>
      </c>
      <c r="O2150" t="s">
        <v>71</v>
      </c>
      <c r="P2150" t="s">
        <v>146</v>
      </c>
      <c r="Q2150" t="s">
        <v>59</v>
      </c>
      <c r="R2150" t="s">
        <v>58</v>
      </c>
      <c r="S2150" t="s">
        <v>106</v>
      </c>
      <c r="T2150" t="s">
        <v>62</v>
      </c>
      <c r="U2150" t="s">
        <v>147</v>
      </c>
      <c r="V2150" t="s">
        <v>77</v>
      </c>
      <c r="W2150" t="s">
        <v>180</v>
      </c>
      <c r="X2150" t="s">
        <v>129</v>
      </c>
      <c r="Y2150" t="s">
        <v>348</v>
      </c>
      <c r="Z2150" t="s">
        <v>64</v>
      </c>
      <c r="AA2150" t="s">
        <v>149</v>
      </c>
      <c r="AB2150" t="s">
        <v>0</v>
      </c>
      <c r="AC2150" t="s">
        <v>5824</v>
      </c>
    </row>
    <row r="2151" spans="1:29">
      <c r="A2151" t="s">
        <v>5825</v>
      </c>
      <c r="B2151" s="11" t="str">
        <f>IF(ISNUMBER(SEARCH(E2151,A2151)),A2151,IF(OR(E2151="",E2151=""),A2151,A2151&amp;" - "&amp;E2151))</f>
        <v>MGF CANN SNL 27/1 - Honey Suckle</v>
      </c>
      <c r="C2151" t="s">
        <v>3108</v>
      </c>
      <c r="D2151" t="s">
        <v>3109</v>
      </c>
      <c r="E2151" s="79" t="s">
        <v>5788</v>
      </c>
      <c r="F2151" s="81" t="s">
        <v>86</v>
      </c>
      <c r="G2151" s="83" t="s">
        <v>33</v>
      </c>
      <c r="H2151" s="95" t="s">
        <v>65</v>
      </c>
      <c r="I2151" t="s">
        <v>0</v>
      </c>
      <c r="J2151" t="s">
        <v>0</v>
      </c>
      <c r="K2151" t="s">
        <v>52</v>
      </c>
      <c r="L2151" t="s">
        <v>102</v>
      </c>
      <c r="M2151" t="s">
        <v>71</v>
      </c>
      <c r="N2151" t="s">
        <v>72</v>
      </c>
      <c r="O2151" t="s">
        <v>54</v>
      </c>
      <c r="P2151" t="s">
        <v>104</v>
      </c>
      <c r="Q2151" t="s">
        <v>136</v>
      </c>
      <c r="R2151" t="s">
        <v>59</v>
      </c>
      <c r="S2151" t="s">
        <v>106</v>
      </c>
      <c r="T2151" t="s">
        <v>62</v>
      </c>
      <c r="U2151" t="s">
        <v>147</v>
      </c>
      <c r="V2151" t="s">
        <v>165</v>
      </c>
      <c r="W2151" t="s">
        <v>180</v>
      </c>
      <c r="X2151" t="s">
        <v>92</v>
      </c>
      <c r="Y2151" t="s">
        <v>966</v>
      </c>
      <c r="Z2151" t="s">
        <v>64</v>
      </c>
      <c r="AA2151" t="s">
        <v>3109</v>
      </c>
      <c r="AB2151" t="s">
        <v>0</v>
      </c>
      <c r="AC2151" t="s">
        <v>5826</v>
      </c>
    </row>
    <row r="2152" spans="1:29">
      <c r="A2152" t="s">
        <v>5827</v>
      </c>
      <c r="B2152" s="11" t="str">
        <f>IF(ISNUMBER(SEARCH(E2152,A2152)),A2152,IF(OR(E2152="",E2152=""),A2152,A2152&amp;" - "&amp;E2152))</f>
        <v>MGF CANN SNL 30/1 - Honey Suckle</v>
      </c>
      <c r="C2152" t="s">
        <v>3108</v>
      </c>
      <c r="D2152" t="s">
        <v>3109</v>
      </c>
      <c r="E2152" s="79" t="s">
        <v>5788</v>
      </c>
      <c r="F2152" s="81" t="s">
        <v>86</v>
      </c>
      <c r="G2152" s="83" t="s">
        <v>4057</v>
      </c>
      <c r="H2152" s="95" t="s">
        <v>65</v>
      </c>
      <c r="I2152" t="s">
        <v>0</v>
      </c>
      <c r="J2152" t="s">
        <v>0</v>
      </c>
      <c r="K2152" t="s">
        <v>52</v>
      </c>
      <c r="L2152" t="s">
        <v>102</v>
      </c>
      <c r="M2152" t="s">
        <v>71</v>
      </c>
      <c r="N2152" t="s">
        <v>72</v>
      </c>
      <c r="O2152" t="s">
        <v>54</v>
      </c>
      <c r="P2152" t="s">
        <v>104</v>
      </c>
      <c r="Q2152" t="s">
        <v>136</v>
      </c>
      <c r="R2152" t="s">
        <v>59</v>
      </c>
      <c r="S2152" t="s">
        <v>106</v>
      </c>
      <c r="T2152" t="s">
        <v>62</v>
      </c>
      <c r="U2152" t="s">
        <v>147</v>
      </c>
      <c r="V2152" t="s">
        <v>165</v>
      </c>
      <c r="W2152" t="s">
        <v>180</v>
      </c>
      <c r="X2152" t="s">
        <v>92</v>
      </c>
      <c r="Y2152" t="s">
        <v>130</v>
      </c>
      <c r="Z2152" t="s">
        <v>64</v>
      </c>
      <c r="AA2152" t="s">
        <v>3109</v>
      </c>
      <c r="AB2152" t="s">
        <v>0</v>
      </c>
      <c r="AC2152" t="s">
        <v>5828</v>
      </c>
    </row>
    <row r="2153" spans="1:29">
      <c r="A2153" t="s">
        <v>5829</v>
      </c>
      <c r="B2153" s="11" t="str">
        <f>IF(ISNUMBER(SEARCH(E2153,A2153)),A2153,IF(OR(E2153="",E2153=""),A2153,A2153&amp;" - "&amp;E2153))</f>
        <v>IMC Cannabisblüten WK1 THC22 MIDS - Wedding Candy</v>
      </c>
      <c r="C2153" t="s">
        <v>646</v>
      </c>
      <c r="D2153" t="s">
        <v>646</v>
      </c>
      <c r="E2153" s="79" t="s">
        <v>5830</v>
      </c>
      <c r="F2153" s="81" t="s">
        <v>86</v>
      </c>
      <c r="G2153" s="83" t="s">
        <v>4126</v>
      </c>
      <c r="H2153" s="95" t="s">
        <v>65</v>
      </c>
      <c r="I2153" t="s">
        <v>0</v>
      </c>
      <c r="J2153" t="s">
        <v>0</v>
      </c>
      <c r="K2153" t="s">
        <v>52</v>
      </c>
      <c r="L2153" t="s">
        <v>423</v>
      </c>
      <c r="M2153" t="s">
        <v>121</v>
      </c>
      <c r="N2153" t="s">
        <v>72</v>
      </c>
      <c r="O2153" t="s">
        <v>88</v>
      </c>
      <c r="P2153" t="s">
        <v>59</v>
      </c>
      <c r="Q2153" t="s">
        <v>57</v>
      </c>
      <c r="R2153" t="s">
        <v>89</v>
      </c>
      <c r="S2153" t="s">
        <v>62</v>
      </c>
      <c r="T2153" t="s">
        <v>123</v>
      </c>
      <c r="U2153" t="s">
        <v>0</v>
      </c>
      <c r="V2153" t="s">
        <v>77</v>
      </c>
      <c r="W2153" t="s">
        <v>225</v>
      </c>
      <c r="X2153" t="s">
        <v>116</v>
      </c>
      <c r="Y2153" t="s">
        <v>5831</v>
      </c>
      <c r="Z2153" t="s">
        <v>64</v>
      </c>
      <c r="AA2153" t="s">
        <v>646</v>
      </c>
      <c r="AB2153" t="s">
        <v>0</v>
      </c>
      <c r="AC2153" t="s">
        <v>5832</v>
      </c>
    </row>
    <row r="2154" spans="1:29">
      <c r="A2154" t="s">
        <v>5833</v>
      </c>
      <c r="B2154" s="11" t="str">
        <f>IF(ISNUMBER(SEARCH(E2154,A2154)),A2154,IF(OR(E2154="",E2154=""),A2154,A2154&amp;" - "&amp;E2154))</f>
        <v>MGF CANN MRC 22/1 - Pineapple Poison</v>
      </c>
      <c r="C2154" t="s">
        <v>3108</v>
      </c>
      <c r="D2154" t="s">
        <v>3109</v>
      </c>
      <c r="E2154" s="79" t="s">
        <v>5834</v>
      </c>
      <c r="F2154" s="81" t="s">
        <v>144</v>
      </c>
      <c r="G2154" s="83" t="s">
        <v>4126</v>
      </c>
      <c r="H2154" s="95" t="s">
        <v>65</v>
      </c>
      <c r="I2154" t="s">
        <v>0</v>
      </c>
      <c r="J2154" t="s">
        <v>0</v>
      </c>
      <c r="K2154" t="s">
        <v>52</v>
      </c>
      <c r="L2154" t="s">
        <v>102</v>
      </c>
      <c r="M2154" t="s">
        <v>72</v>
      </c>
      <c r="N2154" t="s">
        <v>178</v>
      </c>
      <c r="O2154" t="s">
        <v>71</v>
      </c>
      <c r="P2154" t="s">
        <v>75</v>
      </c>
      <c r="Q2154" t="s">
        <v>136</v>
      </c>
      <c r="R2154" t="s">
        <v>89</v>
      </c>
      <c r="S2154" t="s">
        <v>62</v>
      </c>
      <c r="T2154" t="s">
        <v>430</v>
      </c>
      <c r="U2154" t="s">
        <v>164</v>
      </c>
      <c r="V2154" t="s">
        <v>77</v>
      </c>
      <c r="W2154" t="s">
        <v>138</v>
      </c>
      <c r="X2154" t="s">
        <v>292</v>
      </c>
      <c r="Y2154" t="s">
        <v>213</v>
      </c>
      <c r="Z2154" t="s">
        <v>64</v>
      </c>
      <c r="AA2154" t="s">
        <v>3109</v>
      </c>
      <c r="AB2154" t="s">
        <v>0</v>
      </c>
      <c r="AC2154" t="s">
        <v>5835</v>
      </c>
    </row>
    <row r="2155" spans="1:29">
      <c r="A2155" t="s">
        <v>5836</v>
      </c>
      <c r="B2155" s="11" t="str">
        <f>IF(ISNUMBER(SEARCH(E2155,A2155)),A2155,IF(OR(E2155="",E2155=""),A2155,A2155&amp;" - "&amp;E2155))</f>
        <v>IMC Cannabisblüten GRZ THC22 MIDS - Jungle Pop</v>
      </c>
      <c r="C2155" t="s">
        <v>646</v>
      </c>
      <c r="D2155" t="s">
        <v>646</v>
      </c>
      <c r="E2155" s="79" t="s">
        <v>5837</v>
      </c>
      <c r="F2155" s="81" t="s">
        <v>86</v>
      </c>
      <c r="G2155" s="83" t="s">
        <v>4126</v>
      </c>
      <c r="H2155" s="95" t="s">
        <v>65</v>
      </c>
      <c r="I2155" t="s">
        <v>0</v>
      </c>
      <c r="J2155" t="s">
        <v>0</v>
      </c>
      <c r="K2155" t="s">
        <v>52</v>
      </c>
      <c r="L2155" t="s">
        <v>423</v>
      </c>
      <c r="M2155" t="s">
        <v>55</v>
      </c>
      <c r="N2155" t="s">
        <v>54</v>
      </c>
      <c r="O2155" t="s">
        <v>178</v>
      </c>
      <c r="P2155" t="s">
        <v>136</v>
      </c>
      <c r="Q2155" t="s">
        <v>59</v>
      </c>
      <c r="R2155" t="s">
        <v>57</v>
      </c>
      <c r="S2155" t="s">
        <v>106</v>
      </c>
      <c r="T2155" t="s">
        <v>62</v>
      </c>
      <c r="U2155" t="s">
        <v>147</v>
      </c>
      <c r="V2155" t="s">
        <v>93</v>
      </c>
      <c r="W2155" t="s">
        <v>0</v>
      </c>
      <c r="X2155" t="s">
        <v>0</v>
      </c>
      <c r="Y2155" t="s">
        <v>5474</v>
      </c>
      <c r="Z2155" t="s">
        <v>64</v>
      </c>
      <c r="AA2155" t="s">
        <v>646</v>
      </c>
      <c r="AB2155" t="s">
        <v>0</v>
      </c>
      <c r="AC2155" t="s">
        <v>5838</v>
      </c>
    </row>
    <row r="2156" spans="1:29">
      <c r="A2156" t="s">
        <v>5839</v>
      </c>
      <c r="B2156" s="11" t="str">
        <f>IF(ISNUMBER(SEARCH(E2156,A2156)),A2156,IF(OR(E2156="",E2156=""),A2156,A2156&amp;" - "&amp;E2156))</f>
        <v>Sibanax SHB 26/1 Shishkaberry - Shiskaberry</v>
      </c>
      <c r="C2156" t="s">
        <v>2296</v>
      </c>
      <c r="D2156" t="s">
        <v>2298</v>
      </c>
      <c r="E2156" s="79" t="s">
        <v>2408</v>
      </c>
      <c r="F2156" s="81" t="s">
        <v>120</v>
      </c>
      <c r="G2156" s="83" t="s">
        <v>4086</v>
      </c>
      <c r="H2156" s="95">
        <v>1</v>
      </c>
      <c r="I2156" t="s">
        <v>0</v>
      </c>
      <c r="J2156" t="s">
        <v>0</v>
      </c>
      <c r="K2156" t="s">
        <v>52</v>
      </c>
      <c r="L2156" t="s">
        <v>102</v>
      </c>
      <c r="M2156" t="s">
        <v>121</v>
      </c>
      <c r="N2156" t="s">
        <v>212</v>
      </c>
      <c r="O2156" t="s">
        <v>72</v>
      </c>
      <c r="P2156" t="s">
        <v>89</v>
      </c>
      <c r="Q2156" t="s">
        <v>58</v>
      </c>
      <c r="R2156" t="s">
        <v>0</v>
      </c>
      <c r="S2156" t="s">
        <v>128</v>
      </c>
      <c r="T2156" t="s">
        <v>106</v>
      </c>
      <c r="U2156" t="s">
        <v>62</v>
      </c>
      <c r="V2156" t="s">
        <v>107</v>
      </c>
      <c r="W2156" t="s">
        <v>77</v>
      </c>
      <c r="X2156" t="s">
        <v>129</v>
      </c>
      <c r="Y2156" t="s">
        <v>130</v>
      </c>
      <c r="Z2156" t="s">
        <v>64</v>
      </c>
      <c r="AA2156" t="s">
        <v>2298</v>
      </c>
      <c r="AB2156" t="s">
        <v>5651</v>
      </c>
      <c r="AC2156" t="s">
        <v>5840</v>
      </c>
    </row>
    <row r="2157" spans="1:29">
      <c r="A2157" t="s">
        <v>5841</v>
      </c>
      <c r="B2157" s="11" t="str">
        <f>IF(ISNUMBER(SEARCH(E2157,A2157)),A2157,IF(OR(E2157="",E2157=""),A2157,A2157&amp;" - "&amp;E2157))</f>
        <v>ZOIKS 26/1 BB - Ben &amp; Berries</v>
      </c>
      <c r="C2157" t="s">
        <v>4601</v>
      </c>
      <c r="D2157" t="s">
        <v>572</v>
      </c>
      <c r="E2157" s="79" t="s">
        <v>5842</v>
      </c>
      <c r="F2157" s="81" t="s">
        <v>177</v>
      </c>
      <c r="G2157" s="83" t="s">
        <v>33</v>
      </c>
      <c r="H2157" s="95" t="s">
        <v>65</v>
      </c>
      <c r="I2157" t="s">
        <v>0</v>
      </c>
      <c r="J2157" t="s">
        <v>0</v>
      </c>
      <c r="K2157" t="s">
        <v>52</v>
      </c>
      <c r="L2157" t="s">
        <v>53</v>
      </c>
      <c r="M2157" t="s">
        <v>72</v>
      </c>
      <c r="N2157" t="s">
        <v>54</v>
      </c>
      <c r="O2157" t="s">
        <v>178</v>
      </c>
      <c r="P2157" t="s">
        <v>59</v>
      </c>
      <c r="Q2157" t="s">
        <v>57</v>
      </c>
      <c r="R2157" t="s">
        <v>89</v>
      </c>
      <c r="S2157" t="s">
        <v>106</v>
      </c>
      <c r="T2157" t="s">
        <v>62</v>
      </c>
      <c r="U2157" t="s">
        <v>147</v>
      </c>
      <c r="V2157" t="s">
        <v>77</v>
      </c>
      <c r="W2157" t="s">
        <v>292</v>
      </c>
      <c r="X2157" t="s">
        <v>138</v>
      </c>
      <c r="Y2157" t="s">
        <v>2047</v>
      </c>
      <c r="Z2157" t="s">
        <v>64</v>
      </c>
      <c r="AA2157" t="s">
        <v>572</v>
      </c>
      <c r="AB2157" t="s">
        <v>0</v>
      </c>
      <c r="AC2157" t="s">
        <v>5843</v>
      </c>
    </row>
    <row r="2158" spans="1:29">
      <c r="A2158" t="s">
        <v>5844</v>
      </c>
      <c r="B2158" s="11" t="str">
        <f>IF(ISNUMBER(SEARCH(E2158,A2158)),A2158,IF(OR(E2158="",E2158=""),A2158,A2158&amp;" - "&amp;E2158))</f>
        <v>J.R. Strain GT 30/1 - Garlic Truffle</v>
      </c>
      <c r="C2158" t="s">
        <v>564</v>
      </c>
      <c r="D2158" t="s">
        <v>565</v>
      </c>
      <c r="E2158" s="79" t="s">
        <v>4510</v>
      </c>
      <c r="F2158" s="81" t="s">
        <v>120</v>
      </c>
      <c r="G2158" s="83" t="s">
        <v>4057</v>
      </c>
      <c r="H2158" s="95">
        <v>1</v>
      </c>
      <c r="I2158" t="s">
        <v>0</v>
      </c>
      <c r="J2158" t="s">
        <v>0</v>
      </c>
      <c r="K2158" t="s">
        <v>52</v>
      </c>
      <c r="L2158" t="s">
        <v>53</v>
      </c>
      <c r="M2158" t="s">
        <v>121</v>
      </c>
      <c r="N2158" t="s">
        <v>72</v>
      </c>
      <c r="O2158" t="s">
        <v>0</v>
      </c>
      <c r="P2158" t="s">
        <v>75</v>
      </c>
      <c r="Q2158" t="s">
        <v>104</v>
      </c>
      <c r="R2158" t="s">
        <v>0</v>
      </c>
      <c r="S2158" t="s">
        <v>106</v>
      </c>
      <c r="T2158" t="s">
        <v>62</v>
      </c>
      <c r="U2158" t="s">
        <v>147</v>
      </c>
      <c r="V2158" t="s">
        <v>107</v>
      </c>
      <c r="W2158" t="s">
        <v>116</v>
      </c>
      <c r="X2158" t="s">
        <v>138</v>
      </c>
      <c r="Y2158" t="s">
        <v>1885</v>
      </c>
      <c r="Z2158" t="s">
        <v>64</v>
      </c>
      <c r="AA2158" t="s">
        <v>565</v>
      </c>
      <c r="AB2158" t="s">
        <v>5648</v>
      </c>
      <c r="AC2158" t="s">
        <v>5845</v>
      </c>
    </row>
    <row r="2159" spans="1:29">
      <c r="A2159" t="s">
        <v>5846</v>
      </c>
      <c r="B2159" s="11" t="str">
        <f>IF(ISNUMBER(SEARCH(E2159,A2159)),A2159,IF(OR(E2159="",E2159=""),A2159,A2159&amp;" - "&amp;E2159))</f>
        <v>Cannamedical Indica Forte AU LKC - LA Kush Cake</v>
      </c>
      <c r="C2159" t="s">
        <v>48</v>
      </c>
      <c r="D2159" t="s">
        <v>49</v>
      </c>
      <c r="E2159" s="79" t="s">
        <v>578</v>
      </c>
      <c r="F2159" s="81" t="s">
        <v>177</v>
      </c>
      <c r="G2159" s="83" t="s">
        <v>448</v>
      </c>
      <c r="H2159" s="95" t="s">
        <v>65</v>
      </c>
      <c r="I2159" t="s">
        <v>0</v>
      </c>
      <c r="J2159" t="s">
        <v>0</v>
      </c>
      <c r="K2159" t="s">
        <v>52</v>
      </c>
      <c r="L2159" t="s">
        <v>145</v>
      </c>
      <c r="M2159" t="s">
        <v>156</v>
      </c>
      <c r="N2159" t="s">
        <v>121</v>
      </c>
      <c r="O2159" t="s">
        <v>72</v>
      </c>
      <c r="P2159" t="s">
        <v>112</v>
      </c>
      <c r="Q2159" t="s">
        <v>59</v>
      </c>
      <c r="R2159" t="s">
        <v>57</v>
      </c>
      <c r="S2159" t="s">
        <v>106</v>
      </c>
      <c r="T2159" t="s">
        <v>123</v>
      </c>
      <c r="U2159" t="s">
        <v>466</v>
      </c>
      <c r="V2159" t="s">
        <v>107</v>
      </c>
      <c r="W2159" t="s">
        <v>79</v>
      </c>
      <c r="X2159" t="s">
        <v>173</v>
      </c>
      <c r="Y2159" t="s">
        <v>328</v>
      </c>
      <c r="Z2159" t="s">
        <v>64</v>
      </c>
      <c r="AA2159" t="s">
        <v>49</v>
      </c>
      <c r="AB2159" t="s">
        <v>0</v>
      </c>
      <c r="AC2159" t="s">
        <v>5847</v>
      </c>
    </row>
    <row r="2160" spans="1:29">
      <c r="A2160" t="s">
        <v>5848</v>
      </c>
      <c r="B2160" s="11" t="str">
        <f>IF(ISNUMBER(SEARCH(E2160,A2160)),A2160,IF(OR(E2160="",E2160=""),A2160,A2160&amp;" - "&amp;E2160))</f>
        <v>Remexian 22/1 BPD - Big Purple Dragon</v>
      </c>
      <c r="C2160" t="s">
        <v>83</v>
      </c>
      <c r="D2160" t="s">
        <v>95</v>
      </c>
      <c r="E2160" s="79" t="s">
        <v>4072</v>
      </c>
      <c r="F2160" s="81" t="s">
        <v>86</v>
      </c>
      <c r="G2160" s="83" t="s">
        <v>4126</v>
      </c>
      <c r="H2160" s="95">
        <v>1</v>
      </c>
      <c r="I2160" t="s">
        <v>0</v>
      </c>
      <c r="J2160" t="s">
        <v>0</v>
      </c>
      <c r="K2160" t="s">
        <v>52</v>
      </c>
      <c r="L2160" t="s">
        <v>87</v>
      </c>
      <c r="M2160" t="s">
        <v>54</v>
      </c>
      <c r="N2160" t="s">
        <v>72</v>
      </c>
      <c r="O2160" t="s">
        <v>0</v>
      </c>
      <c r="P2160" t="s">
        <v>74</v>
      </c>
      <c r="Q2160" t="s">
        <v>59</v>
      </c>
      <c r="R2160" t="s">
        <v>0</v>
      </c>
      <c r="S2160" t="s">
        <v>106</v>
      </c>
      <c r="T2160" t="s">
        <v>62</v>
      </c>
      <c r="U2160" t="s">
        <v>114</v>
      </c>
      <c r="V2160" t="s">
        <v>129</v>
      </c>
      <c r="W2160" t="s">
        <v>107</v>
      </c>
      <c r="X2160" t="s">
        <v>77</v>
      </c>
      <c r="Y2160" t="s">
        <v>307</v>
      </c>
      <c r="Z2160" t="s">
        <v>64</v>
      </c>
      <c r="AA2160" t="s">
        <v>95</v>
      </c>
      <c r="AB2160" t="s">
        <v>0</v>
      </c>
      <c r="AC2160" t="s">
        <v>5849</v>
      </c>
    </row>
    <row r="2161" spans="1:29">
      <c r="A2161" t="s">
        <v>5850</v>
      </c>
      <c r="B2161" s="11" t="str">
        <f>IF(ISNUMBER(SEARCH(E2161,A2161)),A2161,IF(OR(E2161="",E2161=""),A2161,A2161&amp;" - "&amp;E2161))</f>
        <v>GROW 29/1 GE Gelato Sherbet - Gelato Sherbert</v>
      </c>
      <c r="C2161" t="s">
        <v>141</v>
      </c>
      <c r="D2161" t="s">
        <v>149</v>
      </c>
      <c r="E2161" s="79" t="s">
        <v>1332</v>
      </c>
      <c r="F2161" s="81" t="s">
        <v>177</v>
      </c>
      <c r="G2161" s="83" t="s">
        <v>443</v>
      </c>
      <c r="H2161" s="95" t="s">
        <v>65</v>
      </c>
      <c r="I2161" t="s">
        <v>0</v>
      </c>
      <c r="J2161" t="s">
        <v>0</v>
      </c>
      <c r="K2161" t="s">
        <v>52</v>
      </c>
      <c r="L2161" t="s">
        <v>53</v>
      </c>
      <c r="M2161" t="s">
        <v>103</v>
      </c>
      <c r="N2161" t="s">
        <v>72</v>
      </c>
      <c r="O2161" t="s">
        <v>55</v>
      </c>
      <c r="P2161" t="s">
        <v>89</v>
      </c>
      <c r="Q2161" t="s">
        <v>146</v>
      </c>
      <c r="R2161" t="s">
        <v>112</v>
      </c>
      <c r="S2161" t="s">
        <v>106</v>
      </c>
      <c r="T2161" t="s">
        <v>62</v>
      </c>
      <c r="U2161" t="s">
        <v>493</v>
      </c>
      <c r="V2161" t="s">
        <v>107</v>
      </c>
      <c r="W2161" t="s">
        <v>77</v>
      </c>
      <c r="X2161" t="s">
        <v>93</v>
      </c>
      <c r="Y2161" t="s">
        <v>220</v>
      </c>
      <c r="Z2161" t="s">
        <v>64</v>
      </c>
      <c r="AA2161" t="s">
        <v>149</v>
      </c>
      <c r="AB2161" t="s">
        <v>0</v>
      </c>
      <c r="AC2161" t="s">
        <v>5851</v>
      </c>
    </row>
    <row r="2162" spans="1:29">
      <c r="A2162" t="s">
        <v>5852</v>
      </c>
      <c r="B2162" s="93" t="str">
        <f>IF(ISNUMBER(SEARCH(E2162,A2162)),A2162,IF(OR(E2162="",E2162=""),A2162,A2162&amp;" - "&amp;E2162))</f>
        <v>ZOIKS 22/1 - Ben &amp; Berries</v>
      </c>
      <c r="C2162" t="s">
        <v>4601</v>
      </c>
      <c r="D2162" t="s">
        <v>572</v>
      </c>
      <c r="E2162" s="79" t="s">
        <v>5842</v>
      </c>
      <c r="F2162" s="81" t="s">
        <v>177</v>
      </c>
      <c r="G2162" s="83" t="s">
        <v>4126</v>
      </c>
      <c r="H2162" s="95" t="s">
        <v>65</v>
      </c>
      <c r="I2162" t="s">
        <v>0</v>
      </c>
      <c r="J2162" t="s">
        <v>0</v>
      </c>
      <c r="K2162" t="s">
        <v>52</v>
      </c>
      <c r="L2162" t="s">
        <v>53</v>
      </c>
      <c r="M2162" t="s">
        <v>72</v>
      </c>
      <c r="N2162" t="s">
        <v>54</v>
      </c>
      <c r="O2162" t="s">
        <v>178</v>
      </c>
      <c r="P2162" t="s">
        <v>59</v>
      </c>
      <c r="Q2162" t="s">
        <v>57</v>
      </c>
      <c r="R2162" t="s">
        <v>89</v>
      </c>
      <c r="S2162" t="s">
        <v>106</v>
      </c>
      <c r="T2162" t="s">
        <v>62</v>
      </c>
      <c r="U2162" t="s">
        <v>147</v>
      </c>
      <c r="V2162" t="s">
        <v>77</v>
      </c>
      <c r="W2162" t="s">
        <v>292</v>
      </c>
      <c r="X2162" t="s">
        <v>138</v>
      </c>
      <c r="Y2162" t="s">
        <v>130</v>
      </c>
      <c r="Z2162" t="s">
        <v>64</v>
      </c>
      <c r="AA2162" t="s">
        <v>572</v>
      </c>
      <c r="AB2162" t="s">
        <v>0</v>
      </c>
      <c r="AC2162" t="s">
        <v>5853</v>
      </c>
    </row>
    <row r="2163" spans="1:29">
      <c r="A2163" t="s">
        <v>5852</v>
      </c>
      <c r="B2163" s="93" t="str">
        <f>IF(ISNUMBER(SEARCH(E2163,A2163)),A2163,IF(OR(E2163="",E2163=""),A2163,A2163&amp;" - "&amp;E2163))</f>
        <v>ZOIKS 22/1 - Space Rider</v>
      </c>
      <c r="C2163" t="s">
        <v>4601</v>
      </c>
      <c r="D2163" t="s">
        <v>572</v>
      </c>
      <c r="E2163" s="79" t="s">
        <v>5779</v>
      </c>
      <c r="F2163" s="81" t="s">
        <v>177</v>
      </c>
      <c r="G2163" s="83" t="s">
        <v>4126</v>
      </c>
      <c r="H2163" s="95" t="s">
        <v>65</v>
      </c>
      <c r="I2163" t="s">
        <v>0</v>
      </c>
      <c r="J2163" t="s">
        <v>0</v>
      </c>
      <c r="K2163" t="s">
        <v>52</v>
      </c>
      <c r="L2163" t="s">
        <v>53</v>
      </c>
      <c r="M2163" t="s">
        <v>88</v>
      </c>
      <c r="N2163" t="s">
        <v>71</v>
      </c>
      <c r="O2163" t="s">
        <v>121</v>
      </c>
      <c r="P2163" t="s">
        <v>59</v>
      </c>
      <c r="Q2163" t="s">
        <v>75</v>
      </c>
      <c r="R2163" t="s">
        <v>104</v>
      </c>
      <c r="S2163" t="s">
        <v>106</v>
      </c>
      <c r="T2163" t="s">
        <v>62</v>
      </c>
      <c r="U2163" t="s">
        <v>147</v>
      </c>
      <c r="V2163" t="s">
        <v>93</v>
      </c>
      <c r="W2163" t="s">
        <v>173</v>
      </c>
      <c r="X2163" t="s">
        <v>107</v>
      </c>
      <c r="Y2163" t="s">
        <v>1175</v>
      </c>
      <c r="Z2163" t="s">
        <v>64</v>
      </c>
      <c r="AA2163" t="s">
        <v>572</v>
      </c>
      <c r="AB2163" t="s">
        <v>0</v>
      </c>
      <c r="AC2163" t="s">
        <v>5854</v>
      </c>
    </row>
    <row r="2164" spans="1:29">
      <c r="A2164" t="s">
        <v>5855</v>
      </c>
      <c r="B2164" s="93" t="str">
        <f>IF(ISNUMBER(SEARCH(E2164,A2164)),A2164,IF(OR(E2164="",E2164=""),A2164,A2164&amp;" - "&amp;E2164))</f>
        <v>Wellford Peak CA PKM 33/1 - Pink Kush Mints</v>
      </c>
      <c r="C2164" t="s">
        <v>741</v>
      </c>
      <c r="D2164" t="s">
        <v>742</v>
      </c>
      <c r="E2164" s="79" t="s">
        <v>3938</v>
      </c>
      <c r="F2164" s="81" t="s">
        <v>177</v>
      </c>
      <c r="G2164" s="83" t="s">
        <v>4169</v>
      </c>
      <c r="H2164" s="95" t="s">
        <v>65</v>
      </c>
      <c r="I2164" t="s">
        <v>0</v>
      </c>
      <c r="J2164" t="s">
        <v>0</v>
      </c>
      <c r="K2164" t="s">
        <v>52</v>
      </c>
      <c r="L2164" t="s">
        <v>53</v>
      </c>
      <c r="M2164" t="s">
        <v>88</v>
      </c>
      <c r="N2164" t="s">
        <v>72</v>
      </c>
      <c r="O2164" t="s">
        <v>0</v>
      </c>
      <c r="P2164" t="s">
        <v>89</v>
      </c>
      <c r="Q2164" t="s">
        <v>104</v>
      </c>
      <c r="R2164" t="s">
        <v>59</v>
      </c>
      <c r="S2164" t="s">
        <v>61</v>
      </c>
      <c r="T2164" t="s">
        <v>62</v>
      </c>
      <c r="U2164" t="s">
        <v>123</v>
      </c>
      <c r="V2164" t="s">
        <v>107</v>
      </c>
      <c r="W2164" t="s">
        <v>138</v>
      </c>
      <c r="X2164" t="s">
        <v>116</v>
      </c>
      <c r="Y2164" t="s">
        <v>311</v>
      </c>
      <c r="Z2164" t="s">
        <v>64</v>
      </c>
      <c r="AA2164" t="s">
        <v>742</v>
      </c>
      <c r="AB2164" t="s">
        <v>0</v>
      </c>
      <c r="AC2164" t="s">
        <v>5856</v>
      </c>
    </row>
    <row r="2165" spans="1:29">
      <c r="A2165" t="s">
        <v>5857</v>
      </c>
      <c r="B2165" s="93" t="str">
        <f>IF(ISNUMBER(SEARCH(E2165,A2165)),A2165,IF(OR(E2165="",E2165=""),A2165,A2165&amp;" - "&amp;E2165))</f>
        <v>enua 22/1 TTA CA - Titanimal</v>
      </c>
      <c r="C2165" t="s">
        <v>650</v>
      </c>
      <c r="D2165" t="s">
        <v>653</v>
      </c>
      <c r="E2165" s="79" t="s">
        <v>1686</v>
      </c>
      <c r="F2165" s="81" t="s">
        <v>177</v>
      </c>
      <c r="G2165" s="83" t="s">
        <v>4126</v>
      </c>
      <c r="H2165" s="95" t="s">
        <v>65</v>
      </c>
      <c r="I2165" t="s">
        <v>0</v>
      </c>
      <c r="J2165" t="s">
        <v>0</v>
      </c>
      <c r="K2165" t="s">
        <v>52</v>
      </c>
      <c r="L2165" t="s">
        <v>53</v>
      </c>
      <c r="M2165" t="s">
        <v>72</v>
      </c>
      <c r="N2165" t="s">
        <v>121</v>
      </c>
      <c r="O2165" t="s">
        <v>0</v>
      </c>
      <c r="P2165" t="s">
        <v>89</v>
      </c>
      <c r="Q2165" t="s">
        <v>112</v>
      </c>
      <c r="R2165" t="s">
        <v>74</v>
      </c>
      <c r="S2165" t="s">
        <v>61</v>
      </c>
      <c r="T2165" t="s">
        <v>62</v>
      </c>
      <c r="U2165" t="s">
        <v>164</v>
      </c>
      <c r="V2165" t="s">
        <v>77</v>
      </c>
      <c r="W2165" t="s">
        <v>173</v>
      </c>
      <c r="X2165" t="s">
        <v>116</v>
      </c>
      <c r="Y2165" t="s">
        <v>1372</v>
      </c>
      <c r="Z2165" t="s">
        <v>64</v>
      </c>
      <c r="AA2165" t="s">
        <v>653</v>
      </c>
      <c r="AB2165" t="s">
        <v>0</v>
      </c>
      <c r="AC2165" t="s">
        <v>5858</v>
      </c>
    </row>
    <row r="2166" spans="1:29">
      <c r="A2166" t="s">
        <v>5859</v>
      </c>
      <c r="B2166" s="93" t="str">
        <f>IF(ISNUMBER(SEARCH(E2166,A2166)),A2166,IF(OR(E2166="",E2166=""),A2166,A2166&amp;" - "&amp;E2166))</f>
        <v>enua 30/1 BNM CA - Banana Mints</v>
      </c>
      <c r="C2166" t="s">
        <v>650</v>
      </c>
      <c r="D2166" t="s">
        <v>653</v>
      </c>
      <c r="E2166" s="79" t="s">
        <v>3808</v>
      </c>
      <c r="F2166" s="81" t="s">
        <v>177</v>
      </c>
      <c r="G2166" s="83" t="s">
        <v>4057</v>
      </c>
      <c r="H2166" s="95">
        <v>1</v>
      </c>
      <c r="I2166" t="s">
        <v>0</v>
      </c>
      <c r="J2166" t="s">
        <v>0</v>
      </c>
      <c r="K2166" t="s">
        <v>52</v>
      </c>
      <c r="L2166" t="s">
        <v>53</v>
      </c>
      <c r="M2166" t="s">
        <v>111</v>
      </c>
      <c r="N2166" t="s">
        <v>72</v>
      </c>
      <c r="O2166" t="s">
        <v>121</v>
      </c>
      <c r="P2166" t="s">
        <v>59</v>
      </c>
      <c r="Q2166" t="s">
        <v>112</v>
      </c>
      <c r="R2166" t="s">
        <v>74</v>
      </c>
      <c r="S2166" t="s">
        <v>128</v>
      </c>
      <c r="T2166" t="s">
        <v>106</v>
      </c>
      <c r="U2166" t="s">
        <v>62</v>
      </c>
      <c r="V2166" t="s">
        <v>173</v>
      </c>
      <c r="W2166" t="s">
        <v>77</v>
      </c>
      <c r="X2166" t="s">
        <v>116</v>
      </c>
      <c r="Y2166" t="s">
        <v>0</v>
      </c>
      <c r="Z2166" t="s">
        <v>64</v>
      </c>
      <c r="AA2166" t="s">
        <v>653</v>
      </c>
      <c r="AB2166" t="s">
        <v>0</v>
      </c>
      <c r="AC2166" t="s">
        <v>5860</v>
      </c>
    </row>
    <row r="2167" spans="1:29">
      <c r="A2167" t="s">
        <v>5861</v>
      </c>
      <c r="B2167" s="93" t="str">
        <f>IF(ISNUMBER(SEARCH(E2167,A2167)),A2167,IF(OR(E2167="",E2167=""),A2167,A2167&amp;" - "&amp;E2167))</f>
        <v>420 Compound 30/1 CA BBW - Bling Blaow</v>
      </c>
      <c r="C2167" t="s">
        <v>463</v>
      </c>
      <c r="D2167" t="s">
        <v>468</v>
      </c>
      <c r="E2167" s="79" t="s">
        <v>4658</v>
      </c>
      <c r="F2167" s="81" t="s">
        <v>177</v>
      </c>
      <c r="G2167" s="83" t="s">
        <v>4057</v>
      </c>
      <c r="H2167" s="95">
        <v>1</v>
      </c>
      <c r="I2167" t="s">
        <v>0</v>
      </c>
      <c r="J2167" t="s">
        <v>0</v>
      </c>
      <c r="K2167" t="s">
        <v>52</v>
      </c>
      <c r="L2167" t="s">
        <v>53</v>
      </c>
      <c r="M2167" t="s">
        <v>111</v>
      </c>
      <c r="N2167" t="s">
        <v>54</v>
      </c>
      <c r="O2167" t="s">
        <v>72</v>
      </c>
      <c r="P2167" t="s">
        <v>73</v>
      </c>
      <c r="Q2167" t="s">
        <v>58</v>
      </c>
      <c r="R2167" t="s">
        <v>89</v>
      </c>
      <c r="S2167" t="s">
        <v>128</v>
      </c>
      <c r="T2167" t="s">
        <v>106</v>
      </c>
      <c r="U2167" t="s">
        <v>62</v>
      </c>
      <c r="V2167" t="s">
        <v>116</v>
      </c>
      <c r="W2167" t="s">
        <v>93</v>
      </c>
      <c r="X2167" t="s">
        <v>77</v>
      </c>
      <c r="Y2167" t="s">
        <v>833</v>
      </c>
      <c r="Z2167" t="s">
        <v>64</v>
      </c>
      <c r="AA2167" t="s">
        <v>468</v>
      </c>
      <c r="AB2167" t="s">
        <v>0</v>
      </c>
      <c r="AC2167" t="s">
        <v>5862</v>
      </c>
    </row>
    <row r="2168" spans="1:29">
      <c r="A2168" t="s">
        <v>5864</v>
      </c>
      <c r="B2168" s="93" t="str">
        <f>IF(ISNUMBER(SEARCH(E2168,A2168)),A2168,IF(OR(E2168="",E2168=""),A2168,A2168&amp;" - "&amp;E2168))</f>
        <v>IMC FAC THC26 Selected - Tangie Pave</v>
      </c>
      <c r="C2168" t="s">
        <v>646</v>
      </c>
      <c r="D2168" t="s">
        <v>646</v>
      </c>
      <c r="E2168" s="79" t="s">
        <v>5865</v>
      </c>
      <c r="F2168" s="81" t="s">
        <v>86</v>
      </c>
      <c r="G2168" s="83" t="s">
        <v>4086</v>
      </c>
      <c r="H2168" s="95" t="s">
        <v>65</v>
      </c>
      <c r="I2168" t="s">
        <v>0</v>
      </c>
      <c r="J2168" t="s">
        <v>0</v>
      </c>
      <c r="K2168" t="s">
        <v>52</v>
      </c>
      <c r="L2168" t="s">
        <v>423</v>
      </c>
      <c r="M2168" t="s">
        <v>103</v>
      </c>
      <c r="N2168" t="s">
        <v>121</v>
      </c>
      <c r="O2168" t="s">
        <v>72</v>
      </c>
      <c r="P2168" t="s">
        <v>58</v>
      </c>
      <c r="Q2168" t="s">
        <v>73</v>
      </c>
      <c r="R2168" t="s">
        <v>0</v>
      </c>
      <c r="S2168" t="s">
        <v>62</v>
      </c>
      <c r="T2168" t="s">
        <v>123</v>
      </c>
      <c r="U2168" t="s">
        <v>147</v>
      </c>
      <c r="V2168" t="s">
        <v>93</v>
      </c>
      <c r="W2168" t="s">
        <v>116</v>
      </c>
      <c r="X2168" t="s">
        <v>107</v>
      </c>
      <c r="Y2168" t="s">
        <v>1036</v>
      </c>
      <c r="Z2168" t="s">
        <v>64</v>
      </c>
      <c r="AA2168" t="s">
        <v>646</v>
      </c>
      <c r="AB2168" t="s">
        <v>0</v>
      </c>
      <c r="AC2168" t="s">
        <v>5866</v>
      </c>
    </row>
    <row r="2169" spans="1:29">
      <c r="A2169" t="s">
        <v>5867</v>
      </c>
      <c r="B2169" s="93" t="str">
        <f>IF(ISNUMBER(SEARCH(E2169,A2169)),A2169,IF(OR(E2169="",E2169=""),A2169,A2169&amp;" - "&amp;E2169))</f>
        <v>TRUU LX 27:01 - GMO Cookies x Kush Mintz</v>
      </c>
      <c r="C2169" t="s">
        <v>484</v>
      </c>
      <c r="D2169" t="s">
        <v>485</v>
      </c>
      <c r="E2169" s="79" t="s">
        <v>5868</v>
      </c>
      <c r="F2169" s="81" t="s">
        <v>86</v>
      </c>
      <c r="G2169" s="83" t="s">
        <v>33</v>
      </c>
      <c r="H2169" s="95" t="s">
        <v>65</v>
      </c>
      <c r="I2169" t="s">
        <v>0</v>
      </c>
      <c r="J2169" t="s">
        <v>0</v>
      </c>
      <c r="K2169" t="s">
        <v>52</v>
      </c>
      <c r="L2169" t="s">
        <v>3775</v>
      </c>
      <c r="M2169" t="s">
        <v>72</v>
      </c>
      <c r="N2169" t="s">
        <v>88</v>
      </c>
      <c r="O2169" t="s">
        <v>0</v>
      </c>
      <c r="P2169" t="s">
        <v>59</v>
      </c>
      <c r="Q2169" t="s">
        <v>89</v>
      </c>
      <c r="R2169" t="s">
        <v>157</v>
      </c>
      <c r="S2169" t="s">
        <v>0</v>
      </c>
      <c r="T2169" t="s">
        <v>0</v>
      </c>
      <c r="U2169" t="s">
        <v>0</v>
      </c>
      <c r="V2169" t="s">
        <v>92</v>
      </c>
      <c r="W2169" t="s">
        <v>77</v>
      </c>
      <c r="X2169" t="s">
        <v>197</v>
      </c>
      <c r="Y2169" t="s">
        <v>268</v>
      </c>
      <c r="Z2169" t="s">
        <v>64</v>
      </c>
      <c r="AA2169" t="s">
        <v>485</v>
      </c>
      <c r="AB2169" t="s">
        <v>0</v>
      </c>
      <c r="AC2169" t="s">
        <v>5869</v>
      </c>
    </row>
    <row r="2170" spans="1:29">
      <c r="A2170" t="s">
        <v>67</v>
      </c>
      <c r="B2170" s="93" t="str">
        <f>IF(ISNUMBER(SEARCH(E2170,A2170)),A2170,IF(OR(E2170="",E2170=""),A2170,A2170&amp;" - "&amp;E2170))</f>
        <v>Cannamedical Sativa forte - Animal Tree</v>
      </c>
      <c r="C2170" t="s">
        <v>48</v>
      </c>
      <c r="D2170" t="s">
        <v>49</v>
      </c>
      <c r="E2170" s="79" t="s">
        <v>5870</v>
      </c>
      <c r="F2170" s="81" t="s">
        <v>86</v>
      </c>
      <c r="G2170" s="83" t="s">
        <v>436</v>
      </c>
      <c r="H2170" s="95" t="s">
        <v>65</v>
      </c>
      <c r="I2170" t="s">
        <v>0</v>
      </c>
      <c r="J2170" t="s">
        <v>0</v>
      </c>
      <c r="K2170" t="s">
        <v>52</v>
      </c>
      <c r="L2170" t="s">
        <v>145</v>
      </c>
      <c r="M2170" t="s">
        <v>72</v>
      </c>
      <c r="N2170" t="s">
        <v>54</v>
      </c>
      <c r="O2170" t="s">
        <v>103</v>
      </c>
      <c r="P2170" t="s">
        <v>112</v>
      </c>
      <c r="Q2170" t="s">
        <v>157</v>
      </c>
      <c r="R2170" t="s">
        <v>58</v>
      </c>
      <c r="S2170" t="s">
        <v>106</v>
      </c>
      <c r="T2170" t="s">
        <v>62</v>
      </c>
      <c r="U2170" t="s">
        <v>147</v>
      </c>
      <c r="V2170" t="s">
        <v>197</v>
      </c>
      <c r="W2170" t="s">
        <v>93</v>
      </c>
      <c r="X2170" t="s">
        <v>0</v>
      </c>
      <c r="Y2170" t="s">
        <v>130</v>
      </c>
      <c r="Z2170" t="s">
        <v>64</v>
      </c>
      <c r="AA2170" t="s">
        <v>49</v>
      </c>
      <c r="AB2170" t="s">
        <v>0</v>
      </c>
      <c r="AC2170" s="99" t="s">
        <v>5871</v>
      </c>
    </row>
    <row r="2171" spans="1:29">
      <c r="A2171" t="s">
        <v>5872</v>
      </c>
      <c r="B2171" s="93" t="str">
        <f>IF(ISNUMBER(SEARCH(E2171,A2171)),A2171,IF(OR(E2171="",E2171=""),A2171,A2171&amp;" - "&amp;E2171))</f>
        <v>Cannabis 27/1 CGD KU. - Blue Slushie</v>
      </c>
      <c r="C2171" t="s">
        <v>99</v>
      </c>
      <c r="D2171" t="s">
        <v>100</v>
      </c>
      <c r="E2171" s="79" t="s">
        <v>5873</v>
      </c>
      <c r="F2171" s="81" t="s">
        <v>86</v>
      </c>
      <c r="G2171" s="83" t="s">
        <v>33</v>
      </c>
      <c r="H2171" s="95" t="s">
        <v>65</v>
      </c>
      <c r="I2171" t="s">
        <v>0</v>
      </c>
      <c r="J2171" t="s">
        <v>0</v>
      </c>
      <c r="K2171" t="s">
        <v>52</v>
      </c>
      <c r="L2171" t="s">
        <v>53</v>
      </c>
      <c r="M2171" t="s">
        <v>121</v>
      </c>
      <c r="N2171" t="s">
        <v>72</v>
      </c>
      <c r="O2171" t="s">
        <v>88</v>
      </c>
      <c r="P2171" t="s">
        <v>74</v>
      </c>
      <c r="Q2171" t="s">
        <v>75</v>
      </c>
      <c r="R2171" t="s">
        <v>89</v>
      </c>
      <c r="S2171" t="s">
        <v>106</v>
      </c>
      <c r="T2171" t="s">
        <v>62</v>
      </c>
      <c r="U2171" t="s">
        <v>123</v>
      </c>
      <c r="V2171" t="s">
        <v>116</v>
      </c>
      <c r="W2171" t="s">
        <v>77</v>
      </c>
      <c r="X2171" t="s">
        <v>292</v>
      </c>
      <c r="Y2171" t="s">
        <v>80</v>
      </c>
      <c r="Z2171" t="s">
        <v>64</v>
      </c>
      <c r="AA2171" t="s">
        <v>100</v>
      </c>
      <c r="AB2171" t="s">
        <v>0</v>
      </c>
      <c r="AC2171" t="s">
        <v>5874</v>
      </c>
    </row>
    <row r="2172" spans="1:29">
      <c r="A2172" t="s">
        <v>5875</v>
      </c>
      <c r="B2172" s="93" t="str">
        <f>IF(ISNUMBER(SEARCH(E2172,A2172)),A2172,IF(OR(E2172="",E2172=""),A2172,A2172&amp;" - "&amp;E2172))</f>
        <v>Cannabis 25/1 CGD KU. - Ice Cream Cake</v>
      </c>
      <c r="C2172" t="s">
        <v>99</v>
      </c>
      <c r="D2172" t="s">
        <v>100</v>
      </c>
      <c r="E2172" s="79" t="s">
        <v>1214</v>
      </c>
      <c r="F2172" s="81" t="s">
        <v>177</v>
      </c>
      <c r="G2172" s="83" t="s">
        <v>26</v>
      </c>
      <c r="H2172" s="95">
        <v>1</v>
      </c>
      <c r="I2172" t="s">
        <v>0</v>
      </c>
      <c r="J2172" t="s">
        <v>0</v>
      </c>
      <c r="K2172" t="s">
        <v>52</v>
      </c>
      <c r="L2172" t="s">
        <v>53</v>
      </c>
      <c r="M2172" t="s">
        <v>121</v>
      </c>
      <c r="N2172" t="s">
        <v>72</v>
      </c>
      <c r="O2172" t="s">
        <v>103</v>
      </c>
      <c r="P2172" t="s">
        <v>89</v>
      </c>
      <c r="Q2172" t="s">
        <v>57</v>
      </c>
      <c r="R2172" t="s">
        <v>0</v>
      </c>
      <c r="S2172" t="s">
        <v>128</v>
      </c>
      <c r="T2172" t="s">
        <v>61</v>
      </c>
      <c r="U2172" t="s">
        <v>76</v>
      </c>
      <c r="V2172" t="s">
        <v>107</v>
      </c>
      <c r="W2172" t="s">
        <v>77</v>
      </c>
      <c r="X2172" t="s">
        <v>173</v>
      </c>
      <c r="Y2172" t="s">
        <v>2532</v>
      </c>
      <c r="Z2172" t="s">
        <v>64</v>
      </c>
      <c r="AA2172" t="s">
        <v>100</v>
      </c>
      <c r="AB2172" t="s">
        <v>0</v>
      </c>
      <c r="AC2172" t="s">
        <v>5876</v>
      </c>
    </row>
    <row r="2173" spans="1:29">
      <c r="A2173" t="s">
        <v>5872</v>
      </c>
      <c r="B2173" s="93" t="str">
        <f>IF(ISNUMBER(SEARCH(E2173,A2173)),A2173,IF(OR(E2173="",E2173=""),A2173,A2173&amp;" - "&amp;E2173))</f>
        <v>Cannabis 27/1 CGD KU. - Super Squishee</v>
      </c>
      <c r="C2173" t="s">
        <v>99</v>
      </c>
      <c r="D2173" t="s">
        <v>100</v>
      </c>
      <c r="E2173" s="79" t="s">
        <v>5877</v>
      </c>
      <c r="F2173" s="81" t="s">
        <v>86</v>
      </c>
      <c r="G2173" s="83" t="s">
        <v>33</v>
      </c>
      <c r="H2173" s="95" t="s">
        <v>65</v>
      </c>
      <c r="I2173" t="s">
        <v>0</v>
      </c>
      <c r="J2173" t="s">
        <v>0</v>
      </c>
      <c r="K2173" t="s">
        <v>52</v>
      </c>
      <c r="L2173" t="s">
        <v>53</v>
      </c>
      <c r="M2173" t="s">
        <v>88</v>
      </c>
      <c r="N2173" t="s">
        <v>72</v>
      </c>
      <c r="O2173" t="s">
        <v>103</v>
      </c>
      <c r="P2173" t="s">
        <v>74</v>
      </c>
      <c r="Q2173" t="s">
        <v>75</v>
      </c>
      <c r="R2173" t="s">
        <v>89</v>
      </c>
      <c r="S2173" t="s">
        <v>106</v>
      </c>
      <c r="T2173" t="s">
        <v>62</v>
      </c>
      <c r="U2173" t="s">
        <v>123</v>
      </c>
      <c r="V2173" t="s">
        <v>208</v>
      </c>
      <c r="W2173" t="s">
        <v>93</v>
      </c>
      <c r="X2173" t="s">
        <v>116</v>
      </c>
      <c r="Y2173" t="s">
        <v>80</v>
      </c>
      <c r="Z2173" t="s">
        <v>64</v>
      </c>
      <c r="AA2173" t="s">
        <v>100</v>
      </c>
      <c r="AB2173" t="s">
        <v>0</v>
      </c>
      <c r="AC2173" t="s">
        <v>5878</v>
      </c>
    </row>
    <row r="2174" spans="1:29">
      <c r="A2174" t="s">
        <v>5879</v>
      </c>
      <c r="B2174" s="11" t="str">
        <f>IF(ISNUMBER(SEARCH(E2174,A2174)),A2174,IF(OR(E2174="",E2174=""),A2174,A2174&amp;" - "&amp;E2174))</f>
        <v>LIT 29/1 MKU - Master Kush</v>
      </c>
      <c r="C2174" t="s">
        <v>996</v>
      </c>
      <c r="D2174" t="s">
        <v>997</v>
      </c>
      <c r="E2174" s="79" t="s">
        <v>237</v>
      </c>
      <c r="F2174" s="81" t="s">
        <v>120</v>
      </c>
      <c r="G2174" s="83" t="s">
        <v>443</v>
      </c>
      <c r="H2174" s="95" t="s">
        <v>65</v>
      </c>
      <c r="I2174" t="s">
        <v>0</v>
      </c>
      <c r="J2174" t="s">
        <v>0</v>
      </c>
      <c r="K2174" t="s">
        <v>52</v>
      </c>
      <c r="L2174" t="s">
        <v>53</v>
      </c>
      <c r="M2174" t="s">
        <v>121</v>
      </c>
      <c r="N2174" t="s">
        <v>72</v>
      </c>
      <c r="O2174" t="s">
        <v>103</v>
      </c>
      <c r="P2174" t="s">
        <v>59</v>
      </c>
      <c r="Q2174" t="s">
        <v>74</v>
      </c>
      <c r="R2174" t="s">
        <v>0</v>
      </c>
      <c r="S2174" t="s">
        <v>106</v>
      </c>
      <c r="T2174" t="s">
        <v>62</v>
      </c>
      <c r="U2174" t="s">
        <v>164</v>
      </c>
      <c r="V2174" t="s">
        <v>107</v>
      </c>
      <c r="W2174" t="s">
        <v>77</v>
      </c>
      <c r="X2174" t="s">
        <v>78</v>
      </c>
      <c r="Y2174" t="s">
        <v>307</v>
      </c>
      <c r="Z2174" t="s">
        <v>64</v>
      </c>
      <c r="AA2174" t="s">
        <v>997</v>
      </c>
      <c r="AB2174" t="s">
        <v>0</v>
      </c>
      <c r="AC2174" t="s">
        <v>5880</v>
      </c>
    </row>
    <row r="2175" spans="1:29">
      <c r="A2175" t="s">
        <v>5881</v>
      </c>
      <c r="B2175" s="93" t="str">
        <f>IF(ISNUMBER(SEARCH(E2175,A2175)),A2175,IF(OR(E2175="",E2175=""),A2175,A2175&amp;" - "&amp;E2175))</f>
        <v>CherryCo 23/01 GOG-K - Gelato OG</v>
      </c>
      <c r="C2175" t="s">
        <v>484</v>
      </c>
      <c r="D2175" t="s">
        <v>485</v>
      </c>
      <c r="E2175" s="79" t="s">
        <v>610</v>
      </c>
      <c r="F2175" s="81" t="s">
        <v>177</v>
      </c>
      <c r="G2175" s="83" t="s">
        <v>436</v>
      </c>
      <c r="H2175" s="95" t="s">
        <v>65</v>
      </c>
      <c r="I2175" t="s">
        <v>0</v>
      </c>
      <c r="J2175" t="s">
        <v>0</v>
      </c>
      <c r="K2175" t="s">
        <v>52</v>
      </c>
      <c r="L2175" t="s">
        <v>87</v>
      </c>
      <c r="M2175" t="s">
        <v>71</v>
      </c>
      <c r="N2175" t="s">
        <v>72</v>
      </c>
      <c r="O2175" t="s">
        <v>88</v>
      </c>
      <c r="P2175" t="s">
        <v>75</v>
      </c>
      <c r="Q2175" t="s">
        <v>89</v>
      </c>
      <c r="R2175" t="s">
        <v>0</v>
      </c>
      <c r="S2175" t="s">
        <v>106</v>
      </c>
      <c r="T2175" t="s">
        <v>62</v>
      </c>
      <c r="U2175" t="s">
        <v>123</v>
      </c>
      <c r="V2175" t="s">
        <v>107</v>
      </c>
      <c r="W2175" t="s">
        <v>77</v>
      </c>
      <c r="X2175" t="s">
        <v>0</v>
      </c>
      <c r="Y2175" t="s">
        <v>413</v>
      </c>
      <c r="Z2175" t="s">
        <v>64</v>
      </c>
      <c r="AA2175" t="s">
        <v>485</v>
      </c>
      <c r="AB2175" t="s">
        <v>0</v>
      </c>
      <c r="AC2175" t="s">
        <v>5882</v>
      </c>
    </row>
    <row r="2176" spans="1:29">
      <c r="A2176" t="s">
        <v>5883</v>
      </c>
      <c r="B2176" s="93" t="str">
        <f>IF(ISNUMBER(SEARCH(E2176,A2176)),A2176,IF(OR(E2176="",E2176=""),A2176,A2176&amp;" - "&amp;E2176))</f>
        <v>Remexian 28/1 BPD - Big Purple Dragon</v>
      </c>
      <c r="E2176" s="79" t="s">
        <v>4072</v>
      </c>
      <c r="F2176" s="81" t="s">
        <v>86</v>
      </c>
      <c r="G2176" s="83" t="s">
        <v>4164</v>
      </c>
      <c r="H2176" s="83" t="s">
        <v>65</v>
      </c>
      <c r="I2176" t="s">
        <v>0</v>
      </c>
      <c r="J2176" t="s">
        <v>0</v>
      </c>
      <c r="K2176" t="s">
        <v>52</v>
      </c>
      <c r="L2176" t="s">
        <v>87</v>
      </c>
      <c r="M2176" t="s">
        <v>54</v>
      </c>
      <c r="N2176" t="s">
        <v>72</v>
      </c>
      <c r="O2176" t="s">
        <v>0</v>
      </c>
      <c r="P2176" t="s">
        <v>74</v>
      </c>
      <c r="Q2176" t="s">
        <v>59</v>
      </c>
      <c r="R2176" t="s">
        <v>0</v>
      </c>
      <c r="S2176" t="s">
        <v>106</v>
      </c>
      <c r="T2176" t="s">
        <v>62</v>
      </c>
      <c r="U2176" t="s">
        <v>114</v>
      </c>
      <c r="V2176" t="s">
        <v>129</v>
      </c>
      <c r="W2176" t="s">
        <v>107</v>
      </c>
      <c r="X2176" t="s">
        <v>77</v>
      </c>
      <c r="Y2176" t="s">
        <v>1354</v>
      </c>
      <c r="Z2176" t="s">
        <v>64</v>
      </c>
      <c r="AA2176" t="s">
        <v>95</v>
      </c>
      <c r="AB2176" t="s">
        <v>0</v>
      </c>
      <c r="AC2176" t="s">
        <v>5884</v>
      </c>
    </row>
    <row r="2177" spans="1:29">
      <c r="A2177" t="s">
        <v>5885</v>
      </c>
      <c r="B2177" s="93" t="str">
        <f>IF(ISNUMBER(SEARCH(E2177,A2177)),A2177,IF(OR(E2177="",E2177=""),A2177,A2177&amp;" - "&amp;E2177))</f>
        <v>Good Supply THC25 GGL - Ghost Gelato</v>
      </c>
      <c r="E2177" s="79" t="s">
        <v>5886</v>
      </c>
      <c r="F2177" s="81" t="s">
        <v>120</v>
      </c>
      <c r="G2177" s="83" t="s">
        <v>26</v>
      </c>
      <c r="H2177" s="83">
        <v>1</v>
      </c>
      <c r="I2177" t="s">
        <v>0</v>
      </c>
      <c r="J2177" t="s">
        <v>0</v>
      </c>
      <c r="K2177" t="s">
        <v>52</v>
      </c>
      <c r="L2177" t="s">
        <v>53</v>
      </c>
      <c r="M2177" t="s">
        <v>72</v>
      </c>
      <c r="N2177" t="s">
        <v>54</v>
      </c>
      <c r="O2177" t="s">
        <v>71</v>
      </c>
      <c r="P2177" t="s">
        <v>59</v>
      </c>
      <c r="Q2177" t="s">
        <v>157</v>
      </c>
      <c r="R2177" t="s">
        <v>58</v>
      </c>
      <c r="S2177" t="s">
        <v>106</v>
      </c>
      <c r="T2177" t="s">
        <v>62</v>
      </c>
      <c r="U2177" t="s">
        <v>147</v>
      </c>
      <c r="V2177" t="s">
        <v>77</v>
      </c>
      <c r="W2177" t="s">
        <v>129</v>
      </c>
      <c r="X2177" t="s">
        <v>79</v>
      </c>
      <c r="Y2177" t="s">
        <v>307</v>
      </c>
      <c r="Z2177" t="s">
        <v>64</v>
      </c>
      <c r="AA2177" t="s">
        <v>134</v>
      </c>
      <c r="AB2177" t="s">
        <v>0</v>
      </c>
      <c r="AC2177" t="s">
        <v>5887</v>
      </c>
    </row>
    <row r="2178" spans="1:29">
      <c r="A2178" t="s">
        <v>5888</v>
      </c>
      <c r="B2178" s="93" t="str">
        <f>IF(ISNUMBER(SEARCH(E2178,A2178)),A2178,IF(OR(E2178="",E2178=""),A2178,A2178&amp;" - "&amp;E2178))</f>
        <v>Good Supply THC22 POC - Purple Octane</v>
      </c>
      <c r="E2178" s="79" t="s">
        <v>1207</v>
      </c>
      <c r="F2178" s="81" t="s">
        <v>177</v>
      </c>
      <c r="G2178" s="83" t="s">
        <v>4126</v>
      </c>
      <c r="H2178" s="83">
        <v>1</v>
      </c>
      <c r="I2178" t="s">
        <v>0</v>
      </c>
      <c r="J2178" t="s">
        <v>0</v>
      </c>
      <c r="K2178" t="s">
        <v>52</v>
      </c>
      <c r="L2178" t="s">
        <v>53</v>
      </c>
      <c r="M2178" t="s">
        <v>72</v>
      </c>
      <c r="N2178" t="s">
        <v>121</v>
      </c>
      <c r="O2178" t="s">
        <v>88</v>
      </c>
      <c r="P2178" t="s">
        <v>58</v>
      </c>
      <c r="Q2178" t="s">
        <v>73</v>
      </c>
      <c r="R2178" t="s">
        <v>74</v>
      </c>
      <c r="S2178" t="s">
        <v>128</v>
      </c>
      <c r="T2178" t="s">
        <v>62</v>
      </c>
      <c r="U2178" t="s">
        <v>164</v>
      </c>
      <c r="V2178" t="s">
        <v>77</v>
      </c>
      <c r="W2178" t="s">
        <v>107</v>
      </c>
      <c r="X2178" t="s">
        <v>173</v>
      </c>
      <c r="Y2178" t="s">
        <v>413</v>
      </c>
      <c r="Z2178" t="s">
        <v>64</v>
      </c>
      <c r="AA2178" t="s">
        <v>134</v>
      </c>
      <c r="AB2178" t="s">
        <v>0</v>
      </c>
      <c r="AC2178" t="s">
        <v>5889</v>
      </c>
    </row>
    <row r="2179" spans="1:29">
      <c r="A2179" t="s">
        <v>5890</v>
      </c>
      <c r="B2179" s="93" t="str">
        <f>IF(ISNUMBER(SEARCH(E2179,A2179)),A2179,IF(OR(E2179="",E2179=""),A2179,A2179&amp;" - "&amp;E2179))</f>
        <v>Demecan Craft Magister 27/1 BM - Black Marker</v>
      </c>
      <c r="C2179" t="s">
        <v>484</v>
      </c>
      <c r="D2179" t="s">
        <v>485</v>
      </c>
      <c r="E2179" s="79" t="s">
        <v>4177</v>
      </c>
      <c r="F2179" s="81" t="s">
        <v>177</v>
      </c>
      <c r="G2179" s="83" t="s">
        <v>448</v>
      </c>
      <c r="H2179" s="83" t="s">
        <v>65</v>
      </c>
      <c r="I2179" t="s">
        <v>0</v>
      </c>
      <c r="J2179" t="s">
        <v>0</v>
      </c>
      <c r="K2179" t="s">
        <v>52</v>
      </c>
      <c r="L2179" t="s">
        <v>53</v>
      </c>
      <c r="M2179" t="s">
        <v>178</v>
      </c>
      <c r="N2179" t="s">
        <v>72</v>
      </c>
      <c r="O2179" t="s">
        <v>54</v>
      </c>
      <c r="P2179" t="s">
        <v>57</v>
      </c>
      <c r="Q2179" t="s">
        <v>75</v>
      </c>
      <c r="R2179" t="s">
        <v>73</v>
      </c>
      <c r="S2179" t="s">
        <v>106</v>
      </c>
      <c r="T2179" t="s">
        <v>62</v>
      </c>
      <c r="U2179" t="s">
        <v>123</v>
      </c>
      <c r="V2179" t="s">
        <v>93</v>
      </c>
      <c r="W2179" t="s">
        <v>79</v>
      </c>
      <c r="X2179" t="s">
        <v>116</v>
      </c>
      <c r="Y2179" t="s">
        <v>5891</v>
      </c>
      <c r="Z2179" t="s">
        <v>64</v>
      </c>
      <c r="AA2179" t="s">
        <v>485</v>
      </c>
      <c r="AB2179" t="s">
        <v>0</v>
      </c>
      <c r="AC2179" t="s">
        <v>5892</v>
      </c>
    </row>
    <row r="2180" spans="1:29">
      <c r="A2180" t="s">
        <v>5893</v>
      </c>
      <c r="B2180" s="93" t="str">
        <f>IF(ISNUMBER(SEARCH(E2180,A2180)),A2180,IF(OR(E2180="",E2180=""),A2180,A2180&amp;" - "&amp;E2180))</f>
        <v>IMC GUM THC26 Selected - Clownz</v>
      </c>
      <c r="C2180" t="s">
        <v>646</v>
      </c>
      <c r="D2180" t="s">
        <v>646</v>
      </c>
      <c r="E2180" s="79" t="s">
        <v>5894</v>
      </c>
      <c r="F2180" s="81" t="s">
        <v>86</v>
      </c>
      <c r="G2180" s="83" t="s">
        <v>4086</v>
      </c>
      <c r="H2180" s="83" t="s">
        <v>65</v>
      </c>
      <c r="I2180" t="s">
        <v>0</v>
      </c>
      <c r="J2180" t="s">
        <v>0</v>
      </c>
      <c r="K2180" t="s">
        <v>52</v>
      </c>
      <c r="L2180" t="s">
        <v>423</v>
      </c>
      <c r="M2180" t="s">
        <v>54</v>
      </c>
      <c r="N2180" t="s">
        <v>111</v>
      </c>
      <c r="O2180" t="s">
        <v>178</v>
      </c>
      <c r="P2180" t="s">
        <v>74</v>
      </c>
      <c r="Q2180" t="s">
        <v>89</v>
      </c>
      <c r="R2180" t="s">
        <v>58</v>
      </c>
      <c r="S2180" t="s">
        <v>106</v>
      </c>
      <c r="T2180" t="s">
        <v>62</v>
      </c>
      <c r="U2180" t="s">
        <v>0</v>
      </c>
      <c r="V2180" t="s">
        <v>107</v>
      </c>
      <c r="W2180" t="s">
        <v>77</v>
      </c>
      <c r="X2180" t="s">
        <v>0</v>
      </c>
      <c r="Y2180" t="s">
        <v>707</v>
      </c>
      <c r="Z2180" t="s">
        <v>64</v>
      </c>
      <c r="AA2180" t="s">
        <v>646</v>
      </c>
      <c r="AB2180" t="s">
        <v>0</v>
      </c>
      <c r="AC2180" t="s">
        <v>5895</v>
      </c>
    </row>
    <row r="2181" spans="1:29">
      <c r="A2181" t="s">
        <v>5896</v>
      </c>
      <c r="B2181" s="93" t="str">
        <f>IF(ISNUMBER(SEARCH(E2181,A2181)),A2181,IF(OR(E2181="",E2181=""),A2181,A2181&amp;" - "&amp;E2181))</f>
        <v>Soma OG 34/1 PF Cap junky</v>
      </c>
      <c r="C2181" t="s">
        <v>996</v>
      </c>
      <c r="D2181" t="s">
        <v>997</v>
      </c>
      <c r="E2181" s="79" t="s">
        <v>1594</v>
      </c>
      <c r="F2181" s="81" t="s">
        <v>177</v>
      </c>
      <c r="G2181" s="83" t="s">
        <v>5021</v>
      </c>
      <c r="H2181" s="83" t="s">
        <v>65</v>
      </c>
      <c r="I2181" t="s">
        <v>0</v>
      </c>
      <c r="J2181" t="s">
        <v>0</v>
      </c>
      <c r="K2181" t="s">
        <v>52</v>
      </c>
      <c r="M2181" t="s">
        <v>111</v>
      </c>
      <c r="N2181" t="s">
        <v>54</v>
      </c>
      <c r="O2181" t="s">
        <v>178</v>
      </c>
      <c r="P2181" t="s">
        <v>74</v>
      </c>
      <c r="Q2181" t="s">
        <v>59</v>
      </c>
      <c r="R2181" t="s">
        <v>89</v>
      </c>
      <c r="S2181" t="s">
        <v>106</v>
      </c>
      <c r="T2181" t="s">
        <v>147</v>
      </c>
      <c r="U2181" t="s">
        <v>0</v>
      </c>
      <c r="V2181" t="s">
        <v>116</v>
      </c>
      <c r="W2181" t="s">
        <v>107</v>
      </c>
      <c r="X2181" t="s">
        <v>77</v>
      </c>
      <c r="Y2181" t="s">
        <v>472</v>
      </c>
      <c r="Z2181" t="s">
        <v>64</v>
      </c>
      <c r="AA2181" t="s">
        <v>997</v>
      </c>
      <c r="AB2181" t="s">
        <v>0</v>
      </c>
      <c r="AC2181" t="s">
        <v>5897</v>
      </c>
    </row>
    <row r="2182" spans="1:29">
      <c r="A2182" t="s">
        <v>5898</v>
      </c>
      <c r="B2182" s="93" t="str">
        <f>IF(ISNUMBER(SEARCH(E2182,A2182)),A2182,IF(OR(E2182="",E2182=""),A2182,A2182&amp;" - "&amp;E2182))</f>
        <v>24/1 IUVO OC - Neutronium</v>
      </c>
      <c r="C2182" t="s">
        <v>5810</v>
      </c>
      <c r="D2182" t="s">
        <v>5811</v>
      </c>
      <c r="E2182" s="9" t="s">
        <v>5899</v>
      </c>
      <c r="F2182" s="1" t="s">
        <v>86</v>
      </c>
      <c r="G2182" s="8" t="s">
        <v>436</v>
      </c>
      <c r="H2182" s="8" t="s">
        <v>65</v>
      </c>
      <c r="I2182" t="s">
        <v>0</v>
      </c>
      <c r="J2182" t="s">
        <v>0</v>
      </c>
      <c r="K2182" t="s">
        <v>52</v>
      </c>
      <c r="L2182" t="s">
        <v>53</v>
      </c>
      <c r="M2182" t="s">
        <v>72</v>
      </c>
      <c r="N2182" t="s">
        <v>54</v>
      </c>
      <c r="O2182" t="s">
        <v>71</v>
      </c>
      <c r="P2182" t="s">
        <v>58</v>
      </c>
      <c r="Q2182" t="s">
        <v>74</v>
      </c>
      <c r="R2182" t="s">
        <v>0</v>
      </c>
      <c r="S2182" t="s">
        <v>106</v>
      </c>
      <c r="T2182" t="s">
        <v>62</v>
      </c>
      <c r="U2182" t="s">
        <v>123</v>
      </c>
      <c r="V2182" t="s">
        <v>225</v>
      </c>
      <c r="W2182" t="s">
        <v>138</v>
      </c>
      <c r="X2182" t="s">
        <v>79</v>
      </c>
      <c r="Y2182" t="s">
        <v>472</v>
      </c>
      <c r="Z2182" t="s">
        <v>64</v>
      </c>
      <c r="AA2182" t="s">
        <v>5811</v>
      </c>
      <c r="AB2182" t="s">
        <v>2693</v>
      </c>
      <c r="AC2182" t="s">
        <v>5900</v>
      </c>
    </row>
    <row r="2183" spans="1:29">
      <c r="A2183" t="s">
        <v>5898</v>
      </c>
      <c r="B2183" s="93" t="str">
        <f>IF(ISNUMBER(SEARCH(E2183,A2183)),A2183,IF(OR(E2183="",E2183=""),A2183,A2183&amp;" - "&amp;E2183))</f>
        <v>24/1 IUVO OC - Orange Z</v>
      </c>
      <c r="C2183" t="s">
        <v>5810</v>
      </c>
      <c r="D2183" t="s">
        <v>5811</v>
      </c>
      <c r="E2183" s="9" t="s">
        <v>4626</v>
      </c>
      <c r="F2183" s="1" t="s">
        <v>144</v>
      </c>
      <c r="G2183" s="8" t="s">
        <v>448</v>
      </c>
      <c r="H2183" s="8" t="s">
        <v>65</v>
      </c>
      <c r="I2183" t="s">
        <v>0</v>
      </c>
      <c r="J2183" t="s">
        <v>0</v>
      </c>
      <c r="K2183" t="s">
        <v>52</v>
      </c>
      <c r="L2183" t="s">
        <v>53</v>
      </c>
      <c r="M2183" t="s">
        <v>178</v>
      </c>
      <c r="N2183" t="s">
        <v>111</v>
      </c>
      <c r="O2183" t="s">
        <v>72</v>
      </c>
      <c r="P2183" t="s">
        <v>58</v>
      </c>
      <c r="Q2183" t="s">
        <v>89</v>
      </c>
      <c r="R2183" t="s">
        <v>75</v>
      </c>
      <c r="S2183" t="s">
        <v>106</v>
      </c>
      <c r="T2183" t="s">
        <v>179</v>
      </c>
      <c r="U2183" t="s">
        <v>76</v>
      </c>
      <c r="V2183" t="s">
        <v>79</v>
      </c>
      <c r="W2183" t="s">
        <v>77</v>
      </c>
      <c r="X2183" t="s">
        <v>0</v>
      </c>
      <c r="Y2183" t="s">
        <v>472</v>
      </c>
      <c r="Z2183" t="s">
        <v>64</v>
      </c>
      <c r="AA2183" t="s">
        <v>5811</v>
      </c>
      <c r="AB2183" t="s">
        <v>2693</v>
      </c>
      <c r="AC2183" t="s">
        <v>5901</v>
      </c>
    </row>
    <row r="2184" spans="1:29">
      <c r="A2184" t="s">
        <v>5902</v>
      </c>
      <c r="B2184" s="93" t="str">
        <f>IF(ISNUMBER(SEARCH(E2184,A2184)),A2184,IF(OR(E2184="",E2184=""),A2184,A2184&amp;" - "&amp;E2184))</f>
        <v>28/1 IUVO OC - Rainbow Chip</v>
      </c>
      <c r="C2184" t="s">
        <v>5810</v>
      </c>
      <c r="D2184" t="s">
        <v>5811</v>
      </c>
      <c r="E2184" s="9" t="s">
        <v>5903</v>
      </c>
      <c r="F2184" s="1" t="s">
        <v>120</v>
      </c>
      <c r="G2184" s="8" t="s">
        <v>4164</v>
      </c>
      <c r="H2184" s="8" t="s">
        <v>65</v>
      </c>
      <c r="I2184" t="s">
        <v>0</v>
      </c>
      <c r="J2184" t="s">
        <v>0</v>
      </c>
      <c r="K2184" t="s">
        <v>52</v>
      </c>
      <c r="L2184" t="s">
        <v>53</v>
      </c>
      <c r="M2184" t="s">
        <v>156</v>
      </c>
      <c r="N2184" t="s">
        <v>71</v>
      </c>
      <c r="O2184" t="s">
        <v>178</v>
      </c>
      <c r="P2184" t="s">
        <v>89</v>
      </c>
      <c r="Q2184" t="s">
        <v>58</v>
      </c>
      <c r="R2184" t="s">
        <v>75</v>
      </c>
      <c r="S2184" t="s">
        <v>106</v>
      </c>
      <c r="T2184" t="s">
        <v>62</v>
      </c>
      <c r="U2184" t="s">
        <v>801</v>
      </c>
      <c r="V2184" t="s">
        <v>138</v>
      </c>
      <c r="W2184" t="s">
        <v>208</v>
      </c>
      <c r="X2184" t="s">
        <v>107</v>
      </c>
      <c r="Y2184" t="s">
        <v>513</v>
      </c>
      <c r="Z2184" t="s">
        <v>64</v>
      </c>
      <c r="AA2184" t="s">
        <v>5811</v>
      </c>
      <c r="AB2184" t="s">
        <v>2693</v>
      </c>
      <c r="AC2184" t="s">
        <v>5904</v>
      </c>
    </row>
    <row r="2185" spans="1:29">
      <c r="A2185" t="s">
        <v>5898</v>
      </c>
      <c r="B2185" s="93" t="str">
        <f>IF(ISNUMBER(SEARCH(E2185,A2185)),A2185,IF(OR(E2185="",E2185=""),A2185,A2185&amp;" - "&amp;E2185))</f>
        <v>24/1 IUVO OC - Fiestaz</v>
      </c>
      <c r="C2185" t="s">
        <v>5810</v>
      </c>
      <c r="D2185" t="s">
        <v>5811</v>
      </c>
      <c r="E2185" s="9" t="s">
        <v>5905</v>
      </c>
      <c r="F2185" s="1" t="s">
        <v>86</v>
      </c>
      <c r="G2185" s="8" t="s">
        <v>26</v>
      </c>
      <c r="H2185" s="8" t="s">
        <v>65</v>
      </c>
      <c r="I2185" t="s">
        <v>0</v>
      </c>
      <c r="J2185" t="s">
        <v>0</v>
      </c>
      <c r="K2185" t="s">
        <v>52</v>
      </c>
      <c r="L2185" t="s">
        <v>53</v>
      </c>
      <c r="M2185" t="s">
        <v>71</v>
      </c>
      <c r="N2185" t="s">
        <v>178</v>
      </c>
      <c r="O2185" t="s">
        <v>54</v>
      </c>
      <c r="P2185" t="s">
        <v>73</v>
      </c>
      <c r="Q2185" t="s">
        <v>59</v>
      </c>
      <c r="R2185" t="s">
        <v>136</v>
      </c>
      <c r="S2185" t="s">
        <v>106</v>
      </c>
      <c r="T2185" t="s">
        <v>62</v>
      </c>
      <c r="U2185" t="s">
        <v>123</v>
      </c>
      <c r="V2185" t="s">
        <v>292</v>
      </c>
      <c r="W2185" t="s">
        <v>0</v>
      </c>
      <c r="X2185" t="s">
        <v>0</v>
      </c>
      <c r="Y2185" t="s">
        <v>472</v>
      </c>
      <c r="Z2185" t="s">
        <v>64</v>
      </c>
      <c r="AA2185" t="s">
        <v>5811</v>
      </c>
      <c r="AB2185" t="s">
        <v>2693</v>
      </c>
      <c r="AC2185" t="s">
        <v>5906</v>
      </c>
    </row>
    <row r="2186" spans="1:29">
      <c r="A2186" t="s">
        <v>5907</v>
      </c>
      <c r="B2186" s="93" t="str">
        <f>IF(ISNUMBER(SEARCH(E2186,A2186)),A2186,IF(OR(E2186="",E2186=""),A2186,A2186&amp;" - "&amp;E2186))</f>
        <v>TRUU GT 27:01 - Crumbled Lime</v>
      </c>
      <c r="C2186" t="s">
        <v>484</v>
      </c>
      <c r="D2186" t="s">
        <v>485</v>
      </c>
      <c r="E2186" s="79" t="s">
        <v>5908</v>
      </c>
      <c r="F2186" s="81" t="s">
        <v>69</v>
      </c>
      <c r="G2186" s="83" t="s">
        <v>4086</v>
      </c>
      <c r="H2186" s="83" t="s">
        <v>65</v>
      </c>
      <c r="I2186" t="s">
        <v>0</v>
      </c>
      <c r="J2186" t="s">
        <v>0</v>
      </c>
      <c r="K2186" t="s">
        <v>52</v>
      </c>
      <c r="L2186" t="s">
        <v>53</v>
      </c>
      <c r="M2186" t="s">
        <v>121</v>
      </c>
      <c r="N2186" t="s">
        <v>72</v>
      </c>
      <c r="O2186" t="s">
        <v>54</v>
      </c>
      <c r="P2186" t="s">
        <v>59</v>
      </c>
      <c r="Q2186" t="s">
        <v>89</v>
      </c>
      <c r="R2186" t="s">
        <v>58</v>
      </c>
      <c r="S2186" t="s">
        <v>106</v>
      </c>
      <c r="T2186" t="s">
        <v>62</v>
      </c>
      <c r="U2186" t="s">
        <v>147</v>
      </c>
      <c r="V2186" t="s">
        <v>77</v>
      </c>
      <c r="W2186" t="s">
        <v>116</v>
      </c>
      <c r="X2186" t="s">
        <v>180</v>
      </c>
      <c r="Y2186" t="s">
        <v>377</v>
      </c>
      <c r="Z2186" t="s">
        <v>64</v>
      </c>
      <c r="AA2186" t="s">
        <v>485</v>
      </c>
      <c r="AB2186" t="s">
        <v>0</v>
      </c>
      <c r="AC2186" t="s">
        <v>5909</v>
      </c>
    </row>
    <row r="2187" spans="1:29">
      <c r="A2187" t="s">
        <v>5910</v>
      </c>
      <c r="B2187" s="93" t="str">
        <f>IF(ISNUMBER(SEARCH(E2187,A2187)),A2187,IF(OR(E2187="",E2187=""),A2187,A2187&amp;" - "&amp;E2187))</f>
        <v>Mother Wildlife 24/1 BG - Blackberry Gelato</v>
      </c>
      <c r="E2187" s="79" t="s">
        <v>5911</v>
      </c>
      <c r="F2187" s="81" t="s">
        <v>86</v>
      </c>
      <c r="G2187" s="83" t="s">
        <v>448</v>
      </c>
      <c r="H2187" s="83" t="s">
        <v>65</v>
      </c>
      <c r="I2187" t="s">
        <v>0</v>
      </c>
      <c r="J2187" t="s">
        <v>0</v>
      </c>
      <c r="K2187" t="s">
        <v>52</v>
      </c>
      <c r="L2187" t="s">
        <v>53</v>
      </c>
      <c r="M2187" t="s">
        <v>72</v>
      </c>
      <c r="N2187" t="s">
        <v>54</v>
      </c>
      <c r="O2187" t="s">
        <v>103</v>
      </c>
      <c r="P2187" t="s">
        <v>89</v>
      </c>
      <c r="Q2187" t="s">
        <v>58</v>
      </c>
      <c r="R2187" t="s">
        <v>75</v>
      </c>
      <c r="S2187" t="s">
        <v>62</v>
      </c>
      <c r="T2187" t="s">
        <v>123</v>
      </c>
      <c r="U2187" t="s">
        <v>147</v>
      </c>
      <c r="V2187" t="s">
        <v>77</v>
      </c>
      <c r="W2187" t="s">
        <v>292</v>
      </c>
      <c r="X2187" t="s">
        <v>79</v>
      </c>
      <c r="Y2187" t="s">
        <v>643</v>
      </c>
      <c r="Z2187" t="s">
        <v>64</v>
      </c>
      <c r="AA2187" t="s">
        <v>912</v>
      </c>
      <c r="AB2187" t="s">
        <v>0</v>
      </c>
      <c r="AC2187" t="s">
        <v>5912</v>
      </c>
    </row>
    <row r="2188" spans="1:29">
      <c r="A2188" t="s">
        <v>721</v>
      </c>
      <c r="B2188" s="11" t="str">
        <f>IF(ISNUMBER(SEARCH(E2188,A2188)),A2188,IF(OR(E2188="",E2188=""),A2188,A2188&amp;" - "&amp;E2188))</f>
        <v>Demecan Epic Drop 30:01 - Gush Mints</v>
      </c>
      <c r="C2188" t="s">
        <v>484</v>
      </c>
      <c r="D2188" t="s">
        <v>485</v>
      </c>
      <c r="E2188" t="s">
        <v>2875</v>
      </c>
      <c r="F2188" t="s">
        <v>86</v>
      </c>
      <c r="G2188" t="s">
        <v>4057</v>
      </c>
      <c r="H2188" s="2">
        <v>1</v>
      </c>
      <c r="I2188" t="s">
        <v>0</v>
      </c>
      <c r="J2188" t="s">
        <v>0</v>
      </c>
      <c r="K2188" t="s">
        <v>52</v>
      </c>
      <c r="L2188" t="s">
        <v>53</v>
      </c>
      <c r="M2188" t="s">
        <v>71</v>
      </c>
      <c r="N2188" t="s">
        <v>88</v>
      </c>
      <c r="O2188" t="s">
        <v>72</v>
      </c>
      <c r="P2188" t="s">
        <v>89</v>
      </c>
      <c r="Q2188" t="s">
        <v>73</v>
      </c>
      <c r="R2188" t="s">
        <v>75</v>
      </c>
      <c r="S2188" t="s">
        <v>61</v>
      </c>
      <c r="T2188" t="s">
        <v>76</v>
      </c>
      <c r="U2188" t="s">
        <v>62</v>
      </c>
      <c r="V2188" t="s">
        <v>116</v>
      </c>
      <c r="W2188" t="s">
        <v>107</v>
      </c>
      <c r="X2188" t="s">
        <v>0</v>
      </c>
      <c r="Y2188" t="s">
        <v>539</v>
      </c>
      <c r="Z2188" t="s">
        <v>64</v>
      </c>
      <c r="AA2188" t="s">
        <v>485</v>
      </c>
      <c r="AB2188" t="s">
        <v>2876</v>
      </c>
      <c r="AC2188" t="s">
        <v>5913</v>
      </c>
    </row>
    <row r="2189" spans="1:29">
      <c r="A2189" t="s">
        <v>957</v>
      </c>
      <c r="B2189" s="11" t="str">
        <f>IF(ISNUMBER(SEARCH(E2189,A2189)),A2189,IF(OR(E2189="",E2189=""),A2189,A2189&amp;" - "&amp;E2189))</f>
        <v>Cannamedical Sativa forte NM - Goofiez</v>
      </c>
      <c r="C2189" t="s">
        <v>48</v>
      </c>
      <c r="D2189" t="s">
        <v>49</v>
      </c>
      <c r="E2189" s="79" t="s">
        <v>5914</v>
      </c>
      <c r="F2189" s="81" t="s">
        <v>86</v>
      </c>
      <c r="G2189" s="83" t="s">
        <v>448</v>
      </c>
      <c r="H2189" s="83" t="s">
        <v>65</v>
      </c>
      <c r="I2189" t="s">
        <v>0</v>
      </c>
      <c r="J2189" t="s">
        <v>0</v>
      </c>
      <c r="K2189" t="s">
        <v>52</v>
      </c>
      <c r="L2189" t="s">
        <v>53</v>
      </c>
      <c r="M2189" t="s">
        <v>121</v>
      </c>
      <c r="N2189" t="s">
        <v>72</v>
      </c>
      <c r="O2189" t="s">
        <v>54</v>
      </c>
      <c r="P2189" t="s">
        <v>57</v>
      </c>
      <c r="Q2189" t="s">
        <v>89</v>
      </c>
      <c r="R2189" t="s">
        <v>58</v>
      </c>
      <c r="S2189" t="s">
        <v>106</v>
      </c>
      <c r="T2189" t="s">
        <v>62</v>
      </c>
      <c r="U2189" t="s">
        <v>147</v>
      </c>
      <c r="V2189" t="s">
        <v>77</v>
      </c>
      <c r="W2189" t="s">
        <v>116</v>
      </c>
      <c r="X2189" t="s">
        <v>165</v>
      </c>
      <c r="Y2189" t="s">
        <v>421</v>
      </c>
      <c r="Z2189" t="s">
        <v>64</v>
      </c>
      <c r="AA2189" t="s">
        <v>49</v>
      </c>
      <c r="AB2189" t="s">
        <v>0</v>
      </c>
      <c r="AC2189" t="s">
        <v>5915</v>
      </c>
    </row>
    <row r="2190" spans="1:29">
      <c r="A2190" t="s">
        <v>5916</v>
      </c>
      <c r="B2190" s="11" t="str">
        <f>IF(ISNUMBER(SEARCH(E2190,A2190)),A2190,IF(OR(E2190="",E2190=""),A2190,A2190&amp;" - "&amp;E2190))</f>
        <v>Tilray Craft Cannabisblüten THC22 CCC - Cherry Cheesecake</v>
      </c>
      <c r="C2190" t="s">
        <v>133</v>
      </c>
      <c r="D2190" t="s">
        <v>134</v>
      </c>
      <c r="E2190" s="79" t="s">
        <v>5917</v>
      </c>
      <c r="F2190" s="81" t="s">
        <v>177</v>
      </c>
      <c r="G2190" s="83" t="s">
        <v>4126</v>
      </c>
      <c r="H2190" s="83" t="s">
        <v>65</v>
      </c>
      <c r="I2190" t="s">
        <v>0</v>
      </c>
      <c r="J2190" t="s">
        <v>0</v>
      </c>
      <c r="K2190" t="s">
        <v>52</v>
      </c>
      <c r="L2190" t="s">
        <v>527</v>
      </c>
      <c r="M2190" t="s">
        <v>0</v>
      </c>
      <c r="N2190" t="s">
        <v>0</v>
      </c>
      <c r="O2190" t="s">
        <v>0</v>
      </c>
      <c r="P2190" t="s">
        <v>0</v>
      </c>
      <c r="Q2190" t="s">
        <v>0</v>
      </c>
      <c r="R2190" t="s">
        <v>0</v>
      </c>
      <c r="S2190" t="s">
        <v>62</v>
      </c>
      <c r="T2190" t="s">
        <v>105</v>
      </c>
      <c r="U2190" t="s">
        <v>192</v>
      </c>
      <c r="V2190" t="s">
        <v>0</v>
      </c>
      <c r="W2190" t="s">
        <v>0</v>
      </c>
      <c r="X2190" t="s">
        <v>0</v>
      </c>
      <c r="Y2190" t="s">
        <v>213</v>
      </c>
      <c r="Z2190" t="s">
        <v>64</v>
      </c>
      <c r="AA2190" t="s">
        <v>134</v>
      </c>
      <c r="AB2190" t="s">
        <v>0</v>
      </c>
      <c r="AC2190" t="s">
        <v>5918</v>
      </c>
    </row>
    <row r="2191" spans="1:29">
      <c r="A2191" t="s">
        <v>5919</v>
      </c>
      <c r="B2191" s="11" t="str">
        <f>IF(ISNUMBER(SEARCH(E2191,A2191)),A2191,IF(OR(E2191="",E2191=""),A2191,A2191&amp;" - "&amp;E2191))</f>
        <v>IMC Cannabisblüten GRZ THC25 MIDS - Jungle Pop</v>
      </c>
      <c r="C2191" t="s">
        <v>646</v>
      </c>
      <c r="D2191" t="s">
        <v>646</v>
      </c>
      <c r="E2191" s="79" t="s">
        <v>5837</v>
      </c>
      <c r="F2191" s="81" t="s">
        <v>86</v>
      </c>
      <c r="G2191" s="83" t="s">
        <v>26</v>
      </c>
      <c r="H2191" s="83" t="s">
        <v>65</v>
      </c>
      <c r="I2191" t="s">
        <v>0</v>
      </c>
      <c r="J2191" t="s">
        <v>0</v>
      </c>
      <c r="K2191" t="s">
        <v>52</v>
      </c>
      <c r="L2191" t="s">
        <v>423</v>
      </c>
      <c r="M2191" t="s">
        <v>55</v>
      </c>
      <c r="N2191" t="s">
        <v>54</v>
      </c>
      <c r="O2191" t="s">
        <v>178</v>
      </c>
      <c r="P2191" t="s">
        <v>136</v>
      </c>
      <c r="Q2191" t="s">
        <v>59</v>
      </c>
      <c r="R2191" t="s">
        <v>57</v>
      </c>
      <c r="S2191" t="s">
        <v>106</v>
      </c>
      <c r="T2191" t="s">
        <v>62</v>
      </c>
      <c r="U2191" t="s">
        <v>147</v>
      </c>
      <c r="V2191" t="s">
        <v>93</v>
      </c>
      <c r="W2191" t="s">
        <v>0</v>
      </c>
      <c r="X2191" t="s">
        <v>0</v>
      </c>
      <c r="Y2191" t="s">
        <v>413</v>
      </c>
      <c r="Z2191" t="s">
        <v>64</v>
      </c>
      <c r="AA2191" t="s">
        <v>646</v>
      </c>
      <c r="AB2191" t="s">
        <v>0</v>
      </c>
      <c r="AC2191" t="s">
        <v>5920</v>
      </c>
    </row>
    <row r="2192" spans="1:29">
      <c r="A2192" t="s">
        <v>5921</v>
      </c>
      <c r="B2192" s="11" t="str">
        <f>IF(ISNUMBER(SEARCH(E2192,A2192)),A2192,IF(OR(E2192="",E2192=""),A2192,A2192&amp;" - "&amp;E2192))</f>
        <v>Luana Electric 24/1 - Bashengo</v>
      </c>
      <c r="C2192" t="s">
        <v>48</v>
      </c>
      <c r="D2192" t="s">
        <v>49</v>
      </c>
      <c r="E2192" s="79" t="s">
        <v>5514</v>
      </c>
      <c r="F2192" s="81" t="s">
        <v>120</v>
      </c>
      <c r="G2192" s="83" t="s">
        <v>4126</v>
      </c>
      <c r="H2192" s="83" t="s">
        <v>65</v>
      </c>
      <c r="I2192" t="s">
        <v>0</v>
      </c>
      <c r="J2192" t="s">
        <v>0</v>
      </c>
      <c r="K2192" t="s">
        <v>52</v>
      </c>
      <c r="L2192" t="s">
        <v>53</v>
      </c>
      <c r="M2192" t="s">
        <v>121</v>
      </c>
      <c r="N2192" t="s">
        <v>72</v>
      </c>
      <c r="O2192" t="s">
        <v>71</v>
      </c>
      <c r="P2192" t="s">
        <v>59</v>
      </c>
      <c r="Q2192" t="s">
        <v>89</v>
      </c>
      <c r="R2192" t="s">
        <v>74</v>
      </c>
      <c r="S2192" t="s">
        <v>106</v>
      </c>
      <c r="T2192" t="s">
        <v>62</v>
      </c>
      <c r="U2192" t="s">
        <v>147</v>
      </c>
      <c r="V2192" t="s">
        <v>77</v>
      </c>
      <c r="W2192" t="s">
        <v>225</v>
      </c>
      <c r="X2192" t="s">
        <v>116</v>
      </c>
      <c r="Y2192" t="s">
        <v>1090</v>
      </c>
      <c r="Z2192" t="s">
        <v>64</v>
      </c>
      <c r="AA2192" t="s">
        <v>49</v>
      </c>
      <c r="AB2192" t="s">
        <v>0</v>
      </c>
      <c r="AC2192" t="s">
        <v>5922</v>
      </c>
    </row>
    <row r="2193" spans="1:29">
      <c r="A2193" t="s">
        <v>5923</v>
      </c>
      <c r="B2193" s="11" t="str">
        <f>IF(ISNUMBER(SEARCH(E2193,A2193)),A2193,IF(OR(E2193="",E2193=""),A2193,A2193&amp;" - "&amp;E2193))</f>
        <v>IMC THC25 T02 - OG Kush</v>
      </c>
      <c r="C2193" t="s">
        <v>646</v>
      </c>
      <c r="D2193" t="s">
        <v>646</v>
      </c>
      <c r="E2193" s="79" t="s">
        <v>337</v>
      </c>
      <c r="F2193" s="81" t="s">
        <v>120</v>
      </c>
      <c r="G2193" s="83" t="s">
        <v>26</v>
      </c>
      <c r="H2193" s="83">
        <v>1</v>
      </c>
      <c r="I2193" t="s">
        <v>0</v>
      </c>
      <c r="J2193" t="s">
        <v>0</v>
      </c>
      <c r="K2193" t="s">
        <v>17</v>
      </c>
      <c r="L2193" t="s">
        <v>423</v>
      </c>
      <c r="M2193" t="s">
        <v>103</v>
      </c>
      <c r="N2193" t="s">
        <v>121</v>
      </c>
      <c r="O2193" t="s">
        <v>88</v>
      </c>
      <c r="P2193" t="s">
        <v>59</v>
      </c>
      <c r="Q2193" t="s">
        <v>75</v>
      </c>
      <c r="R2193" t="s">
        <v>146</v>
      </c>
      <c r="S2193" t="s">
        <v>128</v>
      </c>
      <c r="T2193" t="s">
        <v>179</v>
      </c>
      <c r="U2193" t="s">
        <v>76</v>
      </c>
      <c r="V2193" t="s">
        <v>116</v>
      </c>
      <c r="W2193" t="s">
        <v>107</v>
      </c>
      <c r="X2193" t="s">
        <v>93</v>
      </c>
      <c r="Y2193" t="s">
        <v>217</v>
      </c>
      <c r="Z2193" t="s">
        <v>64</v>
      </c>
      <c r="AA2193" t="s">
        <v>646</v>
      </c>
      <c r="AB2193" t="s">
        <v>0</v>
      </c>
      <c r="AC2193" t="s">
        <v>5924</v>
      </c>
    </row>
    <row r="2194" spans="1:29">
      <c r="A2194" t="s">
        <v>5925</v>
      </c>
      <c r="B2194" s="11" t="str">
        <f>IF(ISNUMBER(SEARCH(E2194,A2194)),A2194,IF(OR(E2194="",E2194=""),A2194,A2194&amp;" - "&amp;E2194))</f>
        <v>Weeco 22/1 KIKU - Kings Kush</v>
      </c>
      <c r="C2194" t="s">
        <v>905</v>
      </c>
      <c r="D2194" t="s">
        <v>906</v>
      </c>
      <c r="E2194" s="79" t="s">
        <v>5926</v>
      </c>
      <c r="F2194" s="81" t="s">
        <v>177</v>
      </c>
      <c r="G2194" s="83" t="s">
        <v>4126</v>
      </c>
      <c r="H2194" s="83" t="s">
        <v>65</v>
      </c>
      <c r="I2194" t="s">
        <v>0</v>
      </c>
      <c r="J2194" t="s">
        <v>0</v>
      </c>
      <c r="K2194" t="s">
        <v>52</v>
      </c>
      <c r="L2194" t="s">
        <v>53</v>
      </c>
      <c r="M2194" t="s">
        <v>88</v>
      </c>
      <c r="N2194" t="s">
        <v>71</v>
      </c>
      <c r="O2194" t="s">
        <v>72</v>
      </c>
      <c r="P2194" t="s">
        <v>89</v>
      </c>
      <c r="Q2194" t="s">
        <v>58</v>
      </c>
      <c r="R2194" t="s">
        <v>157</v>
      </c>
      <c r="S2194" t="s">
        <v>106</v>
      </c>
      <c r="T2194" t="s">
        <v>179</v>
      </c>
      <c r="U2194" t="s">
        <v>164</v>
      </c>
      <c r="V2194" t="s">
        <v>77</v>
      </c>
      <c r="W2194" t="s">
        <v>292</v>
      </c>
      <c r="X2194" t="s">
        <v>93</v>
      </c>
      <c r="Y2194" t="s">
        <v>314</v>
      </c>
      <c r="Z2194" t="s">
        <v>64</v>
      </c>
      <c r="AA2194" t="s">
        <v>906</v>
      </c>
      <c r="AB2194" t="s">
        <v>0</v>
      </c>
      <c r="AC2194" t="s">
        <v>5927</v>
      </c>
    </row>
    <row r="2195" spans="1:29">
      <c r="A2195" t="s">
        <v>5928</v>
      </c>
      <c r="B2195" s="11" t="str">
        <f>IF(ISNUMBER(SEARCH(E2195,A2195)),A2195,IF(OR(E2195="",E2195=""),A2195,A2195&amp;" - "&amp;E2195))</f>
        <v>IMC Cannabisblüten BK THC18 - Zkittlez</v>
      </c>
      <c r="C2195" t="s">
        <v>646</v>
      </c>
      <c r="D2195" t="s">
        <v>646</v>
      </c>
      <c r="E2195" s="79" t="s">
        <v>2485</v>
      </c>
      <c r="F2195" s="81" t="s">
        <v>86</v>
      </c>
      <c r="G2195" s="83" t="s">
        <v>8</v>
      </c>
      <c r="H2195" s="83" t="s">
        <v>65</v>
      </c>
      <c r="I2195" t="s">
        <v>0</v>
      </c>
      <c r="J2195" t="s">
        <v>0</v>
      </c>
      <c r="K2195" t="s">
        <v>52</v>
      </c>
      <c r="L2195" t="s">
        <v>102</v>
      </c>
      <c r="M2195" t="s">
        <v>111</v>
      </c>
      <c r="N2195" t="s">
        <v>72</v>
      </c>
      <c r="O2195" t="s">
        <v>88</v>
      </c>
      <c r="P2195" t="s">
        <v>58</v>
      </c>
      <c r="Q2195" t="s">
        <v>89</v>
      </c>
      <c r="R2195" t="s">
        <v>75</v>
      </c>
      <c r="S2195" t="s">
        <v>106</v>
      </c>
      <c r="T2195" t="s">
        <v>123</v>
      </c>
      <c r="U2195" t="s">
        <v>224</v>
      </c>
      <c r="V2195" t="s">
        <v>173</v>
      </c>
      <c r="W2195" t="s">
        <v>92</v>
      </c>
      <c r="X2195" t="s">
        <v>107</v>
      </c>
      <c r="Y2195" t="s">
        <v>2287</v>
      </c>
      <c r="Z2195" t="s">
        <v>64</v>
      </c>
      <c r="AA2195" t="s">
        <v>646</v>
      </c>
      <c r="AB2195" t="s">
        <v>0</v>
      </c>
      <c r="AC2195" t="s">
        <v>5929</v>
      </c>
    </row>
    <row r="2196" spans="1:29">
      <c r="A2196" t="s">
        <v>5930</v>
      </c>
      <c r="B2196" s="11" t="str">
        <f>IF(ISNUMBER(SEARCH(E2196,A2196)),A2196,IF(OR(E2196="",E2196=""),A2196,A2196&amp;" - "&amp;E2196))</f>
        <v>Cannamedical Sativa Forte ES - Banjo</v>
      </c>
      <c r="C2196" t="s">
        <v>48</v>
      </c>
      <c r="D2196" t="s">
        <v>49</v>
      </c>
      <c r="E2196" s="79" t="s">
        <v>3686</v>
      </c>
      <c r="F2196" s="81" t="s">
        <v>86</v>
      </c>
      <c r="G2196" s="83" t="s">
        <v>26</v>
      </c>
      <c r="H2196" s="83">
        <v>1</v>
      </c>
      <c r="I2196" t="s">
        <v>0</v>
      </c>
      <c r="J2196" t="s">
        <v>0</v>
      </c>
      <c r="K2196" t="s">
        <v>52</v>
      </c>
      <c r="L2196" t="s">
        <v>53</v>
      </c>
      <c r="M2196" t="s">
        <v>72</v>
      </c>
      <c r="N2196" t="s">
        <v>88</v>
      </c>
      <c r="O2196" t="s">
        <v>0</v>
      </c>
      <c r="P2196" t="s">
        <v>89</v>
      </c>
      <c r="Q2196" t="s">
        <v>58</v>
      </c>
      <c r="R2196" t="s">
        <v>186</v>
      </c>
      <c r="S2196" t="s">
        <v>106</v>
      </c>
      <c r="T2196" t="s">
        <v>62</v>
      </c>
      <c r="U2196" t="s">
        <v>147</v>
      </c>
      <c r="V2196" t="s">
        <v>116</v>
      </c>
      <c r="W2196" t="s">
        <v>79</v>
      </c>
      <c r="X2196" t="s">
        <v>107</v>
      </c>
      <c r="Y2196" t="s">
        <v>5931</v>
      </c>
      <c r="Z2196" t="s">
        <v>64</v>
      </c>
      <c r="AA2196" t="s">
        <v>49</v>
      </c>
      <c r="AB2196" t="s">
        <v>0</v>
      </c>
      <c r="AC2196" t="s">
        <v>5932</v>
      </c>
    </row>
    <row r="2197" spans="1:29">
      <c r="A2197" t="s">
        <v>5933</v>
      </c>
      <c r="B2197" s="11" t="str">
        <f>IF(ISNUMBER(SEARCH(E2197,A2197)),A2197,IF(OR(E2197="",E2197=""),A2197,A2197&amp;" - "&amp;E2197))</f>
        <v>Herbasana La Santa 20:01 - Passion Soda</v>
      </c>
      <c r="C2197" t="s">
        <v>1509</v>
      </c>
      <c r="D2197" t="s">
        <v>1512</v>
      </c>
      <c r="E2197" s="79" t="s">
        <v>1515</v>
      </c>
      <c r="F2197" s="81" t="s">
        <v>86</v>
      </c>
      <c r="G2197" s="83" t="s">
        <v>460</v>
      </c>
      <c r="H2197" s="83">
        <v>1</v>
      </c>
      <c r="I2197" t="s">
        <v>0</v>
      </c>
      <c r="J2197" t="s">
        <v>0</v>
      </c>
      <c r="K2197" t="s">
        <v>52</v>
      </c>
      <c r="L2197" t="s">
        <v>202</v>
      </c>
      <c r="M2197" t="s">
        <v>72</v>
      </c>
      <c r="N2197" t="s">
        <v>178</v>
      </c>
      <c r="O2197" t="s">
        <v>54</v>
      </c>
      <c r="P2197" t="s">
        <v>59</v>
      </c>
      <c r="Q2197" t="s">
        <v>157</v>
      </c>
      <c r="R2197" t="s">
        <v>75</v>
      </c>
      <c r="S2197" t="s">
        <v>128</v>
      </c>
      <c r="T2197" t="s">
        <v>106</v>
      </c>
      <c r="U2197" t="s">
        <v>62</v>
      </c>
      <c r="V2197" t="s">
        <v>77</v>
      </c>
      <c r="W2197" t="s">
        <v>107</v>
      </c>
      <c r="X2197" t="s">
        <v>0</v>
      </c>
      <c r="Y2197" t="s">
        <v>220</v>
      </c>
      <c r="Z2197" t="s">
        <v>64</v>
      </c>
      <c r="AA2197" t="s">
        <v>1512</v>
      </c>
      <c r="AB2197" t="s">
        <v>0</v>
      </c>
      <c r="AC2197" t="s">
        <v>5934</v>
      </c>
    </row>
    <row r="2198" spans="1:29">
      <c r="A2198" t="s">
        <v>5935</v>
      </c>
      <c r="B2198" s="11" t="str">
        <f>IF(ISNUMBER(SEARCH(E2198,A2198)),A2198,IF(OR(E2198="",E2198=""),A2198,A2198&amp;" - "&amp;E2198))</f>
        <v>THC AKUT MG 28 BCP - Black Cherry Punch</v>
      </c>
      <c r="C2198" t="s">
        <v>4625</v>
      </c>
      <c r="D2198" t="s">
        <v>160</v>
      </c>
      <c r="E2198" t="s">
        <v>685</v>
      </c>
      <c r="F2198" t="s">
        <v>177</v>
      </c>
      <c r="G2198" t="s">
        <v>26</v>
      </c>
      <c r="H2198" s="2" t="s">
        <v>65</v>
      </c>
      <c r="I2198" t="s">
        <v>0</v>
      </c>
      <c r="J2198" t="s">
        <v>0</v>
      </c>
      <c r="K2198" t="s">
        <v>52</v>
      </c>
      <c r="L2198" t="s">
        <v>497</v>
      </c>
      <c r="M2198" t="s">
        <v>72</v>
      </c>
      <c r="N2198" t="s">
        <v>121</v>
      </c>
      <c r="O2198" t="s">
        <v>103</v>
      </c>
      <c r="P2198" t="s">
        <v>58</v>
      </c>
      <c r="Q2198" t="s">
        <v>104</v>
      </c>
      <c r="R2198" t="s">
        <v>89</v>
      </c>
      <c r="S2198" t="s">
        <v>106</v>
      </c>
      <c r="T2198" t="s">
        <v>62</v>
      </c>
      <c r="U2198" t="s">
        <v>123</v>
      </c>
      <c r="V2198" t="s">
        <v>77</v>
      </c>
      <c r="W2198" t="s">
        <v>116</v>
      </c>
      <c r="X2198" t="s">
        <v>79</v>
      </c>
      <c r="Y2198" t="s">
        <v>240</v>
      </c>
      <c r="Z2198" t="s">
        <v>64</v>
      </c>
      <c r="AA2198" t="s">
        <v>160</v>
      </c>
      <c r="AB2198" t="s">
        <v>0</v>
      </c>
      <c r="AC2198" t="s">
        <v>5936</v>
      </c>
    </row>
    <row r="2199" spans="1:29">
      <c r="A2199" t="s">
        <v>5937</v>
      </c>
      <c r="B2199" s="11" t="str">
        <f>IF(ISNUMBER(SEARCH(E2199,A2199)),A2199,IF(OR(E2199="",E2199=""),A2199,A2199&amp;" - "&amp;E2199))</f>
        <v>Barongo 28/1 DR - El Jefe</v>
      </c>
      <c r="C2199" s="30" t="s">
        <v>641</v>
      </c>
      <c r="D2199" t="s">
        <v>642</v>
      </c>
      <c r="E2199" s="9" t="s">
        <v>471</v>
      </c>
      <c r="F2199" s="1" t="s">
        <v>86</v>
      </c>
      <c r="G2199" s="8" t="s">
        <v>4164</v>
      </c>
      <c r="H2199" s="8" t="s">
        <v>65</v>
      </c>
      <c r="I2199" t="s">
        <v>0</v>
      </c>
      <c r="J2199" t="s">
        <v>0</v>
      </c>
      <c r="K2199" t="s">
        <v>52</v>
      </c>
      <c r="L2199" t="s">
        <v>53</v>
      </c>
      <c r="M2199" t="s">
        <v>121</v>
      </c>
      <c r="N2199" t="s">
        <v>72</v>
      </c>
      <c r="O2199" t="s">
        <v>0</v>
      </c>
      <c r="P2199" t="s">
        <v>59</v>
      </c>
      <c r="Q2199" t="s">
        <v>146</v>
      </c>
      <c r="R2199" t="s">
        <v>74</v>
      </c>
      <c r="S2199" t="s">
        <v>128</v>
      </c>
      <c r="T2199" t="s">
        <v>466</v>
      </c>
      <c r="U2199" t="s">
        <v>493</v>
      </c>
      <c r="V2199" t="s">
        <v>107</v>
      </c>
      <c r="W2199" t="s">
        <v>77</v>
      </c>
      <c r="X2199" t="s">
        <v>79</v>
      </c>
      <c r="Y2199" t="s">
        <v>3152</v>
      </c>
      <c r="Z2199" t="s">
        <v>64</v>
      </c>
      <c r="AA2199" t="s">
        <v>642</v>
      </c>
      <c r="AB2199" t="s">
        <v>0</v>
      </c>
      <c r="AC2199" t="s">
        <v>5938</v>
      </c>
    </row>
    <row r="2200" spans="1:29">
      <c r="A2200" t="s">
        <v>5939</v>
      </c>
      <c r="B2200" s="11" t="str">
        <f>IF(ISNUMBER(SEARCH(E2200,A2200)),A2200,IF(OR(E2200="",E2200=""),A2200,A2200&amp;" - "&amp;E2200))</f>
        <v>Barongo 26/1 DR Gastro Pop - Apple Friter x Cookies and Cream</v>
      </c>
      <c r="C2200" t="s">
        <v>641</v>
      </c>
      <c r="D2200" t="s">
        <v>642</v>
      </c>
      <c r="E2200" s="9" t="s">
        <v>5940</v>
      </c>
      <c r="F2200" s="1" t="s">
        <v>86</v>
      </c>
      <c r="G2200" s="8" t="s">
        <v>4086</v>
      </c>
      <c r="H2200" s="8" t="s">
        <v>65</v>
      </c>
      <c r="I2200" t="s">
        <v>0</v>
      </c>
      <c r="J2200" t="s">
        <v>0</v>
      </c>
      <c r="K2200" t="s">
        <v>52</v>
      </c>
      <c r="L2200" t="s">
        <v>53</v>
      </c>
      <c r="M2200" t="s">
        <v>156</v>
      </c>
      <c r="N2200" t="s">
        <v>55</v>
      </c>
      <c r="O2200" t="s">
        <v>0</v>
      </c>
      <c r="P2200" t="s">
        <v>74</v>
      </c>
      <c r="Q2200" t="s">
        <v>73</v>
      </c>
      <c r="R2200" t="s">
        <v>75</v>
      </c>
      <c r="S2200" t="s">
        <v>105</v>
      </c>
      <c r="T2200" t="s">
        <v>192</v>
      </c>
      <c r="U2200" t="s">
        <v>2784</v>
      </c>
      <c r="V2200" t="s">
        <v>138</v>
      </c>
      <c r="W2200" t="s">
        <v>79</v>
      </c>
      <c r="X2200" t="s">
        <v>107</v>
      </c>
      <c r="Y2200" t="s">
        <v>220</v>
      </c>
      <c r="Z2200" t="s">
        <v>64</v>
      </c>
      <c r="AA2200" t="s">
        <v>642</v>
      </c>
      <c r="AB2200" t="s">
        <v>0</v>
      </c>
      <c r="AC2200" t="s">
        <v>5941</v>
      </c>
    </row>
    <row r="2201" spans="1:29">
      <c r="A2201" t="s">
        <v>5942</v>
      </c>
      <c r="B2201" s="11" t="str">
        <f>IF(ISNUMBER(SEARCH(E2201,A2201)),A2201,IF(OR(E2201="",E2201=""),A2201,A2201&amp;" - "&amp;E2201))</f>
        <v>Barongo 26/1 LAX - Sunset Strudel</v>
      </c>
      <c r="C2201" t="s">
        <v>641</v>
      </c>
      <c r="D2201" t="s">
        <v>642</v>
      </c>
      <c r="E2201" s="9" t="s">
        <v>4425</v>
      </c>
      <c r="F2201" s="1" t="s">
        <v>177</v>
      </c>
      <c r="G2201" s="8" t="s">
        <v>4086</v>
      </c>
      <c r="H2201" s="8" t="s">
        <v>65</v>
      </c>
      <c r="I2201" t="s">
        <v>0</v>
      </c>
      <c r="J2201" t="s">
        <v>0</v>
      </c>
      <c r="K2201" t="s">
        <v>52</v>
      </c>
      <c r="L2201" t="s">
        <v>53</v>
      </c>
      <c r="M2201" t="s">
        <v>72</v>
      </c>
      <c r="N2201" t="s">
        <v>0</v>
      </c>
      <c r="O2201" t="s">
        <v>0</v>
      </c>
      <c r="P2201" t="s">
        <v>73</v>
      </c>
      <c r="Q2201" t="s">
        <v>58</v>
      </c>
      <c r="R2201" t="s">
        <v>75</v>
      </c>
      <c r="S2201" t="s">
        <v>128</v>
      </c>
      <c r="T2201" t="s">
        <v>106</v>
      </c>
      <c r="U2201" t="s">
        <v>466</v>
      </c>
      <c r="V2201" t="s">
        <v>107</v>
      </c>
      <c r="W2201" t="s">
        <v>79</v>
      </c>
      <c r="X2201" t="s">
        <v>173</v>
      </c>
      <c r="Y2201" t="s">
        <v>1907</v>
      </c>
      <c r="Z2201" t="s">
        <v>64</v>
      </c>
      <c r="AA2201" t="s">
        <v>642</v>
      </c>
      <c r="AB2201" t="s">
        <v>0</v>
      </c>
      <c r="AC2201" t="s">
        <v>5943</v>
      </c>
    </row>
    <row r="2202" spans="1:29">
      <c r="A2202" t="s">
        <v>5944</v>
      </c>
      <c r="B2202" s="11" t="str">
        <f>IF(ISNUMBER(SEARCH(E2202,A2202)),A2202,IF(OR(E2202="",E2202=""),A2202,A2202&amp;" - "&amp;E2202))</f>
        <v>Barongo 28/1 Cali Motion - LA Animal</v>
      </c>
      <c r="C2202" t="s">
        <v>641</v>
      </c>
      <c r="D2202" t="s">
        <v>642</v>
      </c>
      <c r="E2202" s="9" t="s">
        <v>5945</v>
      </c>
      <c r="F2202" s="1" t="s">
        <v>120</v>
      </c>
      <c r="G2202" s="8" t="s">
        <v>4164</v>
      </c>
      <c r="H2202" s="8" t="s">
        <v>65</v>
      </c>
      <c r="I2202" t="s">
        <v>0</v>
      </c>
      <c r="J2202" t="s">
        <v>0</v>
      </c>
      <c r="K2202" t="s">
        <v>52</v>
      </c>
      <c r="L2202" t="s">
        <v>53</v>
      </c>
      <c r="M2202" t="s">
        <v>54</v>
      </c>
      <c r="N2202" t="s">
        <v>88</v>
      </c>
      <c r="O2202" t="s">
        <v>156</v>
      </c>
      <c r="P2202" t="s">
        <v>75</v>
      </c>
      <c r="Q2202" t="s">
        <v>104</v>
      </c>
      <c r="R2202" t="s">
        <v>74</v>
      </c>
      <c r="S2202" t="s">
        <v>106</v>
      </c>
      <c r="T2202" t="s">
        <v>466</v>
      </c>
      <c r="U2202" t="s">
        <v>493</v>
      </c>
      <c r="V2202" t="s">
        <v>107</v>
      </c>
      <c r="W2202" t="s">
        <v>4398</v>
      </c>
      <c r="X2202" t="s">
        <v>457</v>
      </c>
      <c r="Y2202" t="s">
        <v>5946</v>
      </c>
      <c r="Z2202" t="s">
        <v>64</v>
      </c>
      <c r="AA2202" t="s">
        <v>642</v>
      </c>
      <c r="AB2202" t="s">
        <v>0</v>
      </c>
      <c r="AC2202" t="s">
        <v>5947</v>
      </c>
    </row>
    <row r="2203" spans="1:29">
      <c r="A2203" t="s">
        <v>5948</v>
      </c>
      <c r="B2203" s="11" t="str">
        <f>IF(ISNUMBER(SEARCH(E2203,A2203)),A2203,IF(OR(E2203="",E2203=""),A2203,A2203&amp;" - "&amp;E2203))</f>
        <v>Cannabis flos 20/1 ES Ku. - Dos Y Dos</v>
      </c>
      <c r="C2203" t="s">
        <v>99</v>
      </c>
      <c r="D2203" t="s">
        <v>100</v>
      </c>
      <c r="E2203" s="79" t="s">
        <v>5949</v>
      </c>
      <c r="F2203" s="81" t="s">
        <v>86</v>
      </c>
      <c r="G2203" s="83" t="s">
        <v>460</v>
      </c>
      <c r="H2203" s="83" t="s">
        <v>65</v>
      </c>
      <c r="I2203" t="s">
        <v>0</v>
      </c>
      <c r="J2203" t="s">
        <v>0</v>
      </c>
      <c r="K2203" t="s">
        <v>52</v>
      </c>
      <c r="M2203" t="s">
        <v>121</v>
      </c>
      <c r="N2203" t="s">
        <v>72</v>
      </c>
      <c r="O2203" t="s">
        <v>71</v>
      </c>
      <c r="P2203" t="s">
        <v>59</v>
      </c>
      <c r="Q2203" t="s">
        <v>89</v>
      </c>
      <c r="R2203" t="s">
        <v>112</v>
      </c>
      <c r="S2203" t="s">
        <v>106</v>
      </c>
      <c r="T2203" t="s">
        <v>62</v>
      </c>
      <c r="U2203" t="s">
        <v>147</v>
      </c>
      <c r="V2203" t="s">
        <v>77</v>
      </c>
      <c r="W2203" t="s">
        <v>116</v>
      </c>
      <c r="X2203" t="s">
        <v>165</v>
      </c>
      <c r="Y2203" t="s">
        <v>1090</v>
      </c>
      <c r="Z2203" t="s">
        <v>64</v>
      </c>
      <c r="AA2203" t="s">
        <v>100</v>
      </c>
      <c r="AB2203" t="s">
        <v>0</v>
      </c>
      <c r="AC2203" t="s">
        <v>5950</v>
      </c>
    </row>
    <row r="2204" spans="1:29">
      <c r="A2204" t="s">
        <v>5863</v>
      </c>
      <c r="B2204" s="11" t="str">
        <f>IF(ISNUMBER(SEARCH(E2204,A2204)),A2204,IF(OR(E2204="",E2204=""),A2204,A2204&amp;" - "&amp;E2204))</f>
        <v>GROW RO 24 - Moon Rocks</v>
      </c>
      <c r="C2204" s="96" t="s">
        <v>1323</v>
      </c>
      <c r="D2204" t="s">
        <v>1326</v>
      </c>
      <c r="E2204" s="79" t="s">
        <v>5951</v>
      </c>
      <c r="F2204" s="81" t="s">
        <v>177</v>
      </c>
      <c r="G2204" s="83" t="s">
        <v>26</v>
      </c>
      <c r="H2204" s="83" t="s">
        <v>65</v>
      </c>
      <c r="I2204" t="s">
        <v>0</v>
      </c>
      <c r="J2204" t="s">
        <v>0</v>
      </c>
      <c r="K2204" t="s">
        <v>52</v>
      </c>
      <c r="L2204" t="s">
        <v>53</v>
      </c>
      <c r="M2204" t="s">
        <v>121</v>
      </c>
      <c r="N2204" t="s">
        <v>54</v>
      </c>
      <c r="O2204" t="s">
        <v>103</v>
      </c>
      <c r="P2204" t="s">
        <v>59</v>
      </c>
      <c r="Q2204" t="s">
        <v>157</v>
      </c>
      <c r="R2204" t="s">
        <v>113</v>
      </c>
      <c r="S2204" t="s">
        <v>128</v>
      </c>
      <c r="T2204" t="s">
        <v>106</v>
      </c>
      <c r="U2204" t="s">
        <v>62</v>
      </c>
      <c r="V2204" t="s">
        <v>93</v>
      </c>
      <c r="W2204" t="s">
        <v>77</v>
      </c>
      <c r="X2204" t="s">
        <v>116</v>
      </c>
      <c r="Y2204" t="s">
        <v>768</v>
      </c>
      <c r="Z2204" t="s">
        <v>64</v>
      </c>
      <c r="AA2204" t="s">
        <v>1326</v>
      </c>
      <c r="AB2204" t="s">
        <v>0</v>
      </c>
      <c r="AC2204" t="s">
        <v>5952</v>
      </c>
    </row>
    <row r="2205" spans="1:29">
      <c r="A2205" t="s">
        <v>5953</v>
      </c>
      <c r="B2205" s="11" t="str">
        <f>IF(ISNUMBER(SEARCH(E2205,A2205)),A2205,IF(OR(E2205="",E2205=""),A2205,A2205&amp;" - "&amp;E2205))</f>
        <v>420 Evolution 20/1 CA PVB - Private Banana</v>
      </c>
      <c r="C2205" t="s">
        <v>463</v>
      </c>
      <c r="D2205" t="s">
        <v>468</v>
      </c>
      <c r="E2205" s="79" t="s">
        <v>5378</v>
      </c>
      <c r="F2205" s="81" t="s">
        <v>177</v>
      </c>
      <c r="G2205" s="83" t="s">
        <v>460</v>
      </c>
      <c r="H2205" s="83">
        <v>1</v>
      </c>
      <c r="I2205" t="s">
        <v>0</v>
      </c>
      <c r="J2205" t="s">
        <v>0</v>
      </c>
      <c r="K2205" t="s">
        <v>52</v>
      </c>
      <c r="L2205" t="s">
        <v>53</v>
      </c>
      <c r="M2205" t="s">
        <v>121</v>
      </c>
      <c r="N2205" t="s">
        <v>72</v>
      </c>
      <c r="O2205" t="s">
        <v>88</v>
      </c>
      <c r="P2205" t="s">
        <v>57</v>
      </c>
      <c r="Q2205" t="s">
        <v>136</v>
      </c>
      <c r="R2205" t="s">
        <v>89</v>
      </c>
      <c r="S2205" t="s">
        <v>106</v>
      </c>
      <c r="T2205" t="s">
        <v>62</v>
      </c>
      <c r="U2205" t="s">
        <v>147</v>
      </c>
      <c r="V2205" t="s">
        <v>77</v>
      </c>
      <c r="W2205" t="s">
        <v>116</v>
      </c>
      <c r="X2205" t="s">
        <v>180</v>
      </c>
      <c r="Y2205" t="s">
        <v>1065</v>
      </c>
      <c r="Z2205" t="s">
        <v>64</v>
      </c>
      <c r="AA2205" t="s">
        <v>468</v>
      </c>
      <c r="AB2205" t="s">
        <v>0</v>
      </c>
      <c r="AC2205" t="s">
        <v>5954</v>
      </c>
    </row>
    <row r="2206" spans="1:29">
      <c r="A2206" t="s">
        <v>5955</v>
      </c>
      <c r="B2206" s="11" t="str">
        <f>IF(ISNUMBER(SEARCH(E2206,A2206)),A2206,IF(OR(E2206="",E2206=""),A2206,A2206&amp;" - "&amp;E2206))</f>
        <v>SOMAI's Inhalations-Extrakt T800</v>
      </c>
      <c r="C2206" t="s">
        <v>5449</v>
      </c>
      <c r="D2206" t="s">
        <v>5450</v>
      </c>
      <c r="E2206" s="79" t="s">
        <v>0</v>
      </c>
      <c r="F2206" s="81" t="s">
        <v>86</v>
      </c>
      <c r="G2206" s="83" t="s">
        <v>0</v>
      </c>
      <c r="H2206" s="83" t="s">
        <v>0</v>
      </c>
      <c r="I2206">
        <v>800</v>
      </c>
      <c r="J2206" t="s">
        <v>65</v>
      </c>
      <c r="K2206" t="s">
        <v>5599</v>
      </c>
      <c r="L2206" t="s">
        <v>102</v>
      </c>
      <c r="M2206" t="s">
        <v>72</v>
      </c>
      <c r="N2206" t="s">
        <v>54</v>
      </c>
      <c r="O2206" t="s">
        <v>88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  <c r="U2206" t="s">
        <v>0</v>
      </c>
      <c r="V2206" t="s">
        <v>107</v>
      </c>
      <c r="W2206" t="s">
        <v>77</v>
      </c>
      <c r="X2206" t="s">
        <v>0</v>
      </c>
      <c r="Y2206" t="s">
        <v>5956</v>
      </c>
      <c r="Z2206" t="s">
        <v>1915</v>
      </c>
      <c r="AA2206" t="s">
        <v>5450</v>
      </c>
      <c r="AB2206" t="s">
        <v>0</v>
      </c>
      <c r="AC2206" s="99" t="s">
        <v>5957</v>
      </c>
    </row>
    <row r="2207" spans="1:29">
      <c r="A2207" t="s">
        <v>5958</v>
      </c>
      <c r="B2207" s="11" t="str">
        <f>IF(ISNUMBER(SEARCH(E2207,A2207)),A2207,IF(OR(E2207="",E2207=""),A2207,A2207&amp;" - "&amp;E2207))</f>
        <v>Demecan Core Skywave 21:01 - Sunset Sherbet</v>
      </c>
      <c r="C2207" t="s">
        <v>484</v>
      </c>
      <c r="D2207" t="s">
        <v>485</v>
      </c>
      <c r="E2207" t="s">
        <v>3784</v>
      </c>
      <c r="F2207" t="s">
        <v>177</v>
      </c>
      <c r="G2207" t="s">
        <v>4126</v>
      </c>
      <c r="H2207" s="2" t="s">
        <v>65</v>
      </c>
      <c r="I2207" t="s">
        <v>0</v>
      </c>
      <c r="J2207" t="s">
        <v>0</v>
      </c>
      <c r="K2207" t="s">
        <v>52</v>
      </c>
      <c r="L2207" t="s">
        <v>527</v>
      </c>
      <c r="M2207" t="s">
        <v>72</v>
      </c>
      <c r="N2207" t="s">
        <v>54</v>
      </c>
      <c r="O2207" t="s">
        <v>88</v>
      </c>
      <c r="P2207" t="s">
        <v>74</v>
      </c>
      <c r="Q2207" t="s">
        <v>57</v>
      </c>
      <c r="R2207" t="s">
        <v>75</v>
      </c>
      <c r="S2207" t="s">
        <v>106</v>
      </c>
      <c r="T2207" t="s">
        <v>62</v>
      </c>
      <c r="U2207" t="s">
        <v>105</v>
      </c>
      <c r="V2207" t="s">
        <v>129</v>
      </c>
      <c r="W2207" t="s">
        <v>107</v>
      </c>
      <c r="X2207" t="s">
        <v>77</v>
      </c>
      <c r="Y2207" t="s">
        <v>1036</v>
      </c>
      <c r="Z2207" t="s">
        <v>64</v>
      </c>
      <c r="AA2207" t="s">
        <v>485</v>
      </c>
      <c r="AB2207" t="s">
        <v>0</v>
      </c>
      <c r="AC2207" t="s">
        <v>5959</v>
      </c>
    </row>
    <row r="2208" spans="1:29">
      <c r="A2208" t="s">
        <v>5960</v>
      </c>
      <c r="B2208" s="11" t="str">
        <f>IF(ISNUMBER(SEARCH(E2208,A2208)),A2208,IF(OR(E2208="",E2208=""),A2208,A2208&amp;" - "&amp;E2208))</f>
        <v>enua 25/1 USR CA - Ultra Sour</v>
      </c>
      <c r="C2208" t="s">
        <v>650</v>
      </c>
      <c r="D2208" t="s">
        <v>653</v>
      </c>
      <c r="E2208" s="79" t="s">
        <v>5254</v>
      </c>
      <c r="F2208" s="81" t="s">
        <v>144</v>
      </c>
      <c r="G2208" s="83" t="s">
        <v>26</v>
      </c>
      <c r="H2208" s="83" t="s">
        <v>65</v>
      </c>
      <c r="I2208" t="s">
        <v>0</v>
      </c>
      <c r="J2208" t="s">
        <v>0</v>
      </c>
      <c r="K2208" t="s">
        <v>52</v>
      </c>
      <c r="L2208" t="s">
        <v>53</v>
      </c>
      <c r="M2208" t="s">
        <v>72</v>
      </c>
      <c r="N2208" t="s">
        <v>55</v>
      </c>
      <c r="O2208" t="s">
        <v>0</v>
      </c>
      <c r="P2208" t="s">
        <v>59</v>
      </c>
      <c r="Q2208" t="s">
        <v>73</v>
      </c>
      <c r="R2208" t="s">
        <v>75</v>
      </c>
      <c r="S2208" t="s">
        <v>90</v>
      </c>
      <c r="T2208" t="s">
        <v>61</v>
      </c>
      <c r="U2208" t="s">
        <v>62</v>
      </c>
      <c r="V2208" t="s">
        <v>116</v>
      </c>
      <c r="W2208" t="s">
        <v>173</v>
      </c>
      <c r="X2208" t="s">
        <v>77</v>
      </c>
      <c r="Y2208" t="s">
        <v>307</v>
      </c>
      <c r="Z2208" t="s">
        <v>64</v>
      </c>
      <c r="AA2208" t="s">
        <v>653</v>
      </c>
      <c r="AB2208" t="s">
        <v>0</v>
      </c>
      <c r="AC2208" t="s">
        <v>5961</v>
      </c>
    </row>
    <row r="2209" spans="1:29">
      <c r="A2209" t="s">
        <v>5962</v>
      </c>
      <c r="B2209" s="11" t="str">
        <f>IF(ISNUMBER(SEARCH(E2209,A2209)),A2209,IF(OR(E2209="",E2209=""),A2209,A2209&amp;" - "&amp;E2209))</f>
        <v>NICE 26/1 BL - Black Lime</v>
      </c>
      <c r="C2209" t="s">
        <v>996</v>
      </c>
      <c r="D2209" t="s">
        <v>997</v>
      </c>
      <c r="E2209" s="79" t="s">
        <v>3811</v>
      </c>
      <c r="F2209" s="81" t="s">
        <v>86</v>
      </c>
      <c r="G2209" s="83" t="s">
        <v>4086</v>
      </c>
      <c r="H2209" s="83" t="s">
        <v>65</v>
      </c>
      <c r="I2209" t="s">
        <v>0</v>
      </c>
      <c r="J2209" t="s">
        <v>0</v>
      </c>
      <c r="K2209" t="s">
        <v>52</v>
      </c>
      <c r="L2209" t="s">
        <v>102</v>
      </c>
      <c r="M2209" t="s">
        <v>54</v>
      </c>
      <c r="N2209" t="s">
        <v>178</v>
      </c>
      <c r="O2209" t="s">
        <v>88</v>
      </c>
      <c r="P2209" t="s">
        <v>73</v>
      </c>
      <c r="Q2209" t="s">
        <v>59</v>
      </c>
      <c r="R2209" t="s">
        <v>75</v>
      </c>
      <c r="S2209" t="s">
        <v>106</v>
      </c>
      <c r="T2209" t="s">
        <v>62</v>
      </c>
      <c r="U2209" t="s">
        <v>147</v>
      </c>
      <c r="V2209" t="s">
        <v>79</v>
      </c>
      <c r="W2209" t="s">
        <v>107</v>
      </c>
      <c r="X2209" t="s">
        <v>77</v>
      </c>
      <c r="Y2209" t="s">
        <v>268</v>
      </c>
      <c r="Z2209" t="s">
        <v>64</v>
      </c>
      <c r="AA2209" t="s">
        <v>997</v>
      </c>
      <c r="AB2209" t="s">
        <v>0</v>
      </c>
      <c r="AC2209" t="s">
        <v>5963</v>
      </c>
    </row>
    <row r="2210" spans="1:29">
      <c r="A2210" t="s">
        <v>5964</v>
      </c>
      <c r="B2210" s="11" t="str">
        <f>IF(ISNUMBER(SEARCH(E2210,A2210)),A2210,IF(OR(E2210="",E2210=""),A2210,A2210&amp;" - "&amp;E2210))</f>
        <v>Barongo 24/1 LAX Ultra Dose Candy - Ultra Dosed Candy</v>
      </c>
      <c r="C2210" t="s">
        <v>641</v>
      </c>
      <c r="D2210" t="s">
        <v>642</v>
      </c>
      <c r="E2210" s="9" t="s">
        <v>5965</v>
      </c>
      <c r="F2210" s="1" t="s">
        <v>120</v>
      </c>
      <c r="G2210" s="8" t="s">
        <v>448</v>
      </c>
      <c r="H2210" s="8" t="s">
        <v>65</v>
      </c>
      <c r="I2210" t="s">
        <v>0</v>
      </c>
      <c r="J2210" t="s">
        <v>0</v>
      </c>
      <c r="K2210" t="s">
        <v>52</v>
      </c>
      <c r="L2210" t="s">
        <v>53</v>
      </c>
      <c r="M2210" t="s">
        <v>54</v>
      </c>
      <c r="N2210" t="s">
        <v>88</v>
      </c>
      <c r="O2210" t="s">
        <v>103</v>
      </c>
      <c r="P2210" t="s">
        <v>74</v>
      </c>
      <c r="Q2210" t="s">
        <v>186</v>
      </c>
      <c r="R2210" t="s">
        <v>59</v>
      </c>
      <c r="S2210" t="s">
        <v>106</v>
      </c>
      <c r="T2210" t="s">
        <v>147</v>
      </c>
      <c r="U2210" t="s">
        <v>466</v>
      </c>
      <c r="V2210" t="s">
        <v>93</v>
      </c>
      <c r="W2210" t="s">
        <v>116</v>
      </c>
      <c r="X2210" t="s">
        <v>79</v>
      </c>
      <c r="Y2210" t="s">
        <v>213</v>
      </c>
      <c r="Z2210" t="s">
        <v>64</v>
      </c>
      <c r="AA2210" t="s">
        <v>642</v>
      </c>
      <c r="AB2210" t="s">
        <v>0</v>
      </c>
      <c r="AC2210" t="s">
        <v>5966</v>
      </c>
    </row>
    <row r="2211" spans="1:29">
      <c r="A2211" t="s">
        <v>1273</v>
      </c>
      <c r="B2211" s="11" t="str">
        <f>IF(ISNUMBER(SEARCH(E2211,A2211)),A2211,IF(OR(E2211="",E2211=""),A2211,A2211&amp;" - "&amp;E2211))</f>
        <v>Canify 22/1 - OZ Kush</v>
      </c>
      <c r="C2211" t="s">
        <v>99</v>
      </c>
      <c r="D2211" t="s">
        <v>100</v>
      </c>
      <c r="E2211" s="79" t="s">
        <v>5967</v>
      </c>
      <c r="F2211" s="81" t="s">
        <v>86</v>
      </c>
      <c r="G2211" s="83" t="s">
        <v>4126</v>
      </c>
      <c r="H2211" s="83">
        <v>1</v>
      </c>
      <c r="I2211" t="s">
        <v>0</v>
      </c>
      <c r="J2211" t="s">
        <v>0</v>
      </c>
      <c r="K2211" t="s">
        <v>52</v>
      </c>
      <c r="L2211" t="s">
        <v>53</v>
      </c>
      <c r="M2211" t="s">
        <v>121</v>
      </c>
      <c r="N2211" t="s">
        <v>72</v>
      </c>
      <c r="O2211" t="s">
        <v>71</v>
      </c>
      <c r="P2211" t="s">
        <v>59</v>
      </c>
      <c r="Q2211" t="s">
        <v>89</v>
      </c>
      <c r="R2211" t="s">
        <v>113</v>
      </c>
      <c r="S2211" t="s">
        <v>106</v>
      </c>
      <c r="T2211" t="s">
        <v>62</v>
      </c>
      <c r="U2211" t="s">
        <v>147</v>
      </c>
      <c r="V2211" t="s">
        <v>77</v>
      </c>
      <c r="W2211" t="s">
        <v>225</v>
      </c>
      <c r="X2211" t="s">
        <v>116</v>
      </c>
      <c r="Y2211" t="s">
        <v>5946</v>
      </c>
      <c r="Z2211" t="s">
        <v>64</v>
      </c>
      <c r="AA2211" t="s">
        <v>100</v>
      </c>
      <c r="AB2211" t="s">
        <v>0</v>
      </c>
      <c r="AC2211" t="s">
        <v>5968</v>
      </c>
    </row>
    <row r="2212" spans="1:29">
      <c r="A2212" t="s">
        <v>5969</v>
      </c>
      <c r="B2212" s="11" t="str">
        <f>IF(ISNUMBER(SEARCH(E2212,A2212)),A2212,IF(OR(E2212="",E2212=""),A2212,A2212&amp;" - "&amp;E2212))</f>
        <v>Cannamedical Indica light ZAF - Black Cherry Punch</v>
      </c>
      <c r="C2212" t="s">
        <v>48</v>
      </c>
      <c r="D2212" t="s">
        <v>49</v>
      </c>
      <c r="E2212" s="79" t="s">
        <v>685</v>
      </c>
      <c r="F2212" s="81" t="s">
        <v>120</v>
      </c>
      <c r="G2212" s="83" t="s">
        <v>8</v>
      </c>
      <c r="H2212" s="83">
        <v>1</v>
      </c>
      <c r="I2212" t="s">
        <v>0</v>
      </c>
      <c r="J2212" t="s">
        <v>0</v>
      </c>
      <c r="K2212" t="s">
        <v>52</v>
      </c>
      <c r="L2212" t="s">
        <v>497</v>
      </c>
      <c r="M2212" t="s">
        <v>72</v>
      </c>
      <c r="N2212" t="s">
        <v>121</v>
      </c>
      <c r="O2212" t="s">
        <v>103</v>
      </c>
      <c r="P2212" t="s">
        <v>58</v>
      </c>
      <c r="Q2212" t="s">
        <v>104</v>
      </c>
      <c r="R2212" t="s">
        <v>89</v>
      </c>
      <c r="S2212" t="s">
        <v>106</v>
      </c>
      <c r="T2212" t="s">
        <v>62</v>
      </c>
      <c r="U2212" t="s">
        <v>123</v>
      </c>
      <c r="V2212" t="s">
        <v>77</v>
      </c>
      <c r="W2212" t="s">
        <v>116</v>
      </c>
      <c r="X2212" t="s">
        <v>79</v>
      </c>
      <c r="Y2212" t="s">
        <v>413</v>
      </c>
      <c r="Z2212" t="s">
        <v>64</v>
      </c>
      <c r="AA2212" t="s">
        <v>49</v>
      </c>
      <c r="AB2212" t="s">
        <v>498</v>
      </c>
      <c r="AC2212" t="s">
        <v>5970</v>
      </c>
    </row>
    <row r="2213" spans="1:29">
      <c r="A2213" t="s">
        <v>5971</v>
      </c>
      <c r="B2213" s="11" t="str">
        <f>IF(ISNUMBER(SEARCH(E2213,A2213)),A2213,IF(OR(E2213="",E2213=""),A2213,A2213&amp;" - "&amp;E2213))</f>
        <v>Luana 24/1 Delight - Carnez Citric</v>
      </c>
      <c r="C2213" t="s">
        <v>48</v>
      </c>
      <c r="D2213" t="s">
        <v>49</v>
      </c>
      <c r="E2213" t="s">
        <v>5417</v>
      </c>
      <c r="F2213" t="s">
        <v>69</v>
      </c>
      <c r="G2213" t="s">
        <v>4086</v>
      </c>
      <c r="H2213" t="s">
        <v>65</v>
      </c>
      <c r="I2213" t="s">
        <v>0</v>
      </c>
      <c r="J2213" t="s">
        <v>0</v>
      </c>
      <c r="K2213" t="s">
        <v>52</v>
      </c>
      <c r="L2213" t="s">
        <v>53</v>
      </c>
      <c r="M2213" t="s">
        <v>178</v>
      </c>
      <c r="N2213" t="s">
        <v>54</v>
      </c>
      <c r="O2213" t="s">
        <v>111</v>
      </c>
      <c r="P2213" t="s">
        <v>59</v>
      </c>
      <c r="Q2213" t="s">
        <v>157</v>
      </c>
      <c r="R2213" t="s">
        <v>75</v>
      </c>
      <c r="S2213" t="s">
        <v>106</v>
      </c>
      <c r="T2213" t="s">
        <v>62</v>
      </c>
      <c r="U2213" t="s">
        <v>147</v>
      </c>
      <c r="V2213" t="s">
        <v>93</v>
      </c>
      <c r="W2213" t="s">
        <v>92</v>
      </c>
      <c r="X2213" t="s">
        <v>129</v>
      </c>
      <c r="Y2213" t="s">
        <v>1175</v>
      </c>
      <c r="Z2213" t="s">
        <v>64</v>
      </c>
      <c r="AA2213" t="s">
        <v>49</v>
      </c>
      <c r="AB2213" t="s">
        <v>0</v>
      </c>
      <c r="AC2213" t="s">
        <v>5972</v>
      </c>
    </row>
    <row r="2214" spans="1:29">
      <c r="A2214" t="s">
        <v>5973</v>
      </c>
      <c r="B2214" s="11" t="str">
        <f>IF(ISNUMBER(SEARCH(E2214,A2214)),A2214,IF(OR(E2214="",E2214=""),A2214,A2214&amp;" - "&amp;E2214))</f>
        <v>Canify Cannabis Flos 27/1 CSF Ku. - Carnez Citric</v>
      </c>
      <c r="C2214" t="s">
        <v>99</v>
      </c>
      <c r="D2214" t="s">
        <v>100</v>
      </c>
      <c r="E2214" s="79" t="s">
        <v>5417</v>
      </c>
      <c r="F2214" s="81" t="s">
        <v>144</v>
      </c>
      <c r="G2214" s="83" t="s">
        <v>33</v>
      </c>
      <c r="H2214" s="95" t="s">
        <v>65</v>
      </c>
      <c r="I2214" t="s">
        <v>0</v>
      </c>
      <c r="J2214" t="s">
        <v>0</v>
      </c>
      <c r="K2214" t="s">
        <v>52</v>
      </c>
      <c r="L2214" t="s">
        <v>53</v>
      </c>
      <c r="M2214" t="s">
        <v>178</v>
      </c>
      <c r="N2214" t="s">
        <v>54</v>
      </c>
      <c r="O2214" t="s">
        <v>111</v>
      </c>
      <c r="P2214" t="s">
        <v>59</v>
      </c>
      <c r="Q2214" t="s">
        <v>157</v>
      </c>
      <c r="R2214" t="s">
        <v>75</v>
      </c>
      <c r="S2214" t="s">
        <v>106</v>
      </c>
      <c r="T2214" t="s">
        <v>62</v>
      </c>
      <c r="U2214" t="s">
        <v>147</v>
      </c>
      <c r="V2214" t="s">
        <v>93</v>
      </c>
      <c r="W2214" t="s">
        <v>92</v>
      </c>
      <c r="X2214" t="s">
        <v>129</v>
      </c>
      <c r="Y2214" t="s">
        <v>314</v>
      </c>
      <c r="Z2214" t="s">
        <v>64</v>
      </c>
      <c r="AA2214" t="s">
        <v>100</v>
      </c>
      <c r="AB2214" t="s">
        <v>0</v>
      </c>
      <c r="AC2214" t="s">
        <v>5974</v>
      </c>
    </row>
    <row r="2215" spans="1:29">
      <c r="A2215" t="s">
        <v>5975</v>
      </c>
      <c r="B2215" s="11" t="str">
        <f>IF(ISNUMBER(SEARCH(E2215,A2215)),A2215,IF(OR(E2215="",E2215=""),A2215,A2215&amp;" - "&amp;E2215))</f>
        <v>Remexian 33/1 CRN SDS - Stardust Swirl</v>
      </c>
      <c r="C2215" t="s">
        <v>83</v>
      </c>
      <c r="D2215" t="s">
        <v>95</v>
      </c>
      <c r="E2215" s="79" t="s">
        <v>5976</v>
      </c>
      <c r="F2215" s="81" t="s">
        <v>86</v>
      </c>
      <c r="G2215" s="83" t="s">
        <v>4169</v>
      </c>
      <c r="H2215" s="95" t="s">
        <v>65</v>
      </c>
      <c r="I2215" t="s">
        <v>0</v>
      </c>
      <c r="J2215" t="s">
        <v>0</v>
      </c>
      <c r="K2215" t="s">
        <v>52</v>
      </c>
      <c r="L2215" t="s">
        <v>53</v>
      </c>
      <c r="M2215" t="s">
        <v>72</v>
      </c>
      <c r="N2215" t="s">
        <v>88</v>
      </c>
      <c r="O2215" t="s">
        <v>103</v>
      </c>
      <c r="P2215" t="s">
        <v>59</v>
      </c>
      <c r="Q2215" t="s">
        <v>57</v>
      </c>
      <c r="R2215" t="s">
        <v>146</v>
      </c>
      <c r="S2215" t="s">
        <v>106</v>
      </c>
      <c r="T2215" t="s">
        <v>147</v>
      </c>
      <c r="U2215" t="s">
        <v>493</v>
      </c>
      <c r="V2215" t="s">
        <v>77</v>
      </c>
      <c r="W2215" t="s">
        <v>116</v>
      </c>
      <c r="X2215" t="s">
        <v>78</v>
      </c>
      <c r="Y2215" t="s">
        <v>293</v>
      </c>
      <c r="Z2215" t="s">
        <v>64</v>
      </c>
      <c r="AA2215" t="s">
        <v>95</v>
      </c>
      <c r="AB2215" t="s">
        <v>0</v>
      </c>
      <c r="AC2215" t="s">
        <v>5977</v>
      </c>
    </row>
    <row r="2216" spans="1:29">
      <c r="A2216" t="s">
        <v>5978</v>
      </c>
      <c r="B2216" s="11" t="str">
        <f>IF(ISNUMBER(SEARCH(E2216,A2216)),A2216,IF(OR(E2216="",E2216=""),A2216,A2216&amp;" - "&amp;E2216))</f>
        <v>Cannamedical CM 23/1 MC - Mandarine Cookies</v>
      </c>
      <c r="C2216" t="s">
        <v>48</v>
      </c>
      <c r="D2216" t="s">
        <v>49</v>
      </c>
      <c r="E2216" s="79" t="s">
        <v>5979</v>
      </c>
      <c r="F2216" s="81" t="s">
        <v>144</v>
      </c>
      <c r="G2216" s="83" t="s">
        <v>4126</v>
      </c>
      <c r="H2216" s="95" t="s">
        <v>65</v>
      </c>
      <c r="I2216" t="s">
        <v>0</v>
      </c>
      <c r="J2216" t="s">
        <v>0</v>
      </c>
      <c r="K2216" t="s">
        <v>52</v>
      </c>
      <c r="L2216" t="s">
        <v>53</v>
      </c>
      <c r="M2216" t="s">
        <v>72</v>
      </c>
      <c r="N2216" t="s">
        <v>71</v>
      </c>
      <c r="O2216" t="s">
        <v>178</v>
      </c>
      <c r="P2216" t="s">
        <v>157</v>
      </c>
      <c r="Q2216" t="s">
        <v>75</v>
      </c>
      <c r="R2216" t="s">
        <v>0</v>
      </c>
      <c r="S2216" t="s">
        <v>106</v>
      </c>
      <c r="T2216" t="s">
        <v>62</v>
      </c>
      <c r="U2216" t="s">
        <v>147</v>
      </c>
      <c r="V2216" t="s">
        <v>180</v>
      </c>
      <c r="W2216" t="s">
        <v>129</v>
      </c>
      <c r="X2216" t="s">
        <v>292</v>
      </c>
      <c r="Y2216" t="s">
        <v>1266</v>
      </c>
      <c r="Z2216" t="s">
        <v>64</v>
      </c>
      <c r="AA2216" t="s">
        <v>49</v>
      </c>
      <c r="AB2216" t="s">
        <v>0</v>
      </c>
      <c r="AC2216" t="s">
        <v>5980</v>
      </c>
    </row>
    <row r="2217" spans="1:29">
      <c r="A2217" t="s">
        <v>5981</v>
      </c>
      <c r="B2217" s="11" t="str">
        <f>IF(ISNUMBER(SEARCH(E2217,A2217)),A2217,IF(OR(E2217="",E2217=""),A2217,A2217&amp;" - "&amp;E2217))</f>
        <v>GROW MO 27 - G-Modo</v>
      </c>
      <c r="C2217" t="s">
        <v>1323</v>
      </c>
      <c r="D2217" t="s">
        <v>1326</v>
      </c>
      <c r="E2217" s="79" t="s">
        <v>5982</v>
      </c>
      <c r="F2217" s="81" t="s">
        <v>86</v>
      </c>
      <c r="G2217" s="83" t="s">
        <v>33</v>
      </c>
      <c r="H2217" s="95" t="s">
        <v>65</v>
      </c>
      <c r="I2217" t="s">
        <v>0</v>
      </c>
      <c r="J2217" t="s">
        <v>0</v>
      </c>
      <c r="K2217" t="s">
        <v>52</v>
      </c>
      <c r="L2217" t="s">
        <v>53</v>
      </c>
      <c r="M2217" t="s">
        <v>121</v>
      </c>
      <c r="N2217" t="s">
        <v>72</v>
      </c>
      <c r="O2217" t="s">
        <v>88</v>
      </c>
      <c r="P2217" t="s">
        <v>59</v>
      </c>
      <c r="Q2217" t="s">
        <v>73</v>
      </c>
      <c r="R2217" t="s">
        <v>74</v>
      </c>
      <c r="S2217" t="s">
        <v>128</v>
      </c>
      <c r="T2217" t="s">
        <v>106</v>
      </c>
      <c r="U2217" t="s">
        <v>62</v>
      </c>
      <c r="V2217" t="s">
        <v>77</v>
      </c>
      <c r="W2217" t="s">
        <v>225</v>
      </c>
      <c r="X2217" t="s">
        <v>116</v>
      </c>
      <c r="Y2217" t="s">
        <v>3220</v>
      </c>
      <c r="Z2217" t="s">
        <v>64</v>
      </c>
      <c r="AA2217" t="s">
        <v>1326</v>
      </c>
      <c r="AB2217" t="s">
        <v>0</v>
      </c>
      <c r="AC2217" t="s">
        <v>5983</v>
      </c>
    </row>
    <row r="2218" spans="1:29">
      <c r="A2218" t="s">
        <v>5984</v>
      </c>
      <c r="B2218" s="11" t="str">
        <f>IF(ISNUMBER(SEARCH(E2218,A2218)),A2218,IF(OR(E2218="",E2218=""),A2218,A2218&amp;" - "&amp;E2218))</f>
        <v>Mediprocan African Ruby 28/1 - Tangy Diesel Cheese</v>
      </c>
      <c r="C2218" t="s">
        <v>996</v>
      </c>
      <c r="D2218" t="s">
        <v>997</v>
      </c>
      <c r="E2218" s="79" t="s">
        <v>5985</v>
      </c>
      <c r="F2218" s="81" t="s">
        <v>177</v>
      </c>
      <c r="G2218" s="83" t="s">
        <v>4164</v>
      </c>
      <c r="H2218" s="95" t="s">
        <v>65</v>
      </c>
      <c r="I2218" t="s">
        <v>0</v>
      </c>
      <c r="J2218" t="s">
        <v>0</v>
      </c>
      <c r="K2218" t="s">
        <v>52</v>
      </c>
      <c r="L2218" t="s">
        <v>497</v>
      </c>
      <c r="M2218" t="s">
        <v>71</v>
      </c>
      <c r="N2218" t="s">
        <v>178</v>
      </c>
      <c r="O2218" t="s">
        <v>88</v>
      </c>
      <c r="P2218" t="s">
        <v>157</v>
      </c>
      <c r="Q2218" t="s">
        <v>186</v>
      </c>
      <c r="R2218" t="s">
        <v>74</v>
      </c>
      <c r="S2218" t="s">
        <v>106</v>
      </c>
      <c r="T2218" t="s">
        <v>147</v>
      </c>
      <c r="U2218" t="s">
        <v>224</v>
      </c>
      <c r="V2218" t="s">
        <v>395</v>
      </c>
      <c r="W2218" t="s">
        <v>138</v>
      </c>
      <c r="X2218" t="s">
        <v>79</v>
      </c>
      <c r="Y2218" t="s">
        <v>220</v>
      </c>
      <c r="Z2218" t="s">
        <v>64</v>
      </c>
      <c r="AA2218" t="s">
        <v>997</v>
      </c>
      <c r="AB2218" t="s">
        <v>0</v>
      </c>
      <c r="AC2218" t="s">
        <v>5986</v>
      </c>
    </row>
    <row r="2219" spans="1:29">
      <c r="A2219" t="s">
        <v>5987</v>
      </c>
      <c r="B2219" s="11" t="str">
        <f>IF(ISNUMBER(SEARCH(E2219,A2219)),A2219,IF(OR(E2219="",E2219=""),A2219,A2219&amp;" - "&amp;E2219))</f>
        <v>Remexian 27/1 MHI LET - Lemon Thrill</v>
      </c>
      <c r="C2219" t="s">
        <v>83</v>
      </c>
      <c r="D2219" t="s">
        <v>95</v>
      </c>
      <c r="E2219" s="79" t="s">
        <v>4112</v>
      </c>
      <c r="F2219" s="81" t="s">
        <v>144</v>
      </c>
      <c r="G2219" s="83" t="s">
        <v>33</v>
      </c>
      <c r="H2219" s="83">
        <v>1</v>
      </c>
      <c r="I2219" t="s">
        <v>0</v>
      </c>
      <c r="J2219" t="s">
        <v>0</v>
      </c>
      <c r="K2219" t="s">
        <v>52</v>
      </c>
      <c r="L2219" t="s">
        <v>102</v>
      </c>
      <c r="M2219" t="s">
        <v>72</v>
      </c>
      <c r="N2219" t="s">
        <v>54</v>
      </c>
      <c r="O2219" t="s">
        <v>111</v>
      </c>
      <c r="P2219" t="s">
        <v>75</v>
      </c>
      <c r="Q2219" t="s">
        <v>73</v>
      </c>
      <c r="R2219" t="s">
        <v>104</v>
      </c>
      <c r="S2219" t="s">
        <v>106</v>
      </c>
      <c r="T2219" t="s">
        <v>147</v>
      </c>
      <c r="U2219" t="s">
        <v>0</v>
      </c>
      <c r="V2219" t="s">
        <v>173</v>
      </c>
      <c r="W2219" t="s">
        <v>77</v>
      </c>
      <c r="X2219" t="s">
        <v>79</v>
      </c>
      <c r="Y2219" t="s">
        <v>124</v>
      </c>
      <c r="Z2219" t="s">
        <v>64</v>
      </c>
      <c r="AA2219" t="s">
        <v>95</v>
      </c>
      <c r="AB2219" t="s">
        <v>0</v>
      </c>
      <c r="AC2219" t="s">
        <v>5988</v>
      </c>
    </row>
    <row r="2220" spans="1:29">
      <c r="A2220" t="s">
        <v>5989</v>
      </c>
      <c r="B2220" s="11" t="str">
        <f>IF(ISNUMBER(SEARCH(E2220,A2220)),A2220,IF(OR(E2220="",E2220=""),A2220,A2220&amp;" - "&amp;E2220))</f>
        <v>Remexian 33/1 CRN GRB - Garlic Breath</v>
      </c>
      <c r="C2220" t="s">
        <v>83</v>
      </c>
      <c r="D2220" t="s">
        <v>95</v>
      </c>
      <c r="E2220" s="79" t="s">
        <v>480</v>
      </c>
      <c r="F2220" s="81" t="s">
        <v>177</v>
      </c>
      <c r="G2220" s="83" t="s">
        <v>4169</v>
      </c>
      <c r="H2220" s="95" t="s">
        <v>65</v>
      </c>
      <c r="I2220" t="s">
        <v>0</v>
      </c>
      <c r="J2220" t="s">
        <v>0</v>
      </c>
      <c r="K2220" t="s">
        <v>52</v>
      </c>
      <c r="L2220" t="s">
        <v>53</v>
      </c>
      <c r="M2220" t="s">
        <v>178</v>
      </c>
      <c r="N2220" t="s">
        <v>121</v>
      </c>
      <c r="O2220" t="s">
        <v>72</v>
      </c>
      <c r="P2220" t="s">
        <v>59</v>
      </c>
      <c r="Q2220" t="s">
        <v>186</v>
      </c>
      <c r="R2220" t="s">
        <v>0</v>
      </c>
      <c r="S2220" t="s">
        <v>106</v>
      </c>
      <c r="T2220" t="s">
        <v>62</v>
      </c>
      <c r="U2220" t="s">
        <v>147</v>
      </c>
      <c r="V2220" t="s">
        <v>107</v>
      </c>
      <c r="W2220" t="s">
        <v>77</v>
      </c>
      <c r="X2220" t="s">
        <v>129</v>
      </c>
      <c r="Y2220" t="s">
        <v>293</v>
      </c>
      <c r="Z2220" t="s">
        <v>64</v>
      </c>
      <c r="AA2220" t="s">
        <v>95</v>
      </c>
      <c r="AB2220" t="s">
        <v>0</v>
      </c>
      <c r="AC2220" t="s">
        <v>5990</v>
      </c>
    </row>
    <row r="2221" spans="1:29">
      <c r="A2221" t="s">
        <v>5991</v>
      </c>
      <c r="B2221" s="11" t="str">
        <f>IF(ISNUMBER(SEARCH(E2221,A2221)),A2221,IF(OR(E2221="",E2221=""),A2221,A2221&amp;" - "&amp;E2221))</f>
        <v>enua 30/1 MMN CA - Marshmallow Man</v>
      </c>
      <c r="C2221" t="s">
        <v>650</v>
      </c>
      <c r="D2221" t="s">
        <v>653</v>
      </c>
      <c r="E2221" s="79" t="s">
        <v>5992</v>
      </c>
      <c r="F2221" s="81" t="s">
        <v>120</v>
      </c>
      <c r="G2221" s="83" t="s">
        <v>4057</v>
      </c>
      <c r="H2221" s="95" t="s">
        <v>65</v>
      </c>
      <c r="I2221" t="s">
        <v>0</v>
      </c>
      <c r="J2221" t="s">
        <v>0</v>
      </c>
      <c r="K2221" t="s">
        <v>52</v>
      </c>
      <c r="L2221" t="s">
        <v>53</v>
      </c>
      <c r="M2221" t="s">
        <v>156</v>
      </c>
      <c r="N2221" t="s">
        <v>54</v>
      </c>
      <c r="O2221" t="s">
        <v>178</v>
      </c>
      <c r="P2221" t="s">
        <v>157</v>
      </c>
      <c r="Q2221" t="s">
        <v>74</v>
      </c>
      <c r="R2221" t="s">
        <v>112</v>
      </c>
      <c r="S2221" t="s">
        <v>61</v>
      </c>
      <c r="T2221" t="s">
        <v>62</v>
      </c>
      <c r="U2221" t="s">
        <v>123</v>
      </c>
      <c r="V2221" t="s">
        <v>138</v>
      </c>
      <c r="W2221" t="s">
        <v>107</v>
      </c>
      <c r="X2221" t="s">
        <v>79</v>
      </c>
      <c r="Y2221" t="s">
        <v>335</v>
      </c>
      <c r="Z2221" t="s">
        <v>64</v>
      </c>
      <c r="AA2221" t="s">
        <v>653</v>
      </c>
      <c r="AB2221" t="s">
        <v>0</v>
      </c>
      <c r="AC2221" t="s">
        <v>5993</v>
      </c>
    </row>
    <row r="2222" spans="1:29">
      <c r="A2222" t="s">
        <v>5994</v>
      </c>
      <c r="B2222" s="11" t="str">
        <f>IF(ISNUMBER(SEARCH(E2222,A2222)),A2222,IF(OR(E2222="",E2222=""),A2222,A2222&amp;" - "&amp;E2222))</f>
        <v>MediCann 21/1 MC Oro 21 Duende</v>
      </c>
      <c r="C2222" t="s">
        <v>2243</v>
      </c>
      <c r="D2222" t="s">
        <v>2244</v>
      </c>
      <c r="E2222" s="79" t="s">
        <v>5437</v>
      </c>
      <c r="F2222" s="81" t="s">
        <v>177</v>
      </c>
      <c r="G2222" s="83" t="s">
        <v>452</v>
      </c>
      <c r="H2222" s="95" t="s">
        <v>65</v>
      </c>
      <c r="I2222" t="s">
        <v>0</v>
      </c>
      <c r="J2222" t="s">
        <v>0</v>
      </c>
      <c r="K2222" t="s">
        <v>52</v>
      </c>
      <c r="L2222" t="s">
        <v>53</v>
      </c>
      <c r="M2222" t="s">
        <v>121</v>
      </c>
      <c r="N2222" t="s">
        <v>88</v>
      </c>
      <c r="O2222" t="s">
        <v>72</v>
      </c>
      <c r="P2222" t="s">
        <v>74</v>
      </c>
      <c r="Q2222" t="s">
        <v>157</v>
      </c>
      <c r="R2222" t="s">
        <v>113</v>
      </c>
      <c r="S2222" t="s">
        <v>106</v>
      </c>
      <c r="T2222" t="s">
        <v>62</v>
      </c>
      <c r="U2222" t="s">
        <v>147</v>
      </c>
      <c r="V2222" t="s">
        <v>79</v>
      </c>
      <c r="W2222" t="s">
        <v>165</v>
      </c>
      <c r="X2222" t="s">
        <v>180</v>
      </c>
      <c r="Y2222" t="s">
        <v>5027</v>
      </c>
      <c r="Z2222" t="s">
        <v>64</v>
      </c>
      <c r="AA2222" t="s">
        <v>2244</v>
      </c>
      <c r="AB2222" t="s">
        <v>0</v>
      </c>
      <c r="AC2222" t="s">
        <v>5995</v>
      </c>
    </row>
    <row r="2223" spans="1:29">
      <c r="A2223" t="s">
        <v>5996</v>
      </c>
      <c r="B2223" s="11" t="str">
        <f>IF(ISNUMBER(SEARCH(E2223,A2223)),A2223,IF(OR(E2223="",E2223=""),A2223,A2223&amp;" - "&amp;E2223))</f>
        <v>Drapalin 29/1 Cape Canaveral - Girl Scout Cookies x Mandarin Sunset</v>
      </c>
      <c r="C2223" t="s">
        <v>668</v>
      </c>
      <c r="D2223" t="s">
        <v>671</v>
      </c>
      <c r="E2223" s="79" t="s">
        <v>5997</v>
      </c>
      <c r="F2223" s="81" t="s">
        <v>177</v>
      </c>
      <c r="G2223" s="83" t="s">
        <v>443</v>
      </c>
      <c r="H2223" s="95" t="s">
        <v>65</v>
      </c>
      <c r="I2223" t="s">
        <v>0</v>
      </c>
      <c r="J2223" t="s">
        <v>0</v>
      </c>
      <c r="K2223" t="s">
        <v>52</v>
      </c>
      <c r="L2223" t="s">
        <v>497</v>
      </c>
      <c r="M2223" t="s">
        <v>71</v>
      </c>
      <c r="N2223" t="s">
        <v>178</v>
      </c>
      <c r="O2223" t="s">
        <v>111</v>
      </c>
      <c r="P2223" t="s">
        <v>59</v>
      </c>
      <c r="Q2223" t="s">
        <v>57</v>
      </c>
      <c r="R2223" t="s">
        <v>75</v>
      </c>
      <c r="S2223" t="s">
        <v>61</v>
      </c>
      <c r="T2223" t="s">
        <v>62</v>
      </c>
      <c r="U2223" t="s">
        <v>105</v>
      </c>
      <c r="V2223" t="s">
        <v>180</v>
      </c>
      <c r="W2223" t="s">
        <v>129</v>
      </c>
      <c r="X2223" t="s">
        <v>292</v>
      </c>
      <c r="Y2223" t="s">
        <v>213</v>
      </c>
      <c r="Z2223" t="s">
        <v>64</v>
      </c>
      <c r="AA2223" t="s">
        <v>671</v>
      </c>
      <c r="AB2223" t="s">
        <v>0</v>
      </c>
      <c r="AC2223" t="s">
        <v>5998</v>
      </c>
    </row>
    <row r="2224" spans="1:29">
      <c r="A2224" t="s">
        <v>5999</v>
      </c>
      <c r="B2224" s="11" t="str">
        <f>IF(ISNUMBER(SEARCH(E2224,A2224)),A2224,IF(OR(E2224="",E2224=""),A2224,A2224&amp;" - "&amp;E2224))</f>
        <v>Luana Electric 28/1 - Bashengo</v>
      </c>
      <c r="C2224" t="s">
        <v>48</v>
      </c>
      <c r="D2224" t="s">
        <v>49</v>
      </c>
      <c r="E2224" s="79" t="s">
        <v>5514</v>
      </c>
      <c r="F2224" s="81" t="s">
        <v>120</v>
      </c>
      <c r="G2224" s="83" t="s">
        <v>4164</v>
      </c>
      <c r="H2224" s="95" t="s">
        <v>65</v>
      </c>
      <c r="I2224" t="s">
        <v>0</v>
      </c>
      <c r="J2224" t="s">
        <v>0</v>
      </c>
      <c r="K2224" t="s">
        <v>52</v>
      </c>
      <c r="L2224" t="s">
        <v>53</v>
      </c>
      <c r="M2224" t="s">
        <v>121</v>
      </c>
      <c r="N2224" t="s">
        <v>72</v>
      </c>
      <c r="O2224" t="s">
        <v>71</v>
      </c>
      <c r="P2224" t="s">
        <v>59</v>
      </c>
      <c r="Q2224" t="s">
        <v>89</v>
      </c>
      <c r="R2224" t="s">
        <v>74</v>
      </c>
      <c r="S2224" t="s">
        <v>106</v>
      </c>
      <c r="T2224" t="s">
        <v>62</v>
      </c>
      <c r="U2224" t="s">
        <v>147</v>
      </c>
      <c r="V2224" t="s">
        <v>77</v>
      </c>
      <c r="W2224" t="s">
        <v>225</v>
      </c>
      <c r="X2224" t="s">
        <v>116</v>
      </c>
      <c r="Y2224" t="s">
        <v>307</v>
      </c>
      <c r="Z2224" t="s">
        <v>64</v>
      </c>
      <c r="AA2224" t="s">
        <v>49</v>
      </c>
      <c r="AB2224" t="s">
        <v>0</v>
      </c>
      <c r="AC2224" t="s">
        <v>6000</v>
      </c>
    </row>
    <row r="2225" spans="1:29">
      <c r="A2225" t="s">
        <v>6001</v>
      </c>
      <c r="B2225" s="11" t="str">
        <f>IF(ISNUMBER(SEARCH(E2225,A2225)),A2225,IF(OR(E2225="",E2225=""),A2225,A2225&amp;" - "&amp;E2225))</f>
        <v>Canify Cannabis Flos 23/1 CSF Ku. - Carnez Citric</v>
      </c>
      <c r="C2225" t="s">
        <v>99</v>
      </c>
      <c r="D2225" t="s">
        <v>100</v>
      </c>
      <c r="E2225" s="79" t="s">
        <v>5417</v>
      </c>
      <c r="F2225" s="81" t="s">
        <v>144</v>
      </c>
      <c r="G2225" s="83" t="s">
        <v>436</v>
      </c>
      <c r="H2225" s="95" t="s">
        <v>65</v>
      </c>
      <c r="I2225" t="s">
        <v>0</v>
      </c>
      <c r="J2225" t="s">
        <v>0</v>
      </c>
      <c r="K2225" t="s">
        <v>52</v>
      </c>
      <c r="L2225" t="s">
        <v>53</v>
      </c>
      <c r="M2225" t="s">
        <v>178</v>
      </c>
      <c r="N2225" t="s">
        <v>54</v>
      </c>
      <c r="O2225" t="s">
        <v>111</v>
      </c>
      <c r="P2225" t="s">
        <v>59</v>
      </c>
      <c r="Q2225" t="s">
        <v>157</v>
      </c>
      <c r="R2225" t="s">
        <v>75</v>
      </c>
      <c r="S2225" t="s">
        <v>106</v>
      </c>
      <c r="T2225" t="s">
        <v>62</v>
      </c>
      <c r="U2225" t="s">
        <v>147</v>
      </c>
      <c r="V2225" t="s">
        <v>93</v>
      </c>
      <c r="W2225" t="s">
        <v>92</v>
      </c>
      <c r="X2225" t="s">
        <v>129</v>
      </c>
      <c r="Y2225" t="s">
        <v>307</v>
      </c>
      <c r="Z2225" t="s">
        <v>64</v>
      </c>
      <c r="AA2225" t="s">
        <v>100</v>
      </c>
      <c r="AB2225" t="s">
        <v>0</v>
      </c>
      <c r="AC2225" t="s">
        <v>6002</v>
      </c>
    </row>
    <row r="2226" spans="1:29">
      <c r="A2226" t="s">
        <v>6003</v>
      </c>
      <c r="B2226" s="11" t="str">
        <f>IF(ISNUMBER(SEARCH(E2226,A2226)),A2226,IF(OR(E2226="",E2226=""),A2226,A2226&amp;" - "&amp;E2226))</f>
        <v>NOC AS 18 Chill - Amnesia Kush x Sherbet Sockher</v>
      </c>
      <c r="C2226" t="s">
        <v>2841</v>
      </c>
      <c r="D2226" t="s">
        <v>2842</v>
      </c>
      <c r="E2226" s="79" t="s">
        <v>6004</v>
      </c>
      <c r="F2226" s="81" t="s">
        <v>144</v>
      </c>
      <c r="G2226" s="83" t="s">
        <v>8</v>
      </c>
      <c r="H2226" s="95" t="s">
        <v>65</v>
      </c>
      <c r="I2226" t="s">
        <v>0</v>
      </c>
      <c r="J2226" t="s">
        <v>0</v>
      </c>
      <c r="K2226" t="s">
        <v>52</v>
      </c>
      <c r="L2226" t="s">
        <v>3739</v>
      </c>
      <c r="M2226" t="s">
        <v>55</v>
      </c>
      <c r="N2226" t="s">
        <v>72</v>
      </c>
      <c r="O2226" t="s">
        <v>54</v>
      </c>
      <c r="P2226" t="s">
        <v>89</v>
      </c>
      <c r="Q2226" t="s">
        <v>146</v>
      </c>
      <c r="R2226" t="s">
        <v>75</v>
      </c>
      <c r="S2226" t="s">
        <v>90</v>
      </c>
      <c r="T2226" t="s">
        <v>61</v>
      </c>
      <c r="U2226" t="s">
        <v>493</v>
      </c>
      <c r="V2226" t="s">
        <v>129</v>
      </c>
      <c r="W2226" t="s">
        <v>107</v>
      </c>
      <c r="X2226" t="s">
        <v>79</v>
      </c>
      <c r="Y2226" t="s">
        <v>1333</v>
      </c>
      <c r="Z2226" t="s">
        <v>64</v>
      </c>
      <c r="AA2226" t="s">
        <v>2842</v>
      </c>
      <c r="AB2226" t="s">
        <v>0</v>
      </c>
      <c r="AC2226" t="s">
        <v>6005</v>
      </c>
    </row>
    <row r="2227" spans="1:29">
      <c r="A2227" t="s">
        <v>6006</v>
      </c>
      <c r="B2227" s="11" t="str">
        <f>IF(ISNUMBER(SEARCH(E2227,A2227)),A2227,IF(OR(E2227="",E2227=""),A2227,A2227&amp;" - "&amp;E2227))</f>
        <v>CNBS  BLRZ 23/1 - Blue Ritz</v>
      </c>
      <c r="C2227" t="s">
        <v>822</v>
      </c>
      <c r="D2227" t="s">
        <v>826</v>
      </c>
      <c r="E2227" t="s">
        <v>6007</v>
      </c>
      <c r="F2227" t="s">
        <v>86</v>
      </c>
      <c r="G2227" t="s">
        <v>436</v>
      </c>
      <c r="H2227" s="2">
        <v>1</v>
      </c>
      <c r="I2227" t="s">
        <v>0</v>
      </c>
      <c r="J2227" t="s">
        <v>0</v>
      </c>
      <c r="K2227" t="s">
        <v>52</v>
      </c>
      <c r="L2227" t="s">
        <v>53</v>
      </c>
      <c r="M2227" t="s">
        <v>103</v>
      </c>
      <c r="N2227" t="s">
        <v>156</v>
      </c>
      <c r="O2227" t="s">
        <v>72</v>
      </c>
      <c r="P2227" t="s">
        <v>57</v>
      </c>
      <c r="Q2227" t="s">
        <v>89</v>
      </c>
      <c r="R2227" t="s">
        <v>58</v>
      </c>
      <c r="S2227" t="s">
        <v>106</v>
      </c>
      <c r="T2227" t="s">
        <v>62</v>
      </c>
      <c r="U2227" t="s">
        <v>123</v>
      </c>
      <c r="V2227" t="s">
        <v>914</v>
      </c>
      <c r="W2227" t="s">
        <v>77</v>
      </c>
      <c r="X2227" t="s">
        <v>292</v>
      </c>
      <c r="Y2227" t="s">
        <v>213</v>
      </c>
      <c r="Z2227" t="s">
        <v>64</v>
      </c>
      <c r="AA2227" t="s">
        <v>826</v>
      </c>
      <c r="AB2227" t="s">
        <v>0</v>
      </c>
      <c r="AC2227" t="s">
        <v>6008</v>
      </c>
    </row>
    <row r="2228" spans="1:29">
      <c r="A2228" t="s">
        <v>6009</v>
      </c>
      <c r="B2228" s="11" t="str">
        <f>IF(ISNUMBER(SEARCH(E2228,A2228)),A2228,IF(OR(E2228="",E2228=""),A2228,A2228&amp;" - "&amp;E2228))</f>
        <v>Tweed 19/1 - Gelato 33</v>
      </c>
      <c r="C2228" t="s">
        <v>547</v>
      </c>
      <c r="D2228" t="s">
        <v>551</v>
      </c>
      <c r="E2228" s="79" t="s">
        <v>1627</v>
      </c>
      <c r="F2228" s="81" t="s">
        <v>86</v>
      </c>
      <c r="G2228" s="83" t="s">
        <v>4160</v>
      </c>
      <c r="H2228" s="83" t="s">
        <v>65</v>
      </c>
      <c r="I2228" t="s">
        <v>0</v>
      </c>
      <c r="J2228" t="s">
        <v>0</v>
      </c>
      <c r="K2228" t="s">
        <v>52</v>
      </c>
      <c r="L2228" t="s">
        <v>53</v>
      </c>
      <c r="M2228" t="s">
        <v>178</v>
      </c>
      <c r="N2228" t="s">
        <v>54</v>
      </c>
      <c r="O2228" t="s">
        <v>111</v>
      </c>
      <c r="P2228" t="s">
        <v>57</v>
      </c>
      <c r="Q2228" t="s">
        <v>75</v>
      </c>
      <c r="R2228" t="s">
        <v>74</v>
      </c>
      <c r="S2228" t="s">
        <v>62</v>
      </c>
      <c r="T2228" t="s">
        <v>164</v>
      </c>
      <c r="U2228" t="s">
        <v>147</v>
      </c>
      <c r="V2228" t="s">
        <v>77</v>
      </c>
      <c r="W2228" t="s">
        <v>107</v>
      </c>
      <c r="X2228" t="s">
        <v>0</v>
      </c>
      <c r="Y2228" t="s">
        <v>3752</v>
      </c>
      <c r="Z2228" t="s">
        <v>64</v>
      </c>
      <c r="AA2228" t="s">
        <v>551</v>
      </c>
      <c r="AB2228" t="s">
        <v>0</v>
      </c>
      <c r="AC2228" t="s">
        <v>6010</v>
      </c>
    </row>
    <row r="2229" spans="1:29">
      <c r="A2229" t="s">
        <v>6011</v>
      </c>
      <c r="B2229" s="11" t="str">
        <f>IF(ISNUMBER(SEARCH(E2229,A2229)),A2229,IF(OR(E2229="",E2229=""),A2229,A2229&amp;" - "&amp;E2229))</f>
        <v>Remexian 18/1 MHI LET - Joyous Joyride</v>
      </c>
      <c r="C2229" t="s">
        <v>83</v>
      </c>
      <c r="D2229" t="s">
        <v>95</v>
      </c>
      <c r="E2229" s="79" t="s">
        <v>6012</v>
      </c>
      <c r="F2229" s="81" t="s">
        <v>177</v>
      </c>
      <c r="G2229" s="83" t="s">
        <v>8</v>
      </c>
      <c r="H2229" s="83" t="s">
        <v>65</v>
      </c>
      <c r="I2229" t="s">
        <v>0</v>
      </c>
      <c r="J2229" t="s">
        <v>0</v>
      </c>
      <c r="K2229" t="s">
        <v>52</v>
      </c>
      <c r="L2229" t="s">
        <v>102</v>
      </c>
      <c r="M2229" t="s">
        <v>111</v>
      </c>
      <c r="N2229" t="s">
        <v>55</v>
      </c>
      <c r="O2229" t="s">
        <v>0</v>
      </c>
      <c r="P2229" t="s">
        <v>73</v>
      </c>
      <c r="Q2229" t="s">
        <v>74</v>
      </c>
      <c r="R2229" t="s">
        <v>146</v>
      </c>
      <c r="S2229" t="s">
        <v>106</v>
      </c>
      <c r="T2229" t="s">
        <v>62</v>
      </c>
      <c r="U2229" t="s">
        <v>164</v>
      </c>
      <c r="V2229" t="s">
        <v>79</v>
      </c>
      <c r="W2229" t="s">
        <v>77</v>
      </c>
      <c r="X2229" t="s">
        <v>93</v>
      </c>
      <c r="Y2229" t="s">
        <v>453</v>
      </c>
      <c r="Z2229" t="s">
        <v>64</v>
      </c>
      <c r="AA2229" t="s">
        <v>95</v>
      </c>
      <c r="AB2229" t="s">
        <v>3237</v>
      </c>
      <c r="AC2229" t="s">
        <v>6013</v>
      </c>
    </row>
    <row r="2230" spans="1:29">
      <c r="A2230" t="s">
        <v>6014</v>
      </c>
      <c r="B2230" s="11" t="str">
        <f>IF(ISNUMBER(SEARCH(E2230,A2230)),A2230,IF(OR(E2230="",E2230=""),A2230,A2230&amp;" - "&amp;E2230))</f>
        <v>aleph Matterhorn 21/1 - Banjo</v>
      </c>
      <c r="C2230" t="s">
        <v>725</v>
      </c>
      <c r="D2230" t="s">
        <v>726</v>
      </c>
      <c r="E2230" s="9" t="s">
        <v>3686</v>
      </c>
      <c r="F2230" s="1" t="s">
        <v>69</v>
      </c>
      <c r="G2230" s="8" t="s">
        <v>452</v>
      </c>
      <c r="H2230" s="8" t="s">
        <v>65</v>
      </c>
      <c r="I2230" t="s">
        <v>0</v>
      </c>
      <c r="J2230" t="s">
        <v>0</v>
      </c>
      <c r="K2230" t="s">
        <v>52</v>
      </c>
      <c r="L2230" t="s">
        <v>4603</v>
      </c>
      <c r="M2230" t="s">
        <v>72</v>
      </c>
      <c r="N2230" t="s">
        <v>88</v>
      </c>
      <c r="O2230" t="s">
        <v>0</v>
      </c>
      <c r="P2230" t="s">
        <v>89</v>
      </c>
      <c r="Q2230" t="s">
        <v>58</v>
      </c>
      <c r="R2230" t="s">
        <v>186</v>
      </c>
      <c r="S2230" t="s">
        <v>106</v>
      </c>
      <c r="T2230" t="s">
        <v>179</v>
      </c>
      <c r="U2230" t="s">
        <v>76</v>
      </c>
      <c r="V2230" t="s">
        <v>116</v>
      </c>
      <c r="W2230" t="s">
        <v>79</v>
      </c>
      <c r="X2230" t="s">
        <v>107</v>
      </c>
      <c r="Y2230" t="s">
        <v>80</v>
      </c>
      <c r="Z2230" t="s">
        <v>64</v>
      </c>
      <c r="AA2230" t="s">
        <v>726</v>
      </c>
      <c r="AB2230" t="s">
        <v>0</v>
      </c>
      <c r="AC2230" t="s">
        <v>6015</v>
      </c>
    </row>
    <row r="2231" spans="1:29">
      <c r="A2231" t="s">
        <v>6016</v>
      </c>
      <c r="B2231" s="11" t="str">
        <f>IF(ISNUMBER(SEARCH(E2231,A2231)),A2231,IF(OR(E2231="",E2231=""),A2231,A2231&amp;" - "&amp;E2231))</f>
        <v>Rua Rau Hiwa 23/1 - Legacy 1</v>
      </c>
      <c r="C2231" t="s">
        <v>141</v>
      </c>
      <c r="D2231" t="s">
        <v>149</v>
      </c>
      <c r="E2231" s="79" t="s">
        <v>6017</v>
      </c>
      <c r="F2231" s="81" t="s">
        <v>177</v>
      </c>
      <c r="G2231" s="83" t="s">
        <v>436</v>
      </c>
      <c r="H2231" s="83" t="s">
        <v>65</v>
      </c>
      <c r="I2231" t="s">
        <v>0</v>
      </c>
      <c r="J2231" t="s">
        <v>0</v>
      </c>
      <c r="K2231" t="s">
        <v>52</v>
      </c>
      <c r="L2231" t="s">
        <v>1418</v>
      </c>
      <c r="M2231" t="s">
        <v>72</v>
      </c>
      <c r="N2231" t="s">
        <v>55</v>
      </c>
      <c r="O2231" t="s">
        <v>0</v>
      </c>
      <c r="P2231" t="s">
        <v>113</v>
      </c>
      <c r="Q2231" t="s">
        <v>157</v>
      </c>
      <c r="R2231" t="s">
        <v>59</v>
      </c>
      <c r="S2231" t="s">
        <v>106</v>
      </c>
      <c r="T2231" t="s">
        <v>179</v>
      </c>
      <c r="U2231" t="s">
        <v>76</v>
      </c>
      <c r="V2231" t="s">
        <v>165</v>
      </c>
      <c r="W2231" t="s">
        <v>129</v>
      </c>
      <c r="X2231" t="s">
        <v>292</v>
      </c>
      <c r="Y2231" t="s">
        <v>870</v>
      </c>
      <c r="Z2231" t="s">
        <v>64</v>
      </c>
      <c r="AA2231" t="s">
        <v>149</v>
      </c>
      <c r="AB2231" t="s">
        <v>0</v>
      </c>
      <c r="AC2231" t="s">
        <v>6018</v>
      </c>
    </row>
    <row r="2232" spans="1:29">
      <c r="A2232" t="s">
        <v>6019</v>
      </c>
      <c r="B2232" s="11" t="str">
        <f>IF(ISNUMBER(SEARCH(E2232,A2232)),A2232,IF(OR(E2232="",E2232=""),A2232,A2232&amp;" - "&amp;E2232))</f>
        <v>Rua Aotea 23/1 - Kakariki Koha</v>
      </c>
      <c r="C2232" t="s">
        <v>141</v>
      </c>
      <c r="D2232" t="s">
        <v>149</v>
      </c>
      <c r="E2232" s="79" t="s">
        <v>6020</v>
      </c>
      <c r="F2232" s="81" t="s">
        <v>86</v>
      </c>
      <c r="G2232" s="83" t="s">
        <v>436</v>
      </c>
      <c r="H2232" s="83" t="s">
        <v>65</v>
      </c>
      <c r="I2232" t="s">
        <v>0</v>
      </c>
      <c r="J2232" t="s">
        <v>0</v>
      </c>
      <c r="K2232" t="s">
        <v>52</v>
      </c>
      <c r="L2232" t="s">
        <v>1418</v>
      </c>
      <c r="M2232" t="s">
        <v>121</v>
      </c>
      <c r="N2232" t="s">
        <v>88</v>
      </c>
      <c r="O2232" t="s">
        <v>0</v>
      </c>
      <c r="P2232" t="s">
        <v>89</v>
      </c>
      <c r="Q2232" t="s">
        <v>157</v>
      </c>
      <c r="R2232" t="s">
        <v>113</v>
      </c>
      <c r="S2232" t="s">
        <v>128</v>
      </c>
      <c r="T2232" t="s">
        <v>106</v>
      </c>
      <c r="U2232" t="s">
        <v>179</v>
      </c>
      <c r="V2232" t="s">
        <v>116</v>
      </c>
      <c r="W2232" t="s">
        <v>107</v>
      </c>
      <c r="X2232" t="s">
        <v>77</v>
      </c>
      <c r="Y2232" t="s">
        <v>870</v>
      </c>
      <c r="Z2232" t="s">
        <v>64</v>
      </c>
      <c r="AA2232" t="s">
        <v>149</v>
      </c>
      <c r="AB2232" t="s">
        <v>0</v>
      </c>
      <c r="AC2232" t="s">
        <v>6021</v>
      </c>
    </row>
    <row r="2233" spans="1:29">
      <c r="A2233" t="s">
        <v>6022</v>
      </c>
      <c r="B2233" s="11" t="str">
        <f>IF(ISNUMBER(SEARCH(E2233,A2233)),A2233,IF(OR(E2233="",E2233=""),A2233,A2233&amp;" - "&amp;E2233))</f>
        <v>Novacana 65 T</v>
      </c>
      <c r="C2233" t="s">
        <v>6023</v>
      </c>
      <c r="D2233" t="s">
        <v>6024</v>
      </c>
      <c r="E2233" s="79" t="s">
        <v>0</v>
      </c>
      <c r="F2233" s="81" t="s">
        <v>69</v>
      </c>
      <c r="G2233" s="83" t="s">
        <v>0</v>
      </c>
      <c r="H2233" s="83" t="s">
        <v>0</v>
      </c>
      <c r="I2233" t="s">
        <v>6025</v>
      </c>
      <c r="J2233" t="s">
        <v>5458</v>
      </c>
      <c r="K2233" t="s">
        <v>6026</v>
      </c>
      <c r="L2233" t="s">
        <v>527</v>
      </c>
      <c r="M2233" t="s">
        <v>72</v>
      </c>
      <c r="N2233" t="s">
        <v>54</v>
      </c>
      <c r="O2233" t="s">
        <v>71</v>
      </c>
      <c r="P2233" t="s">
        <v>0</v>
      </c>
      <c r="Q2233" t="s">
        <v>0</v>
      </c>
      <c r="R2233" t="s">
        <v>0</v>
      </c>
      <c r="S2233" t="s">
        <v>128</v>
      </c>
      <c r="T2233" t="s">
        <v>106</v>
      </c>
      <c r="U2233" t="s">
        <v>164</v>
      </c>
      <c r="V2233" t="s">
        <v>77</v>
      </c>
      <c r="W2233" t="s">
        <v>129</v>
      </c>
      <c r="X2233" t="s">
        <v>292</v>
      </c>
      <c r="Y2233" t="s">
        <v>6027</v>
      </c>
      <c r="Z2233" t="s">
        <v>1915</v>
      </c>
      <c r="AA2233" t="s">
        <v>0</v>
      </c>
      <c r="AB2233" t="s">
        <v>0</v>
      </c>
      <c r="AC2233" t="s">
        <v>6028</v>
      </c>
    </row>
    <row r="2234" spans="1:29">
      <c r="A2234" t="s">
        <v>6029</v>
      </c>
      <c r="B2234" s="11" t="str">
        <f>IF(ISNUMBER(SEARCH(E2234,A2234)),A2234,IF(OR(E2234="",E2234=""),A2234,A2234&amp;" - "&amp;E2234))</f>
        <v>aleph Fire 26/1 Amnesia Skittlez - Amnesia Skittles</v>
      </c>
      <c r="C2234" t="s">
        <v>725</v>
      </c>
      <c r="D2234" t="s">
        <v>726</v>
      </c>
      <c r="E2234" t="s">
        <v>5503</v>
      </c>
      <c r="F2234" t="s">
        <v>144</v>
      </c>
      <c r="G2234" t="s">
        <v>4086</v>
      </c>
      <c r="H2234" s="2" t="s">
        <v>65</v>
      </c>
      <c r="I2234" t="s">
        <v>0</v>
      </c>
      <c r="J2234" t="s">
        <v>0</v>
      </c>
      <c r="K2234" t="s">
        <v>52</v>
      </c>
      <c r="L2234" t="s">
        <v>102</v>
      </c>
      <c r="M2234" t="s">
        <v>178</v>
      </c>
      <c r="N2234" t="s">
        <v>54</v>
      </c>
      <c r="O2234" t="s">
        <v>111</v>
      </c>
      <c r="P2234" t="s">
        <v>136</v>
      </c>
      <c r="Q2234" t="s">
        <v>75</v>
      </c>
      <c r="R2234" t="s">
        <v>74</v>
      </c>
      <c r="S2234" t="s">
        <v>106</v>
      </c>
      <c r="T2234" t="s">
        <v>62</v>
      </c>
      <c r="U2234" t="s">
        <v>123</v>
      </c>
      <c r="V2234" t="s">
        <v>138</v>
      </c>
      <c r="W2234" t="s">
        <v>79</v>
      </c>
      <c r="X2234" t="s">
        <v>0</v>
      </c>
      <c r="Y2234" t="s">
        <v>311</v>
      </c>
      <c r="Z2234" t="s">
        <v>64</v>
      </c>
      <c r="AA2234" t="s">
        <v>726</v>
      </c>
      <c r="AB2234" t="s">
        <v>0</v>
      </c>
      <c r="AC2234" t="s">
        <v>6030</v>
      </c>
    </row>
    <row r="2235" spans="1:29">
      <c r="A2235" t="s">
        <v>6031</v>
      </c>
      <c r="B2235" s="11" t="str">
        <f>IF(ISNUMBER(SEARCH(E2235,A2235)),A2235,IF(OR(E2235="",E2235=""),A2235,A2235&amp;" - "&amp;E2235))</f>
        <v>NOC AS 23 Chill - Amnesia Kush x Sherbet Sockher</v>
      </c>
      <c r="C2235" t="s">
        <v>2841</v>
      </c>
      <c r="D2235" t="s">
        <v>2842</v>
      </c>
      <c r="E2235" s="79" t="s">
        <v>6004</v>
      </c>
      <c r="F2235" s="81" t="s">
        <v>144</v>
      </c>
      <c r="G2235" s="83" t="s">
        <v>436</v>
      </c>
      <c r="H2235" s="83" t="s">
        <v>65</v>
      </c>
      <c r="I2235" t="s">
        <v>0</v>
      </c>
      <c r="J2235" t="s">
        <v>0</v>
      </c>
      <c r="K2235" t="s">
        <v>52</v>
      </c>
      <c r="L2235" t="s">
        <v>3739</v>
      </c>
      <c r="M2235" t="s">
        <v>55</v>
      </c>
      <c r="N2235" t="s">
        <v>72</v>
      </c>
      <c r="O2235" t="s">
        <v>54</v>
      </c>
      <c r="P2235" t="s">
        <v>89</v>
      </c>
      <c r="Q2235" t="s">
        <v>146</v>
      </c>
      <c r="R2235" t="s">
        <v>75</v>
      </c>
      <c r="S2235" t="s">
        <v>90</v>
      </c>
      <c r="T2235" t="s">
        <v>61</v>
      </c>
      <c r="U2235" t="s">
        <v>493</v>
      </c>
      <c r="V2235" t="s">
        <v>129</v>
      </c>
      <c r="W2235" t="s">
        <v>107</v>
      </c>
      <c r="X2235" t="s">
        <v>79</v>
      </c>
      <c r="Y2235" t="s">
        <v>2270</v>
      </c>
      <c r="Z2235" t="s">
        <v>64</v>
      </c>
      <c r="AA2235" t="s">
        <v>2842</v>
      </c>
      <c r="AB2235" t="s">
        <v>0</v>
      </c>
      <c r="AC2235" t="s">
        <v>6032</v>
      </c>
    </row>
    <row r="2236" spans="1:29">
      <c r="A2236" t="s">
        <v>6033</v>
      </c>
      <c r="B2236" s="93" t="str">
        <f>IF(ISNUMBER(SEARCH(E2236,A2236)),A2236,IF(OR(E2236="",E2236=""),A2236,A2236&amp;" - "&amp;E2236))</f>
        <v>NOC KS 23/1 - KO x Sherbet Shocker</v>
      </c>
      <c r="C2236" t="s">
        <v>2841</v>
      </c>
      <c r="D2236" t="s">
        <v>2842</v>
      </c>
      <c r="E2236" s="79" t="s">
        <v>3738</v>
      </c>
      <c r="F2236" s="81" t="s">
        <v>86</v>
      </c>
      <c r="G2236" s="83" t="s">
        <v>436</v>
      </c>
      <c r="H2236" s="83" t="s">
        <v>65</v>
      </c>
      <c r="I2236" t="s">
        <v>0</v>
      </c>
      <c r="J2236" t="s">
        <v>0</v>
      </c>
      <c r="K2236" t="s">
        <v>52</v>
      </c>
      <c r="L2236" t="s">
        <v>3739</v>
      </c>
      <c r="M2236" t="s">
        <v>111</v>
      </c>
      <c r="N2236" t="s">
        <v>54</v>
      </c>
      <c r="O2236" t="s">
        <v>88</v>
      </c>
      <c r="P2236" t="s">
        <v>59</v>
      </c>
      <c r="Q2236" t="s">
        <v>57</v>
      </c>
      <c r="R2236" t="s">
        <v>75</v>
      </c>
      <c r="S2236" t="s">
        <v>90</v>
      </c>
      <c r="T2236" t="s">
        <v>61</v>
      </c>
      <c r="U2236" t="s">
        <v>62</v>
      </c>
      <c r="V2236" t="s">
        <v>116</v>
      </c>
      <c r="W2236" t="s">
        <v>93</v>
      </c>
      <c r="X2236" t="s">
        <v>107</v>
      </c>
      <c r="Y2236" t="s">
        <v>2270</v>
      </c>
      <c r="Z2236" t="s">
        <v>64</v>
      </c>
      <c r="AA2236" t="s">
        <v>2842</v>
      </c>
      <c r="AB2236" t="s">
        <v>0</v>
      </c>
      <c r="AC2236" t="s">
        <v>6034</v>
      </c>
    </row>
    <row r="2237" spans="1:29">
      <c r="A2237" t="s">
        <v>6035</v>
      </c>
      <c r="B2237" s="93" t="str">
        <f>IF(ISNUMBER(SEARCH(E2237,A2237)),A2237,IF(OR(E2237="",E2237=""),A2237,A2237&amp;" - "&amp;E2237))</f>
        <v>Demecan Craft Pulso 31:01 - Liquid Imagination</v>
      </c>
      <c r="C2237" t="s">
        <v>484</v>
      </c>
      <c r="D2237" t="s">
        <v>485</v>
      </c>
      <c r="E2237" s="79" t="s">
        <v>6036</v>
      </c>
      <c r="F2237" s="81" t="s">
        <v>69</v>
      </c>
      <c r="G2237" s="83" t="s">
        <v>443</v>
      </c>
      <c r="H2237" s="83" t="s">
        <v>65</v>
      </c>
      <c r="I2237" t="s">
        <v>0</v>
      </c>
      <c r="J2237" t="s">
        <v>0</v>
      </c>
      <c r="K2237" t="s">
        <v>52</v>
      </c>
      <c r="L2237" t="s">
        <v>53</v>
      </c>
      <c r="M2237" t="s">
        <v>72</v>
      </c>
      <c r="N2237" t="s">
        <v>54</v>
      </c>
      <c r="O2237" t="s">
        <v>71</v>
      </c>
      <c r="P2237" t="s">
        <v>89</v>
      </c>
      <c r="Q2237" t="s">
        <v>58</v>
      </c>
      <c r="R2237" t="s">
        <v>74</v>
      </c>
      <c r="S2237" t="s">
        <v>106</v>
      </c>
      <c r="T2237" t="s">
        <v>62</v>
      </c>
      <c r="U2237" t="s">
        <v>192</v>
      </c>
      <c r="V2237" t="s">
        <v>77</v>
      </c>
      <c r="W2237" t="s">
        <v>292</v>
      </c>
      <c r="X2237" t="s">
        <v>79</v>
      </c>
      <c r="Y2237" t="s">
        <v>1065</v>
      </c>
      <c r="Z2237" t="s">
        <v>64</v>
      </c>
      <c r="AA2237" t="s">
        <v>485</v>
      </c>
      <c r="AB2237" t="s">
        <v>0</v>
      </c>
      <c r="AC2237" t="s">
        <v>6037</v>
      </c>
    </row>
    <row r="2238" spans="1:29">
      <c r="A2238" t="s">
        <v>6038</v>
      </c>
      <c r="B2238" s="93" t="str">
        <f>IF(ISNUMBER(SEARCH(E2238,A2238)),A2238,IF(OR(E2238="",E2238=""),A2238,A2238&amp;" - "&amp;E2238))</f>
        <v>Remexian 27/1 JOI PPM - Purple Punch Mints</v>
      </c>
      <c r="C2238" t="s">
        <v>83</v>
      </c>
      <c r="D2238" t="s">
        <v>95</v>
      </c>
      <c r="E2238" s="79" t="s">
        <v>4649</v>
      </c>
      <c r="F2238" s="81" t="s">
        <v>120</v>
      </c>
      <c r="G2238" s="83" t="s">
        <v>33</v>
      </c>
      <c r="H2238" s="83">
        <v>1</v>
      </c>
      <c r="I2238" t="s">
        <v>0</v>
      </c>
      <c r="J2238" t="s">
        <v>0</v>
      </c>
      <c r="K2238" t="s">
        <v>52</v>
      </c>
      <c r="L2238" t="s">
        <v>53</v>
      </c>
      <c r="M2238" t="s">
        <v>72</v>
      </c>
      <c r="N2238" t="s">
        <v>178</v>
      </c>
      <c r="O2238" t="s">
        <v>0</v>
      </c>
      <c r="P2238" t="s">
        <v>112</v>
      </c>
      <c r="Q2238" t="s">
        <v>104</v>
      </c>
      <c r="R2238" t="s">
        <v>157</v>
      </c>
      <c r="S2238" t="s">
        <v>106</v>
      </c>
      <c r="T2238" t="s">
        <v>123</v>
      </c>
      <c r="U2238" t="s">
        <v>147</v>
      </c>
      <c r="V2238" t="s">
        <v>129</v>
      </c>
      <c r="W2238" t="s">
        <v>165</v>
      </c>
      <c r="X2238" t="s">
        <v>93</v>
      </c>
      <c r="Y2238" t="s">
        <v>307</v>
      </c>
      <c r="Z2238" t="s">
        <v>64</v>
      </c>
      <c r="AA2238" t="s">
        <v>95</v>
      </c>
      <c r="AB2238" t="s">
        <v>0</v>
      </c>
      <c r="AC2238" t="s">
        <v>6039</v>
      </c>
    </row>
    <row r="2239" spans="1:29">
      <c r="A2239" t="s">
        <v>6040</v>
      </c>
      <c r="B2239" s="93" t="str">
        <f>IF(ISNUMBER(SEARCH(E2239,A2239)),A2239,IF(OR(E2239="",E2239=""),A2239,A2239&amp;" - "&amp;E2239))</f>
        <v>Demecan Core Horizon 31:01 - Lava Cake</v>
      </c>
      <c r="C2239" t="s">
        <v>484</v>
      </c>
      <c r="D2239" t="s">
        <v>485</v>
      </c>
      <c r="E2239" s="79" t="s">
        <v>319</v>
      </c>
      <c r="F2239" s="81" t="s">
        <v>86</v>
      </c>
      <c r="G2239" s="83" t="s">
        <v>4488</v>
      </c>
      <c r="H2239" s="83">
        <v>1</v>
      </c>
      <c r="I2239" t="s">
        <v>0</v>
      </c>
      <c r="J2239" t="s">
        <v>0</v>
      </c>
      <c r="K2239" t="s">
        <v>52</v>
      </c>
      <c r="L2239" t="s">
        <v>53</v>
      </c>
      <c r="M2239" t="s">
        <v>72</v>
      </c>
      <c r="N2239" t="s">
        <v>0</v>
      </c>
      <c r="O2239" t="s">
        <v>0</v>
      </c>
      <c r="P2239" t="s">
        <v>112</v>
      </c>
      <c r="Q2239" t="s">
        <v>57</v>
      </c>
      <c r="R2239" t="s">
        <v>89</v>
      </c>
      <c r="S2239" t="s">
        <v>62</v>
      </c>
      <c r="T2239" t="s">
        <v>91</v>
      </c>
      <c r="U2239" t="s">
        <v>147</v>
      </c>
      <c r="V2239" t="s">
        <v>173</v>
      </c>
      <c r="W2239" t="s">
        <v>77</v>
      </c>
      <c r="X2239" t="s">
        <v>107</v>
      </c>
      <c r="Y2239" t="s">
        <v>335</v>
      </c>
      <c r="Z2239" t="s">
        <v>64</v>
      </c>
      <c r="AA2239" t="s">
        <v>485</v>
      </c>
      <c r="AB2239" t="s">
        <v>0</v>
      </c>
      <c r="AC2239" t="s">
        <v>6041</v>
      </c>
    </row>
    <row r="2240" spans="1:29">
      <c r="A2240" t="s">
        <v>6042</v>
      </c>
      <c r="B2240" s="93" t="str">
        <f>IF(ISNUMBER(SEARCH(E2240,A2240)),A2240,IF(OR(E2240="",E2240=""),A2240,A2240&amp;" - "&amp;E2240))</f>
        <v>Cookies 2.0 Hawaiian Rain 28/1 CAN</v>
      </c>
      <c r="C2240" t="s">
        <v>996</v>
      </c>
      <c r="D2240" t="s">
        <v>997</v>
      </c>
      <c r="E2240" s="79" t="s">
        <v>1145</v>
      </c>
      <c r="F2240" s="81" t="s">
        <v>86</v>
      </c>
      <c r="G2240" s="83" t="s">
        <v>4164</v>
      </c>
      <c r="H2240" s="83" t="s">
        <v>65</v>
      </c>
      <c r="I2240" t="s">
        <v>0</v>
      </c>
      <c r="J2240" t="s">
        <v>0</v>
      </c>
      <c r="K2240" t="s">
        <v>52</v>
      </c>
      <c r="L2240" t="s">
        <v>53</v>
      </c>
      <c r="M2240" t="s">
        <v>72</v>
      </c>
      <c r="N2240" t="s">
        <v>54</v>
      </c>
      <c r="O2240" t="s">
        <v>178</v>
      </c>
      <c r="P2240" t="s">
        <v>89</v>
      </c>
      <c r="Q2240" t="s">
        <v>57</v>
      </c>
      <c r="R2240" t="s">
        <v>112</v>
      </c>
      <c r="S2240" t="s">
        <v>123</v>
      </c>
      <c r="T2240" t="s">
        <v>91</v>
      </c>
      <c r="U2240" t="s">
        <v>147</v>
      </c>
      <c r="V2240" t="s">
        <v>116</v>
      </c>
      <c r="W2240" t="s">
        <v>79</v>
      </c>
      <c r="X2240" t="s">
        <v>107</v>
      </c>
      <c r="Y2240" t="s">
        <v>1112</v>
      </c>
      <c r="Z2240" t="s">
        <v>64</v>
      </c>
      <c r="AA2240" t="s">
        <v>997</v>
      </c>
      <c r="AB2240" t="s">
        <v>0</v>
      </c>
      <c r="AC2240" t="s">
        <v>6043</v>
      </c>
    </row>
    <row r="2241" spans="1:29">
      <c r="A2241" t="s">
        <v>6044</v>
      </c>
      <c r="B2241" s="93" t="str">
        <f>IF(ISNUMBER(SEARCH(E2241,A2241)),A2241,IF(OR(E2241="",E2241=""),A2241,A2241&amp;" - "&amp;E2241))</f>
        <v>LOT 420 GLOC - Gelato x Orange Cake</v>
      </c>
      <c r="C2241" t="s">
        <v>564</v>
      </c>
      <c r="D2241" t="s">
        <v>565</v>
      </c>
      <c r="E2241" t="s">
        <v>6045</v>
      </c>
      <c r="F2241" t="s">
        <v>86</v>
      </c>
      <c r="G2241" t="s">
        <v>4164</v>
      </c>
      <c r="H2241" s="2" t="s">
        <v>65</v>
      </c>
      <c r="I2241" t="s">
        <v>0</v>
      </c>
      <c r="J2241" t="s">
        <v>0</v>
      </c>
      <c r="K2241" t="s">
        <v>52</v>
      </c>
      <c r="L2241" t="s">
        <v>53</v>
      </c>
      <c r="M2241" t="s">
        <v>103</v>
      </c>
      <c r="N2241" t="s">
        <v>72</v>
      </c>
      <c r="O2241" t="s">
        <v>54</v>
      </c>
      <c r="P2241" t="s">
        <v>59</v>
      </c>
      <c r="Q2241" t="s">
        <v>57</v>
      </c>
      <c r="R2241" t="s">
        <v>75</v>
      </c>
      <c r="S2241" t="s">
        <v>0</v>
      </c>
      <c r="T2241" t="s">
        <v>0</v>
      </c>
      <c r="U2241" t="s">
        <v>0</v>
      </c>
      <c r="V2241" t="s">
        <v>914</v>
      </c>
      <c r="W2241" t="s">
        <v>77</v>
      </c>
      <c r="X2241" t="s">
        <v>292</v>
      </c>
      <c r="Y2241" t="s">
        <v>0</v>
      </c>
      <c r="Z2241" t="s">
        <v>64</v>
      </c>
      <c r="AA2241" t="s">
        <v>565</v>
      </c>
      <c r="AB2241" t="s">
        <v>0</v>
      </c>
      <c r="AC2241" t="s">
        <v>6046</v>
      </c>
    </row>
    <row r="2242" spans="1:29">
      <c r="A2242" t="s">
        <v>6047</v>
      </c>
      <c r="B2242" s="93" t="str">
        <f>IF(ISNUMBER(SEARCH(E2242,A2242)),A2242,IF(OR(E2242="",E2242=""),A2242,A2242&amp;" - "&amp;E2242))</f>
        <v>Cannamedical Indica Forte SM - Pineapple Express</v>
      </c>
      <c r="C2242" t="s">
        <v>48</v>
      </c>
      <c r="D2242" t="s">
        <v>49</v>
      </c>
      <c r="E2242" s="79" t="s">
        <v>4020</v>
      </c>
      <c r="F2242" s="81" t="s">
        <v>144</v>
      </c>
      <c r="G2242" s="83" t="s">
        <v>33</v>
      </c>
      <c r="H2242" s="83">
        <v>1</v>
      </c>
      <c r="I2242" t="s">
        <v>0</v>
      </c>
      <c r="J2242" t="s">
        <v>0</v>
      </c>
      <c r="K2242" t="s">
        <v>52</v>
      </c>
      <c r="L2242" t="s">
        <v>102</v>
      </c>
      <c r="M2242" t="s">
        <v>55</v>
      </c>
      <c r="N2242" t="s">
        <v>72</v>
      </c>
      <c r="O2242" t="s">
        <v>88</v>
      </c>
      <c r="P2242" t="s">
        <v>59</v>
      </c>
      <c r="Q2242" t="s">
        <v>75</v>
      </c>
      <c r="R2242" t="s">
        <v>74</v>
      </c>
      <c r="S2242" t="s">
        <v>106</v>
      </c>
      <c r="T2242" t="s">
        <v>62</v>
      </c>
      <c r="U2242" t="s">
        <v>105</v>
      </c>
      <c r="V2242" t="s">
        <v>180</v>
      </c>
      <c r="W2242" t="s">
        <v>129</v>
      </c>
      <c r="X2242" t="s">
        <v>107</v>
      </c>
      <c r="Y2242" t="s">
        <v>130</v>
      </c>
      <c r="Z2242" t="s">
        <v>64</v>
      </c>
      <c r="AA2242" t="s">
        <v>49</v>
      </c>
      <c r="AB2242" t="s">
        <v>0</v>
      </c>
      <c r="AC2242" t="s">
        <v>6048</v>
      </c>
    </row>
    <row r="2243" spans="1:29">
      <c r="A2243" t="s">
        <v>6049</v>
      </c>
      <c r="B2243" s="93" t="str">
        <f>IF(ISNUMBER(SEARCH(E2243,A2243)),A2243,IF(OR(E2243="",E2243=""),A2243,A2243&amp;" - "&amp;E2243))</f>
        <v>Remexian 36/1 BBR LAW - LA Wedding Pop</v>
      </c>
      <c r="C2243" t="s">
        <v>83</v>
      </c>
      <c r="D2243" t="s">
        <v>95</v>
      </c>
      <c r="E2243" s="79" t="s">
        <v>4783</v>
      </c>
      <c r="F2243" s="81" t="s">
        <v>144</v>
      </c>
      <c r="G2243" s="83" t="s">
        <v>5365</v>
      </c>
      <c r="H2243" s="83" t="s">
        <v>65</v>
      </c>
      <c r="I2243" t="s">
        <v>0</v>
      </c>
      <c r="J2243" t="s">
        <v>0</v>
      </c>
      <c r="K2243" t="s">
        <v>52</v>
      </c>
      <c r="L2243" t="s">
        <v>53</v>
      </c>
      <c r="M2243" t="s">
        <v>178</v>
      </c>
      <c r="N2243" t="s">
        <v>54</v>
      </c>
      <c r="O2243" t="s">
        <v>71</v>
      </c>
      <c r="P2243" t="s">
        <v>57</v>
      </c>
      <c r="Q2243" t="s">
        <v>89</v>
      </c>
      <c r="R2243" t="s">
        <v>75</v>
      </c>
      <c r="S2243" t="s">
        <v>128</v>
      </c>
      <c r="T2243" t="s">
        <v>106</v>
      </c>
      <c r="U2243" t="s">
        <v>62</v>
      </c>
      <c r="V2243" t="s">
        <v>173</v>
      </c>
      <c r="W2243" t="s">
        <v>79</v>
      </c>
      <c r="X2243" t="s">
        <v>711</v>
      </c>
      <c r="Y2243" t="s">
        <v>331</v>
      </c>
      <c r="Z2243" t="s">
        <v>64</v>
      </c>
      <c r="AA2243" t="s">
        <v>95</v>
      </c>
      <c r="AB2243" t="s">
        <v>0</v>
      </c>
      <c r="AC2243" t="s">
        <v>6050</v>
      </c>
    </row>
    <row r="2244" spans="1:29">
      <c r="A2244" t="s">
        <v>6051</v>
      </c>
      <c r="B2244" s="93" t="str">
        <f>IF(ISNUMBER(SEARCH(E2244,A2244)),A2244,IF(OR(E2244="",E2244=""),A2244,A2244&amp;" - "&amp;E2244))</f>
        <v>Remexian 33/1 JOI OKC - Orange Kush Cake</v>
      </c>
      <c r="C2244" t="s">
        <v>83</v>
      </c>
      <c r="D2244" t="s">
        <v>95</v>
      </c>
      <c r="E2244" s="79" t="s">
        <v>785</v>
      </c>
      <c r="F2244" s="81" t="s">
        <v>86</v>
      </c>
      <c r="G2244" s="83" t="s">
        <v>4169</v>
      </c>
      <c r="H2244" s="83" t="s">
        <v>65</v>
      </c>
      <c r="I2244" t="s">
        <v>0</v>
      </c>
      <c r="J2244" t="s">
        <v>0</v>
      </c>
      <c r="K2244" t="s">
        <v>52</v>
      </c>
      <c r="L2244" t="s">
        <v>53</v>
      </c>
      <c r="M2244" t="s">
        <v>71</v>
      </c>
      <c r="N2244" t="s">
        <v>111</v>
      </c>
      <c r="O2244" t="s">
        <v>55</v>
      </c>
      <c r="P2244" t="s">
        <v>73</v>
      </c>
      <c r="Q2244" t="s">
        <v>58</v>
      </c>
      <c r="R2244" t="s">
        <v>75</v>
      </c>
      <c r="S2244" t="s">
        <v>62</v>
      </c>
      <c r="T2244" t="s">
        <v>147</v>
      </c>
      <c r="U2244" t="s">
        <v>203</v>
      </c>
      <c r="V2244" t="s">
        <v>107</v>
      </c>
      <c r="W2244" t="s">
        <v>292</v>
      </c>
      <c r="X2244" t="s">
        <v>79</v>
      </c>
      <c r="Y2244" t="s">
        <v>3510</v>
      </c>
      <c r="Z2244" t="s">
        <v>64</v>
      </c>
      <c r="AA2244" t="s">
        <v>95</v>
      </c>
      <c r="AB2244" t="s">
        <v>0</v>
      </c>
      <c r="AC2244" t="s">
        <v>6052</v>
      </c>
    </row>
    <row r="2245" spans="1:29">
      <c r="A2245" t="s">
        <v>6053</v>
      </c>
      <c r="B2245" s="93" t="str">
        <f>IF(ISNUMBER(SEARCH(E2245,A2245)),A2245,IF(OR(E2245="",E2245=""),A2245,A2245&amp;" - "&amp;E2245))</f>
        <v>Remexian 27/1 BBR LAW - LA Wedding Pop</v>
      </c>
      <c r="C2245" t="s">
        <v>83</v>
      </c>
      <c r="D2245" t="s">
        <v>95</v>
      </c>
      <c r="E2245" s="79" t="s">
        <v>4783</v>
      </c>
      <c r="F2245" s="81" t="s">
        <v>144</v>
      </c>
      <c r="G2245" s="83" t="s">
        <v>33</v>
      </c>
      <c r="H2245" s="83" t="s">
        <v>65</v>
      </c>
      <c r="I2245" t="s">
        <v>0</v>
      </c>
      <c r="J2245" t="s">
        <v>0</v>
      </c>
      <c r="K2245" t="s">
        <v>52</v>
      </c>
      <c r="L2245" t="s">
        <v>53</v>
      </c>
      <c r="M2245" t="s">
        <v>178</v>
      </c>
      <c r="N2245" t="s">
        <v>54</v>
      </c>
      <c r="O2245" t="s">
        <v>71</v>
      </c>
      <c r="P2245" t="s">
        <v>57</v>
      </c>
      <c r="Q2245" t="s">
        <v>89</v>
      </c>
      <c r="R2245" t="s">
        <v>75</v>
      </c>
      <c r="S2245" t="s">
        <v>128</v>
      </c>
      <c r="T2245" t="s">
        <v>106</v>
      </c>
      <c r="U2245" t="s">
        <v>62</v>
      </c>
      <c r="V2245" t="s">
        <v>173</v>
      </c>
      <c r="W2245" t="s">
        <v>79</v>
      </c>
      <c r="X2245" t="s">
        <v>711</v>
      </c>
      <c r="Y2245" t="s">
        <v>220</v>
      </c>
      <c r="Z2245" t="s">
        <v>64</v>
      </c>
      <c r="AA2245" t="s">
        <v>95</v>
      </c>
      <c r="AB2245" t="s">
        <v>0</v>
      </c>
      <c r="AC2245" t="s">
        <v>6054</v>
      </c>
    </row>
    <row r="2246" spans="1:29">
      <c r="A2246" t="s">
        <v>6055</v>
      </c>
      <c r="B2246" s="93" t="str">
        <f>IF(ISNUMBER(SEARCH(E2246,A2246)),A2246,IF(OR(E2246="",E2246=""),A2246,A2246&amp;" - "&amp;E2246))</f>
        <v>420 Evolution 16/1 CA LCG Lemon Cherry Gelato - Sunset Sherbert x Girl Scout Cookies</v>
      </c>
      <c r="C2246" t="s">
        <v>463</v>
      </c>
      <c r="D2246" t="s">
        <v>468</v>
      </c>
      <c r="E2246" s="9" t="s">
        <v>5684</v>
      </c>
      <c r="F2246" s="1" t="s">
        <v>120</v>
      </c>
      <c r="G2246" s="8" t="s">
        <v>460</v>
      </c>
      <c r="H2246" s="8" t="s">
        <v>65</v>
      </c>
      <c r="I2246" t="s">
        <v>0</v>
      </c>
      <c r="J2246" t="s">
        <v>0</v>
      </c>
      <c r="K2246" t="s">
        <v>52</v>
      </c>
      <c r="L2246" t="s">
        <v>53</v>
      </c>
      <c r="M2246" t="s">
        <v>121</v>
      </c>
      <c r="N2246" t="s">
        <v>72</v>
      </c>
      <c r="O2246" t="s">
        <v>54</v>
      </c>
      <c r="P2246" t="s">
        <v>74</v>
      </c>
      <c r="Q2246" t="s">
        <v>75</v>
      </c>
      <c r="R2246" t="s">
        <v>57</v>
      </c>
      <c r="S2246" t="s">
        <v>106</v>
      </c>
      <c r="T2246" t="s">
        <v>164</v>
      </c>
      <c r="U2246" t="s">
        <v>123</v>
      </c>
      <c r="V2246" t="s">
        <v>77</v>
      </c>
      <c r="W2246" t="s">
        <v>116</v>
      </c>
      <c r="X2246" t="s">
        <v>180</v>
      </c>
      <c r="Y2246" t="s">
        <v>307</v>
      </c>
      <c r="Z2246" t="s">
        <v>64</v>
      </c>
      <c r="AA2246" t="s">
        <v>468</v>
      </c>
      <c r="AB2246" t="s">
        <v>0</v>
      </c>
      <c r="AC2246" t="s">
        <v>6056</v>
      </c>
    </row>
    <row r="2247" spans="1:29">
      <c r="A2247" t="s">
        <v>6057</v>
      </c>
      <c r="B2247" s="93" t="str">
        <f>IF(ISNUMBER(SEARCH(E2247,A2247)),A2247,IF(OR(E2247="",E2247=""),A2247,A2247&amp;" - "&amp;E2247))</f>
        <v>Nice 20/1 GE - Gelatti</v>
      </c>
      <c r="C2247" t="s">
        <v>996</v>
      </c>
      <c r="D2247" t="s">
        <v>997</v>
      </c>
      <c r="E2247" s="79" t="s">
        <v>6058</v>
      </c>
      <c r="F2247" s="81" t="s">
        <v>120</v>
      </c>
      <c r="G2247" s="83" t="s">
        <v>460</v>
      </c>
      <c r="H2247" s="83" t="s">
        <v>65</v>
      </c>
      <c r="I2247" t="s">
        <v>0</v>
      </c>
      <c r="J2247" t="s">
        <v>0</v>
      </c>
      <c r="K2247" t="s">
        <v>52</v>
      </c>
      <c r="L2247" t="s">
        <v>102</v>
      </c>
      <c r="M2247" t="s">
        <v>71</v>
      </c>
      <c r="N2247" t="s">
        <v>88</v>
      </c>
      <c r="O2247" t="s">
        <v>103</v>
      </c>
      <c r="P2247" t="s">
        <v>112</v>
      </c>
      <c r="Q2247" t="s">
        <v>157</v>
      </c>
      <c r="R2247" t="s">
        <v>146</v>
      </c>
      <c r="S2247" t="s">
        <v>106</v>
      </c>
      <c r="T2247" t="s">
        <v>62</v>
      </c>
      <c r="U2247" t="s">
        <v>147</v>
      </c>
      <c r="V2247" t="s">
        <v>79</v>
      </c>
      <c r="W2247" t="s">
        <v>107</v>
      </c>
      <c r="X2247" t="s">
        <v>93</v>
      </c>
      <c r="Y2247" t="s">
        <v>1128</v>
      </c>
      <c r="Z2247" t="s">
        <v>64</v>
      </c>
      <c r="AA2247" t="s">
        <v>997</v>
      </c>
      <c r="AB2247" t="s">
        <v>0</v>
      </c>
      <c r="AC2247" t="s">
        <v>6059</v>
      </c>
    </row>
    <row r="2248" spans="1:29">
      <c r="A2248" t="s">
        <v>6060</v>
      </c>
      <c r="B2248" s="93" t="str">
        <f>IF(ISNUMBER(SEARCH(E2248,A2248)),A2248,IF(OR(E2248="",E2248=""),A2248,A2248&amp;" - "&amp;E2248))</f>
        <v>LIT 31/1 SNW - Snow Lotus</v>
      </c>
      <c r="C2248" t="s">
        <v>996</v>
      </c>
      <c r="D2248" t="s">
        <v>997</v>
      </c>
      <c r="E2248" t="s">
        <v>6061</v>
      </c>
      <c r="F2248" t="s">
        <v>144</v>
      </c>
      <c r="G2248" t="s">
        <v>4488</v>
      </c>
      <c r="H2248" s="2" t="s">
        <v>65</v>
      </c>
      <c r="I2248" t="s">
        <v>0</v>
      </c>
      <c r="J2248" t="s">
        <v>0</v>
      </c>
      <c r="K2248" t="s">
        <v>52</v>
      </c>
      <c r="L2248" t="s">
        <v>53</v>
      </c>
      <c r="M2248" t="s">
        <v>0</v>
      </c>
      <c r="N2248" t="s">
        <v>0</v>
      </c>
      <c r="O2248" t="s">
        <v>0</v>
      </c>
      <c r="P2248" t="s">
        <v>0</v>
      </c>
      <c r="Q2248" t="s">
        <v>0</v>
      </c>
      <c r="R2248" t="s">
        <v>0</v>
      </c>
      <c r="S2248" t="s">
        <v>106</v>
      </c>
      <c r="T2248" t="s">
        <v>62</v>
      </c>
      <c r="U2248" t="s">
        <v>91</v>
      </c>
      <c r="V2248" t="s">
        <v>0</v>
      </c>
      <c r="W2248" t="s">
        <v>0</v>
      </c>
      <c r="X2248" t="s">
        <v>0</v>
      </c>
      <c r="Y2248" t="s">
        <v>0</v>
      </c>
      <c r="Z2248" t="s">
        <v>64</v>
      </c>
      <c r="AA2248" t="s">
        <v>997</v>
      </c>
      <c r="AB2248" t="s">
        <v>0</v>
      </c>
      <c r="AC2248" t="s">
        <v>6062</v>
      </c>
    </row>
    <row r="2249" spans="1:29">
      <c r="B2249" t="s">
        <v>6063</v>
      </c>
      <c r="E2249" s="79"/>
      <c r="F2249" s="81"/>
      <c r="G2249" s="83"/>
      <c r="H2249" s="83"/>
    </row>
    <row r="2250" spans="1:29">
      <c r="A2250" t="s">
        <v>6064</v>
      </c>
      <c r="B2250" s="93" t="str">
        <f>IF(ISNUMBER(SEARCH(E2250,A2250)),A2250,IF(OR(E2250="",E2250=""),A2250,A2250&amp;" - "&amp;E2250))</f>
        <v>420 Evolution 33/1 CA MFG - Modified Grapes</v>
      </c>
      <c r="C2250" t="s">
        <v>463</v>
      </c>
      <c r="D2250" t="s">
        <v>468</v>
      </c>
      <c r="E2250" s="9" t="s">
        <v>5375</v>
      </c>
      <c r="F2250" s="1" t="s">
        <v>177</v>
      </c>
      <c r="G2250" s="8" t="s">
        <v>4169</v>
      </c>
      <c r="H2250" s="8">
        <v>1</v>
      </c>
      <c r="I2250" t="s">
        <v>0</v>
      </c>
      <c r="J2250" t="s">
        <v>0</v>
      </c>
      <c r="K2250" t="s">
        <v>52</v>
      </c>
      <c r="L2250" t="s">
        <v>53</v>
      </c>
      <c r="M2250" t="s">
        <v>72</v>
      </c>
      <c r="N2250" t="s">
        <v>121</v>
      </c>
      <c r="O2250" t="s">
        <v>0</v>
      </c>
      <c r="P2250" t="s">
        <v>59</v>
      </c>
      <c r="Q2250" t="s">
        <v>57</v>
      </c>
      <c r="R2250" t="s">
        <v>89</v>
      </c>
      <c r="S2250" t="s">
        <v>106</v>
      </c>
      <c r="T2250" t="s">
        <v>62</v>
      </c>
      <c r="U2250" t="s">
        <v>147</v>
      </c>
      <c r="V2250" t="s">
        <v>107</v>
      </c>
      <c r="W2250" t="s">
        <v>77</v>
      </c>
      <c r="X2250" t="s">
        <v>116</v>
      </c>
      <c r="Y2250" t="s">
        <v>1132</v>
      </c>
      <c r="Z2250" t="s">
        <v>64</v>
      </c>
      <c r="AA2250" t="s">
        <v>468</v>
      </c>
      <c r="AB2250" t="s">
        <v>0</v>
      </c>
      <c r="AC2250" t="s">
        <v>6065</v>
      </c>
    </row>
    <row r="2251" spans="1:29">
      <c r="A2251" t="s">
        <v>6066</v>
      </c>
      <c r="B2251" s="93" t="str">
        <f>IF(ISNUMBER(SEARCH(E2251,A2251)),A2251,IF(OR(E2251="",E2251=""),A2251,A2251&amp;" - "&amp;E2251))</f>
        <v>Demecan Craft Electron 28:01 - Gelato OG Kush</v>
      </c>
      <c r="C2251" t="s">
        <v>484</v>
      </c>
      <c r="D2251" t="s">
        <v>485</v>
      </c>
      <c r="E2251" s="79" t="s">
        <v>6067</v>
      </c>
      <c r="F2251" s="81" t="s">
        <v>86</v>
      </c>
      <c r="G2251" s="83" t="s">
        <v>4164</v>
      </c>
      <c r="H2251" s="83" t="s">
        <v>65</v>
      </c>
      <c r="I2251" t="s">
        <v>0</v>
      </c>
      <c r="J2251" t="s">
        <v>0</v>
      </c>
      <c r="K2251" t="s">
        <v>52</v>
      </c>
      <c r="L2251" t="s">
        <v>527</v>
      </c>
      <c r="M2251" t="s">
        <v>71</v>
      </c>
      <c r="N2251" t="s">
        <v>178</v>
      </c>
      <c r="O2251" t="s">
        <v>88</v>
      </c>
      <c r="P2251" t="s">
        <v>89</v>
      </c>
      <c r="Q2251" t="s">
        <v>59</v>
      </c>
      <c r="R2251" t="s">
        <v>157</v>
      </c>
      <c r="S2251" t="s">
        <v>0</v>
      </c>
      <c r="T2251" t="s">
        <v>0</v>
      </c>
      <c r="U2251" t="s">
        <v>0</v>
      </c>
      <c r="V2251" t="s">
        <v>77</v>
      </c>
      <c r="W2251" t="s">
        <v>180</v>
      </c>
      <c r="X2251" t="s">
        <v>129</v>
      </c>
      <c r="Y2251" t="s">
        <v>1699</v>
      </c>
      <c r="Z2251" t="s">
        <v>64</v>
      </c>
      <c r="AA2251" t="s">
        <v>485</v>
      </c>
      <c r="AB2251" t="s">
        <v>0</v>
      </c>
      <c r="AC2251" t="s">
        <v>6068</v>
      </c>
    </row>
    <row r="2252" spans="1:29">
      <c r="A2252" t="s">
        <v>6069</v>
      </c>
      <c r="B2252" s="93" t="str">
        <f>IF(ISNUMBER(SEARCH(E2252,A2252)),A2252,IF(OR(E2252="",E2252=""),A2252,A2252&amp;" - "&amp;E2252))</f>
        <v>MGF Pop Up No.8 9/7 A&amp;B X Harley Tus</v>
      </c>
      <c r="C2252" t="s">
        <v>3108</v>
      </c>
      <c r="D2252" t="s">
        <v>3109</v>
      </c>
      <c r="E2252" s="79" t="s">
        <v>6070</v>
      </c>
      <c r="F2252" s="81" t="s">
        <v>177</v>
      </c>
      <c r="G2252" s="83" t="s">
        <v>10</v>
      </c>
      <c r="H2252" s="83" t="s">
        <v>22</v>
      </c>
      <c r="I2252" t="s">
        <v>0</v>
      </c>
      <c r="J2252" t="s">
        <v>0</v>
      </c>
      <c r="K2252" t="s">
        <v>52</v>
      </c>
      <c r="L2252" t="s">
        <v>102</v>
      </c>
      <c r="M2252" t="s">
        <v>121</v>
      </c>
      <c r="N2252" t="s">
        <v>71</v>
      </c>
      <c r="O2252" t="s">
        <v>55</v>
      </c>
      <c r="P2252" t="s">
        <v>89</v>
      </c>
      <c r="Q2252" t="s">
        <v>113</v>
      </c>
      <c r="R2252" t="s">
        <v>157</v>
      </c>
      <c r="S2252" t="s">
        <v>179</v>
      </c>
      <c r="T2252" t="s">
        <v>105</v>
      </c>
      <c r="U2252" t="s">
        <v>147</v>
      </c>
      <c r="V2252" t="s">
        <v>116</v>
      </c>
      <c r="W2252" t="s">
        <v>165</v>
      </c>
      <c r="X2252" t="s">
        <v>0</v>
      </c>
      <c r="Y2252" t="s">
        <v>213</v>
      </c>
      <c r="Z2252" t="s">
        <v>64</v>
      </c>
      <c r="AA2252" t="s">
        <v>3109</v>
      </c>
      <c r="AB2252" t="s">
        <v>0</v>
      </c>
      <c r="AC2252" t="s">
        <v>6071</v>
      </c>
    </row>
    <row r="2253" spans="1:29">
      <c r="A2253" t="s">
        <v>6072</v>
      </c>
      <c r="B2253" s="93" t="str">
        <f>IF(ISNUMBER(SEARCH(E2253,A2253)),A2253,IF(OR(E2253="",E2253=""),A2253,A2253&amp;" - "&amp;E2253))</f>
        <v>Cannamedical Hybrid Classic BC - MAC 3</v>
      </c>
      <c r="C2253" t="s">
        <v>48</v>
      </c>
      <c r="D2253" t="s">
        <v>49</v>
      </c>
      <c r="E2253" s="79" t="s">
        <v>3762</v>
      </c>
      <c r="F2253" s="81" t="s">
        <v>86</v>
      </c>
      <c r="G2253" s="83" t="s">
        <v>8</v>
      </c>
      <c r="H2253" s="83" t="s">
        <v>65</v>
      </c>
      <c r="I2253" t="s">
        <v>0</v>
      </c>
      <c r="J2253" t="s">
        <v>0</v>
      </c>
      <c r="K2253" t="s">
        <v>52</v>
      </c>
      <c r="L2253" t="s">
        <v>497</v>
      </c>
      <c r="M2253" t="s">
        <v>72</v>
      </c>
      <c r="N2253" t="s">
        <v>71</v>
      </c>
      <c r="O2253" t="s">
        <v>88</v>
      </c>
      <c r="P2253" t="s">
        <v>104</v>
      </c>
      <c r="Q2253" t="s">
        <v>113</v>
      </c>
      <c r="R2253" t="s">
        <v>146</v>
      </c>
      <c r="S2253" t="s">
        <v>106</v>
      </c>
      <c r="T2253" t="s">
        <v>62</v>
      </c>
      <c r="U2253" t="s">
        <v>493</v>
      </c>
      <c r="V2253" t="s">
        <v>77</v>
      </c>
      <c r="W2253" t="s">
        <v>116</v>
      </c>
      <c r="X2253" t="s">
        <v>79</v>
      </c>
      <c r="Y2253" t="s">
        <v>307</v>
      </c>
      <c r="Z2253" t="s">
        <v>64</v>
      </c>
      <c r="AA2253" t="s">
        <v>49</v>
      </c>
      <c r="AB2253" t="s">
        <v>0</v>
      </c>
      <c r="AC2253" t="s">
        <v>6073</v>
      </c>
    </row>
    <row r="2254" spans="1:29">
      <c r="A2254" t="s">
        <v>6074</v>
      </c>
      <c r="B2254" s="93" t="str">
        <f>IF(ISNUMBER(SEARCH(E2254,A2254)),A2254,IF(OR(E2254="",E2254=""),A2254,A2254&amp;" - "&amp;E2254))</f>
        <v>Remexian 30/1 MTL APF - Apple Fritter</v>
      </c>
      <c r="C2254" t="s">
        <v>83</v>
      </c>
      <c r="D2254" t="s">
        <v>95</v>
      </c>
      <c r="E2254" s="79" t="s">
        <v>6075</v>
      </c>
      <c r="F2254" s="81" t="s">
        <v>144</v>
      </c>
      <c r="G2254" s="83" t="s">
        <v>4057</v>
      </c>
      <c r="H2254" s="83" t="s">
        <v>65</v>
      </c>
      <c r="I2254" t="s">
        <v>0</v>
      </c>
      <c r="J2254" t="s">
        <v>0</v>
      </c>
      <c r="K2254" t="s">
        <v>52</v>
      </c>
      <c r="L2254" t="s">
        <v>53</v>
      </c>
      <c r="M2254" t="s">
        <v>121</v>
      </c>
      <c r="N2254" t="s">
        <v>72</v>
      </c>
      <c r="O2254" t="s">
        <v>88</v>
      </c>
      <c r="P2254" t="s">
        <v>59</v>
      </c>
      <c r="Q2254" t="s">
        <v>57</v>
      </c>
      <c r="R2254" t="s">
        <v>89</v>
      </c>
      <c r="S2254" t="s">
        <v>106</v>
      </c>
      <c r="T2254" t="s">
        <v>62</v>
      </c>
      <c r="U2254" t="s">
        <v>123</v>
      </c>
      <c r="V2254" t="s">
        <v>77</v>
      </c>
      <c r="W2254" t="s">
        <v>116</v>
      </c>
      <c r="X2254" t="s">
        <v>79</v>
      </c>
      <c r="Y2254" t="s">
        <v>1036</v>
      </c>
      <c r="Z2254" t="s">
        <v>64</v>
      </c>
      <c r="AA2254" t="s">
        <v>95</v>
      </c>
      <c r="AB2254" t="s">
        <v>0</v>
      </c>
      <c r="AC2254" t="s">
        <v>6076</v>
      </c>
    </row>
    <row r="2255" spans="1:29">
      <c r="A2255" t="s">
        <v>6077</v>
      </c>
      <c r="B2255" s="93" t="str">
        <f>IF(ISNUMBER(SEARCH(E2255,A2255)),A2255,IF(OR(E2255="",E2255=""),A2255,A2255&amp;" - "&amp;E2255))</f>
        <v>Demecan Core JM7 31/1 - Jelly Mints</v>
      </c>
      <c r="C2255" t="s">
        <v>484</v>
      </c>
      <c r="D2255" t="s">
        <v>485</v>
      </c>
      <c r="E2255" s="79" t="s">
        <v>3778</v>
      </c>
      <c r="F2255" s="81" t="s">
        <v>177</v>
      </c>
      <c r="G2255" s="83" t="s">
        <v>4488</v>
      </c>
      <c r="H2255" s="83" t="s">
        <v>65</v>
      </c>
      <c r="I2255" t="s">
        <v>0</v>
      </c>
      <c r="J2255" t="s">
        <v>0</v>
      </c>
      <c r="K2255" t="s">
        <v>52</v>
      </c>
      <c r="L2255" t="s">
        <v>527</v>
      </c>
      <c r="M2255" t="s">
        <v>72</v>
      </c>
      <c r="N2255" t="s">
        <v>121</v>
      </c>
      <c r="O2255" t="s">
        <v>88</v>
      </c>
      <c r="P2255" t="s">
        <v>146</v>
      </c>
      <c r="Q2255" t="s">
        <v>113</v>
      </c>
      <c r="R2255" t="s">
        <v>58</v>
      </c>
      <c r="S2255" t="s">
        <v>106</v>
      </c>
      <c r="T2255" t="s">
        <v>62</v>
      </c>
      <c r="U2255" t="s">
        <v>123</v>
      </c>
      <c r="V2255" t="s">
        <v>79</v>
      </c>
      <c r="W2255" t="s">
        <v>93</v>
      </c>
      <c r="X2255" t="s">
        <v>107</v>
      </c>
      <c r="Y2255" t="s">
        <v>130</v>
      </c>
      <c r="Z2255" t="s">
        <v>64</v>
      </c>
      <c r="AA2255" t="s">
        <v>485</v>
      </c>
      <c r="AB2255" t="s">
        <v>0</v>
      </c>
      <c r="AC2255" t="s">
        <v>6078</v>
      </c>
    </row>
    <row r="2256" spans="1:29">
      <c r="A2256" t="s">
        <v>6079</v>
      </c>
      <c r="B2256" s="93" t="str">
        <f>IF(ISNUMBER(SEARCH(E2256,A2256)),A2256,IF(OR(E2256="",E2256=""),A2256,A2256&amp;" - "&amp;E2256))</f>
        <v>J.R. Strain GP 28/1 - Gastro Pop</v>
      </c>
      <c r="C2256" t="s">
        <v>564</v>
      </c>
      <c r="D2256" t="s">
        <v>565</v>
      </c>
      <c r="E2256" s="79" t="s">
        <v>1564</v>
      </c>
      <c r="F2256" s="81" t="s">
        <v>177</v>
      </c>
      <c r="G2256" s="83" t="s">
        <v>4164</v>
      </c>
      <c r="H2256" s="83">
        <v>1</v>
      </c>
      <c r="I2256" t="s">
        <v>0</v>
      </c>
      <c r="J2256" t="s">
        <v>0</v>
      </c>
      <c r="K2256" t="s">
        <v>52</v>
      </c>
      <c r="L2256" t="s">
        <v>53</v>
      </c>
      <c r="M2256" t="s">
        <v>156</v>
      </c>
      <c r="N2256" t="s">
        <v>103</v>
      </c>
      <c r="O2256" t="s">
        <v>0</v>
      </c>
      <c r="P2256" t="s">
        <v>58</v>
      </c>
      <c r="Q2256" t="s">
        <v>89</v>
      </c>
      <c r="R2256" t="s">
        <v>59</v>
      </c>
      <c r="S2256" t="s">
        <v>106</v>
      </c>
      <c r="T2256" t="s">
        <v>62</v>
      </c>
      <c r="U2256" t="s">
        <v>123</v>
      </c>
      <c r="V2256" t="s">
        <v>77</v>
      </c>
      <c r="W2256" t="s">
        <v>107</v>
      </c>
      <c r="X2256" t="s">
        <v>173</v>
      </c>
      <c r="Y2256" t="s">
        <v>437</v>
      </c>
      <c r="Z2256" t="s">
        <v>64</v>
      </c>
      <c r="AA2256" t="s">
        <v>565</v>
      </c>
      <c r="AB2256" t="s">
        <v>5648</v>
      </c>
      <c r="AC2256" t="s">
        <v>6080</v>
      </c>
    </row>
    <row r="2257" spans="1:29">
      <c r="A2257" t="s">
        <v>6081</v>
      </c>
      <c r="B2257" s="93" t="str">
        <f>IF(ISNUMBER(SEARCH(E2257,A2257)),A2257,IF(OR(E2257="",E2257=""),A2257,A2257&amp;" - "&amp;E2257))</f>
        <v>Drapalin 27/1 Full Gas - Mandarin Sunset x Ethos Cookies</v>
      </c>
      <c r="C2257" t="s">
        <v>668</v>
      </c>
      <c r="D2257" t="s">
        <v>671</v>
      </c>
      <c r="E2257" s="79" t="s">
        <v>6082</v>
      </c>
      <c r="F2257" s="81" t="s">
        <v>86</v>
      </c>
      <c r="G2257" s="83" t="s">
        <v>33</v>
      </c>
      <c r="H2257" s="83" t="s">
        <v>65</v>
      </c>
      <c r="I2257" t="s">
        <v>0</v>
      </c>
      <c r="J2257" t="s">
        <v>0</v>
      </c>
      <c r="K2257" t="s">
        <v>52</v>
      </c>
      <c r="L2257" t="s">
        <v>5698</v>
      </c>
      <c r="M2257" t="s">
        <v>71</v>
      </c>
      <c r="N2257" t="s">
        <v>111</v>
      </c>
      <c r="O2257" t="s">
        <v>88</v>
      </c>
      <c r="P2257" t="s">
        <v>157</v>
      </c>
      <c r="Q2257" t="s">
        <v>146</v>
      </c>
      <c r="R2257" t="s">
        <v>74</v>
      </c>
      <c r="S2257" t="s">
        <v>128</v>
      </c>
      <c r="T2257" t="s">
        <v>62</v>
      </c>
      <c r="U2257" t="s">
        <v>164</v>
      </c>
      <c r="V2257" t="s">
        <v>116</v>
      </c>
      <c r="W2257" t="s">
        <v>395</v>
      </c>
      <c r="X2257" t="s">
        <v>292</v>
      </c>
      <c r="Y2257" t="s">
        <v>240</v>
      </c>
      <c r="Z2257" t="s">
        <v>64</v>
      </c>
      <c r="AA2257" t="s">
        <v>671</v>
      </c>
      <c r="AB2257" t="s">
        <v>0</v>
      </c>
      <c r="AC2257" t="s">
        <v>6083</v>
      </c>
    </row>
    <row r="2258" spans="1:29">
      <c r="A2258" t="s">
        <v>6084</v>
      </c>
      <c r="B2258" s="93" t="str">
        <f>IF(ISNUMBER(SEARCH(E2258,A2258)),A2258,IF(OR(E2258="",E2258=""),A2258,A2258&amp;" - "&amp;E2258))</f>
        <v>Grünhorn Balanced Nr. 1: - Mango Cream Cheese</v>
      </c>
      <c r="C2258" t="s">
        <v>1957</v>
      </c>
      <c r="D2258" t="s">
        <v>1961</v>
      </c>
      <c r="E2258" s="79" t="s">
        <v>6085</v>
      </c>
      <c r="F2258" s="81" t="s">
        <v>86</v>
      </c>
      <c r="G2258" s="83" t="s">
        <v>12</v>
      </c>
      <c r="H2258" s="83" t="s">
        <v>20</v>
      </c>
      <c r="I2258" t="s">
        <v>0</v>
      </c>
      <c r="J2258" t="s">
        <v>0</v>
      </c>
      <c r="K2258" t="s">
        <v>52</v>
      </c>
      <c r="L2258" t="s">
        <v>102</v>
      </c>
      <c r="M2258" t="s">
        <v>72</v>
      </c>
      <c r="N2258" t="s">
        <v>54</v>
      </c>
      <c r="O2258" t="s">
        <v>111</v>
      </c>
      <c r="P2258" t="s">
        <v>59</v>
      </c>
      <c r="Q2258" t="s">
        <v>157</v>
      </c>
      <c r="R2258" t="s">
        <v>58</v>
      </c>
      <c r="S2258" t="s">
        <v>128</v>
      </c>
      <c r="T2258" t="s">
        <v>179</v>
      </c>
      <c r="U2258" t="s">
        <v>62</v>
      </c>
      <c r="V2258" t="s">
        <v>225</v>
      </c>
      <c r="W2258" t="s">
        <v>79</v>
      </c>
      <c r="X2258" t="s">
        <v>914</v>
      </c>
      <c r="Y2258" t="s">
        <v>348</v>
      </c>
      <c r="Z2258" t="s">
        <v>64</v>
      </c>
      <c r="AA2258" t="s">
        <v>1961</v>
      </c>
      <c r="AB2258" t="s">
        <v>0</v>
      </c>
      <c r="AC2258" t="s">
        <v>6086</v>
      </c>
    </row>
    <row r="2259" spans="1:29">
      <c r="A2259" t="s">
        <v>210</v>
      </c>
      <c r="B2259" s="93" t="str">
        <f>IF(ISNUMBER(SEARCH(E2259,A2259)),A2259,IF(OR(E2259="",E2259=""),A2259,A2259&amp;" - "&amp;E2259))</f>
        <v>Nimbus easy 22/1 - Appalachian Trail</v>
      </c>
      <c r="C2259" t="s">
        <v>141</v>
      </c>
      <c r="D2259" t="s">
        <v>149</v>
      </c>
      <c r="E2259" s="79" t="s">
        <v>5823</v>
      </c>
      <c r="F2259" s="81" t="s">
        <v>86</v>
      </c>
      <c r="G2259" s="83" t="s">
        <v>4126</v>
      </c>
      <c r="H2259" s="83" t="s">
        <v>65</v>
      </c>
      <c r="I2259" t="s">
        <v>0</v>
      </c>
      <c r="J2259" t="s">
        <v>0</v>
      </c>
      <c r="K2259" t="s">
        <v>52</v>
      </c>
      <c r="L2259" t="s">
        <v>145</v>
      </c>
      <c r="M2259" t="s">
        <v>72</v>
      </c>
      <c r="N2259" t="s">
        <v>54</v>
      </c>
      <c r="O2259" t="s">
        <v>71</v>
      </c>
      <c r="P2259" t="s">
        <v>146</v>
      </c>
      <c r="Q2259" t="s">
        <v>59</v>
      </c>
      <c r="R2259" t="s">
        <v>58</v>
      </c>
      <c r="S2259" t="s">
        <v>106</v>
      </c>
      <c r="T2259" t="s">
        <v>62</v>
      </c>
      <c r="U2259" t="s">
        <v>147</v>
      </c>
      <c r="V2259" t="s">
        <v>77</v>
      </c>
      <c r="W2259" t="s">
        <v>180</v>
      </c>
      <c r="X2259" t="s">
        <v>129</v>
      </c>
      <c r="Y2259" t="s">
        <v>1175</v>
      </c>
      <c r="Z2259" t="s">
        <v>64</v>
      </c>
      <c r="AA2259" t="s">
        <v>149</v>
      </c>
      <c r="AB2259" t="s">
        <v>0</v>
      </c>
      <c r="AC2259" t="s">
        <v>6087</v>
      </c>
    </row>
    <row r="2260" spans="1:29">
      <c r="A2260" t="s">
        <v>6088</v>
      </c>
      <c r="B2260" s="93" t="str">
        <f>IF(ISNUMBER(SEARCH(E2260,A2260)),A2260,IF(OR(E2260="",E2260=""),A2260,A2260&amp;" - "&amp;E2260))</f>
        <v>Tilray CRAFT THC30 TRM - Triangle Mints</v>
      </c>
      <c r="C2260" t="s">
        <v>133</v>
      </c>
      <c r="D2260" t="s">
        <v>134</v>
      </c>
      <c r="E2260" s="79" t="s">
        <v>3846</v>
      </c>
      <c r="F2260" s="81" t="s">
        <v>86</v>
      </c>
      <c r="G2260" s="83" t="s">
        <v>4057</v>
      </c>
      <c r="H2260" s="83">
        <v>1</v>
      </c>
      <c r="I2260" t="s">
        <v>0</v>
      </c>
      <c r="J2260" t="s">
        <v>0</v>
      </c>
      <c r="K2260" t="s">
        <v>52</v>
      </c>
      <c r="L2260" t="s">
        <v>53</v>
      </c>
      <c r="M2260" t="s">
        <v>111</v>
      </c>
      <c r="N2260" t="s">
        <v>72</v>
      </c>
      <c r="O2260" t="s">
        <v>54</v>
      </c>
      <c r="P2260" t="s">
        <v>73</v>
      </c>
      <c r="Q2260" t="s">
        <v>57</v>
      </c>
      <c r="R2260" t="s">
        <v>112</v>
      </c>
      <c r="S2260" t="s">
        <v>106</v>
      </c>
      <c r="T2260" t="s">
        <v>62</v>
      </c>
      <c r="U2260" t="s">
        <v>123</v>
      </c>
      <c r="V2260" t="s">
        <v>107</v>
      </c>
      <c r="W2260" t="s">
        <v>129</v>
      </c>
      <c r="X2260" t="s">
        <v>165</v>
      </c>
      <c r="Y2260" t="s">
        <v>5027</v>
      </c>
      <c r="Z2260" t="s">
        <v>64</v>
      </c>
      <c r="AA2260" t="s">
        <v>134</v>
      </c>
      <c r="AB2260" t="s">
        <v>0</v>
      </c>
      <c r="AC2260" t="s">
        <v>6089</v>
      </c>
    </row>
    <row r="2261" spans="1:29">
      <c r="A2261" t="s">
        <v>6090</v>
      </c>
      <c r="B2261" s="93" t="str">
        <f>IF(ISNUMBER(SEARCH(E2261,A2261)),A2261,IF(OR(E2261="",E2261=""),A2261,A2261&amp;" - "&amp;E2261))</f>
        <v>Buuo 30/1 ABB - Kandy Klouds Kush Popstars</v>
      </c>
      <c r="C2261" t="s">
        <v>641</v>
      </c>
      <c r="D2261" t="s">
        <v>642</v>
      </c>
      <c r="E2261" s="79" t="s">
        <v>6091</v>
      </c>
      <c r="F2261" s="81" t="s">
        <v>86</v>
      </c>
      <c r="G2261" s="83" t="s">
        <v>4057</v>
      </c>
      <c r="H2261" s="83" t="s">
        <v>65</v>
      </c>
      <c r="I2261" t="s">
        <v>0</v>
      </c>
      <c r="J2261" t="s">
        <v>0</v>
      </c>
      <c r="K2261" t="s">
        <v>52</v>
      </c>
      <c r="L2261" t="s">
        <v>53</v>
      </c>
      <c r="M2261" t="s">
        <v>121</v>
      </c>
      <c r="N2261" t="s">
        <v>72</v>
      </c>
      <c r="O2261" t="s">
        <v>88</v>
      </c>
      <c r="P2261" t="s">
        <v>59</v>
      </c>
      <c r="Q2261" t="s">
        <v>89</v>
      </c>
      <c r="R2261" t="s">
        <v>58</v>
      </c>
      <c r="S2261" t="s">
        <v>128</v>
      </c>
      <c r="T2261" t="s">
        <v>106</v>
      </c>
      <c r="U2261" t="s">
        <v>123</v>
      </c>
      <c r="V2261" t="s">
        <v>116</v>
      </c>
      <c r="W2261" t="s">
        <v>180</v>
      </c>
      <c r="X2261" t="s">
        <v>78</v>
      </c>
      <c r="Y2261" t="s">
        <v>413</v>
      </c>
      <c r="Z2261" t="s">
        <v>64</v>
      </c>
      <c r="AA2261" t="s">
        <v>642</v>
      </c>
      <c r="AB2261" t="s">
        <v>0</v>
      </c>
      <c r="AC2261" t="s">
        <v>6092</v>
      </c>
    </row>
    <row r="2262" spans="1:29">
      <c r="A2262" t="s">
        <v>6093</v>
      </c>
      <c r="B2262" s="93" t="str">
        <f>IF(ISNUMBER(SEARCH(E2262,A2262)),A2262,IF(OR(E2262="",E2262=""),A2262,A2262&amp;" - "&amp;E2262))</f>
        <v>Sibanax Moe Zilla 30/1 - GG4 x Critical Kush</v>
      </c>
      <c r="C2262" t="s">
        <v>2296</v>
      </c>
      <c r="D2262" t="s">
        <v>2298</v>
      </c>
      <c r="E2262" s="79" t="s">
        <v>6094</v>
      </c>
      <c r="F2262" s="81" t="s">
        <v>86</v>
      </c>
      <c r="G2262" s="83" t="s">
        <v>4057</v>
      </c>
      <c r="H2262" s="83" t="s">
        <v>65</v>
      </c>
      <c r="I2262" t="s">
        <v>0</v>
      </c>
      <c r="J2262" t="s">
        <v>0</v>
      </c>
      <c r="K2262" t="s">
        <v>52</v>
      </c>
      <c r="L2262" t="s">
        <v>6095</v>
      </c>
      <c r="M2262" t="s">
        <v>72</v>
      </c>
      <c r="N2262" t="s">
        <v>121</v>
      </c>
      <c r="O2262" t="s">
        <v>0</v>
      </c>
      <c r="P2262" t="s">
        <v>75</v>
      </c>
      <c r="Q2262" t="s">
        <v>146</v>
      </c>
      <c r="R2262" t="s">
        <v>591</v>
      </c>
      <c r="S2262" t="s">
        <v>106</v>
      </c>
      <c r="T2262" t="s">
        <v>62</v>
      </c>
      <c r="U2262" t="s">
        <v>147</v>
      </c>
      <c r="V2262" t="s">
        <v>116</v>
      </c>
      <c r="W2262" t="s">
        <v>77</v>
      </c>
      <c r="X2262" t="s">
        <v>138</v>
      </c>
      <c r="Y2262" t="s">
        <v>1036</v>
      </c>
      <c r="Z2262" t="s">
        <v>64</v>
      </c>
      <c r="AA2262" t="s">
        <v>2298</v>
      </c>
      <c r="AB2262" t="s">
        <v>0</v>
      </c>
      <c r="AC2262" t="s">
        <v>6096</v>
      </c>
    </row>
    <row r="2263" spans="1:29">
      <c r="A2263" t="s">
        <v>6097</v>
      </c>
      <c r="B2263" s="93" t="str">
        <f>IF(ISNUMBER(SEARCH(E2263,A2263)),A2263,IF(OR(E2263="",E2263=""),A2263,A2263&amp;" - "&amp;E2263))</f>
        <v>THC AKUT FB 25 GP - Gary Payton</v>
      </c>
      <c r="C2263" t="s">
        <v>4625</v>
      </c>
      <c r="D2263" t="s">
        <v>160</v>
      </c>
      <c r="E2263" s="79" t="s">
        <v>1265</v>
      </c>
      <c r="F2263" s="81" t="s">
        <v>86</v>
      </c>
      <c r="G2263" s="83" t="s">
        <v>26</v>
      </c>
      <c r="H2263" s="83" t="s">
        <v>65</v>
      </c>
      <c r="I2263" t="s">
        <v>0</v>
      </c>
      <c r="J2263" t="s">
        <v>0</v>
      </c>
      <c r="K2263" t="s">
        <v>52</v>
      </c>
      <c r="L2263" t="s">
        <v>497</v>
      </c>
      <c r="M2263" t="s">
        <v>178</v>
      </c>
      <c r="N2263" t="s">
        <v>212</v>
      </c>
      <c r="O2263" t="s">
        <v>54</v>
      </c>
      <c r="P2263" t="s">
        <v>157</v>
      </c>
      <c r="Q2263" t="s">
        <v>59</v>
      </c>
      <c r="R2263" t="s">
        <v>89</v>
      </c>
      <c r="S2263" t="s">
        <v>61</v>
      </c>
      <c r="T2263" t="s">
        <v>62</v>
      </c>
      <c r="U2263" t="s">
        <v>123</v>
      </c>
      <c r="V2263" t="s">
        <v>77</v>
      </c>
      <c r="W2263" t="s">
        <v>79</v>
      </c>
      <c r="X2263" t="s">
        <v>107</v>
      </c>
      <c r="Y2263" t="s">
        <v>675</v>
      </c>
      <c r="Z2263" t="s">
        <v>64</v>
      </c>
      <c r="AA2263" t="s">
        <v>160</v>
      </c>
      <c r="AB2263" t="s">
        <v>0</v>
      </c>
      <c r="AC2263" t="s">
        <v>6098</v>
      </c>
    </row>
    <row r="2264" spans="1:29">
      <c r="A2264" t="s">
        <v>6099</v>
      </c>
      <c r="B2264" s="93" t="str">
        <f>IF(ISNUMBER(SEARCH(E2264,A2264)),A2264,IF(OR(E2264="",E2264=""),A2264,A2264&amp;" - "&amp;E2264))</f>
        <v>THC AKUT FB 25 KM - Kush Mintz</v>
      </c>
      <c r="C2264" t="s">
        <v>4625</v>
      </c>
      <c r="D2264" t="s">
        <v>160</v>
      </c>
      <c r="E2264" s="79" t="s">
        <v>5100</v>
      </c>
      <c r="F2264" s="81" t="s">
        <v>86</v>
      </c>
      <c r="G2264" s="83" t="s">
        <v>26</v>
      </c>
      <c r="H2264" s="83" t="s">
        <v>65</v>
      </c>
      <c r="I2264" t="s">
        <v>0</v>
      </c>
      <c r="J2264" t="s">
        <v>0</v>
      </c>
      <c r="K2264" t="s">
        <v>52</v>
      </c>
      <c r="L2264" t="s">
        <v>497</v>
      </c>
      <c r="M2264" t="s">
        <v>55</v>
      </c>
      <c r="N2264" t="s">
        <v>88</v>
      </c>
      <c r="O2264" t="s">
        <v>72</v>
      </c>
      <c r="P2264" t="s">
        <v>146</v>
      </c>
      <c r="Q2264" t="s">
        <v>591</v>
      </c>
      <c r="R2264" t="s">
        <v>74</v>
      </c>
      <c r="S2264" t="s">
        <v>61</v>
      </c>
      <c r="T2264" t="s">
        <v>62</v>
      </c>
      <c r="U2264" t="s">
        <v>123</v>
      </c>
      <c r="V2264" t="s">
        <v>92</v>
      </c>
      <c r="W2264" t="s">
        <v>116</v>
      </c>
      <c r="X2264" t="s">
        <v>79</v>
      </c>
      <c r="Y2264" t="s">
        <v>675</v>
      </c>
      <c r="Z2264" t="s">
        <v>64</v>
      </c>
      <c r="AA2264" t="s">
        <v>160</v>
      </c>
      <c r="AB2264" t="s">
        <v>0</v>
      </c>
      <c r="AC2264" t="s">
        <v>6100</v>
      </c>
    </row>
    <row r="2265" spans="1:29">
      <c r="A2265" t="s">
        <v>6101</v>
      </c>
      <c r="B2265" s="93" t="str">
        <f>IF(ISNUMBER(SEARCH(E2265,A2265)),A2265,IF(OR(E2265="",E2265=""),A2265,A2265&amp;" - "&amp;E2265))</f>
        <v>Pedanios 25/1 FLH-CA - Frozen Lemon Haze</v>
      </c>
      <c r="C2265" t="s">
        <v>511</v>
      </c>
      <c r="D2265" t="s">
        <v>512</v>
      </c>
      <c r="E2265" s="79" t="s">
        <v>6102</v>
      </c>
      <c r="F2265" s="81" t="s">
        <v>144</v>
      </c>
      <c r="G2265" s="83" t="s">
        <v>26</v>
      </c>
      <c r="H2265" s="83" t="s">
        <v>65</v>
      </c>
      <c r="I2265" t="s">
        <v>0</v>
      </c>
      <c r="J2265" t="s">
        <v>0</v>
      </c>
      <c r="K2265" t="s">
        <v>17</v>
      </c>
      <c r="L2265" t="s">
        <v>53</v>
      </c>
      <c r="M2265" t="s">
        <v>103</v>
      </c>
      <c r="N2265" t="s">
        <v>178</v>
      </c>
      <c r="O2265" t="s">
        <v>71</v>
      </c>
      <c r="P2265" t="s">
        <v>59</v>
      </c>
      <c r="Q2265" t="s">
        <v>74</v>
      </c>
      <c r="R2265" t="s">
        <v>73</v>
      </c>
      <c r="S2265" t="s">
        <v>90</v>
      </c>
      <c r="T2265" t="s">
        <v>128</v>
      </c>
      <c r="U2265" t="s">
        <v>106</v>
      </c>
      <c r="V2265" t="s">
        <v>292</v>
      </c>
      <c r="W2265" t="s">
        <v>138</v>
      </c>
      <c r="X2265" t="s">
        <v>79</v>
      </c>
      <c r="Y2265" t="s">
        <v>311</v>
      </c>
      <c r="Z2265" t="s">
        <v>64</v>
      </c>
      <c r="AA2265" t="s">
        <v>512</v>
      </c>
      <c r="AB2265" t="s">
        <v>0</v>
      </c>
      <c r="AC2265" t="s">
        <v>6103</v>
      </c>
    </row>
    <row r="2266" spans="1:29">
      <c r="A2266" t="s">
        <v>6104</v>
      </c>
      <c r="B2266" s="93" t="str">
        <f>IF(ISNUMBER(SEARCH(E2266,A2266)),A2266,IF(OR(E2266="",E2266=""),A2266,A2266&amp;" - "&amp;E2266))</f>
        <v>ZOIKS 26/1 TG  - Tangrini</v>
      </c>
      <c r="C2266" t="s">
        <v>4601</v>
      </c>
      <c r="D2266" t="s">
        <v>572</v>
      </c>
      <c r="E2266" s="79" t="s">
        <v>5755</v>
      </c>
      <c r="F2266" s="81" t="s">
        <v>144</v>
      </c>
      <c r="G2266" s="83" t="s">
        <v>4086</v>
      </c>
      <c r="H2266" s="83" t="s">
        <v>65</v>
      </c>
      <c r="I2266" t="s">
        <v>0</v>
      </c>
      <c r="J2266" t="s">
        <v>0</v>
      </c>
      <c r="K2266" t="s">
        <v>52</v>
      </c>
      <c r="L2266" t="s">
        <v>53</v>
      </c>
      <c r="M2266" t="s">
        <v>72</v>
      </c>
      <c r="N2266" t="s">
        <v>54</v>
      </c>
      <c r="O2266" t="s">
        <v>71</v>
      </c>
      <c r="P2266" t="s">
        <v>59</v>
      </c>
      <c r="Q2266" t="s">
        <v>75</v>
      </c>
      <c r="R2266" t="s">
        <v>89</v>
      </c>
      <c r="S2266" t="s">
        <v>90</v>
      </c>
      <c r="T2266" t="s">
        <v>62</v>
      </c>
      <c r="U2266" t="s">
        <v>147</v>
      </c>
      <c r="V2266" t="s">
        <v>79</v>
      </c>
      <c r="W2266" t="s">
        <v>77</v>
      </c>
      <c r="X2266" t="s">
        <v>292</v>
      </c>
      <c r="Y2266" t="s">
        <v>6105</v>
      </c>
      <c r="Z2266" t="s">
        <v>64</v>
      </c>
      <c r="AA2266" t="s">
        <v>572</v>
      </c>
      <c r="AB2266" t="s">
        <v>0</v>
      </c>
      <c r="AC2266" t="s">
        <v>6106</v>
      </c>
    </row>
    <row r="2267" spans="1:29">
      <c r="A2267" t="s">
        <v>6107</v>
      </c>
      <c r="B2267" t="s">
        <v>6108</v>
      </c>
      <c r="E2267" s="79"/>
      <c r="F2267" s="81"/>
      <c r="G2267" s="83"/>
      <c r="H2267" s="95"/>
    </row>
    <row r="2268" spans="1:29">
      <c r="A2268" t="s">
        <v>6109</v>
      </c>
      <c r="B2268" s="93" t="str">
        <f>IF(ISNUMBER(SEARCH(E2268,A2268)),A2268,IF(OR(E2268="",E2268=""),A2268,A2268&amp;" - "&amp;E2268))</f>
        <v>Remexian 33/1 MTL JUC - Jungle Cake</v>
      </c>
      <c r="C2268" t="s">
        <v>83</v>
      </c>
      <c r="D2268" t="s">
        <v>95</v>
      </c>
      <c r="E2268" t="s">
        <v>1198</v>
      </c>
      <c r="F2268" s="81" t="s">
        <v>144</v>
      </c>
      <c r="G2268" s="83" t="s">
        <v>4169</v>
      </c>
      <c r="H2268" s="83">
        <v>1</v>
      </c>
      <c r="I2268" t="s">
        <v>0</v>
      </c>
      <c r="J2268" t="s">
        <v>0</v>
      </c>
      <c r="K2268" t="s">
        <v>52</v>
      </c>
      <c r="L2268" t="s">
        <v>53</v>
      </c>
      <c r="M2268" t="s">
        <v>178</v>
      </c>
      <c r="N2268" t="s">
        <v>71</v>
      </c>
      <c r="O2268" t="s">
        <v>54</v>
      </c>
      <c r="P2268" t="s">
        <v>59</v>
      </c>
      <c r="Q2268" t="s">
        <v>57</v>
      </c>
      <c r="R2268" t="s">
        <v>89</v>
      </c>
      <c r="S2268" t="s">
        <v>106</v>
      </c>
      <c r="T2268" t="s">
        <v>234</v>
      </c>
      <c r="U2268" t="s">
        <v>147</v>
      </c>
      <c r="V2268" t="s">
        <v>79</v>
      </c>
      <c r="W2268" t="s">
        <v>77</v>
      </c>
      <c r="X2268" t="s">
        <v>116</v>
      </c>
      <c r="Y2268" t="s">
        <v>555</v>
      </c>
      <c r="Z2268" t="s">
        <v>64</v>
      </c>
      <c r="AA2268" t="s">
        <v>95</v>
      </c>
      <c r="AB2268" t="s">
        <v>0</v>
      </c>
      <c r="AC2268" t="s">
        <v>6110</v>
      </c>
    </row>
    <row r="2269" spans="1:29">
      <c r="A2269" t="s">
        <v>6111</v>
      </c>
      <c r="B2269" s="93" t="str">
        <f>IF(ISNUMBER(SEARCH(E2269,A2269)),A2269,IF(OR(E2269="",E2269=""),A2269,A2269&amp;" - "&amp;E2269))</f>
        <v>Amici 26/1 UL - Ultra Limelight</v>
      </c>
      <c r="C2269" t="s">
        <v>996</v>
      </c>
      <c r="D2269" t="s">
        <v>997</v>
      </c>
      <c r="E2269" t="s">
        <v>3892</v>
      </c>
      <c r="F2269" t="s">
        <v>69</v>
      </c>
      <c r="G2269" t="s">
        <v>4086</v>
      </c>
      <c r="H2269" s="2" t="s">
        <v>65</v>
      </c>
      <c r="I2269" t="s">
        <v>0</v>
      </c>
      <c r="J2269" t="s">
        <v>0</v>
      </c>
      <c r="K2269" t="s">
        <v>52</v>
      </c>
      <c r="L2269" t="s">
        <v>53</v>
      </c>
      <c r="M2269" t="s">
        <v>121</v>
      </c>
      <c r="N2269" t="s">
        <v>71</v>
      </c>
      <c r="O2269" t="s">
        <v>88</v>
      </c>
      <c r="P2269" t="s">
        <v>146</v>
      </c>
      <c r="Q2269" t="s">
        <v>58</v>
      </c>
      <c r="R2269" t="s">
        <v>74</v>
      </c>
      <c r="S2269" t="s">
        <v>90</v>
      </c>
      <c r="T2269" t="s">
        <v>106</v>
      </c>
      <c r="U2269" t="s">
        <v>62</v>
      </c>
      <c r="V2269" t="s">
        <v>93</v>
      </c>
      <c r="W2269" t="s">
        <v>292</v>
      </c>
      <c r="X2269" t="s">
        <v>77</v>
      </c>
      <c r="Y2269" t="s">
        <v>0</v>
      </c>
      <c r="Z2269" t="s">
        <v>64</v>
      </c>
      <c r="AA2269" t="s">
        <v>997</v>
      </c>
      <c r="AB2269" t="s">
        <v>0</v>
      </c>
      <c r="AC2269" t="s">
        <v>6112</v>
      </c>
    </row>
    <row r="2270" spans="1:29">
      <c r="A2270" t="s">
        <v>6113</v>
      </c>
      <c r="B2270" s="93" t="str">
        <f>IF(ISNUMBER(SEARCH(E2270,A2270)),A2270,IF(OR(E2270="",E2270=""),A2270,A2270&amp;" - "&amp;E2270))</f>
        <v>420 Natural 30/1 CA TGO - Triangle Octane</v>
      </c>
      <c r="C2270" t="s">
        <v>463</v>
      </c>
      <c r="D2270" t="s">
        <v>468</v>
      </c>
      <c r="E2270" s="9" t="s">
        <v>6114</v>
      </c>
      <c r="F2270" s="1" t="s">
        <v>177</v>
      </c>
      <c r="G2270" s="8" t="s">
        <v>4057</v>
      </c>
      <c r="H2270" s="8" t="s">
        <v>65</v>
      </c>
      <c r="I2270" t="s">
        <v>0</v>
      </c>
      <c r="J2270" t="s">
        <v>0</v>
      </c>
      <c r="K2270" t="s">
        <v>52</v>
      </c>
      <c r="L2270" t="s">
        <v>53</v>
      </c>
      <c r="M2270" t="s">
        <v>121</v>
      </c>
      <c r="N2270" t="s">
        <v>72</v>
      </c>
      <c r="O2270" t="s">
        <v>88</v>
      </c>
      <c r="P2270" t="s">
        <v>59</v>
      </c>
      <c r="Q2270" t="s">
        <v>89</v>
      </c>
      <c r="R2270" t="s">
        <v>146</v>
      </c>
      <c r="S2270" t="s">
        <v>128</v>
      </c>
      <c r="T2270" t="s">
        <v>106</v>
      </c>
      <c r="U2270" t="s">
        <v>164</v>
      </c>
      <c r="V2270" t="s">
        <v>92</v>
      </c>
      <c r="W2270" t="s">
        <v>93</v>
      </c>
      <c r="X2270" t="s">
        <v>77</v>
      </c>
      <c r="Y2270" t="s">
        <v>966</v>
      </c>
      <c r="Z2270" t="s">
        <v>64</v>
      </c>
      <c r="AA2270" t="s">
        <v>468</v>
      </c>
      <c r="AB2270" t="s">
        <v>0</v>
      </c>
      <c r="AC2270" t="s">
        <v>6115</v>
      </c>
    </row>
    <row r="2271" spans="1:29">
      <c r="A2271" t="s">
        <v>6116</v>
      </c>
      <c r="B2271" s="93" t="str">
        <f>IF(ISNUMBER(SEARCH(E2271,A2271)),A2271,IF(OR(E2271="",E2271=""),A2271,A2271&amp;" - "&amp;E2271))</f>
        <v>Wellford Peak CA PKM 26/1 - Pink Kush Mints</v>
      </c>
      <c r="C2271" t="s">
        <v>741</v>
      </c>
      <c r="D2271" t="s">
        <v>742</v>
      </c>
      <c r="E2271" t="s">
        <v>3938</v>
      </c>
      <c r="F2271" t="s">
        <v>177</v>
      </c>
      <c r="G2271" t="s">
        <v>4086</v>
      </c>
      <c r="H2271" s="2" t="s">
        <v>65</v>
      </c>
      <c r="I2271" t="s">
        <v>0</v>
      </c>
      <c r="J2271" t="s">
        <v>0</v>
      </c>
      <c r="K2271" t="s">
        <v>52</v>
      </c>
      <c r="L2271" t="s">
        <v>53</v>
      </c>
      <c r="M2271" t="s">
        <v>88</v>
      </c>
      <c r="N2271" t="s">
        <v>72</v>
      </c>
      <c r="O2271" t="s">
        <v>0</v>
      </c>
      <c r="P2271" t="s">
        <v>89</v>
      </c>
      <c r="Q2271" t="s">
        <v>104</v>
      </c>
      <c r="R2271" t="s">
        <v>59</v>
      </c>
      <c r="S2271" t="s">
        <v>61</v>
      </c>
      <c r="T2271" t="s">
        <v>62</v>
      </c>
      <c r="U2271" t="s">
        <v>123</v>
      </c>
      <c r="V2271" t="s">
        <v>107</v>
      </c>
      <c r="W2271" t="s">
        <v>138</v>
      </c>
      <c r="X2271" t="s">
        <v>116</v>
      </c>
      <c r="Y2271" t="s">
        <v>2230</v>
      </c>
      <c r="Z2271" t="s">
        <v>64</v>
      </c>
      <c r="AA2271" t="s">
        <v>742</v>
      </c>
      <c r="AB2271" t="s">
        <v>0</v>
      </c>
      <c r="AC2271" t="s">
        <v>6117</v>
      </c>
    </row>
    <row r="2272" spans="1:29">
      <c r="A2272" t="s">
        <v>6118</v>
      </c>
      <c r="B2272" s="93" t="str">
        <f>IF(ISNUMBER(SEARCH(E2272,A2272)),A2272,IF(OR(E2272="",E2272=""),A2272,A2272&amp;" - "&amp;E2272))</f>
        <v>enua 25/1 STP CA - Strawberry Pavé</v>
      </c>
      <c r="C2272" t="s">
        <v>650</v>
      </c>
      <c r="D2272" t="s">
        <v>653</v>
      </c>
      <c r="E2272" s="79" t="s">
        <v>4157</v>
      </c>
      <c r="F2272" s="81" t="s">
        <v>86</v>
      </c>
      <c r="G2272" s="83" t="s">
        <v>26</v>
      </c>
      <c r="H2272" s="83" t="s">
        <v>65</v>
      </c>
      <c r="I2272" t="s">
        <v>0</v>
      </c>
      <c r="J2272" t="s">
        <v>0</v>
      </c>
      <c r="K2272" t="s">
        <v>52</v>
      </c>
      <c r="L2272" t="s">
        <v>53</v>
      </c>
      <c r="M2272" t="s">
        <v>54</v>
      </c>
      <c r="N2272" t="s">
        <v>88</v>
      </c>
      <c r="O2272" t="s">
        <v>0</v>
      </c>
      <c r="P2272" t="s">
        <v>75</v>
      </c>
      <c r="Q2272" t="s">
        <v>112</v>
      </c>
      <c r="R2272" t="s">
        <v>57</v>
      </c>
      <c r="S2272" t="s">
        <v>128</v>
      </c>
      <c r="T2272" t="s">
        <v>61</v>
      </c>
      <c r="U2272" t="s">
        <v>62</v>
      </c>
      <c r="V2272" t="s">
        <v>93</v>
      </c>
      <c r="W2272" t="s">
        <v>107</v>
      </c>
      <c r="X2272" t="s">
        <v>116</v>
      </c>
      <c r="Y2272" t="s">
        <v>230</v>
      </c>
      <c r="Z2272" t="s">
        <v>64</v>
      </c>
      <c r="AA2272" t="s">
        <v>653</v>
      </c>
      <c r="AB2272" t="s">
        <v>0</v>
      </c>
      <c r="AC2272" t="s">
        <v>6119</v>
      </c>
    </row>
    <row r="2273" spans="1:29">
      <c r="A2273" t="s">
        <v>6120</v>
      </c>
      <c r="B2273" t="s">
        <v>6120</v>
      </c>
      <c r="C2273" t="s">
        <v>4625</v>
      </c>
      <c r="D2273" t="s">
        <v>160</v>
      </c>
      <c r="E2273" s="9" t="s">
        <v>6121</v>
      </c>
      <c r="F2273" s="1" t="s">
        <v>86</v>
      </c>
      <c r="G2273" s="8" t="s">
        <v>436</v>
      </c>
      <c r="H2273" s="8" t="s">
        <v>65</v>
      </c>
      <c r="I2273" t="s">
        <v>0</v>
      </c>
      <c r="J2273" t="s">
        <v>0</v>
      </c>
      <c r="K2273" t="s">
        <v>52</v>
      </c>
      <c r="M2273" t="s">
        <v>121</v>
      </c>
      <c r="N2273" t="s">
        <v>72</v>
      </c>
      <c r="O2273" t="s">
        <v>156</v>
      </c>
      <c r="P2273" t="s">
        <v>59</v>
      </c>
      <c r="Q2273" t="s">
        <v>89</v>
      </c>
      <c r="R2273" t="s">
        <v>58</v>
      </c>
      <c r="S2273" t="s">
        <v>128</v>
      </c>
      <c r="T2273" t="s">
        <v>106</v>
      </c>
      <c r="U2273" t="s">
        <v>123</v>
      </c>
      <c r="V2273" t="s">
        <v>77</v>
      </c>
      <c r="W2273" t="s">
        <v>93</v>
      </c>
      <c r="X2273" t="s">
        <v>116</v>
      </c>
      <c r="Y2273" t="s">
        <v>6122</v>
      </c>
      <c r="Z2273" t="s">
        <v>64</v>
      </c>
      <c r="AA2273" t="s">
        <v>160</v>
      </c>
      <c r="AB2273" t="s">
        <v>0</v>
      </c>
      <c r="AC2273" t="s">
        <v>6123</v>
      </c>
    </row>
    <row r="2274" spans="1:29">
      <c r="A2274" t="s">
        <v>6124</v>
      </c>
      <c r="B2274" s="11" t="str">
        <f>IF(ISNUMBER(SEARCH(E2274,A2274)),A2274,IF(OR(E2274="",E2274=""),A2274,A2274&amp;" - "&amp;E2274))</f>
        <v>NICE 22/1 WSU - Wedding Sunset</v>
      </c>
      <c r="C2274" t="s">
        <v>996</v>
      </c>
      <c r="D2274" t="s">
        <v>997</v>
      </c>
      <c r="E2274" t="s">
        <v>6125</v>
      </c>
      <c r="F2274" t="s">
        <v>177</v>
      </c>
      <c r="G2274" t="s">
        <v>4126</v>
      </c>
      <c r="H2274" s="2" t="s">
        <v>65</v>
      </c>
      <c r="I2274" t="s">
        <v>0</v>
      </c>
      <c r="J2274" t="s">
        <v>0</v>
      </c>
      <c r="K2274" t="s">
        <v>52</v>
      </c>
      <c r="L2274" t="s">
        <v>102</v>
      </c>
      <c r="M2274" t="s">
        <v>0</v>
      </c>
      <c r="N2274" t="s">
        <v>0</v>
      </c>
      <c r="O2274" t="s">
        <v>0</v>
      </c>
      <c r="P2274" t="s">
        <v>0</v>
      </c>
      <c r="Q2274" t="s">
        <v>0</v>
      </c>
      <c r="R2274" t="s">
        <v>0</v>
      </c>
      <c r="S2274" t="s">
        <v>106</v>
      </c>
      <c r="T2274" t="s">
        <v>62</v>
      </c>
      <c r="U2274" t="s">
        <v>147</v>
      </c>
      <c r="V2274" t="s">
        <v>0</v>
      </c>
      <c r="W2274" t="s">
        <v>0</v>
      </c>
      <c r="X2274" t="s">
        <v>0</v>
      </c>
      <c r="Y2274" t="s">
        <v>0</v>
      </c>
      <c r="Z2274" t="s">
        <v>64</v>
      </c>
      <c r="AA2274" t="s">
        <v>997</v>
      </c>
      <c r="AB2274" t="s">
        <v>0</v>
      </c>
      <c r="AC2274" t="s">
        <v>6126</v>
      </c>
    </row>
    <row r="2275" spans="1:29">
      <c r="A2275" t="s">
        <v>6127</v>
      </c>
      <c r="B2275" s="93" t="str">
        <f>IF(ISNUMBER(SEARCH(E2275,A2275)),A2275,IF(OR(E2275="",E2275=""),A2275,A2275&amp;" - "&amp;E2275))</f>
        <v>aleph Ruby 24/1 - Kosher Tangie</v>
      </c>
      <c r="C2275" t="s">
        <v>725</v>
      </c>
      <c r="D2275" t="s">
        <v>726</v>
      </c>
      <c r="E2275" s="9" t="s">
        <v>6128</v>
      </c>
      <c r="F2275" s="1" t="s">
        <v>144</v>
      </c>
      <c r="G2275" s="8" t="s">
        <v>448</v>
      </c>
      <c r="H2275" s="8" t="s">
        <v>65</v>
      </c>
      <c r="I2275" t="s">
        <v>0</v>
      </c>
      <c r="J2275" t="s">
        <v>0</v>
      </c>
      <c r="K2275" t="s">
        <v>52</v>
      </c>
      <c r="L2275" t="s">
        <v>53</v>
      </c>
      <c r="M2275" t="s">
        <v>54</v>
      </c>
      <c r="N2275" t="s">
        <v>103</v>
      </c>
      <c r="O2275" t="s">
        <v>71</v>
      </c>
      <c r="P2275" t="s">
        <v>58</v>
      </c>
      <c r="Q2275" t="s">
        <v>74</v>
      </c>
      <c r="R2275" t="s">
        <v>75</v>
      </c>
      <c r="S2275" t="s">
        <v>106</v>
      </c>
      <c r="T2275" t="s">
        <v>62</v>
      </c>
      <c r="U2275" t="s">
        <v>147</v>
      </c>
      <c r="V2275" t="s">
        <v>180</v>
      </c>
      <c r="W2275" t="s">
        <v>292</v>
      </c>
      <c r="X2275" t="s">
        <v>138</v>
      </c>
      <c r="Y2275" t="s">
        <v>124</v>
      </c>
      <c r="Z2275" t="s">
        <v>64</v>
      </c>
      <c r="AA2275" t="s">
        <v>726</v>
      </c>
      <c r="AB2275" t="s">
        <v>0</v>
      </c>
      <c r="AC2275" t="s">
        <v>6129</v>
      </c>
    </row>
    <row r="2276" spans="1:29">
      <c r="A2276" t="s">
        <v>6130</v>
      </c>
      <c r="B2276" s="93" t="str">
        <f>IF(ISNUMBER(SEARCH(E2276,A2276)),A2276,IF(OR(E2276="",E2276=""),A2276,A2276&amp;" - "&amp;E2276))</f>
        <v>Cannabis flos 25/1 CL Ku. - Dosi Bow</v>
      </c>
      <c r="C2276" t="s">
        <v>99</v>
      </c>
      <c r="D2276" t="s">
        <v>100</v>
      </c>
      <c r="E2276" t="s">
        <v>6131</v>
      </c>
      <c r="F2276" t="s">
        <v>86</v>
      </c>
      <c r="G2276" t="s">
        <v>26</v>
      </c>
      <c r="H2276" s="2" t="s">
        <v>65</v>
      </c>
      <c r="I2276" t="s">
        <v>0</v>
      </c>
      <c r="J2276" t="s">
        <v>0</v>
      </c>
      <c r="K2276" t="s">
        <v>52</v>
      </c>
      <c r="M2276" t="s">
        <v>121</v>
      </c>
      <c r="N2276" t="s">
        <v>72</v>
      </c>
      <c r="O2276" t="s">
        <v>156</v>
      </c>
      <c r="P2276" t="s">
        <v>59</v>
      </c>
      <c r="Q2276" t="s">
        <v>89</v>
      </c>
      <c r="R2276" t="s">
        <v>157</v>
      </c>
      <c r="S2276" t="s">
        <v>0</v>
      </c>
      <c r="T2276" t="s">
        <v>0</v>
      </c>
      <c r="U2276" t="s">
        <v>0</v>
      </c>
      <c r="V2276" t="s">
        <v>77</v>
      </c>
      <c r="W2276" t="s">
        <v>116</v>
      </c>
      <c r="X2276" t="s">
        <v>129</v>
      </c>
      <c r="Y2276" t="s">
        <v>0</v>
      </c>
      <c r="Z2276" t="s">
        <v>64</v>
      </c>
      <c r="AA2276" t="s">
        <v>100</v>
      </c>
      <c r="AB2276" t="s">
        <v>0</v>
      </c>
      <c r="AC2276" t="s">
        <v>6132</v>
      </c>
    </row>
    <row r="2277" spans="1:29">
      <c r="A2277" t="s">
        <v>6133</v>
      </c>
      <c r="B2277" s="93" t="str">
        <f>IF(ISNUMBER(SEARCH(E2277,A2277)),A2277,IF(OR(E2277="",E2277=""),A2277,A2277&amp;" - "&amp;E2277))</f>
        <v>LOT 420 LEM - Lemonatti</v>
      </c>
      <c r="C2277" t="s">
        <v>564</v>
      </c>
      <c r="D2277" t="s">
        <v>565</v>
      </c>
      <c r="E2277" s="79" t="s">
        <v>1489</v>
      </c>
      <c r="F2277" s="81" t="s">
        <v>86</v>
      </c>
      <c r="G2277" s="83" t="s">
        <v>4086</v>
      </c>
      <c r="H2277" s="83">
        <v>1</v>
      </c>
      <c r="I2277" t="s">
        <v>0</v>
      </c>
      <c r="J2277" t="s">
        <v>0</v>
      </c>
      <c r="K2277" t="s">
        <v>52</v>
      </c>
      <c r="L2277" t="s">
        <v>53</v>
      </c>
      <c r="M2277" t="s">
        <v>178</v>
      </c>
      <c r="N2277" t="s">
        <v>111</v>
      </c>
      <c r="O2277" t="s">
        <v>88</v>
      </c>
      <c r="P2277" t="s">
        <v>104</v>
      </c>
      <c r="Q2277" t="s">
        <v>59</v>
      </c>
      <c r="R2277" t="s">
        <v>89</v>
      </c>
      <c r="S2277" t="s">
        <v>106</v>
      </c>
      <c r="T2277" t="s">
        <v>62</v>
      </c>
      <c r="U2277" t="s">
        <v>147</v>
      </c>
      <c r="V2277" t="s">
        <v>77</v>
      </c>
      <c r="W2277" t="s">
        <v>107</v>
      </c>
      <c r="X2277" t="s">
        <v>79</v>
      </c>
      <c r="Y2277" t="s">
        <v>286</v>
      </c>
      <c r="Z2277" t="s">
        <v>64</v>
      </c>
      <c r="AA2277" t="s">
        <v>565</v>
      </c>
      <c r="AB2277" t="s">
        <v>658</v>
      </c>
      <c r="AC2277" t="s">
        <v>6134</v>
      </c>
    </row>
    <row r="2278" spans="1:29">
      <c r="A2278" t="s">
        <v>6135</v>
      </c>
      <c r="B2278" s="93" t="str">
        <f>IF(ISNUMBER(SEARCH(E2278,A2278)),A2278,IF(OR(E2278="",E2278=""),A2278,A2278&amp;" - "&amp;E2278))</f>
        <v>420 Evolution 30/1 CA MSP - Masterpiece</v>
      </c>
      <c r="C2278" t="s">
        <v>463</v>
      </c>
      <c r="D2278" t="s">
        <v>468</v>
      </c>
      <c r="E2278" s="9" t="s">
        <v>5570</v>
      </c>
      <c r="F2278" s="1" t="s">
        <v>120</v>
      </c>
      <c r="G2278" s="8" t="s">
        <v>4164</v>
      </c>
      <c r="H2278" s="8" t="s">
        <v>65</v>
      </c>
      <c r="I2278" t="s">
        <v>0</v>
      </c>
      <c r="J2278" t="s">
        <v>0</v>
      </c>
      <c r="K2278" t="s">
        <v>52</v>
      </c>
      <c r="L2278" t="s">
        <v>53</v>
      </c>
      <c r="M2278" t="s">
        <v>121</v>
      </c>
      <c r="N2278" t="s">
        <v>72</v>
      </c>
      <c r="O2278" t="s">
        <v>54</v>
      </c>
      <c r="P2278" t="s">
        <v>73</v>
      </c>
      <c r="Q2278" t="s">
        <v>113</v>
      </c>
      <c r="R2278" t="s">
        <v>58</v>
      </c>
      <c r="S2278" t="s">
        <v>106</v>
      </c>
      <c r="T2278" t="s">
        <v>62</v>
      </c>
      <c r="U2278" t="s">
        <v>123</v>
      </c>
      <c r="V2278" t="s">
        <v>116</v>
      </c>
      <c r="W2278" t="s">
        <v>129</v>
      </c>
      <c r="X2278" t="s">
        <v>138</v>
      </c>
      <c r="Y2278" t="s">
        <v>983</v>
      </c>
      <c r="Z2278" t="s">
        <v>64</v>
      </c>
      <c r="AA2278" t="s">
        <v>468</v>
      </c>
      <c r="AB2278" t="s">
        <v>5571</v>
      </c>
      <c r="AC2278" t="s">
        <v>6136</v>
      </c>
    </row>
    <row r="2279" spans="1:29">
      <c r="A2279" t="s">
        <v>6137</v>
      </c>
      <c r="B2279" s="93" t="str">
        <f>IF(ISNUMBER(SEARCH(E2279,A2279)),A2279,IF(OR(E2279="",E2279=""),A2279,A2279&amp;" - "&amp;E2279))</f>
        <v>All Nations MD - Mac Daddy</v>
      </c>
      <c r="C2279" t="s">
        <v>564</v>
      </c>
      <c r="D2279" t="s">
        <v>565</v>
      </c>
      <c r="E2279" s="9" t="s">
        <v>1467</v>
      </c>
      <c r="F2279" s="1" t="s">
        <v>177</v>
      </c>
      <c r="G2279" s="8" t="s">
        <v>436</v>
      </c>
      <c r="H2279" s="8">
        <v>1</v>
      </c>
      <c r="I2279" t="s">
        <v>0</v>
      </c>
      <c r="J2279" t="s">
        <v>0</v>
      </c>
      <c r="K2279" t="s">
        <v>52</v>
      </c>
      <c r="L2279" t="s">
        <v>53</v>
      </c>
      <c r="M2279" t="s">
        <v>111</v>
      </c>
      <c r="N2279" t="s">
        <v>72</v>
      </c>
      <c r="O2279" t="s">
        <v>54</v>
      </c>
      <c r="P2279" t="s">
        <v>73</v>
      </c>
      <c r="Q2279" t="s">
        <v>58</v>
      </c>
      <c r="R2279" t="s">
        <v>74</v>
      </c>
      <c r="S2279" t="s">
        <v>106</v>
      </c>
      <c r="T2279" t="s">
        <v>91</v>
      </c>
      <c r="U2279" t="s">
        <v>147</v>
      </c>
      <c r="V2279" t="s">
        <v>77</v>
      </c>
      <c r="W2279" t="s">
        <v>116</v>
      </c>
      <c r="X2279" t="s">
        <v>107</v>
      </c>
      <c r="Y2279" t="s">
        <v>5662</v>
      </c>
      <c r="Z2279" t="s">
        <v>64</v>
      </c>
      <c r="AA2279" t="s">
        <v>565</v>
      </c>
      <c r="AB2279" t="s">
        <v>1232</v>
      </c>
      <c r="AC2279" t="s">
        <v>6138</v>
      </c>
    </row>
    <row r="2280" spans="1:29">
      <c r="A2280" t="s">
        <v>6139</v>
      </c>
      <c r="B2280" s="93" t="str">
        <f>IF(ISNUMBER(SEARCH(E2280,A2280)),A2280,IF(OR(E2280="",E2280=""),A2280,A2280&amp;" - "&amp;E2280))</f>
        <v>HiSociety 30/1 NLL - OKDK XX</v>
      </c>
      <c r="C2280" t="s">
        <v>564</v>
      </c>
      <c r="D2280" t="s">
        <v>565</v>
      </c>
      <c r="E2280" s="79" t="s">
        <v>6140</v>
      </c>
      <c r="F2280" s="81" t="s">
        <v>86</v>
      </c>
      <c r="G2280" s="83" t="s">
        <v>4057</v>
      </c>
      <c r="H2280" s="83" t="s">
        <v>65</v>
      </c>
      <c r="I2280" t="s">
        <v>0</v>
      </c>
      <c r="J2280" t="s">
        <v>0</v>
      </c>
      <c r="K2280" t="s">
        <v>52</v>
      </c>
      <c r="L2280" t="s">
        <v>102</v>
      </c>
      <c r="M2280" t="s">
        <v>72</v>
      </c>
      <c r="N2280" t="s">
        <v>88</v>
      </c>
      <c r="O2280" t="s">
        <v>121</v>
      </c>
      <c r="P2280" t="s">
        <v>146</v>
      </c>
      <c r="Q2280" t="s">
        <v>59</v>
      </c>
      <c r="R2280" t="s">
        <v>89</v>
      </c>
      <c r="S2280" t="s">
        <v>0</v>
      </c>
      <c r="T2280" t="s">
        <v>0</v>
      </c>
      <c r="U2280" t="s">
        <v>0</v>
      </c>
      <c r="V2280" t="s">
        <v>129</v>
      </c>
      <c r="W2280" t="s">
        <v>79</v>
      </c>
      <c r="X2280" t="s">
        <v>116</v>
      </c>
      <c r="Y2280" t="s">
        <v>307</v>
      </c>
      <c r="Z2280" t="s">
        <v>64</v>
      </c>
      <c r="AA2280" t="s">
        <v>565</v>
      </c>
      <c r="AB2280" t="s">
        <v>0</v>
      </c>
      <c r="AC2280" t="s">
        <v>6141</v>
      </c>
    </row>
    <row r="2281" spans="1:29">
      <c r="A2281" t="s">
        <v>6142</v>
      </c>
      <c r="B2281" s="93" t="str">
        <f>IF(ISNUMBER(SEARCH(E2281,A2281)),A2281,IF(OR(E2281="",E2281=""),A2281,A2281&amp;" - "&amp;E2281))</f>
        <v>Drapalin 24/1 Full Gas - Mandarin Sunset x Ethos Cookies</v>
      </c>
      <c r="C2281" t="s">
        <v>668</v>
      </c>
      <c r="D2281" t="s">
        <v>671</v>
      </c>
      <c r="E2281" s="79" t="s">
        <v>6082</v>
      </c>
      <c r="F2281" s="81" t="s">
        <v>86</v>
      </c>
      <c r="G2281" s="83" t="s">
        <v>33</v>
      </c>
      <c r="H2281" s="83" t="s">
        <v>65</v>
      </c>
      <c r="I2281" t="s">
        <v>0</v>
      </c>
      <c r="J2281" t="s">
        <v>0</v>
      </c>
      <c r="K2281" t="s">
        <v>52</v>
      </c>
      <c r="L2281" t="s">
        <v>5698</v>
      </c>
      <c r="M2281" t="s">
        <v>71</v>
      </c>
      <c r="N2281" t="s">
        <v>111</v>
      </c>
      <c r="O2281" t="s">
        <v>88</v>
      </c>
      <c r="P2281" t="s">
        <v>157</v>
      </c>
      <c r="Q2281" t="s">
        <v>146</v>
      </c>
      <c r="R2281" t="s">
        <v>74</v>
      </c>
      <c r="S2281" t="s">
        <v>128</v>
      </c>
      <c r="T2281" t="s">
        <v>62</v>
      </c>
      <c r="U2281" t="s">
        <v>164</v>
      </c>
      <c r="V2281" t="s">
        <v>116</v>
      </c>
      <c r="W2281" t="s">
        <v>395</v>
      </c>
      <c r="X2281" t="s">
        <v>292</v>
      </c>
      <c r="Y2281" t="s">
        <v>523</v>
      </c>
      <c r="Z2281" t="s">
        <v>64</v>
      </c>
      <c r="AA2281" t="s">
        <v>671</v>
      </c>
      <c r="AB2281" t="s">
        <v>0</v>
      </c>
      <c r="AC2281" t="s">
        <v>6143</v>
      </c>
    </row>
    <row r="2282" spans="1:29">
      <c r="A2282" t="s">
        <v>6144</v>
      </c>
      <c r="B2282" s="93" t="str">
        <f>IF(ISNUMBER(SEARCH(E2282,A2282)),A2282,IF(OR(E2282="",E2282=""),A2282,A2282&amp;" - "&amp;E2282))</f>
        <v>420 Sungrown 20/1 CA ZRP - Zour Apple</v>
      </c>
      <c r="C2282" t="s">
        <v>463</v>
      </c>
      <c r="D2282" t="s">
        <v>468</v>
      </c>
      <c r="E2282" s="9" t="s">
        <v>590</v>
      </c>
      <c r="F2282" s="1" t="s">
        <v>177</v>
      </c>
      <c r="G2282" s="8" t="s">
        <v>460</v>
      </c>
      <c r="H2282" s="8">
        <v>1</v>
      </c>
      <c r="I2282" t="s">
        <v>0</v>
      </c>
      <c r="J2282" t="s">
        <v>0</v>
      </c>
      <c r="K2282" t="s">
        <v>52</v>
      </c>
      <c r="L2282" t="s">
        <v>53</v>
      </c>
      <c r="M2282" t="s">
        <v>111</v>
      </c>
      <c r="N2282" t="s">
        <v>178</v>
      </c>
      <c r="O2282" t="s">
        <v>72</v>
      </c>
      <c r="P2282" t="s">
        <v>58</v>
      </c>
      <c r="Q2282" t="s">
        <v>591</v>
      </c>
      <c r="R2282" t="s">
        <v>0</v>
      </c>
      <c r="S2282" t="s">
        <v>90</v>
      </c>
      <c r="T2282" t="s">
        <v>128</v>
      </c>
      <c r="U2282" t="s">
        <v>234</v>
      </c>
      <c r="V2282" t="s">
        <v>107</v>
      </c>
      <c r="W2282" t="s">
        <v>93</v>
      </c>
      <c r="X2282" t="s">
        <v>92</v>
      </c>
      <c r="Y2282" t="s">
        <v>643</v>
      </c>
      <c r="Z2282" t="s">
        <v>64</v>
      </c>
      <c r="AA2282" t="s">
        <v>468</v>
      </c>
      <c r="AB2282" t="s">
        <v>0</v>
      </c>
      <c r="AC2282" t="s">
        <v>6145</v>
      </c>
    </row>
    <row r="2283" spans="1:29">
      <c r="A2283" t="s">
        <v>6146</v>
      </c>
      <c r="B2283" s="93" t="str">
        <f>IF(ISNUMBER(SEARCH(E2283,A2283)),A2283,IF(OR(E2283="",E2283=""),A2283,A2283&amp;" - "&amp;E2283))</f>
        <v>Khiron WED 20/1 - Wedding Cake</v>
      </c>
      <c r="C2283" t="s">
        <v>1871</v>
      </c>
      <c r="D2283" t="s">
        <v>1872</v>
      </c>
      <c r="E2283" s="79" t="s">
        <v>1195</v>
      </c>
      <c r="F2283" s="81" t="s">
        <v>177</v>
      </c>
      <c r="G2283" s="83" t="s">
        <v>460</v>
      </c>
      <c r="H2283" s="83" t="s">
        <v>65</v>
      </c>
      <c r="I2283" t="s">
        <v>0</v>
      </c>
      <c r="J2283" t="s">
        <v>0</v>
      </c>
      <c r="K2283" t="s">
        <v>52</v>
      </c>
      <c r="L2283" t="s">
        <v>423</v>
      </c>
      <c r="M2283" t="s">
        <v>156</v>
      </c>
      <c r="N2283" t="s">
        <v>72</v>
      </c>
      <c r="O2283" t="s">
        <v>0</v>
      </c>
      <c r="P2283" t="s">
        <v>59</v>
      </c>
      <c r="Q2283" t="s">
        <v>89</v>
      </c>
      <c r="R2283" t="s">
        <v>57</v>
      </c>
      <c r="S2283" t="s">
        <v>466</v>
      </c>
      <c r="T2283" t="s">
        <v>493</v>
      </c>
      <c r="U2283" t="s">
        <v>0</v>
      </c>
      <c r="V2283" t="s">
        <v>93</v>
      </c>
      <c r="W2283" t="s">
        <v>107</v>
      </c>
      <c r="X2283" t="s">
        <v>116</v>
      </c>
      <c r="Y2283" t="s">
        <v>0</v>
      </c>
      <c r="Z2283" t="s">
        <v>64</v>
      </c>
      <c r="AA2283" t="s">
        <v>1872</v>
      </c>
      <c r="AB2283" t="s">
        <v>0</v>
      </c>
      <c r="AC2283" t="s">
        <v>6147</v>
      </c>
    </row>
    <row r="2284" spans="1:29">
      <c r="A2284" t="s">
        <v>6148</v>
      </c>
      <c r="B2284" s="93" t="str">
        <f>IF(ISNUMBER(SEARCH(E2284,A2284)),A2284,IF(OR(E2284="",E2284=""),A2284,A2284&amp;" - "&amp;E2284))</f>
        <v>Buuo 26/1 RADIA - Rainbow Lava Popstars</v>
      </c>
      <c r="C2284" t="s">
        <v>641</v>
      </c>
      <c r="D2284" t="s">
        <v>642</v>
      </c>
      <c r="E2284" s="79" t="s">
        <v>6149</v>
      </c>
      <c r="F2284" s="81" t="s">
        <v>86</v>
      </c>
      <c r="G2284" s="83" t="s">
        <v>4086</v>
      </c>
      <c r="H2284" s="83" t="s">
        <v>65</v>
      </c>
      <c r="I2284" t="s">
        <v>0</v>
      </c>
      <c r="J2284" t="s">
        <v>0</v>
      </c>
      <c r="K2284" t="s">
        <v>52</v>
      </c>
      <c r="L2284" t="s">
        <v>53</v>
      </c>
      <c r="M2284" t="s">
        <v>72</v>
      </c>
      <c r="N2284" t="s">
        <v>54</v>
      </c>
      <c r="O2284" t="s">
        <v>103</v>
      </c>
      <c r="P2284" t="s">
        <v>59</v>
      </c>
      <c r="Q2284" t="s">
        <v>89</v>
      </c>
      <c r="R2284" t="s">
        <v>58</v>
      </c>
      <c r="S2284" t="s">
        <v>106</v>
      </c>
      <c r="T2284" t="s">
        <v>164</v>
      </c>
      <c r="U2284" t="s">
        <v>123</v>
      </c>
      <c r="V2284" t="s">
        <v>77</v>
      </c>
      <c r="W2284" t="s">
        <v>225</v>
      </c>
      <c r="X2284" t="s">
        <v>180</v>
      </c>
      <c r="Y2284" t="s">
        <v>1681</v>
      </c>
      <c r="Z2284" t="s">
        <v>64</v>
      </c>
      <c r="AA2284" t="s">
        <v>642</v>
      </c>
      <c r="AB2284" t="s">
        <v>0</v>
      </c>
      <c r="AC2284" t="s">
        <v>6150</v>
      </c>
    </row>
    <row r="2285" spans="1:29">
      <c r="A2285" t="s">
        <v>6151</v>
      </c>
      <c r="B2285" s="93" t="str">
        <f>IF(ISNUMBER(SEARCH(E2285,A2285)),A2285,IF(OR(E2285="",E2285=""),A2285,A2285&amp;" - "&amp;E2285))</f>
        <v>BUUO 24/1 BCG - Candy Bandit Popstars</v>
      </c>
      <c r="C2285" t="s">
        <v>641</v>
      </c>
      <c r="D2285" t="s">
        <v>642</v>
      </c>
      <c r="E2285" s="79" t="s">
        <v>6152</v>
      </c>
      <c r="F2285" s="81" t="s">
        <v>86</v>
      </c>
      <c r="G2285" s="83" t="s">
        <v>448</v>
      </c>
      <c r="H2285" s="83" t="s">
        <v>65</v>
      </c>
      <c r="I2285" t="s">
        <v>0</v>
      </c>
      <c r="J2285" t="s">
        <v>0</v>
      </c>
      <c r="K2285" t="s">
        <v>52</v>
      </c>
      <c r="L2285" t="s">
        <v>53</v>
      </c>
      <c r="M2285" t="s">
        <v>72</v>
      </c>
      <c r="N2285" t="s">
        <v>88</v>
      </c>
      <c r="O2285" t="s">
        <v>0</v>
      </c>
      <c r="P2285" t="s">
        <v>59</v>
      </c>
      <c r="Q2285" t="s">
        <v>89</v>
      </c>
      <c r="R2285" t="s">
        <v>157</v>
      </c>
      <c r="S2285" t="s">
        <v>106</v>
      </c>
      <c r="T2285" t="s">
        <v>62</v>
      </c>
      <c r="U2285" t="s">
        <v>147</v>
      </c>
      <c r="V2285" t="s">
        <v>77</v>
      </c>
      <c r="W2285" t="s">
        <v>129</v>
      </c>
      <c r="X2285" t="s">
        <v>79</v>
      </c>
      <c r="Y2285" t="s">
        <v>307</v>
      </c>
      <c r="Z2285" t="s">
        <v>64</v>
      </c>
      <c r="AA2285" t="s">
        <v>642</v>
      </c>
      <c r="AB2285" t="s">
        <v>0</v>
      </c>
      <c r="AC2285" t="s">
        <v>6153</v>
      </c>
    </row>
    <row r="2286" spans="1:29">
      <c r="A2286" t="s">
        <v>6154</v>
      </c>
      <c r="B2286" s="93" t="str">
        <f>IF(ISNUMBER(SEARCH(E2286,A2286)),A2286,IF(OR(E2286="",E2286=""),A2286,A2286&amp;" - "&amp;E2286))</f>
        <v>NICE surprise 16/1 OZK - Ozark</v>
      </c>
      <c r="C2286" t="s">
        <v>996</v>
      </c>
      <c r="D2286" t="s">
        <v>997</v>
      </c>
      <c r="E2286" t="s">
        <v>6155</v>
      </c>
      <c r="F2286" t="s">
        <v>86</v>
      </c>
      <c r="G2286" t="s">
        <v>40</v>
      </c>
      <c r="H2286" s="2" t="s">
        <v>65</v>
      </c>
      <c r="I2286" t="s">
        <v>0</v>
      </c>
      <c r="J2286" t="s">
        <v>0</v>
      </c>
      <c r="K2286" t="s">
        <v>52</v>
      </c>
      <c r="L2286" t="s">
        <v>102</v>
      </c>
      <c r="M2286" t="s">
        <v>72</v>
      </c>
      <c r="N2286" t="s">
        <v>54</v>
      </c>
      <c r="O2286" t="s">
        <v>71</v>
      </c>
      <c r="P2286" t="s">
        <v>59</v>
      </c>
      <c r="Q2286" t="s">
        <v>89</v>
      </c>
      <c r="R2286" t="s">
        <v>58</v>
      </c>
      <c r="S2286" t="s">
        <v>106</v>
      </c>
      <c r="T2286" t="s">
        <v>62</v>
      </c>
      <c r="U2286" t="s">
        <v>123</v>
      </c>
      <c r="V2286" t="s">
        <v>92</v>
      </c>
      <c r="W2286" t="s">
        <v>77</v>
      </c>
      <c r="X2286" t="s">
        <v>129</v>
      </c>
      <c r="Y2286" t="s">
        <v>0</v>
      </c>
      <c r="Z2286" t="s">
        <v>64</v>
      </c>
      <c r="AA2286" t="s">
        <v>997</v>
      </c>
      <c r="AB2286" t="s">
        <v>0</v>
      </c>
      <c r="AC2286" t="s">
        <v>6156</v>
      </c>
    </row>
    <row r="2287" spans="1:29">
      <c r="A2287" t="s">
        <v>6157</v>
      </c>
      <c r="B2287" s="93" t="str">
        <f>IF(ISNUMBER(SEARCH(E2287,A2287)),A2287,IF(OR(E2287="",E2287=""),A2287,A2287&amp;" - "&amp;E2287))</f>
        <v>HiSociety 27/1 NLL - OKDK XX</v>
      </c>
      <c r="C2287" t="s">
        <v>564</v>
      </c>
      <c r="D2287" t="s">
        <v>565</v>
      </c>
      <c r="E2287" s="79" t="s">
        <v>6140</v>
      </c>
      <c r="F2287" s="81" t="s">
        <v>86</v>
      </c>
      <c r="G2287" s="83" t="s">
        <v>33</v>
      </c>
      <c r="H2287" s="83" t="s">
        <v>65</v>
      </c>
      <c r="I2287" t="s">
        <v>0</v>
      </c>
      <c r="J2287" t="s">
        <v>0</v>
      </c>
      <c r="K2287" t="s">
        <v>52</v>
      </c>
      <c r="L2287" t="s">
        <v>102</v>
      </c>
      <c r="M2287" t="s">
        <v>72</v>
      </c>
      <c r="N2287" t="s">
        <v>88</v>
      </c>
      <c r="O2287" t="s">
        <v>121</v>
      </c>
      <c r="P2287" t="s">
        <v>146</v>
      </c>
      <c r="Q2287" t="s">
        <v>59</v>
      </c>
      <c r="R2287" t="s">
        <v>89</v>
      </c>
      <c r="S2287" t="s">
        <v>106</v>
      </c>
      <c r="T2287" t="s">
        <v>62</v>
      </c>
      <c r="U2287" t="s">
        <v>147</v>
      </c>
      <c r="V2287" t="s">
        <v>129</v>
      </c>
      <c r="W2287" t="s">
        <v>79</v>
      </c>
      <c r="X2287" t="s">
        <v>116</v>
      </c>
      <c r="Y2287" t="s">
        <v>213</v>
      </c>
      <c r="Z2287" t="s">
        <v>64</v>
      </c>
      <c r="AA2287" t="s">
        <v>565</v>
      </c>
      <c r="AB2287" t="s">
        <v>0</v>
      </c>
      <c r="AC2287" t="s">
        <v>6158</v>
      </c>
    </row>
    <row r="2288" spans="1:29">
      <c r="A2288" t="s">
        <v>6159</v>
      </c>
      <c r="B2288" s="93" t="str">
        <f>IF(ISNUMBER(SEARCH(E2288,A2288)),A2288,IF(OR(E2288="",E2288=""),A2288,A2288&amp;" - "&amp;E2288))</f>
        <v>Demecan BB Regular Drop 25/1 Moonbow x Planet Purple - Crossbow</v>
      </c>
      <c r="C2288" t="s">
        <v>484</v>
      </c>
      <c r="D2288" t="s">
        <v>485</v>
      </c>
      <c r="E2288" s="79" t="s">
        <v>5004</v>
      </c>
      <c r="F2288" s="81" t="s">
        <v>177</v>
      </c>
      <c r="G2288" s="83" t="s">
        <v>26</v>
      </c>
      <c r="H2288" s="83" t="s">
        <v>65</v>
      </c>
      <c r="I2288" t="s">
        <v>0</v>
      </c>
      <c r="J2288" t="s">
        <v>0</v>
      </c>
      <c r="K2288" t="s">
        <v>52</v>
      </c>
      <c r="L2288" t="s">
        <v>53</v>
      </c>
      <c r="M2288" t="s">
        <v>88</v>
      </c>
      <c r="N2288" t="s">
        <v>71</v>
      </c>
      <c r="O2288" t="s">
        <v>72</v>
      </c>
      <c r="P2288" t="s">
        <v>104</v>
      </c>
      <c r="Q2288" t="s">
        <v>73</v>
      </c>
      <c r="R2288" t="s">
        <v>89</v>
      </c>
      <c r="S2288" t="s">
        <v>128</v>
      </c>
      <c r="T2288" t="s">
        <v>106</v>
      </c>
      <c r="U2288" t="s">
        <v>164</v>
      </c>
      <c r="V2288" t="s">
        <v>77</v>
      </c>
      <c r="W2288" t="s">
        <v>138</v>
      </c>
      <c r="X2288" t="s">
        <v>93</v>
      </c>
      <c r="Y2288" t="s">
        <v>5487</v>
      </c>
      <c r="Z2288" t="s">
        <v>64</v>
      </c>
      <c r="AA2288" t="s">
        <v>485</v>
      </c>
      <c r="AB2288" t="s">
        <v>0</v>
      </c>
      <c r="AC2288" t="s">
        <v>6160</v>
      </c>
    </row>
    <row r="2289" spans="1:29">
      <c r="A2289" t="s">
        <v>6161</v>
      </c>
      <c r="B2289" s="93" t="str">
        <f>IF(ISNUMBER(SEARCH(E2289,A2289)),A2289,IF(OR(E2289="",E2289=""),A2289,A2289&amp;" - "&amp;E2289))</f>
        <v>mediproCan Lunaris 25/1 - Paradiso</v>
      </c>
      <c r="C2289" t="s">
        <v>317</v>
      </c>
      <c r="D2289" t="s">
        <v>320</v>
      </c>
      <c r="E2289" s="79" t="s">
        <v>435</v>
      </c>
      <c r="F2289" s="81" t="s">
        <v>177</v>
      </c>
      <c r="G2289" s="83" t="s">
        <v>26</v>
      </c>
      <c r="H2289" s="83" t="s">
        <v>65</v>
      </c>
      <c r="I2289" t="s">
        <v>0</v>
      </c>
      <c r="J2289" t="s">
        <v>0</v>
      </c>
      <c r="K2289" t="s">
        <v>52</v>
      </c>
      <c r="L2289" t="s">
        <v>102</v>
      </c>
      <c r="M2289" t="s">
        <v>54</v>
      </c>
      <c r="N2289" t="s">
        <v>178</v>
      </c>
      <c r="O2289" t="s">
        <v>72</v>
      </c>
      <c r="P2289" t="s">
        <v>58</v>
      </c>
      <c r="Q2289" t="s">
        <v>74</v>
      </c>
      <c r="R2289" t="s">
        <v>73</v>
      </c>
      <c r="S2289" t="s">
        <v>106</v>
      </c>
      <c r="T2289" t="s">
        <v>62</v>
      </c>
      <c r="U2289" t="s">
        <v>147</v>
      </c>
      <c r="V2289" t="s">
        <v>79</v>
      </c>
      <c r="W2289" t="s">
        <v>180</v>
      </c>
      <c r="X2289" t="s">
        <v>0</v>
      </c>
      <c r="Y2289" t="s">
        <v>1175</v>
      </c>
      <c r="Z2289" t="s">
        <v>64</v>
      </c>
      <c r="AA2289" t="s">
        <v>320</v>
      </c>
      <c r="AB2289" t="s">
        <v>0</v>
      </c>
      <c r="AC2289" t="s">
        <v>6162</v>
      </c>
    </row>
    <row r="2290" spans="1:29">
      <c r="A2290" t="s">
        <v>6163</v>
      </c>
      <c r="B2290" s="93" t="str">
        <f>IF(ISNUMBER(SEARCH(E2290,A2290)),A2290,IF(OR(E2290="",E2290=""),A2290,A2290&amp;" - "&amp;E2290))</f>
        <v>mediproCan Lunaris 19/1 - Ice Cream Cake</v>
      </c>
      <c r="C2290" t="s">
        <v>317</v>
      </c>
      <c r="D2290" t="s">
        <v>320</v>
      </c>
      <c r="E2290" s="79" t="s">
        <v>1214</v>
      </c>
      <c r="F2290" s="81" t="s">
        <v>177</v>
      </c>
      <c r="G2290" s="83" t="s">
        <v>4160</v>
      </c>
      <c r="H2290" s="83" t="s">
        <v>65</v>
      </c>
      <c r="I2290" t="s">
        <v>0</v>
      </c>
      <c r="J2290" t="s">
        <v>0</v>
      </c>
      <c r="K2290" t="s">
        <v>52</v>
      </c>
      <c r="L2290" t="s">
        <v>102</v>
      </c>
      <c r="M2290" t="s">
        <v>121</v>
      </c>
      <c r="N2290" t="s">
        <v>72</v>
      </c>
      <c r="O2290" t="s">
        <v>103</v>
      </c>
      <c r="P2290" t="s">
        <v>89</v>
      </c>
      <c r="Q2290" t="s">
        <v>57</v>
      </c>
      <c r="R2290" t="s">
        <v>0</v>
      </c>
      <c r="S2290" t="s">
        <v>90</v>
      </c>
      <c r="T2290" t="s">
        <v>106</v>
      </c>
      <c r="U2290" t="s">
        <v>147</v>
      </c>
      <c r="V2290" t="s">
        <v>107</v>
      </c>
      <c r="W2290" t="s">
        <v>77</v>
      </c>
      <c r="X2290" t="s">
        <v>173</v>
      </c>
      <c r="Y2290" t="s">
        <v>6164</v>
      </c>
      <c r="Z2290" t="s">
        <v>64</v>
      </c>
      <c r="AA2290" t="s">
        <v>320</v>
      </c>
      <c r="AB2290" t="s">
        <v>0</v>
      </c>
      <c r="AC2290" t="s">
        <v>6165</v>
      </c>
    </row>
    <row r="2291" spans="1:29">
      <c r="A2291" t="s">
        <v>6166</v>
      </c>
      <c r="B2291" s="93" t="str">
        <f>IF(ISNUMBER(SEARCH(E2291,A2291)),A2291,IF(OR(E2291="",E2291=""),A2291,A2291&amp;" - "&amp;E2291))</f>
        <v>avaay 24/1 MIM - Midnight Mimosa</v>
      </c>
      <c r="C2291" t="s">
        <v>4601</v>
      </c>
      <c r="D2291" t="s">
        <v>572</v>
      </c>
      <c r="E2291" s="9" t="s">
        <v>3496</v>
      </c>
      <c r="F2291" s="1" t="s">
        <v>177</v>
      </c>
      <c r="G2291" s="8" t="s">
        <v>448</v>
      </c>
      <c r="H2291" s="8" t="s">
        <v>65</v>
      </c>
      <c r="I2291" t="s">
        <v>0</v>
      </c>
      <c r="J2291" t="s">
        <v>0</v>
      </c>
      <c r="K2291" t="s">
        <v>52</v>
      </c>
      <c r="L2291" t="s">
        <v>53</v>
      </c>
      <c r="M2291" t="s">
        <v>178</v>
      </c>
      <c r="N2291" t="s">
        <v>54</v>
      </c>
      <c r="O2291" t="s">
        <v>88</v>
      </c>
      <c r="P2291" t="s">
        <v>74</v>
      </c>
      <c r="Q2291" t="s">
        <v>59</v>
      </c>
      <c r="R2291" t="s">
        <v>89</v>
      </c>
      <c r="S2291" t="s">
        <v>106</v>
      </c>
      <c r="T2291" t="s">
        <v>62</v>
      </c>
      <c r="U2291" t="s">
        <v>114</v>
      </c>
      <c r="V2291" t="s">
        <v>116</v>
      </c>
      <c r="W2291" t="s">
        <v>93</v>
      </c>
      <c r="X2291" t="s">
        <v>79</v>
      </c>
      <c r="Y2291" t="s">
        <v>1167</v>
      </c>
      <c r="Z2291" t="s">
        <v>64</v>
      </c>
      <c r="AA2291" t="s">
        <v>572</v>
      </c>
      <c r="AB2291" t="s">
        <v>1252</v>
      </c>
      <c r="AC2291" t="s">
        <v>6167</v>
      </c>
    </row>
    <row r="2292" spans="1:29">
      <c r="A2292" t="s">
        <v>6168</v>
      </c>
      <c r="B2292" s="93" t="str">
        <f>IF(ISNUMBER(SEARCH(E2292,A2292)),A2292,IF(OR(E2292="",E2292=""),A2292,A2292&amp;" - "&amp;E2292))</f>
        <v>Canopy KMI 30/1 Kush Mints - Kush Mintz</v>
      </c>
      <c r="C2292" t="s">
        <v>547</v>
      </c>
      <c r="D2292" t="s">
        <v>551</v>
      </c>
      <c r="E2292" s="79" t="s">
        <v>5100</v>
      </c>
      <c r="F2292" s="81" t="s">
        <v>177</v>
      </c>
      <c r="G2292" s="83" t="s">
        <v>4057</v>
      </c>
      <c r="H2292" s="83">
        <v>1</v>
      </c>
      <c r="I2292" t="s">
        <v>0</v>
      </c>
      <c r="J2292" t="s">
        <v>0</v>
      </c>
      <c r="K2292" t="s">
        <v>17</v>
      </c>
      <c r="L2292" t="s">
        <v>53</v>
      </c>
      <c r="M2292" t="s">
        <v>55</v>
      </c>
      <c r="N2292" t="s">
        <v>88</v>
      </c>
      <c r="O2292" t="s">
        <v>72</v>
      </c>
      <c r="P2292" t="s">
        <v>146</v>
      </c>
      <c r="Q2292" t="s">
        <v>591</v>
      </c>
      <c r="R2292" t="s">
        <v>74</v>
      </c>
      <c r="S2292" t="s">
        <v>106</v>
      </c>
      <c r="T2292" t="s">
        <v>62</v>
      </c>
      <c r="U2292" t="s">
        <v>123</v>
      </c>
      <c r="V2292" t="s">
        <v>92</v>
      </c>
      <c r="W2292" t="s">
        <v>116</v>
      </c>
      <c r="X2292" t="s">
        <v>79</v>
      </c>
      <c r="Y2292" t="s">
        <v>335</v>
      </c>
      <c r="Z2292" t="s">
        <v>64</v>
      </c>
      <c r="AA2292" t="s">
        <v>551</v>
      </c>
      <c r="AB2292" t="s">
        <v>0</v>
      </c>
      <c r="AC2292" t="s">
        <v>6169</v>
      </c>
    </row>
    <row r="2293" spans="1:29">
      <c r="A2293" t="s">
        <v>6170</v>
      </c>
      <c r="B2293" s="93" t="str">
        <f>IF(ISNUMBER(SEARCH(E2293,A2293)),A2293,IF(OR(E2293="",E2293=""),A2293,A2293&amp;" - "&amp;E2293))</f>
        <v>Cannamedical Hybrid Forte BC - Lemon Cookies</v>
      </c>
      <c r="C2293" t="s">
        <v>48</v>
      </c>
      <c r="D2293" t="s">
        <v>49</v>
      </c>
      <c r="E2293" s="79" t="s">
        <v>3656</v>
      </c>
      <c r="F2293" s="81" t="s">
        <v>86</v>
      </c>
      <c r="G2293" s="83" t="s">
        <v>4126</v>
      </c>
      <c r="H2293" s="83">
        <v>1</v>
      </c>
      <c r="I2293" t="s">
        <v>0</v>
      </c>
      <c r="J2293" t="s">
        <v>0</v>
      </c>
      <c r="K2293" t="s">
        <v>17</v>
      </c>
      <c r="L2293" t="s">
        <v>102</v>
      </c>
      <c r="M2293" t="s">
        <v>111</v>
      </c>
      <c r="N2293" t="s">
        <v>55</v>
      </c>
      <c r="O2293" t="s">
        <v>88</v>
      </c>
      <c r="P2293" t="s">
        <v>57</v>
      </c>
      <c r="Q2293" t="s">
        <v>58</v>
      </c>
      <c r="R2293" t="s">
        <v>59</v>
      </c>
      <c r="S2293" t="s">
        <v>62</v>
      </c>
      <c r="T2293" t="s">
        <v>91</v>
      </c>
      <c r="U2293" t="s">
        <v>147</v>
      </c>
      <c r="V2293" t="s">
        <v>107</v>
      </c>
      <c r="W2293" t="s">
        <v>93</v>
      </c>
      <c r="X2293" t="s">
        <v>77</v>
      </c>
      <c r="Y2293" t="s">
        <v>3098</v>
      </c>
      <c r="Z2293" t="s">
        <v>64</v>
      </c>
      <c r="AA2293" t="s">
        <v>49</v>
      </c>
      <c r="AB2293" t="s">
        <v>0</v>
      </c>
      <c r="AC2293" t="s">
        <v>6171</v>
      </c>
    </row>
    <row r="2294" spans="1:29">
      <c r="A2294" t="s">
        <v>6172</v>
      </c>
      <c r="B2294" s="93" t="str">
        <f>IF(ISNUMBER(SEARCH(E2294,A2294)),A2294,IF(OR(E2294="",E2294=""),A2294,A2294&amp;" - "&amp;E2294))</f>
        <v>CM 25/1 SKC - Sun County Kush</v>
      </c>
      <c r="C2294" t="s">
        <v>48</v>
      </c>
      <c r="D2294" t="s">
        <v>49</v>
      </c>
      <c r="E2294" s="79" t="s">
        <v>6173</v>
      </c>
      <c r="F2294" s="81" t="s">
        <v>177</v>
      </c>
      <c r="G2294" s="83" t="s">
        <v>26</v>
      </c>
      <c r="H2294" s="83" t="s">
        <v>65</v>
      </c>
      <c r="I2294" t="s">
        <v>0</v>
      </c>
      <c r="J2294" t="s">
        <v>0</v>
      </c>
      <c r="K2294" t="s">
        <v>52</v>
      </c>
      <c r="L2294" t="s">
        <v>53</v>
      </c>
      <c r="M2294" t="s">
        <v>72</v>
      </c>
      <c r="N2294" t="s">
        <v>88</v>
      </c>
      <c r="O2294" t="s">
        <v>103</v>
      </c>
      <c r="P2294" t="s">
        <v>104</v>
      </c>
      <c r="Q2294" t="s">
        <v>59</v>
      </c>
      <c r="R2294" t="s">
        <v>157</v>
      </c>
      <c r="S2294" t="s">
        <v>90</v>
      </c>
      <c r="T2294" t="s">
        <v>128</v>
      </c>
      <c r="U2294" t="s">
        <v>106</v>
      </c>
      <c r="V2294" t="s">
        <v>77</v>
      </c>
      <c r="W2294" t="s">
        <v>79</v>
      </c>
      <c r="X2294" t="s">
        <v>93</v>
      </c>
      <c r="Y2294" t="s">
        <v>1266</v>
      </c>
      <c r="Z2294" t="s">
        <v>64</v>
      </c>
      <c r="AA2294" t="s">
        <v>49</v>
      </c>
      <c r="AB2294" t="s">
        <v>0</v>
      </c>
      <c r="AC2294" t="s">
        <v>6174</v>
      </c>
    </row>
    <row r="2295" spans="1:29">
      <c r="A2295" t="s">
        <v>6175</v>
      </c>
      <c r="B2295" s="93" t="str">
        <f>IF(ISNUMBER(SEARCH(E2295,A2295)),A2295,IF(OR(E2295="",E2295=""),A2295,A2295&amp;" - "&amp;E2295))</f>
        <v>Nedcann ORB 31/01 - Moonlight</v>
      </c>
      <c r="C2295" t="s">
        <v>3537</v>
      </c>
      <c r="D2295" t="s">
        <v>3538</v>
      </c>
      <c r="E2295" s="79" t="s">
        <v>3539</v>
      </c>
      <c r="F2295" s="81" t="s">
        <v>177</v>
      </c>
      <c r="G2295" s="83" t="s">
        <v>4488</v>
      </c>
      <c r="H2295" s="83">
        <v>1</v>
      </c>
      <c r="I2295" t="s">
        <v>0</v>
      </c>
      <c r="J2295" t="s">
        <v>0</v>
      </c>
      <c r="K2295" t="s">
        <v>52</v>
      </c>
      <c r="L2295" t="s">
        <v>145</v>
      </c>
      <c r="M2295" t="s">
        <v>72</v>
      </c>
      <c r="N2295" t="s">
        <v>71</v>
      </c>
      <c r="O2295" t="s">
        <v>178</v>
      </c>
      <c r="P2295" t="s">
        <v>74</v>
      </c>
      <c r="Q2295" t="s">
        <v>58</v>
      </c>
      <c r="R2295" t="s">
        <v>89</v>
      </c>
      <c r="S2295" t="s">
        <v>106</v>
      </c>
      <c r="T2295" t="s">
        <v>179</v>
      </c>
      <c r="U2295" t="s">
        <v>147</v>
      </c>
      <c r="V2295" t="s">
        <v>77</v>
      </c>
      <c r="W2295" t="s">
        <v>79</v>
      </c>
      <c r="X2295" t="s">
        <v>173</v>
      </c>
      <c r="Y2295" t="s">
        <v>0</v>
      </c>
      <c r="Z2295" t="s">
        <v>64</v>
      </c>
      <c r="AA2295" t="s">
        <v>3538</v>
      </c>
      <c r="AB2295" t="s">
        <v>0</v>
      </c>
      <c r="AC2295" t="s">
        <v>6176</v>
      </c>
    </row>
    <row r="2296" spans="1:29">
      <c r="A2296" t="s">
        <v>6177</v>
      </c>
      <c r="B2296" s="93" t="str">
        <f>IF(ISNUMBER(SEARCH(E2296,A2296)),A2296,IF(OR(E2296="",E2296=""),A2296,A2296&amp;" - "&amp;E2296))</f>
        <v>Medicus 27/1 YAR Sud - Super Dossi</v>
      </c>
      <c r="C2296" t="s">
        <v>564</v>
      </c>
      <c r="D2296" t="s">
        <v>565</v>
      </c>
      <c r="E2296" t="s">
        <v>6178</v>
      </c>
      <c r="F2296" t="s">
        <v>69</v>
      </c>
      <c r="G2296" t="s">
        <v>33</v>
      </c>
      <c r="H2296" t="s">
        <v>65</v>
      </c>
      <c r="I2296" t="s">
        <v>0</v>
      </c>
      <c r="J2296" t="s">
        <v>0</v>
      </c>
      <c r="K2296" t="s">
        <v>52</v>
      </c>
      <c r="L2296" t="s">
        <v>1506</v>
      </c>
      <c r="M2296" t="s">
        <v>55</v>
      </c>
      <c r="N2296" t="s">
        <v>111</v>
      </c>
      <c r="O2296" t="s">
        <v>212</v>
      </c>
      <c r="P2296" t="s">
        <v>113</v>
      </c>
      <c r="Q2296" t="s">
        <v>74</v>
      </c>
      <c r="R2296" t="s">
        <v>73</v>
      </c>
      <c r="S2296" t="s">
        <v>234</v>
      </c>
      <c r="T2296" t="s">
        <v>123</v>
      </c>
      <c r="U2296" t="s">
        <v>147</v>
      </c>
      <c r="V2296" t="s">
        <v>292</v>
      </c>
      <c r="W2296" t="s">
        <v>138</v>
      </c>
      <c r="X2296" t="s">
        <v>711</v>
      </c>
      <c r="Y2296" t="s">
        <v>0</v>
      </c>
      <c r="Z2296" t="s">
        <v>64</v>
      </c>
      <c r="AA2296" t="s">
        <v>565</v>
      </c>
      <c r="AB2296" t="s">
        <v>0</v>
      </c>
      <c r="AC2296" t="s">
        <v>6179</v>
      </c>
    </row>
    <row r="2297" spans="1:29">
      <c r="A2297" t="s">
        <v>6180</v>
      </c>
      <c r="B2297" s="93" t="str">
        <f>IF(ISNUMBER(SEARCH(E2297,A2297)),A2297,IF(OR(E2297="",E2297=""),A2297,A2297&amp;" - "&amp;E2297))</f>
        <v>Core Lume 26:1 - Lemon Z</v>
      </c>
      <c r="C2297" t="s">
        <v>484</v>
      </c>
      <c r="D2297" t="s">
        <v>485</v>
      </c>
      <c r="E2297" s="79" t="s">
        <v>6181</v>
      </c>
      <c r="F2297" s="81" t="s">
        <v>86</v>
      </c>
      <c r="G2297" s="83" t="s">
        <v>4086</v>
      </c>
      <c r="H2297" s="95" t="s">
        <v>65</v>
      </c>
      <c r="I2297" t="s">
        <v>0</v>
      </c>
      <c r="J2297" t="s">
        <v>0</v>
      </c>
      <c r="K2297" t="s">
        <v>52</v>
      </c>
      <c r="M2297" t="s">
        <v>72</v>
      </c>
      <c r="N2297" t="s">
        <v>178</v>
      </c>
      <c r="O2297" t="s">
        <v>88</v>
      </c>
      <c r="P2297" t="s">
        <v>136</v>
      </c>
      <c r="Q2297" t="s">
        <v>59</v>
      </c>
      <c r="R2297" t="s">
        <v>89</v>
      </c>
      <c r="S2297" t="s">
        <v>106</v>
      </c>
      <c r="T2297" t="s">
        <v>62</v>
      </c>
      <c r="U2297" t="s">
        <v>147</v>
      </c>
      <c r="V2297" t="s">
        <v>77</v>
      </c>
      <c r="W2297" t="s">
        <v>165</v>
      </c>
      <c r="X2297" t="s">
        <v>129</v>
      </c>
      <c r="Y2297" t="s">
        <v>6182</v>
      </c>
      <c r="Z2297" t="s">
        <v>64</v>
      </c>
      <c r="AA2297" t="s">
        <v>485</v>
      </c>
      <c r="AB2297" t="s">
        <v>0</v>
      </c>
      <c r="AC2297" t="s">
        <v>6183</v>
      </c>
    </row>
    <row r="2298" spans="1:29">
      <c r="A2298" t="s">
        <v>6184</v>
      </c>
      <c r="B2298" s="93" t="str">
        <f>IF(ISNUMBER(SEARCH(E2298,A2298)),A2298,IF(OR(E2298="",E2298=""),A2298,A2298&amp;" - "&amp;E2298))</f>
        <v>Wellford Peak 30/1 CA SPR Slurricane Pancake Runtz - Slurricane Pancakes Runtz</v>
      </c>
      <c r="C2298" t="s">
        <v>741</v>
      </c>
      <c r="D2298" t="s">
        <v>742</v>
      </c>
      <c r="E2298" s="79" t="s">
        <v>4082</v>
      </c>
      <c r="F2298" s="81" t="s">
        <v>86</v>
      </c>
      <c r="G2298" s="83" t="s">
        <v>4057</v>
      </c>
      <c r="H2298" s="95" t="s">
        <v>65</v>
      </c>
      <c r="I2298" t="s">
        <v>0</v>
      </c>
      <c r="J2298" t="s">
        <v>0</v>
      </c>
      <c r="K2298" t="s">
        <v>52</v>
      </c>
      <c r="L2298" t="s">
        <v>102</v>
      </c>
      <c r="M2298" t="s">
        <v>88</v>
      </c>
      <c r="N2298" t="s">
        <v>72</v>
      </c>
      <c r="O2298" t="s">
        <v>71</v>
      </c>
      <c r="P2298" t="s">
        <v>58</v>
      </c>
      <c r="Q2298" t="s">
        <v>75</v>
      </c>
      <c r="R2298" t="s">
        <v>73</v>
      </c>
      <c r="S2298" t="s">
        <v>0</v>
      </c>
      <c r="T2298" t="s">
        <v>0</v>
      </c>
      <c r="U2298" t="s">
        <v>0</v>
      </c>
      <c r="V2298" t="s">
        <v>173</v>
      </c>
      <c r="W2298" t="s">
        <v>93</v>
      </c>
      <c r="X2298" t="s">
        <v>116</v>
      </c>
      <c r="Y2298" t="s">
        <v>1885</v>
      </c>
      <c r="Z2298" t="s">
        <v>64</v>
      </c>
      <c r="AA2298" t="s">
        <v>742</v>
      </c>
      <c r="AB2298" t="s">
        <v>0</v>
      </c>
      <c r="AC2298" t="s">
        <v>6185</v>
      </c>
    </row>
    <row r="2299" spans="1:29">
      <c r="A2299" t="s">
        <v>6186</v>
      </c>
      <c r="B2299" s="93" t="str">
        <f>IF(ISNUMBER(SEARCH(E2299,A2299)),A2299,IF(OR(E2299="",E2299=""),A2299,A2299&amp;" - "&amp;E2299))</f>
        <v>Wellford Luma 26/1 ZA SHR - Sherbert Runtz</v>
      </c>
      <c r="C2299" t="s">
        <v>741</v>
      </c>
      <c r="D2299" t="s">
        <v>742</v>
      </c>
      <c r="E2299" s="79" t="s">
        <v>6187</v>
      </c>
      <c r="F2299" s="81" t="s">
        <v>86</v>
      </c>
      <c r="G2299" s="83" t="s">
        <v>4086</v>
      </c>
      <c r="H2299" s="95" t="s">
        <v>65</v>
      </c>
      <c r="I2299" t="s">
        <v>0</v>
      </c>
      <c r="J2299" t="s">
        <v>0</v>
      </c>
      <c r="K2299" t="s">
        <v>52</v>
      </c>
      <c r="L2299" t="s">
        <v>102</v>
      </c>
      <c r="M2299" t="s">
        <v>121</v>
      </c>
      <c r="N2299" t="s">
        <v>72</v>
      </c>
      <c r="O2299" t="s">
        <v>71</v>
      </c>
      <c r="P2299" t="s">
        <v>59</v>
      </c>
      <c r="Q2299" t="s">
        <v>136</v>
      </c>
      <c r="R2299" t="s">
        <v>89</v>
      </c>
      <c r="S2299" t="s">
        <v>0</v>
      </c>
      <c r="T2299" t="s">
        <v>0</v>
      </c>
      <c r="U2299" t="s">
        <v>0</v>
      </c>
      <c r="V2299" t="s">
        <v>77</v>
      </c>
      <c r="W2299" t="s">
        <v>116</v>
      </c>
      <c r="X2299" t="s">
        <v>79</v>
      </c>
      <c r="Y2299" t="s">
        <v>335</v>
      </c>
      <c r="Z2299" t="s">
        <v>64</v>
      </c>
      <c r="AA2299" t="s">
        <v>742</v>
      </c>
      <c r="AB2299" t="s">
        <v>0</v>
      </c>
      <c r="AC2299" t="s">
        <v>6188</v>
      </c>
    </row>
    <row r="2300" spans="1:29">
      <c r="A2300" t="s">
        <v>6189</v>
      </c>
      <c r="B2300" s="93" t="str">
        <f>IF(ISNUMBER(SEARCH(E2300,A2300)),A2300,IF(OR(E2300="",E2300=""),A2300,A2300&amp;" - "&amp;E2300))</f>
        <v>Remexian 33/1 GJY GDC - Gran Daddy Cake</v>
      </c>
      <c r="C2300" t="s">
        <v>83</v>
      </c>
      <c r="D2300" t="s">
        <v>95</v>
      </c>
      <c r="E2300" s="79" t="s">
        <v>6190</v>
      </c>
      <c r="F2300" s="81" t="s">
        <v>86</v>
      </c>
      <c r="G2300" s="83" t="s">
        <v>4169</v>
      </c>
      <c r="H2300" s="95" t="s">
        <v>65</v>
      </c>
      <c r="I2300" t="s">
        <v>0</v>
      </c>
      <c r="J2300" t="s">
        <v>0</v>
      </c>
      <c r="K2300" t="s">
        <v>52</v>
      </c>
      <c r="M2300" t="s">
        <v>121</v>
      </c>
      <c r="N2300" t="s">
        <v>72</v>
      </c>
      <c r="O2300" t="s">
        <v>71</v>
      </c>
      <c r="P2300" t="s">
        <v>59</v>
      </c>
      <c r="Q2300" t="s">
        <v>104</v>
      </c>
      <c r="R2300" t="s">
        <v>89</v>
      </c>
      <c r="S2300" t="s">
        <v>0</v>
      </c>
      <c r="T2300" t="s">
        <v>0</v>
      </c>
      <c r="U2300" t="s">
        <v>0</v>
      </c>
      <c r="V2300" t="s">
        <v>77</v>
      </c>
      <c r="W2300" t="s">
        <v>225</v>
      </c>
      <c r="X2300" t="s">
        <v>116</v>
      </c>
      <c r="Y2300" t="s">
        <v>213</v>
      </c>
      <c r="Z2300" t="s">
        <v>64</v>
      </c>
      <c r="AA2300" t="s">
        <v>95</v>
      </c>
      <c r="AB2300" t="s">
        <v>0</v>
      </c>
      <c r="AC2300" t="s">
        <v>6191</v>
      </c>
    </row>
    <row r="2301" spans="1:29">
      <c r="A2301" t="s">
        <v>6192</v>
      </c>
      <c r="B2301" s="93" t="str">
        <f>IF(ISNUMBER(SEARCH(E2301,A2301)),A2301,IF(OR(E2301="",E2301=""),A2301,A2301&amp;" - "&amp;E2301))</f>
        <v>Wellford Aquaponic 23/1 BOC - Bozy's Cure</v>
      </c>
      <c r="C2301" t="s">
        <v>741</v>
      </c>
      <c r="D2301" t="s">
        <v>742</v>
      </c>
      <c r="E2301" s="79" t="s">
        <v>3966</v>
      </c>
      <c r="F2301" s="81" t="s">
        <v>86</v>
      </c>
      <c r="G2301" s="83" t="s">
        <v>436</v>
      </c>
      <c r="H2301" s="95" t="s">
        <v>65</v>
      </c>
      <c r="I2301" t="s">
        <v>0</v>
      </c>
      <c r="J2301" t="s">
        <v>0</v>
      </c>
      <c r="K2301" t="s">
        <v>52</v>
      </c>
      <c r="L2301" t="s">
        <v>53</v>
      </c>
      <c r="M2301" t="s">
        <v>54</v>
      </c>
      <c r="N2301" t="s">
        <v>178</v>
      </c>
      <c r="O2301" t="s">
        <v>72</v>
      </c>
      <c r="P2301" t="s">
        <v>57</v>
      </c>
      <c r="Q2301" t="s">
        <v>146</v>
      </c>
      <c r="R2301" t="s">
        <v>136</v>
      </c>
      <c r="S2301" t="s">
        <v>106</v>
      </c>
      <c r="T2301" t="s">
        <v>62</v>
      </c>
      <c r="U2301" t="s">
        <v>164</v>
      </c>
      <c r="V2301" t="s">
        <v>79</v>
      </c>
      <c r="W2301" t="s">
        <v>116</v>
      </c>
      <c r="X2301" t="s">
        <v>93</v>
      </c>
      <c r="Y2301" t="s">
        <v>124</v>
      </c>
      <c r="Z2301" t="s">
        <v>64</v>
      </c>
      <c r="AA2301" t="s">
        <v>742</v>
      </c>
      <c r="AB2301" t="s">
        <v>979</v>
      </c>
      <c r="AC2301" t="s">
        <v>6193</v>
      </c>
    </row>
    <row r="2302" spans="1:29">
      <c r="A2302" t="s">
        <v>6194</v>
      </c>
      <c r="B2302" s="93" t="str">
        <f>IF(ISNUMBER(SEARCH(E2302,A2302)),A2302,IF(OR(E2302="",E2302=""),A2302,A2302&amp;" - "&amp;E2302))</f>
        <v>Wellford Luma 24/1 ZA SHR - Sherbert Runtz</v>
      </c>
      <c r="C2302" t="s">
        <v>741</v>
      </c>
      <c r="D2302" t="s">
        <v>742</v>
      </c>
      <c r="E2302" s="79" t="s">
        <v>6187</v>
      </c>
      <c r="F2302" s="81" t="s">
        <v>86</v>
      </c>
      <c r="G2302" s="83" t="s">
        <v>448</v>
      </c>
      <c r="H2302" s="95" t="s">
        <v>65</v>
      </c>
      <c r="I2302" t="s">
        <v>0</v>
      </c>
      <c r="J2302" t="s">
        <v>0</v>
      </c>
      <c r="K2302" t="s">
        <v>52</v>
      </c>
      <c r="L2302" t="s">
        <v>102</v>
      </c>
      <c r="M2302" t="s">
        <v>121</v>
      </c>
      <c r="N2302" t="s">
        <v>72</v>
      </c>
      <c r="O2302" t="s">
        <v>71</v>
      </c>
      <c r="P2302" t="s">
        <v>59</v>
      </c>
      <c r="Q2302" t="s">
        <v>136</v>
      </c>
      <c r="R2302" t="s">
        <v>89</v>
      </c>
      <c r="S2302" t="s">
        <v>0</v>
      </c>
      <c r="T2302" t="s">
        <v>0</v>
      </c>
      <c r="U2302" t="s">
        <v>0</v>
      </c>
      <c r="V2302" t="s">
        <v>77</v>
      </c>
      <c r="W2302" t="s">
        <v>116</v>
      </c>
      <c r="X2302" t="s">
        <v>79</v>
      </c>
      <c r="Y2302" t="s">
        <v>262</v>
      </c>
      <c r="Z2302" t="s">
        <v>64</v>
      </c>
      <c r="AA2302" t="s">
        <v>742</v>
      </c>
      <c r="AB2302" t="s">
        <v>0</v>
      </c>
      <c r="AC2302" t="s">
        <v>6195</v>
      </c>
    </row>
    <row r="2303" spans="1:29">
      <c r="A2303" t="s">
        <v>6196</v>
      </c>
      <c r="B2303" s="93" t="str">
        <f>IF(ISNUMBER(SEARCH(E2303,A2303)),A2303,IF(OR(E2303="",E2303=""),A2303,A2303&amp;" - "&amp;E2303))</f>
        <v>Wellford Luma 24/1 ZA SOC - Sour OG Cheese</v>
      </c>
      <c r="C2303" t="s">
        <v>741</v>
      </c>
      <c r="D2303" t="s">
        <v>742</v>
      </c>
      <c r="E2303" s="79" t="s">
        <v>4814</v>
      </c>
      <c r="F2303" s="81" t="s">
        <v>86</v>
      </c>
      <c r="G2303" s="83" t="s">
        <v>448</v>
      </c>
      <c r="H2303" s="95" t="s">
        <v>65</v>
      </c>
      <c r="I2303" t="s">
        <v>0</v>
      </c>
      <c r="J2303" t="s">
        <v>0</v>
      </c>
      <c r="K2303" t="s">
        <v>52</v>
      </c>
      <c r="L2303" t="s">
        <v>102</v>
      </c>
      <c r="M2303" t="s">
        <v>178</v>
      </c>
      <c r="N2303" t="s">
        <v>111</v>
      </c>
      <c r="O2303" t="s">
        <v>72</v>
      </c>
      <c r="P2303" t="s">
        <v>186</v>
      </c>
      <c r="Q2303" t="s">
        <v>75</v>
      </c>
      <c r="R2303" t="s">
        <v>59</v>
      </c>
      <c r="S2303" t="s">
        <v>0</v>
      </c>
      <c r="T2303" t="s">
        <v>0</v>
      </c>
      <c r="U2303" t="s">
        <v>0</v>
      </c>
      <c r="V2303" t="s">
        <v>79</v>
      </c>
      <c r="W2303" t="s">
        <v>180</v>
      </c>
      <c r="X2303" t="s">
        <v>208</v>
      </c>
      <c r="Y2303" t="s">
        <v>262</v>
      </c>
      <c r="Z2303" t="s">
        <v>64</v>
      </c>
      <c r="AA2303" t="s">
        <v>742</v>
      </c>
      <c r="AB2303" t="s">
        <v>0</v>
      </c>
      <c r="AC2303" t="s">
        <v>6197</v>
      </c>
    </row>
    <row r="2304" spans="1:29">
      <c r="A2304" t="s">
        <v>6198</v>
      </c>
      <c r="B2304" s="93" t="str">
        <f>IF(ISNUMBER(SEARCH(E2304,A2304)),A2304,IF(OR(E2304="",E2304=""),A2304,A2304&amp;" - "&amp;E2304))</f>
        <v>Tilray CRAFT THC22 SNS - Sunset Sherbet</v>
      </c>
      <c r="C2304" t="s">
        <v>133</v>
      </c>
      <c r="D2304" t="s">
        <v>134</v>
      </c>
      <c r="E2304" s="79" t="s">
        <v>3784</v>
      </c>
      <c r="F2304" s="81" t="s">
        <v>177</v>
      </c>
      <c r="G2304" s="83" t="s">
        <v>4126</v>
      </c>
      <c r="H2304" s="95" t="s">
        <v>65</v>
      </c>
      <c r="I2304" t="s">
        <v>0</v>
      </c>
      <c r="J2304" t="s">
        <v>0</v>
      </c>
      <c r="K2304" t="s">
        <v>52</v>
      </c>
      <c r="L2304" t="s">
        <v>527</v>
      </c>
      <c r="M2304" t="s">
        <v>72</v>
      </c>
      <c r="N2304" t="s">
        <v>54</v>
      </c>
      <c r="O2304" t="s">
        <v>88</v>
      </c>
      <c r="P2304" t="s">
        <v>74</v>
      </c>
      <c r="Q2304" t="s">
        <v>57</v>
      </c>
      <c r="R2304" t="s">
        <v>75</v>
      </c>
      <c r="S2304" t="s">
        <v>128</v>
      </c>
      <c r="T2304" t="s">
        <v>106</v>
      </c>
      <c r="U2304" t="s">
        <v>62</v>
      </c>
      <c r="V2304" t="s">
        <v>129</v>
      </c>
      <c r="W2304" t="s">
        <v>107</v>
      </c>
      <c r="X2304" t="s">
        <v>77</v>
      </c>
      <c r="Y2304" t="s">
        <v>80</v>
      </c>
      <c r="Z2304" t="s">
        <v>64</v>
      </c>
      <c r="AA2304" t="s">
        <v>134</v>
      </c>
      <c r="AB2304" t="s">
        <v>0</v>
      </c>
      <c r="AC2304" t="s">
        <v>6199</v>
      </c>
    </row>
    <row r="2305" spans="1:29">
      <c r="A2305" t="s">
        <v>6200</v>
      </c>
      <c r="B2305" s="93" t="str">
        <f>IF(ISNUMBER(SEARCH(E2305,A2305)),A2305,IF(OR(E2305="",E2305=""),A2305,A2305&amp;" - "&amp;E2305))</f>
        <v>Luana 24/1 APE - Sour Ape</v>
      </c>
      <c r="C2305" t="s">
        <v>48</v>
      </c>
      <c r="D2305" t="s">
        <v>49</v>
      </c>
      <c r="E2305" s="79" t="s">
        <v>6201</v>
      </c>
      <c r="F2305" s="81" t="s">
        <v>86</v>
      </c>
      <c r="G2305" s="83" t="s">
        <v>4126</v>
      </c>
      <c r="H2305" s="95" t="s">
        <v>65</v>
      </c>
      <c r="I2305" t="s">
        <v>0</v>
      </c>
      <c r="J2305" t="s">
        <v>0</v>
      </c>
      <c r="K2305" t="s">
        <v>52</v>
      </c>
      <c r="L2305" t="s">
        <v>145</v>
      </c>
      <c r="M2305" t="s">
        <v>121</v>
      </c>
      <c r="N2305" t="s">
        <v>72</v>
      </c>
      <c r="O2305" t="s">
        <v>71</v>
      </c>
      <c r="P2305" t="s">
        <v>59</v>
      </c>
      <c r="Q2305" t="s">
        <v>89</v>
      </c>
      <c r="R2305" t="s">
        <v>58</v>
      </c>
      <c r="S2305" t="s">
        <v>61</v>
      </c>
      <c r="T2305" t="s">
        <v>62</v>
      </c>
      <c r="U2305" t="s">
        <v>123</v>
      </c>
      <c r="V2305" t="s">
        <v>77</v>
      </c>
      <c r="W2305" t="s">
        <v>116</v>
      </c>
      <c r="X2305" t="s">
        <v>165</v>
      </c>
      <c r="Y2305" t="s">
        <v>1175</v>
      </c>
      <c r="Z2305" t="s">
        <v>64</v>
      </c>
      <c r="AA2305" t="s">
        <v>49</v>
      </c>
      <c r="AB2305" t="s">
        <v>0</v>
      </c>
      <c r="AC2305" t="s">
        <v>6202</v>
      </c>
    </row>
    <row r="2306" spans="1:29">
      <c r="A2306" t="s">
        <v>6203</v>
      </c>
      <c r="B2306" s="93" t="str">
        <f>IF(ISNUMBER(SEARCH(E2306,A2306)),A2306,IF(OR(E2306="",E2306=""),A2306,A2306&amp;" - "&amp;E2306))</f>
        <v>Khiron WED 22/1 - Wedding Cake</v>
      </c>
      <c r="C2306" t="s">
        <v>1871</v>
      </c>
      <c r="D2306" t="s">
        <v>1872</v>
      </c>
      <c r="E2306" s="79" t="s">
        <v>1195</v>
      </c>
      <c r="F2306" s="81" t="s">
        <v>177</v>
      </c>
      <c r="G2306" s="83" t="s">
        <v>4126</v>
      </c>
      <c r="H2306" s="95" t="s">
        <v>65</v>
      </c>
      <c r="I2306" t="s">
        <v>0</v>
      </c>
      <c r="J2306" t="s">
        <v>0</v>
      </c>
      <c r="K2306" t="s">
        <v>52</v>
      </c>
      <c r="L2306" t="s">
        <v>423</v>
      </c>
      <c r="M2306" t="s">
        <v>156</v>
      </c>
      <c r="N2306" t="s">
        <v>72</v>
      </c>
      <c r="O2306" t="s">
        <v>0</v>
      </c>
      <c r="P2306" t="s">
        <v>59</v>
      </c>
      <c r="Q2306" t="s">
        <v>89</v>
      </c>
      <c r="R2306" t="s">
        <v>57</v>
      </c>
      <c r="S2306" t="s">
        <v>466</v>
      </c>
      <c r="T2306" t="s">
        <v>493</v>
      </c>
      <c r="U2306" t="s">
        <v>0</v>
      </c>
      <c r="V2306" t="s">
        <v>93</v>
      </c>
      <c r="W2306" t="s">
        <v>107</v>
      </c>
      <c r="X2306" t="s">
        <v>116</v>
      </c>
      <c r="Y2306" t="s">
        <v>213</v>
      </c>
      <c r="Z2306" t="s">
        <v>64</v>
      </c>
      <c r="AA2306" t="s">
        <v>1872</v>
      </c>
      <c r="AB2306" t="s">
        <v>0</v>
      </c>
      <c r="AC2306" t="s">
        <v>6204</v>
      </c>
    </row>
    <row r="2307" spans="1:29">
      <c r="A2307" t="s">
        <v>6205</v>
      </c>
      <c r="B2307" s="93" t="str">
        <f>IF(ISNUMBER(SEARCH(E2307,A2307)),A2307,IF(OR(E2307="",E2307=""),A2307,A2307&amp;" - "&amp;E2307))</f>
        <v>J.R. STRAIN L MAC 21/1 - Lemon Mac</v>
      </c>
      <c r="C2307" t="s">
        <v>564</v>
      </c>
      <c r="D2307" t="s">
        <v>565</v>
      </c>
      <c r="E2307" s="79" t="s">
        <v>6206</v>
      </c>
      <c r="F2307" s="81" t="s">
        <v>144</v>
      </c>
      <c r="G2307" s="83" t="s">
        <v>452</v>
      </c>
      <c r="H2307" s="95" t="s">
        <v>65</v>
      </c>
      <c r="I2307" t="s">
        <v>0</v>
      </c>
      <c r="J2307" t="s">
        <v>0</v>
      </c>
      <c r="K2307" t="s">
        <v>52</v>
      </c>
      <c r="L2307" t="s">
        <v>53</v>
      </c>
      <c r="M2307" t="s">
        <v>72</v>
      </c>
      <c r="N2307" t="s">
        <v>71</v>
      </c>
      <c r="O2307" t="s">
        <v>111</v>
      </c>
      <c r="P2307" t="s">
        <v>59</v>
      </c>
      <c r="Q2307" t="s">
        <v>89</v>
      </c>
      <c r="R2307" t="s">
        <v>157</v>
      </c>
      <c r="S2307" t="s">
        <v>106</v>
      </c>
      <c r="T2307" t="s">
        <v>62</v>
      </c>
      <c r="U2307" t="s">
        <v>147</v>
      </c>
      <c r="V2307" t="s">
        <v>77</v>
      </c>
      <c r="W2307" t="s">
        <v>292</v>
      </c>
      <c r="X2307" t="s">
        <v>79</v>
      </c>
      <c r="Y2307" t="s">
        <v>1938</v>
      </c>
      <c r="Z2307" t="s">
        <v>64</v>
      </c>
      <c r="AA2307" t="s">
        <v>565</v>
      </c>
      <c r="AB2307" t="s">
        <v>0</v>
      </c>
      <c r="AC2307" t="s">
        <v>6207</v>
      </c>
    </row>
    <row r="2308" spans="1:29">
      <c r="A2308" t="s">
        <v>6208</v>
      </c>
      <c r="B2308" s="93" t="str">
        <f>IF(ISNUMBER(SEARCH(E2308,A2308)),A2308,IF(OR(E2308="",E2308=""),A2308,A2308&amp;" - "&amp;E2308))</f>
        <v>Cannamedical Hybrid Forte 22/1 NM - Gorilla Zkittlez</v>
      </c>
      <c r="C2308" t="s">
        <v>48</v>
      </c>
      <c r="D2308" t="s">
        <v>49</v>
      </c>
      <c r="E2308" s="79" t="s">
        <v>1022</v>
      </c>
      <c r="F2308" s="81" t="s">
        <v>86</v>
      </c>
      <c r="G2308" s="83" t="s">
        <v>4126</v>
      </c>
      <c r="H2308" s="95" t="s">
        <v>65</v>
      </c>
      <c r="I2308" t="s">
        <v>0</v>
      </c>
      <c r="J2308" t="s">
        <v>0</v>
      </c>
      <c r="K2308" t="s">
        <v>52</v>
      </c>
      <c r="L2308" t="s">
        <v>145</v>
      </c>
      <c r="M2308" t="s">
        <v>72</v>
      </c>
      <c r="N2308" t="s">
        <v>111</v>
      </c>
      <c r="O2308" t="s">
        <v>88</v>
      </c>
      <c r="P2308" t="s">
        <v>75</v>
      </c>
      <c r="Q2308" t="s">
        <v>58</v>
      </c>
      <c r="R2308" t="s">
        <v>89</v>
      </c>
      <c r="S2308" t="s">
        <v>128</v>
      </c>
      <c r="T2308" t="s">
        <v>106</v>
      </c>
      <c r="U2308" t="s">
        <v>76</v>
      </c>
      <c r="V2308" t="s">
        <v>173</v>
      </c>
      <c r="W2308" t="s">
        <v>77</v>
      </c>
      <c r="X2308" t="s">
        <v>116</v>
      </c>
      <c r="Y2308" t="s">
        <v>286</v>
      </c>
      <c r="Z2308" t="s">
        <v>64</v>
      </c>
      <c r="AA2308" t="s">
        <v>49</v>
      </c>
      <c r="AB2308" t="s">
        <v>298</v>
      </c>
      <c r="AC2308" s="99" t="s">
        <v>6209</v>
      </c>
    </row>
    <row r="2309" spans="1:29">
      <c r="A2309" t="s">
        <v>6210</v>
      </c>
      <c r="B2309" s="93" t="str">
        <f>IF(ISNUMBER(SEARCH(E2309,A2309)),A2309,IF(OR(E2309="",E2309=""),A2309,A2309&amp;" - "&amp;E2309))</f>
        <v>Demecan RF Lean Drop 22/1 - Gastro Pop</v>
      </c>
      <c r="C2309" t="s">
        <v>484</v>
      </c>
      <c r="D2309" t="s">
        <v>485</v>
      </c>
      <c r="E2309" s="79" t="s">
        <v>1564</v>
      </c>
      <c r="F2309" s="81" t="s">
        <v>86</v>
      </c>
      <c r="G2309" s="83" t="s">
        <v>4126</v>
      </c>
      <c r="H2309" s="95" t="s">
        <v>65</v>
      </c>
      <c r="I2309" t="s">
        <v>0</v>
      </c>
      <c r="J2309" t="s">
        <v>0</v>
      </c>
      <c r="K2309" t="s">
        <v>52</v>
      </c>
      <c r="L2309" t="s">
        <v>53</v>
      </c>
      <c r="M2309" t="s">
        <v>156</v>
      </c>
      <c r="N2309" t="s">
        <v>103</v>
      </c>
      <c r="O2309" t="s">
        <v>0</v>
      </c>
      <c r="P2309" t="s">
        <v>58</v>
      </c>
      <c r="Q2309" t="s">
        <v>89</v>
      </c>
      <c r="R2309" t="s">
        <v>59</v>
      </c>
      <c r="S2309" t="s">
        <v>128</v>
      </c>
      <c r="T2309" t="s">
        <v>105</v>
      </c>
      <c r="U2309" t="s">
        <v>466</v>
      </c>
      <c r="V2309" t="s">
        <v>77</v>
      </c>
      <c r="W2309" t="s">
        <v>107</v>
      </c>
      <c r="X2309" t="s">
        <v>173</v>
      </c>
      <c r="Y2309" t="s">
        <v>5136</v>
      </c>
      <c r="Z2309" t="s">
        <v>64</v>
      </c>
      <c r="AA2309" t="s">
        <v>485</v>
      </c>
      <c r="AB2309" t="s">
        <v>0</v>
      </c>
      <c r="AC2309" t="s">
        <v>6211</v>
      </c>
    </row>
    <row r="2310" spans="1:29">
      <c r="A2310" t="s">
        <v>6212</v>
      </c>
      <c r="B2310" s="93" t="str">
        <f>IF(ISNUMBER(SEARCH(E2310,A2310)),A2310,IF(OR(E2310="",E2310=""),A2310,A2310&amp;" - "&amp;E2310))</f>
        <v>Becanex PIEX 3 62 % CBD Rohextrakt</v>
      </c>
      <c r="C2310" s="29" t="s">
        <v>3818</v>
      </c>
      <c r="E2310" s="9" t="s">
        <v>0</v>
      </c>
      <c r="F2310" s="1" t="s">
        <v>120</v>
      </c>
      <c r="G2310" s="8" t="s">
        <v>0</v>
      </c>
      <c r="H2310" s="7" t="s">
        <v>0</v>
      </c>
      <c r="I2310" t="s">
        <v>5458</v>
      </c>
      <c r="J2310" t="s">
        <v>46</v>
      </c>
      <c r="K2310" t="s">
        <v>5739</v>
      </c>
      <c r="L2310" t="s">
        <v>527</v>
      </c>
      <c r="M2310" t="s">
        <v>121</v>
      </c>
      <c r="N2310" t="s">
        <v>72</v>
      </c>
      <c r="O2310" t="s">
        <v>103</v>
      </c>
      <c r="P2310" t="s">
        <v>0</v>
      </c>
      <c r="Q2310" t="s">
        <v>0</v>
      </c>
      <c r="R2310" t="s">
        <v>0</v>
      </c>
      <c r="S2310" t="s">
        <v>128</v>
      </c>
      <c r="T2310" t="s">
        <v>106</v>
      </c>
      <c r="U2310" t="s">
        <v>62</v>
      </c>
      <c r="V2310" t="s">
        <v>107</v>
      </c>
      <c r="W2310" t="s">
        <v>77</v>
      </c>
      <c r="X2310" t="s">
        <v>129</v>
      </c>
      <c r="Y2310" t="s">
        <v>6213</v>
      </c>
      <c r="Z2310" t="s">
        <v>1915</v>
      </c>
      <c r="AA2310" s="98" t="s">
        <v>3819</v>
      </c>
      <c r="AB2310" t="s">
        <v>0</v>
      </c>
      <c r="AC2310" t="s">
        <v>6214</v>
      </c>
    </row>
    <row r="2311" spans="1:29">
      <c r="A2311" t="s">
        <v>6215</v>
      </c>
      <c r="B2311" s="93" t="str">
        <f>IF(ISNUMBER(SEARCH(E2311,A2311)),A2311,IF(OR(E2311="",E2311=""),A2311,A2311&amp;" - "&amp;E2311))</f>
        <v>Cannamedical Indica Classic DK - Sky Berry Kush</v>
      </c>
      <c r="C2311" t="s">
        <v>48</v>
      </c>
      <c r="D2311" t="s">
        <v>49</v>
      </c>
      <c r="E2311" s="79" t="s">
        <v>310</v>
      </c>
      <c r="F2311" s="81" t="s">
        <v>177</v>
      </c>
      <c r="G2311" s="83" t="s">
        <v>452</v>
      </c>
      <c r="H2311" s="95" t="s">
        <v>65</v>
      </c>
      <c r="I2311" t="s">
        <v>0</v>
      </c>
      <c r="J2311" t="s">
        <v>0</v>
      </c>
      <c r="K2311" t="s">
        <v>17</v>
      </c>
      <c r="L2311" t="s">
        <v>87</v>
      </c>
      <c r="M2311" t="s">
        <v>88</v>
      </c>
      <c r="N2311" t="s">
        <v>72</v>
      </c>
      <c r="O2311" t="s">
        <v>0</v>
      </c>
      <c r="P2311" t="s">
        <v>58</v>
      </c>
      <c r="Q2311" t="s">
        <v>74</v>
      </c>
      <c r="R2311" t="s">
        <v>157</v>
      </c>
      <c r="S2311" t="s">
        <v>128</v>
      </c>
      <c r="T2311" t="s">
        <v>106</v>
      </c>
      <c r="U2311" t="s">
        <v>62</v>
      </c>
      <c r="V2311" t="s">
        <v>79</v>
      </c>
      <c r="W2311" t="s">
        <v>173</v>
      </c>
      <c r="X2311" t="s">
        <v>77</v>
      </c>
      <c r="Y2311" t="s">
        <v>413</v>
      </c>
      <c r="Z2311" t="s">
        <v>64</v>
      </c>
      <c r="AA2311" t="s">
        <v>49</v>
      </c>
      <c r="AB2311" t="s">
        <v>0</v>
      </c>
      <c r="AC2311" t="s">
        <v>6216</v>
      </c>
    </row>
    <row r="2312" spans="1:29">
      <c r="A2312" t="s">
        <v>6217</v>
      </c>
      <c r="B2312" s="93" t="str">
        <f>IF(ISNUMBER(SEARCH(E2312,A2312)),A2312,IF(OR(E2312="",E2312=""),A2312,A2312&amp;" - "&amp;E2312))</f>
        <v>Medicus 24/1 YAR RND - Razzle n' Dazzle</v>
      </c>
      <c r="C2312" t="s">
        <v>83</v>
      </c>
      <c r="D2312" t="s">
        <v>95</v>
      </c>
      <c r="E2312" s="79" t="s">
        <v>6218</v>
      </c>
      <c r="F2312" s="81" t="s">
        <v>86</v>
      </c>
      <c r="G2312" s="83" t="s">
        <v>448</v>
      </c>
      <c r="H2312" s="95" t="s">
        <v>65</v>
      </c>
      <c r="I2312" t="s">
        <v>0</v>
      </c>
      <c r="J2312" t="s">
        <v>0</v>
      </c>
      <c r="K2312" t="s">
        <v>52</v>
      </c>
      <c r="L2312" t="s">
        <v>1506</v>
      </c>
      <c r="M2312" t="s">
        <v>103</v>
      </c>
      <c r="N2312" t="s">
        <v>121</v>
      </c>
      <c r="O2312" t="s">
        <v>72</v>
      </c>
      <c r="P2312" t="s">
        <v>136</v>
      </c>
      <c r="Q2312" t="s">
        <v>59</v>
      </c>
      <c r="R2312" t="s">
        <v>89</v>
      </c>
      <c r="S2312" t="s">
        <v>128</v>
      </c>
      <c r="T2312" t="s">
        <v>106</v>
      </c>
      <c r="U2312" t="s">
        <v>62</v>
      </c>
      <c r="V2312" t="s">
        <v>93</v>
      </c>
      <c r="W2312" t="s">
        <v>77</v>
      </c>
      <c r="X2312" t="s">
        <v>116</v>
      </c>
      <c r="Y2312" t="s">
        <v>1139</v>
      </c>
      <c r="Z2312" t="s">
        <v>64</v>
      </c>
      <c r="AA2312" t="s">
        <v>95</v>
      </c>
      <c r="AB2312" t="s">
        <v>0</v>
      </c>
      <c r="AC2312" t="s">
        <v>6219</v>
      </c>
    </row>
    <row r="2313" spans="1:29">
      <c r="A2313" t="s">
        <v>6220</v>
      </c>
      <c r="B2313" s="11" t="str">
        <f>IF(ISNUMBER(SEARCH(E2313,A2313)),A2313,IF(OR(E2313="",E2313=""),A2313,A2313&amp;" - "&amp;E2313))</f>
        <v>Medicus 21/1 YAR ADI - Astral Drift</v>
      </c>
      <c r="C2313" t="s">
        <v>564</v>
      </c>
      <c r="D2313" t="s">
        <v>565</v>
      </c>
      <c r="E2313" t="s">
        <v>6221</v>
      </c>
      <c r="F2313" t="s">
        <v>144</v>
      </c>
      <c r="G2313" t="s">
        <v>452</v>
      </c>
      <c r="H2313" t="s">
        <v>65</v>
      </c>
      <c r="I2313" t="s">
        <v>0</v>
      </c>
      <c r="J2313" t="s">
        <v>0</v>
      </c>
      <c r="K2313" t="s">
        <v>52</v>
      </c>
      <c r="L2313" t="s">
        <v>527</v>
      </c>
      <c r="M2313" t="s">
        <v>121</v>
      </c>
      <c r="N2313" t="s">
        <v>72</v>
      </c>
      <c r="O2313" t="s">
        <v>0</v>
      </c>
      <c r="P2313" t="s">
        <v>59</v>
      </c>
      <c r="Q2313" t="s">
        <v>89</v>
      </c>
      <c r="R2313" t="s">
        <v>58</v>
      </c>
      <c r="S2313" t="s">
        <v>106</v>
      </c>
      <c r="T2313" t="s">
        <v>62</v>
      </c>
      <c r="U2313" t="s">
        <v>147</v>
      </c>
      <c r="V2313" t="s">
        <v>77</v>
      </c>
      <c r="W2313" t="s">
        <v>116</v>
      </c>
      <c r="X2313" t="s">
        <v>180</v>
      </c>
      <c r="Y2313" t="s">
        <v>0</v>
      </c>
      <c r="Z2313" t="s">
        <v>64</v>
      </c>
      <c r="AA2313" t="s">
        <v>565</v>
      </c>
      <c r="AB2313" t="s">
        <v>0</v>
      </c>
      <c r="AC2313" t="s">
        <v>6222</v>
      </c>
    </row>
    <row r="2314" spans="1:29">
      <c r="A2314" t="s">
        <v>6223</v>
      </c>
      <c r="B2314" s="11" t="str">
        <f>IF(ISNUMBER(SEARCH(E2314,A2314)),A2314,IF(OR(E2314="",E2314=""),A2314,A2314&amp;" - "&amp;E2314))</f>
        <v>Demecan Core Veloz 27:01 - Power</v>
      </c>
      <c r="C2314" t="s">
        <v>484</v>
      </c>
      <c r="D2314" t="s">
        <v>485</v>
      </c>
      <c r="E2314" t="s">
        <v>6224</v>
      </c>
      <c r="F2314" t="s">
        <v>86</v>
      </c>
      <c r="G2314" t="s">
        <v>33</v>
      </c>
      <c r="H2314" t="s">
        <v>65</v>
      </c>
      <c r="I2314" t="s">
        <v>0</v>
      </c>
      <c r="J2314" t="s">
        <v>0</v>
      </c>
      <c r="K2314" t="s">
        <v>52</v>
      </c>
      <c r="L2314" t="s">
        <v>53</v>
      </c>
      <c r="M2314" t="s">
        <v>121</v>
      </c>
      <c r="N2314" t="s">
        <v>72</v>
      </c>
      <c r="O2314" t="s">
        <v>156</v>
      </c>
      <c r="P2314" t="s">
        <v>75</v>
      </c>
      <c r="Q2314" t="s">
        <v>146</v>
      </c>
      <c r="R2314" t="s">
        <v>74</v>
      </c>
      <c r="S2314" t="s">
        <v>0</v>
      </c>
      <c r="T2314" t="s">
        <v>0</v>
      </c>
      <c r="U2314" t="s">
        <v>0</v>
      </c>
      <c r="V2314" t="s">
        <v>77</v>
      </c>
      <c r="W2314" t="s">
        <v>116</v>
      </c>
      <c r="X2314" t="s">
        <v>79</v>
      </c>
      <c r="Y2314" t="s">
        <v>0</v>
      </c>
      <c r="Z2314" t="s">
        <v>64</v>
      </c>
      <c r="AA2314" t="s">
        <v>485</v>
      </c>
      <c r="AB2314" t="s">
        <v>0</v>
      </c>
      <c r="AC2314" t="s">
        <v>6225</v>
      </c>
    </row>
    <row r="2315" spans="1:29">
      <c r="A2315" t="s">
        <v>6226</v>
      </c>
      <c r="B2315" s="11" t="str">
        <f>IF(ISNUMBER(SEARCH(E2315,A2315)),A2315,IF(OR(E2315="",E2315=""),A2315,A2315&amp;" - "&amp;E2315))</f>
        <v>IMC Cannabisblüten GC THC5 CBD9 - Green Crack</v>
      </c>
      <c r="C2315" t="s">
        <v>646</v>
      </c>
      <c r="D2315" t="s">
        <v>646</v>
      </c>
      <c r="E2315" s="79" t="s">
        <v>6227</v>
      </c>
      <c r="F2315" s="81" t="s">
        <v>86</v>
      </c>
      <c r="G2315" s="83" t="s">
        <v>5458</v>
      </c>
      <c r="H2315" s="95" t="s">
        <v>10</v>
      </c>
      <c r="I2315" t="s">
        <v>0</v>
      </c>
      <c r="J2315" t="s">
        <v>0</v>
      </c>
      <c r="K2315" t="s">
        <v>52</v>
      </c>
      <c r="M2315" t="s">
        <v>72</v>
      </c>
      <c r="N2315" t="s">
        <v>71</v>
      </c>
      <c r="O2315" t="s">
        <v>111</v>
      </c>
      <c r="P2315" t="s">
        <v>146</v>
      </c>
      <c r="Q2315" t="s">
        <v>136</v>
      </c>
      <c r="R2315" t="s">
        <v>58</v>
      </c>
      <c r="S2315" t="s">
        <v>0</v>
      </c>
      <c r="T2315" t="s">
        <v>0</v>
      </c>
      <c r="U2315" t="s">
        <v>0</v>
      </c>
      <c r="V2315" t="s">
        <v>129</v>
      </c>
      <c r="W2315" t="s">
        <v>79</v>
      </c>
      <c r="X2315" t="s">
        <v>93</v>
      </c>
      <c r="Y2315" t="s">
        <v>908</v>
      </c>
      <c r="Z2315" t="s">
        <v>64</v>
      </c>
      <c r="AA2315" t="s">
        <v>646</v>
      </c>
      <c r="AB2315" t="s">
        <v>0</v>
      </c>
      <c r="AC2315" t="s">
        <v>6228</v>
      </c>
    </row>
    <row r="2316" spans="1:29">
      <c r="A2316" t="s">
        <v>6229</v>
      </c>
      <c r="B2316" s="11" t="str">
        <f>IF(ISNUMBER(SEARCH(E2316,A2316)),A2316,IF(OR(E2316="",E2316=""),A2316,A2316&amp;" - "&amp;E2316))</f>
        <v>Origine Nature MED 25/1 - Medellin</v>
      </c>
      <c r="C2316" t="s">
        <v>564</v>
      </c>
      <c r="D2316" t="s">
        <v>565</v>
      </c>
      <c r="E2316" s="79" t="s">
        <v>1793</v>
      </c>
      <c r="F2316" s="81" t="s">
        <v>86</v>
      </c>
      <c r="G2316" s="83" t="s">
        <v>26</v>
      </c>
      <c r="H2316" s="95">
        <v>1</v>
      </c>
      <c r="I2316" t="s">
        <v>0</v>
      </c>
      <c r="J2316" t="s">
        <v>0</v>
      </c>
      <c r="K2316" t="s">
        <v>52</v>
      </c>
      <c r="L2316" t="s">
        <v>102</v>
      </c>
      <c r="M2316" t="s">
        <v>111</v>
      </c>
      <c r="N2316" t="s">
        <v>178</v>
      </c>
      <c r="O2316" t="s">
        <v>54</v>
      </c>
      <c r="P2316" t="s">
        <v>157</v>
      </c>
      <c r="Q2316" t="s">
        <v>57</v>
      </c>
      <c r="R2316" t="s">
        <v>73</v>
      </c>
      <c r="S2316" t="s">
        <v>62</v>
      </c>
      <c r="T2316" t="s">
        <v>91</v>
      </c>
      <c r="U2316" t="s">
        <v>147</v>
      </c>
      <c r="V2316" t="s">
        <v>107</v>
      </c>
      <c r="W2316" t="s">
        <v>77</v>
      </c>
      <c r="X2316" t="s">
        <v>79</v>
      </c>
      <c r="Y2316" t="s">
        <v>0</v>
      </c>
      <c r="Z2316" t="s">
        <v>64</v>
      </c>
      <c r="AA2316" t="s">
        <v>565</v>
      </c>
      <c r="AB2316" t="s">
        <v>0</v>
      </c>
      <c r="AC2316" t="s">
        <v>6230</v>
      </c>
    </row>
    <row r="2317" spans="1:29">
      <c r="A2317" t="s">
        <v>6231</v>
      </c>
      <c r="B2317" s="11" t="str">
        <f>IF(ISNUMBER(SEARCH(E2317,A2317)),A2317,IF(OR(E2317="",E2317=""),A2317,A2317&amp;" - "&amp;E2317))</f>
        <v>Soma OG 30/1 PF - Spritzer</v>
      </c>
      <c r="C2317" t="s">
        <v>996</v>
      </c>
      <c r="D2317" t="s">
        <v>997</v>
      </c>
      <c r="E2317" s="79" t="s">
        <v>944</v>
      </c>
      <c r="F2317" s="81" t="s">
        <v>86</v>
      </c>
      <c r="G2317" s="83" t="s">
        <v>4057</v>
      </c>
      <c r="H2317" s="95" t="s">
        <v>65</v>
      </c>
      <c r="I2317" t="s">
        <v>0</v>
      </c>
      <c r="J2317" t="s">
        <v>0</v>
      </c>
      <c r="K2317" t="s">
        <v>52</v>
      </c>
      <c r="L2317" t="s">
        <v>102</v>
      </c>
      <c r="M2317" t="s">
        <v>88</v>
      </c>
      <c r="N2317" t="s">
        <v>71</v>
      </c>
      <c r="O2317" t="s">
        <v>111</v>
      </c>
      <c r="P2317" t="s">
        <v>59</v>
      </c>
      <c r="Q2317" t="s">
        <v>89</v>
      </c>
      <c r="R2317" t="s">
        <v>75</v>
      </c>
      <c r="S2317" t="s">
        <v>106</v>
      </c>
      <c r="T2317" t="s">
        <v>62</v>
      </c>
      <c r="U2317" t="s">
        <v>123</v>
      </c>
      <c r="V2317" t="s">
        <v>173</v>
      </c>
      <c r="W2317" t="s">
        <v>79</v>
      </c>
      <c r="X2317" t="s">
        <v>77</v>
      </c>
      <c r="Y2317" t="s">
        <v>707</v>
      </c>
      <c r="Z2317" t="s">
        <v>64</v>
      </c>
      <c r="AA2317" t="s">
        <v>997</v>
      </c>
      <c r="AB2317" t="s">
        <v>0</v>
      </c>
      <c r="AC2317" t="s">
        <v>6232</v>
      </c>
    </row>
    <row r="2318" spans="1:29">
      <c r="A2318" t="s">
        <v>6233</v>
      </c>
      <c r="B2318" s="11" t="str">
        <f>IF(ISNUMBER(SEARCH(E2318,A2318)),A2318,IF(OR(E2318="",E2318=""),A2318,A2318&amp;" - "&amp;E2318))</f>
        <v>Soma OG 30/1 - Spritzer</v>
      </c>
      <c r="C2318" t="s">
        <v>996</v>
      </c>
      <c r="D2318" t="s">
        <v>997</v>
      </c>
      <c r="E2318" s="79" t="s">
        <v>944</v>
      </c>
      <c r="F2318" s="81" t="s">
        <v>86</v>
      </c>
      <c r="G2318" s="83" t="s">
        <v>4057</v>
      </c>
      <c r="H2318" s="95" t="s">
        <v>65</v>
      </c>
      <c r="I2318" t="s">
        <v>0</v>
      </c>
      <c r="J2318" t="s">
        <v>0</v>
      </c>
      <c r="K2318" t="s">
        <v>52</v>
      </c>
      <c r="L2318" t="s">
        <v>102</v>
      </c>
      <c r="M2318" t="s">
        <v>88</v>
      </c>
      <c r="N2318" t="s">
        <v>71</v>
      </c>
      <c r="O2318" t="s">
        <v>111</v>
      </c>
      <c r="P2318" t="s">
        <v>59</v>
      </c>
      <c r="Q2318" t="s">
        <v>89</v>
      </c>
      <c r="R2318" t="s">
        <v>75</v>
      </c>
      <c r="S2318" t="s">
        <v>106</v>
      </c>
      <c r="T2318" t="s">
        <v>62</v>
      </c>
      <c r="U2318" t="s">
        <v>123</v>
      </c>
      <c r="V2318" t="s">
        <v>173</v>
      </c>
      <c r="W2318" t="s">
        <v>79</v>
      </c>
      <c r="X2318" t="s">
        <v>77</v>
      </c>
      <c r="Y2318" t="s">
        <v>130</v>
      </c>
      <c r="Z2318" t="s">
        <v>64</v>
      </c>
      <c r="AA2318" t="s">
        <v>997</v>
      </c>
      <c r="AB2318" t="s">
        <v>0</v>
      </c>
      <c r="AC2318" t="s">
        <v>6234</v>
      </c>
    </row>
    <row r="2319" spans="1:29">
      <c r="A2319" t="s">
        <v>6235</v>
      </c>
      <c r="B2319" s="11" t="str">
        <f>IF(ISNUMBER(SEARCH(E2319,A2319)),A2319,IF(OR(E2319="",E2319=""),A2319,A2319&amp;" - "&amp;E2319))</f>
        <v>TRUU GT 22:01 - Crumbled Lime</v>
      </c>
      <c r="C2319" t="s">
        <v>484</v>
      </c>
      <c r="D2319" t="s">
        <v>485</v>
      </c>
      <c r="E2319" s="79" t="s">
        <v>5908</v>
      </c>
      <c r="F2319" s="81" t="s">
        <v>69</v>
      </c>
      <c r="G2319" s="83" t="s">
        <v>4126</v>
      </c>
      <c r="H2319" s="95" t="s">
        <v>65</v>
      </c>
      <c r="I2319" t="s">
        <v>0</v>
      </c>
      <c r="J2319" t="s">
        <v>0</v>
      </c>
      <c r="K2319" t="s">
        <v>52</v>
      </c>
      <c r="L2319" t="s">
        <v>53</v>
      </c>
      <c r="M2319" t="s">
        <v>121</v>
      </c>
      <c r="N2319" t="s">
        <v>72</v>
      </c>
      <c r="O2319" t="s">
        <v>54</v>
      </c>
      <c r="P2319" t="s">
        <v>59</v>
      </c>
      <c r="Q2319" t="s">
        <v>89</v>
      </c>
      <c r="R2319" t="s">
        <v>58</v>
      </c>
      <c r="S2319" t="s">
        <v>106</v>
      </c>
      <c r="T2319" t="s">
        <v>62</v>
      </c>
      <c r="U2319" t="s">
        <v>147</v>
      </c>
      <c r="V2319" t="s">
        <v>77</v>
      </c>
      <c r="W2319" t="s">
        <v>116</v>
      </c>
      <c r="X2319" t="s">
        <v>180</v>
      </c>
      <c r="Y2319" t="s">
        <v>6164</v>
      </c>
      <c r="Z2319" t="s">
        <v>64</v>
      </c>
      <c r="AA2319" t="s">
        <v>485</v>
      </c>
      <c r="AB2319" t="s">
        <v>0</v>
      </c>
      <c r="AC2319" t="s">
        <v>6236</v>
      </c>
    </row>
    <row r="2320" spans="1:29">
      <c r="A2320" t="s">
        <v>6237</v>
      </c>
      <c r="B2320" s="11" t="str">
        <f>IF(ISNUMBER(SEARCH(E2320,A2320)),A2320,IF(OR(E2320="",E2320=""),A2320,A2320&amp;" - "&amp;E2320))</f>
        <v>Huala 25/1 UK WTR - Waffle Truffle</v>
      </c>
      <c r="C2320" t="s">
        <v>463</v>
      </c>
      <c r="D2320" t="s">
        <v>468</v>
      </c>
      <c r="E2320" s="79" t="s">
        <v>5325</v>
      </c>
      <c r="F2320" s="81" t="s">
        <v>177</v>
      </c>
      <c r="G2320" s="83" t="s">
        <v>26</v>
      </c>
      <c r="H2320" s="95" t="s">
        <v>65</v>
      </c>
      <c r="I2320" t="s">
        <v>0</v>
      </c>
      <c r="J2320" t="s">
        <v>0</v>
      </c>
      <c r="K2320" t="s">
        <v>52</v>
      </c>
      <c r="L2320" t="s">
        <v>5326</v>
      </c>
      <c r="M2320" t="s">
        <v>72</v>
      </c>
      <c r="N2320" t="s">
        <v>88</v>
      </c>
      <c r="O2320" t="s">
        <v>0</v>
      </c>
      <c r="P2320" t="s">
        <v>59</v>
      </c>
      <c r="Q2320" t="s">
        <v>89</v>
      </c>
      <c r="R2320" t="s">
        <v>157</v>
      </c>
      <c r="S2320" t="s">
        <v>106</v>
      </c>
      <c r="T2320" t="s">
        <v>62</v>
      </c>
      <c r="U2320" t="s">
        <v>123</v>
      </c>
      <c r="V2320" t="s">
        <v>77</v>
      </c>
      <c r="W2320" t="s">
        <v>914</v>
      </c>
      <c r="X2320" t="s">
        <v>138</v>
      </c>
      <c r="Y2320" t="s">
        <v>453</v>
      </c>
      <c r="Z2320" t="s">
        <v>64</v>
      </c>
      <c r="AA2320" t="s">
        <v>468</v>
      </c>
      <c r="AB2320" t="s">
        <v>0</v>
      </c>
      <c r="AC2320" t="s">
        <v>6238</v>
      </c>
    </row>
    <row r="2321" spans="1:29">
      <c r="A2321" t="s">
        <v>6239</v>
      </c>
      <c r="B2321" s="11" t="str">
        <f>IF(ISNUMBER(SEARCH(E2321,A2321)),A2321,IF(OR(E2321="",E2321=""),A2321,A2321&amp;" - "&amp;E2321))</f>
        <v>Remexian 24/1 GJY CHK - Chemical Kush</v>
      </c>
      <c r="C2321" t="s">
        <v>83</v>
      </c>
      <c r="D2321" t="s">
        <v>95</v>
      </c>
      <c r="E2321" s="79" t="s">
        <v>3301</v>
      </c>
      <c r="F2321" s="81" t="s">
        <v>120</v>
      </c>
      <c r="G2321" s="83" t="s">
        <v>448</v>
      </c>
      <c r="H2321" s="95" t="s">
        <v>65</v>
      </c>
      <c r="I2321" t="s">
        <v>0</v>
      </c>
      <c r="J2321" t="s">
        <v>0</v>
      </c>
      <c r="K2321" t="s">
        <v>52</v>
      </c>
      <c r="L2321" t="s">
        <v>53</v>
      </c>
      <c r="M2321" t="s">
        <v>72</v>
      </c>
      <c r="N2321" t="s">
        <v>71</v>
      </c>
      <c r="O2321" t="s">
        <v>178</v>
      </c>
      <c r="P2321" t="s">
        <v>73</v>
      </c>
      <c r="Q2321" t="s">
        <v>89</v>
      </c>
      <c r="R2321" t="s">
        <v>74</v>
      </c>
      <c r="S2321" t="s">
        <v>106</v>
      </c>
      <c r="T2321" t="s">
        <v>62</v>
      </c>
      <c r="U2321" t="s">
        <v>147</v>
      </c>
      <c r="V2321" t="s">
        <v>180</v>
      </c>
      <c r="W2321" t="s">
        <v>93</v>
      </c>
      <c r="X2321" t="s">
        <v>107</v>
      </c>
      <c r="Y2321" t="s">
        <v>1036</v>
      </c>
      <c r="Z2321" t="s">
        <v>64</v>
      </c>
      <c r="AA2321" t="s">
        <v>95</v>
      </c>
      <c r="AB2321" t="s">
        <v>0</v>
      </c>
      <c r="AC2321" t="s">
        <v>6240</v>
      </c>
    </row>
    <row r="2322" spans="1:29">
      <c r="A2322" t="s">
        <v>4664</v>
      </c>
      <c r="B2322" s="11" t="str">
        <f>IF(ISNUMBER(SEARCH(E2322,A2322)),A2322,IF(OR(E2322="",E2322=""),A2322,A2322&amp;" - "&amp;E2322))</f>
        <v>Cannamedical Hybrid classic DK - Ghost Train Haze</v>
      </c>
      <c r="C2322" t="s">
        <v>48</v>
      </c>
      <c r="D2322" t="s">
        <v>49</v>
      </c>
      <c r="E2322" s="79" t="s">
        <v>343</v>
      </c>
      <c r="F2322" s="81" t="s">
        <v>144</v>
      </c>
      <c r="G2322" s="83" t="s">
        <v>452</v>
      </c>
      <c r="H2322" s="95" t="s">
        <v>65</v>
      </c>
      <c r="I2322" t="s">
        <v>0</v>
      </c>
      <c r="J2322" t="s">
        <v>0</v>
      </c>
      <c r="K2322" t="s">
        <v>17</v>
      </c>
      <c r="L2322" t="s">
        <v>87</v>
      </c>
      <c r="M2322" t="s">
        <v>55</v>
      </c>
      <c r="N2322" t="s">
        <v>111</v>
      </c>
      <c r="O2322" t="s">
        <v>178</v>
      </c>
      <c r="P2322" t="s">
        <v>75</v>
      </c>
      <c r="Q2322" t="s">
        <v>59</v>
      </c>
      <c r="R2322" t="s">
        <v>146</v>
      </c>
      <c r="S2322" t="s">
        <v>128</v>
      </c>
      <c r="T2322" t="s">
        <v>106</v>
      </c>
      <c r="U2322" t="s">
        <v>62</v>
      </c>
      <c r="V2322" t="s">
        <v>107</v>
      </c>
      <c r="W2322" t="s">
        <v>77</v>
      </c>
      <c r="X2322" t="s">
        <v>79</v>
      </c>
      <c r="Y2322" t="s">
        <v>2400</v>
      </c>
      <c r="Z2322" t="s">
        <v>64</v>
      </c>
      <c r="AA2322" t="s">
        <v>49</v>
      </c>
      <c r="AB2322" t="s">
        <v>0</v>
      </c>
      <c r="AC2322" t="s">
        <v>6241</v>
      </c>
    </row>
    <row r="2323" spans="1:29">
      <c r="A2323" t="s">
        <v>6242</v>
      </c>
      <c r="B2323" s="11" t="str">
        <f>IF(ISNUMBER(SEARCH(E2323,A2323)),A2323,IF(OR(E2323="",E2323=""),A2323,A2323&amp;" - "&amp;E2323))</f>
        <v>MGF J03 26 Jokerz #53 - Grapple Pie</v>
      </c>
      <c r="C2323" t="str">
        <f>_xlfn.XLOOKUP(D2323,$D$2:$D$2326,$C$2:$C$2326,"",0)</f>
        <v>MGF</v>
      </c>
      <c r="D2323" t="s">
        <v>3109</v>
      </c>
      <c r="E2323" s="79" t="s">
        <v>1581</v>
      </c>
      <c r="F2323" s="81" t="s">
        <v>177</v>
      </c>
      <c r="G2323" t="s">
        <v>4086</v>
      </c>
      <c r="H2323" s="95" t="s">
        <v>65</v>
      </c>
      <c r="K2323" t="s">
        <v>52</v>
      </c>
      <c r="L2323" t="s">
        <v>102</v>
      </c>
      <c r="M2323" t="s">
        <v>54</v>
      </c>
      <c r="N2323" t="s">
        <v>178</v>
      </c>
      <c r="O2323" t="s">
        <v>111</v>
      </c>
      <c r="P2323" t="s">
        <v>59</v>
      </c>
      <c r="Q2323" t="s">
        <v>73</v>
      </c>
      <c r="R2323" t="s">
        <v>58</v>
      </c>
      <c r="S2323" t="s">
        <v>106</v>
      </c>
      <c r="T2323" t="s">
        <v>62</v>
      </c>
      <c r="U2323" t="s">
        <v>123</v>
      </c>
      <c r="V2323" t="s">
        <v>116</v>
      </c>
      <c r="W2323" t="s">
        <v>77</v>
      </c>
      <c r="X2323" t="s">
        <v>107</v>
      </c>
      <c r="Y2323" t="s">
        <v>0</v>
      </c>
      <c r="Z2323" t="s">
        <v>1915</v>
      </c>
      <c r="AA2323" t="s">
        <v>3109</v>
      </c>
      <c r="AB2323" t="s">
        <v>0</v>
      </c>
      <c r="AC2323" t="s">
        <v>6243</v>
      </c>
    </row>
    <row r="2324" spans="1:29">
      <c r="A2324" t="s">
        <v>6244</v>
      </c>
      <c r="B2324" s="11" t="str">
        <f>IF(ISNUMBER(SEARCH(E2324,A2324)),A2324,IF(OR(E2324="",E2324=""),A2324,A2324&amp;" - "&amp;E2324))</f>
        <v>Buuo 20/1 FO - Fast Orange</v>
      </c>
      <c r="C2324" t="str">
        <f>_xlfn.XLOOKUP(D2324,$D$2:$D$2326,$C$2:$C$2326,"",0)</f>
        <v>WMG</v>
      </c>
      <c r="D2324" t="s">
        <v>642</v>
      </c>
      <c r="E2324" s="79" t="s">
        <v>429</v>
      </c>
      <c r="F2324" s="81" t="s">
        <v>177</v>
      </c>
      <c r="G2324" t="s">
        <v>460</v>
      </c>
      <c r="H2324" s="95" t="s">
        <v>65</v>
      </c>
      <c r="K2324" t="s">
        <v>52</v>
      </c>
      <c r="L2324" t="s">
        <v>53</v>
      </c>
      <c r="M2324" t="s">
        <v>111</v>
      </c>
      <c r="N2324" t="s">
        <v>178</v>
      </c>
      <c r="O2324" t="s">
        <v>55</v>
      </c>
      <c r="P2324" t="s">
        <v>73</v>
      </c>
      <c r="Q2324" t="s">
        <v>58</v>
      </c>
      <c r="R2324" t="s">
        <v>74</v>
      </c>
      <c r="S2324" t="s">
        <v>128</v>
      </c>
      <c r="T2324" t="s">
        <v>430</v>
      </c>
      <c r="U2324" t="s">
        <v>114</v>
      </c>
      <c r="V2324" t="s">
        <v>77</v>
      </c>
      <c r="W2324" t="s">
        <v>107</v>
      </c>
      <c r="X2324" t="s">
        <v>79</v>
      </c>
      <c r="Y2324" t="s">
        <v>0</v>
      </c>
      <c r="Z2324" t="s">
        <v>1915</v>
      </c>
      <c r="AA2324" t="s">
        <v>642</v>
      </c>
      <c r="AB2324" t="s">
        <v>0</v>
      </c>
      <c r="AC2324" t="s">
        <v>6245</v>
      </c>
    </row>
    <row r="2325" spans="1:29">
      <c r="A2325" t="s">
        <v>6246</v>
      </c>
      <c r="B2325" s="11" t="str">
        <f>IF(ISNUMBER(SEARCH(E2325,A2325)),A2325,IF(OR(E2325="",E2325=""),A2325,A2325&amp;" - "&amp;E2325))</f>
        <v>Buuo 17/1 CDLC - Chem de la Chem</v>
      </c>
      <c r="C2325" t="str">
        <f>_xlfn.XLOOKUP(D2325,$D$2:$D$2326,$C$2:$C$2326,"",0)</f>
        <v>WMG</v>
      </c>
      <c r="D2325" t="s">
        <v>642</v>
      </c>
      <c r="E2325" s="79" t="s">
        <v>1151</v>
      </c>
      <c r="F2325" s="81" t="s">
        <v>144</v>
      </c>
      <c r="G2325" t="s">
        <v>4038</v>
      </c>
      <c r="H2325" s="95" t="s">
        <v>65</v>
      </c>
      <c r="K2325" t="s">
        <v>52</v>
      </c>
      <c r="L2325" t="s">
        <v>102</v>
      </c>
      <c r="M2325" t="s">
        <v>72</v>
      </c>
      <c r="N2325" t="s">
        <v>111</v>
      </c>
      <c r="O2325" t="s">
        <v>55</v>
      </c>
      <c r="P2325" t="s">
        <v>146</v>
      </c>
      <c r="Q2325" t="s">
        <v>75</v>
      </c>
      <c r="R2325" t="s">
        <v>59</v>
      </c>
      <c r="S2325" t="s">
        <v>62</v>
      </c>
      <c r="T2325" t="s">
        <v>147</v>
      </c>
      <c r="U2325" t="s">
        <v>493</v>
      </c>
      <c r="V2325" t="s">
        <v>77</v>
      </c>
      <c r="W2325" t="s">
        <v>79</v>
      </c>
      <c r="X2325" t="s">
        <v>107</v>
      </c>
      <c r="Y2325" t="s">
        <v>0</v>
      </c>
      <c r="Z2325" t="s">
        <v>1915</v>
      </c>
      <c r="AA2325" t="s">
        <v>642</v>
      </c>
      <c r="AB2325" t="s">
        <v>0</v>
      </c>
      <c r="AC2325" t="s">
        <v>6247</v>
      </c>
    </row>
    <row r="2326" spans="1:29">
      <c r="A2326" t="s">
        <v>6248</v>
      </c>
      <c r="B2326" s="11" t="str">
        <f>IF(ISNUMBER(SEARCH(E2326,A2326)),A2326,IF(OR(E2326="",E2326=""),A2326,A2326&amp;" - "&amp;E2326))</f>
        <v>29/1 Amici HS - High Society</v>
      </c>
      <c r="C2326" t="str">
        <f>_xlfn.XLOOKUP(D2326,$D$2:$D$2326,$C$2:$C$2326,"",0)</f>
        <v>CANSATIVA</v>
      </c>
      <c r="D2326" t="s">
        <v>997</v>
      </c>
      <c r="E2326" s="9" t="s">
        <v>6249</v>
      </c>
      <c r="F2326" s="1" t="s">
        <v>177</v>
      </c>
      <c r="G2326" t="s">
        <v>443</v>
      </c>
      <c r="H2326" t="s">
        <v>65</v>
      </c>
      <c r="K2326" t="s">
        <v>52</v>
      </c>
      <c r="L2326" t="s">
        <v>53</v>
      </c>
      <c r="M2326" t="s">
        <v>121</v>
      </c>
      <c r="N2326" t="s">
        <v>72</v>
      </c>
      <c r="O2326" t="s">
        <v>88</v>
      </c>
      <c r="P2326" t="s">
        <v>74</v>
      </c>
      <c r="Q2326" t="s">
        <v>75</v>
      </c>
      <c r="R2326" t="s">
        <v>104</v>
      </c>
      <c r="S2326" t="s">
        <v>106</v>
      </c>
      <c r="T2326" t="s">
        <v>123</v>
      </c>
      <c r="U2326" t="s">
        <v>147</v>
      </c>
      <c r="V2326" t="s">
        <v>116</v>
      </c>
      <c r="W2326" t="s">
        <v>77</v>
      </c>
      <c r="X2326" t="s">
        <v>173</v>
      </c>
      <c r="Y2326" t="s">
        <v>0</v>
      </c>
      <c r="Z2326" t="s">
        <v>1915</v>
      </c>
      <c r="AA2326" t="s">
        <v>997</v>
      </c>
      <c r="AB2326" t="s">
        <v>0</v>
      </c>
      <c r="AC2326" t="s">
        <v>6250</v>
      </c>
    </row>
    <row r="2327" spans="1:29">
      <c r="A2327" t="s">
        <v>6251</v>
      </c>
      <c r="B2327" s="11" t="str">
        <f>IF(ISNUMBER(SEARCH(E2327,A2327)),A2327,IF(OR(E2327="",E2327=""),A2327,A2327&amp;" - "&amp;E2327))</f>
        <v>Good Supply Cannabisblüten THC22 IIM - Inzane in the Membrane</v>
      </c>
      <c r="C2327" t="s">
        <v>133</v>
      </c>
      <c r="D2327" t="s">
        <v>134</v>
      </c>
      <c r="E2327" t="s">
        <v>6252</v>
      </c>
      <c r="F2327" t="s">
        <v>86</v>
      </c>
      <c r="G2327" t="s">
        <v>4126</v>
      </c>
      <c r="H2327" t="s">
        <v>65</v>
      </c>
      <c r="I2327" t="s">
        <v>0</v>
      </c>
      <c r="J2327" t="s">
        <v>0</v>
      </c>
      <c r="K2327" t="s">
        <v>52</v>
      </c>
      <c r="L2327" t="s">
        <v>102</v>
      </c>
      <c r="M2327" t="s">
        <v>103</v>
      </c>
      <c r="N2327" t="s">
        <v>121</v>
      </c>
      <c r="O2327" t="s">
        <v>72</v>
      </c>
      <c r="P2327" t="s">
        <v>146</v>
      </c>
      <c r="Q2327" t="s">
        <v>136</v>
      </c>
      <c r="R2327" t="s">
        <v>58</v>
      </c>
      <c r="S2327" t="s">
        <v>0</v>
      </c>
      <c r="T2327" t="s">
        <v>0</v>
      </c>
      <c r="U2327" t="s">
        <v>0</v>
      </c>
      <c r="V2327" t="s">
        <v>93</v>
      </c>
      <c r="W2327" t="s">
        <v>77</v>
      </c>
      <c r="X2327" t="s">
        <v>116</v>
      </c>
      <c r="Y2327" t="s">
        <v>0</v>
      </c>
      <c r="Z2327" t="s">
        <v>64</v>
      </c>
      <c r="AA2327" t="s">
        <v>134</v>
      </c>
      <c r="AB2327" t="s">
        <v>0</v>
      </c>
      <c r="AC2327" t="s">
        <v>6253</v>
      </c>
    </row>
    <row r="2328" spans="1:29">
      <c r="A2328" t="s">
        <v>6254</v>
      </c>
      <c r="B2328" s="11" t="str">
        <f>IF(ISNUMBER(SEARCH(E2328,A2328)),A2328,IF(OR(E2328="",E2328=""),A2328,A2328&amp;" - "&amp;E2328))</f>
        <v>Demecan BH Epic Drop - Wedding Cake x Triangle Kush</v>
      </c>
      <c r="C2328" t="s">
        <v>484</v>
      </c>
      <c r="D2328" t="s">
        <v>485</v>
      </c>
      <c r="E2328" s="79" t="s">
        <v>6255</v>
      </c>
      <c r="F2328" s="81" t="s">
        <v>86</v>
      </c>
      <c r="G2328" s="83" t="s">
        <v>4086</v>
      </c>
      <c r="H2328" s="95" t="s">
        <v>65</v>
      </c>
      <c r="I2328" t="s">
        <v>0</v>
      </c>
      <c r="J2328" t="s">
        <v>0</v>
      </c>
      <c r="K2328" t="s">
        <v>52</v>
      </c>
      <c r="L2328" t="s">
        <v>53</v>
      </c>
      <c r="M2328" t="s">
        <v>121</v>
      </c>
      <c r="N2328" t="s">
        <v>72</v>
      </c>
      <c r="O2328" t="s">
        <v>71</v>
      </c>
      <c r="P2328" t="s">
        <v>59</v>
      </c>
      <c r="Q2328" t="s">
        <v>57</v>
      </c>
      <c r="R2328" t="s">
        <v>89</v>
      </c>
      <c r="S2328" t="s">
        <v>106</v>
      </c>
      <c r="T2328" t="s">
        <v>62</v>
      </c>
      <c r="U2328" t="s">
        <v>147</v>
      </c>
      <c r="V2328" t="s">
        <v>77</v>
      </c>
      <c r="W2328" t="s">
        <v>225</v>
      </c>
      <c r="X2328" t="s">
        <v>116</v>
      </c>
      <c r="Y2328" t="s">
        <v>240</v>
      </c>
      <c r="Z2328" t="s">
        <v>64</v>
      </c>
      <c r="AA2328" t="s">
        <v>485</v>
      </c>
      <c r="AB2328" t="s">
        <v>0</v>
      </c>
      <c r="AC2328" s="99" t="s">
        <v>6256</v>
      </c>
    </row>
    <row r="2329" spans="1:29">
      <c r="B2329" s="77" t="s">
        <v>6257</v>
      </c>
    </row>
    <row r="2330" spans="1:29">
      <c r="B2330" s="77" t="s">
        <v>6258</v>
      </c>
      <c r="E2330" s="79"/>
      <c r="F2330" s="81"/>
      <c r="G2330" s="83"/>
      <c r="H2330" s="95"/>
    </row>
    <row r="2331" spans="1:29">
      <c r="A2331" t="s">
        <v>6259</v>
      </c>
      <c r="B2331" s="11" t="str">
        <f>IF(ISNUMBER(SEARCH(E2331,A2331)),A2331,IF(OR(E2331="",E2331=""),A2331,A2331&amp;" - "&amp;E2331))</f>
        <v>Wellford Aquaponic 20/1 GTH - Ghost Train Haze</v>
      </c>
      <c r="C2331" t="s">
        <v>741</v>
      </c>
      <c r="D2331" t="s">
        <v>742</v>
      </c>
      <c r="E2331" t="s">
        <v>343</v>
      </c>
      <c r="F2331" t="s">
        <v>144</v>
      </c>
      <c r="G2331" t="s">
        <v>460</v>
      </c>
      <c r="H2331" t="s">
        <v>65</v>
      </c>
      <c r="K2331" t="s">
        <v>52</v>
      </c>
      <c r="L2331" t="s">
        <v>53</v>
      </c>
      <c r="M2331" t="s">
        <v>55</v>
      </c>
      <c r="N2331" t="s">
        <v>111</v>
      </c>
      <c r="O2331" t="s">
        <v>178</v>
      </c>
      <c r="P2331" t="s">
        <v>75</v>
      </c>
      <c r="Q2331" t="s">
        <v>59</v>
      </c>
      <c r="R2331" t="s">
        <v>146</v>
      </c>
      <c r="S2331" t="s">
        <v>90</v>
      </c>
      <c r="T2331" t="s">
        <v>106</v>
      </c>
      <c r="U2331" t="s">
        <v>105</v>
      </c>
      <c r="V2331" t="s">
        <v>107</v>
      </c>
      <c r="W2331" t="s">
        <v>77</v>
      </c>
      <c r="X2331" t="s">
        <v>79</v>
      </c>
      <c r="Y2331" t="s">
        <v>0</v>
      </c>
      <c r="Z2331" t="s">
        <v>64</v>
      </c>
      <c r="AA2331" t="s">
        <v>742</v>
      </c>
      <c r="AB2331" t="s">
        <v>979</v>
      </c>
      <c r="AC2331" t="s">
        <v>6260</v>
      </c>
    </row>
    <row r="2332" spans="1:29">
      <c r="A2332" t="s">
        <v>6261</v>
      </c>
      <c r="B2332" s="11" t="str">
        <f>IF(ISNUMBER(SEARCH(E2332,A2332)),A2332,IF(OR(E2332="",E2332=""),A2332,A2332&amp;" - "&amp;E2332))</f>
        <v>Wellford Aquaponic 28/1 SDK - Sensi Double Kush</v>
      </c>
      <c r="C2332" t="s">
        <v>741</v>
      </c>
      <c r="D2332" t="s">
        <v>742</v>
      </c>
      <c r="E2332" s="79" t="s">
        <v>977</v>
      </c>
      <c r="F2332" s="81" t="s">
        <v>120</v>
      </c>
      <c r="G2332" t="s">
        <v>4164</v>
      </c>
      <c r="H2332" t="s">
        <v>65</v>
      </c>
      <c r="K2332" t="s">
        <v>52</v>
      </c>
      <c r="L2332" t="s">
        <v>53</v>
      </c>
      <c r="M2332" t="s">
        <v>71</v>
      </c>
      <c r="N2332" t="s">
        <v>72</v>
      </c>
      <c r="O2332" t="s">
        <v>121</v>
      </c>
      <c r="P2332" t="s">
        <v>146</v>
      </c>
      <c r="Q2332" t="s">
        <v>75</v>
      </c>
      <c r="R2332" t="s">
        <v>104</v>
      </c>
      <c r="S2332" t="s">
        <v>128</v>
      </c>
      <c r="T2332" t="s">
        <v>61</v>
      </c>
      <c r="U2332" t="s">
        <v>62</v>
      </c>
      <c r="V2332" t="s">
        <v>107</v>
      </c>
      <c r="W2332" t="s">
        <v>77</v>
      </c>
      <c r="X2332" t="s">
        <v>116</v>
      </c>
      <c r="Y2332" t="s">
        <v>0</v>
      </c>
      <c r="Z2332" t="s">
        <v>64</v>
      </c>
      <c r="AA2332" t="s">
        <v>742</v>
      </c>
      <c r="AB2332" t="s">
        <v>979</v>
      </c>
      <c r="AC2332" t="s">
        <v>6262</v>
      </c>
    </row>
    <row r="2333" spans="1:29">
      <c r="A2333" t="s">
        <v>6263</v>
      </c>
      <c r="B2333" s="11" t="str">
        <f>IF(ISNUMBER(SEARCH(E2333,A2333)),A2333,IF(OR(E2333="",E2333=""),A2333,A2333&amp;" - "&amp;E2333))</f>
        <v>Wellford Aquaponic 21/1 SDK - Sensi Double Kush</v>
      </c>
      <c r="C2333" t="s">
        <v>741</v>
      </c>
      <c r="D2333" t="s">
        <v>742</v>
      </c>
      <c r="E2333" s="79" t="s">
        <v>977</v>
      </c>
      <c r="F2333" s="81" t="s">
        <v>120</v>
      </c>
      <c r="G2333" t="s">
        <v>452</v>
      </c>
      <c r="H2333" t="s">
        <v>65</v>
      </c>
      <c r="K2333" t="s">
        <v>52</v>
      </c>
      <c r="L2333" t="s">
        <v>53</v>
      </c>
      <c r="M2333" t="s">
        <v>71</v>
      </c>
      <c r="N2333" t="s">
        <v>72</v>
      </c>
      <c r="O2333" t="s">
        <v>121</v>
      </c>
      <c r="P2333" t="s">
        <v>146</v>
      </c>
      <c r="Q2333" t="s">
        <v>75</v>
      </c>
      <c r="R2333" t="s">
        <v>104</v>
      </c>
      <c r="S2333" t="s">
        <v>128</v>
      </c>
      <c r="T2333" t="s">
        <v>61</v>
      </c>
      <c r="U2333" t="s">
        <v>62</v>
      </c>
      <c r="V2333" t="s">
        <v>107</v>
      </c>
      <c r="W2333" t="s">
        <v>77</v>
      </c>
      <c r="X2333" t="s">
        <v>116</v>
      </c>
      <c r="Y2333" t="s">
        <v>0</v>
      </c>
      <c r="Z2333" t="s">
        <v>64</v>
      </c>
      <c r="AA2333" t="s">
        <v>742</v>
      </c>
      <c r="AB2333" t="s">
        <v>979</v>
      </c>
      <c r="AC2333" t="s">
        <v>6264</v>
      </c>
    </row>
    <row r="2334" spans="1:29">
      <c r="A2334" t="s">
        <v>6265</v>
      </c>
      <c r="B2334" s="11" t="str">
        <f>IF(ISNUMBER(SEARCH(E2334,A2334)),A2334,IF(OR(E2334="",E2334=""),A2334,A2334&amp;" - "&amp;E2334))</f>
        <v>Wellford Aquaponic 26/1 ATG Atlantic Glue - Atlantic Glue GG4</v>
      </c>
      <c r="C2334" t="s">
        <v>741</v>
      </c>
      <c r="D2334" t="s">
        <v>742</v>
      </c>
      <c r="E2334" s="79" t="s">
        <v>982</v>
      </c>
      <c r="F2334" s="81" t="s">
        <v>120</v>
      </c>
      <c r="G2334" t="s">
        <v>4086</v>
      </c>
      <c r="H2334" t="s">
        <v>65</v>
      </c>
      <c r="K2334" t="s">
        <v>52</v>
      </c>
      <c r="L2334" t="s">
        <v>53</v>
      </c>
      <c r="M2334" t="s">
        <v>54</v>
      </c>
      <c r="N2334" t="s">
        <v>88</v>
      </c>
      <c r="O2334" t="s">
        <v>72</v>
      </c>
      <c r="P2334" t="s">
        <v>146</v>
      </c>
      <c r="Q2334" t="s">
        <v>59</v>
      </c>
      <c r="R2334" t="s">
        <v>89</v>
      </c>
      <c r="S2334" t="s">
        <v>128</v>
      </c>
      <c r="T2334" t="s">
        <v>61</v>
      </c>
      <c r="U2334" t="s">
        <v>62</v>
      </c>
      <c r="V2334" t="s">
        <v>77</v>
      </c>
      <c r="W2334" t="s">
        <v>116</v>
      </c>
      <c r="X2334" t="s">
        <v>107</v>
      </c>
      <c r="Y2334" t="s">
        <v>0</v>
      </c>
      <c r="Z2334" t="s">
        <v>64</v>
      </c>
      <c r="AA2334" t="s">
        <v>742</v>
      </c>
      <c r="AB2334" t="s">
        <v>0</v>
      </c>
      <c r="AC2334" t="s">
        <v>6266</v>
      </c>
    </row>
    <row r="2335" spans="1:29">
      <c r="A2335" t="s">
        <v>6267</v>
      </c>
      <c r="B2335" s="11" t="str">
        <f>IF(ISNUMBER(SEARCH(E2335,A2335)),A2335,IF(OR(E2335="",E2335=""),A2335,A2335&amp;" - "&amp;E2335))</f>
        <v>Wellford Aquaponic 22/1 ATG Atlantic Glue - Atlantic Glue GG4</v>
      </c>
      <c r="C2335" t="s">
        <v>741</v>
      </c>
      <c r="D2335" t="s">
        <v>742</v>
      </c>
      <c r="E2335" s="79" t="s">
        <v>982</v>
      </c>
      <c r="F2335" s="81" t="s">
        <v>120</v>
      </c>
      <c r="G2335" t="s">
        <v>4126</v>
      </c>
      <c r="H2335" t="s">
        <v>65</v>
      </c>
      <c r="K2335" t="s">
        <v>52</v>
      </c>
      <c r="L2335" t="s">
        <v>53</v>
      </c>
      <c r="M2335" t="s">
        <v>54</v>
      </c>
      <c r="N2335" t="s">
        <v>88</v>
      </c>
      <c r="O2335" t="s">
        <v>72</v>
      </c>
      <c r="P2335" t="s">
        <v>146</v>
      </c>
      <c r="Q2335" t="s">
        <v>59</v>
      </c>
      <c r="R2335" t="s">
        <v>89</v>
      </c>
      <c r="S2335" t="s">
        <v>128</v>
      </c>
      <c r="T2335" t="s">
        <v>61</v>
      </c>
      <c r="U2335" t="s">
        <v>62</v>
      </c>
      <c r="V2335" t="s">
        <v>77</v>
      </c>
      <c r="W2335" t="s">
        <v>116</v>
      </c>
      <c r="X2335" t="s">
        <v>107</v>
      </c>
      <c r="Y2335" t="s">
        <v>0</v>
      </c>
      <c r="Z2335" t="s">
        <v>64</v>
      </c>
      <c r="AA2335" t="s">
        <v>742</v>
      </c>
      <c r="AB2335" t="s">
        <v>0</v>
      </c>
      <c r="AC2335" t="s">
        <v>6268</v>
      </c>
    </row>
    <row r="2336" spans="1:29">
      <c r="A2336" t="s">
        <v>6269</v>
      </c>
      <c r="B2336" s="11" t="str">
        <f>IF(ISNUMBER(SEARCH(E2336,A2336)),A2336,IF(OR(E2336="",E2336=""),A2336,A2336&amp;" - "&amp;E2336))</f>
        <v>Demecan Core Purple Twist 26:01 RS11 - Rainbow Sherbert 11</v>
      </c>
      <c r="C2336" t="s">
        <v>484</v>
      </c>
      <c r="D2336" t="s">
        <v>485</v>
      </c>
      <c r="E2336" s="79" t="s">
        <v>4445</v>
      </c>
      <c r="F2336" s="81" t="s">
        <v>86</v>
      </c>
      <c r="G2336" t="s">
        <v>4086</v>
      </c>
      <c r="H2336" t="s">
        <v>65</v>
      </c>
      <c r="K2336" t="s">
        <v>52</v>
      </c>
      <c r="L2336" t="s">
        <v>53</v>
      </c>
      <c r="M2336" t="s">
        <v>111</v>
      </c>
      <c r="N2336" t="s">
        <v>71</v>
      </c>
      <c r="O2336" t="s">
        <v>54</v>
      </c>
      <c r="P2336" t="s">
        <v>75</v>
      </c>
      <c r="Q2336" t="s">
        <v>104</v>
      </c>
      <c r="R2336" t="s">
        <v>73</v>
      </c>
      <c r="S2336" t="s">
        <v>106</v>
      </c>
      <c r="T2336" t="s">
        <v>62</v>
      </c>
      <c r="U2336" t="s">
        <v>123</v>
      </c>
      <c r="V2336" t="s">
        <v>93</v>
      </c>
      <c r="W2336" t="s">
        <v>79</v>
      </c>
      <c r="X2336" t="s">
        <v>77</v>
      </c>
      <c r="Y2336" t="s">
        <v>0</v>
      </c>
      <c r="Z2336" t="s">
        <v>64</v>
      </c>
      <c r="AA2336" t="s">
        <v>485</v>
      </c>
      <c r="AB2336" t="s">
        <v>0</v>
      </c>
      <c r="AC2336" t="s">
        <v>6270</v>
      </c>
    </row>
    <row r="2337" spans="1:29">
      <c r="A2337" t="s">
        <v>6271</v>
      </c>
      <c r="B2337" s="11" t="str">
        <f>IF(ISNUMBER(SEARCH(E2337,A2337)),A2337,IF(OR(E2337="",E2337=""),A2337,A2337&amp;" - "&amp;E2337))</f>
        <v>NOC SE 21 - Scoop of Chem x Early Orange</v>
      </c>
      <c r="C2337" t="s">
        <v>2841</v>
      </c>
      <c r="D2337" t="s">
        <v>2842</v>
      </c>
      <c r="E2337" s="79" t="s">
        <v>5591</v>
      </c>
      <c r="F2337" s="81" t="s">
        <v>177</v>
      </c>
      <c r="G2337" t="s">
        <v>452</v>
      </c>
      <c r="H2337" t="s">
        <v>65</v>
      </c>
      <c r="K2337" t="s">
        <v>52</v>
      </c>
      <c r="L2337" t="s">
        <v>3739</v>
      </c>
      <c r="M2337" t="s">
        <v>111</v>
      </c>
      <c r="N2337" t="s">
        <v>178</v>
      </c>
      <c r="O2337" t="s">
        <v>54</v>
      </c>
      <c r="P2337" t="s">
        <v>157</v>
      </c>
      <c r="Q2337" t="s">
        <v>104</v>
      </c>
      <c r="R2337" t="s">
        <v>75</v>
      </c>
      <c r="S2337" t="s">
        <v>90</v>
      </c>
      <c r="T2337" t="s">
        <v>128</v>
      </c>
      <c r="U2337" t="s">
        <v>179</v>
      </c>
      <c r="V2337" t="s">
        <v>93</v>
      </c>
      <c r="W2337" t="s">
        <v>107</v>
      </c>
      <c r="X2337" t="s">
        <v>711</v>
      </c>
      <c r="Y2337" t="s">
        <v>0</v>
      </c>
      <c r="Z2337" t="s">
        <v>64</v>
      </c>
      <c r="AA2337" t="s">
        <v>2842</v>
      </c>
      <c r="AB2337" t="s">
        <v>0</v>
      </c>
      <c r="AC2337" t="s">
        <v>6272</v>
      </c>
    </row>
    <row r="2338" spans="1:29">
      <c r="A2338" t="s">
        <v>6273</v>
      </c>
      <c r="B2338" s="11" t="str">
        <f>IF(ISNUMBER(SEARCH(E2338,A2338)),A2338,IF(OR(E2338="",E2338=""),A2338,A2338&amp;" - "&amp;E2338))</f>
        <v>TRUU GT 30:01 - Cookies OG</v>
      </c>
      <c r="C2338" t="s">
        <v>484</v>
      </c>
      <c r="D2338" t="s">
        <v>485</v>
      </c>
      <c r="E2338" s="79" t="s">
        <v>5204</v>
      </c>
      <c r="F2338" s="81" t="s">
        <v>86</v>
      </c>
      <c r="G2338" t="s">
        <v>4057</v>
      </c>
      <c r="H2338" t="s">
        <v>65</v>
      </c>
      <c r="K2338" t="s">
        <v>52</v>
      </c>
      <c r="L2338" t="s">
        <v>53</v>
      </c>
      <c r="M2338" t="s">
        <v>121</v>
      </c>
      <c r="N2338" t="s">
        <v>72</v>
      </c>
      <c r="O2338" t="s">
        <v>0</v>
      </c>
      <c r="P2338" t="s">
        <v>89</v>
      </c>
      <c r="Q2338" t="s">
        <v>157</v>
      </c>
      <c r="R2338" t="s">
        <v>113</v>
      </c>
      <c r="S2338" t="s">
        <v>128</v>
      </c>
      <c r="T2338" t="s">
        <v>62</v>
      </c>
      <c r="U2338" t="s">
        <v>164</v>
      </c>
      <c r="V2338" t="s">
        <v>79</v>
      </c>
      <c r="W2338" t="s">
        <v>116</v>
      </c>
      <c r="X2338" t="s">
        <v>107</v>
      </c>
      <c r="Y2338" t="s">
        <v>0</v>
      </c>
      <c r="Z2338" t="s">
        <v>64</v>
      </c>
      <c r="AA2338" t="s">
        <v>485</v>
      </c>
      <c r="AB2338" t="s">
        <v>0</v>
      </c>
      <c r="AC2338" t="s">
        <v>6274</v>
      </c>
    </row>
    <row r="2339" spans="1:29">
      <c r="A2339" t="s">
        <v>6275</v>
      </c>
      <c r="B2339" s="11" t="str">
        <f>IF(ISNUMBER(SEARCH(E2339,A2339)),A2339,IF(OR(E2339="",E2339=""),A2339,A2339&amp;" - "&amp;E2339))</f>
        <v>MGF Pop Up No. 4 22/1 THC Rich - Disco Biscuit</v>
      </c>
      <c r="C2339" t="s">
        <v>3108</v>
      </c>
      <c r="D2339" t="s">
        <v>3109</v>
      </c>
      <c r="E2339" s="79" t="s">
        <v>6276</v>
      </c>
      <c r="F2339" s="81" t="s">
        <v>177</v>
      </c>
      <c r="G2339" t="s">
        <v>4126</v>
      </c>
      <c r="H2339" t="s">
        <v>65</v>
      </c>
      <c r="K2339" t="s">
        <v>52</v>
      </c>
      <c r="L2339" t="s">
        <v>1506</v>
      </c>
      <c r="M2339" t="s">
        <v>121</v>
      </c>
      <c r="N2339" t="s">
        <v>72</v>
      </c>
      <c r="O2339" t="s">
        <v>88</v>
      </c>
      <c r="P2339" t="s">
        <v>186</v>
      </c>
      <c r="Q2339" t="s">
        <v>59</v>
      </c>
      <c r="R2339" t="s">
        <v>89</v>
      </c>
      <c r="S2339" t="s">
        <v>106</v>
      </c>
      <c r="T2339" t="s">
        <v>62</v>
      </c>
      <c r="U2339" t="s">
        <v>0</v>
      </c>
      <c r="V2339" t="s">
        <v>77</v>
      </c>
      <c r="W2339" t="s">
        <v>116</v>
      </c>
      <c r="X2339" t="s">
        <v>180</v>
      </c>
      <c r="Y2339" t="s">
        <v>0</v>
      </c>
      <c r="Z2339" t="s">
        <v>64</v>
      </c>
      <c r="AA2339" t="s">
        <v>3109</v>
      </c>
      <c r="AB2339" t="s">
        <v>0</v>
      </c>
      <c r="AC2339" t="s">
        <v>6277</v>
      </c>
    </row>
    <row r="2340" spans="1:29">
      <c r="A2340" t="s">
        <v>6278</v>
      </c>
      <c r="B2340" s="11" t="str">
        <f>IF(ISNUMBER(SEARCH(E2340,A2340)),A2340,IF(OR(E2340="",E2340=""),A2340,A2340&amp;" - "&amp;E2340))</f>
        <v>MGF Pop Up No. 5 20/1 THC Rich - Magic Marker</v>
      </c>
      <c r="C2340" t="s">
        <v>3108</v>
      </c>
      <c r="D2340" t="s">
        <v>3109</v>
      </c>
      <c r="E2340" s="79" t="s">
        <v>6279</v>
      </c>
      <c r="F2340" s="81" t="s">
        <v>177</v>
      </c>
      <c r="G2340" t="s">
        <v>460</v>
      </c>
      <c r="H2340" t="s">
        <v>65</v>
      </c>
      <c r="K2340" t="s">
        <v>52</v>
      </c>
      <c r="L2340" t="s">
        <v>1506</v>
      </c>
      <c r="M2340" t="s">
        <v>72</v>
      </c>
      <c r="N2340" t="s">
        <v>71</v>
      </c>
      <c r="O2340" t="s">
        <v>88</v>
      </c>
      <c r="P2340" t="s">
        <v>75</v>
      </c>
      <c r="Q2340" t="s">
        <v>59</v>
      </c>
      <c r="R2340" t="s">
        <v>57</v>
      </c>
      <c r="S2340" t="s">
        <v>106</v>
      </c>
      <c r="T2340" t="s">
        <v>62</v>
      </c>
      <c r="U2340" t="s">
        <v>123</v>
      </c>
      <c r="V2340" t="s">
        <v>77</v>
      </c>
      <c r="W2340" t="s">
        <v>180</v>
      </c>
      <c r="X2340" t="s">
        <v>79</v>
      </c>
      <c r="Y2340" t="s">
        <v>0</v>
      </c>
      <c r="Z2340" t="s">
        <v>64</v>
      </c>
      <c r="AA2340" t="s">
        <v>3109</v>
      </c>
      <c r="AB2340" t="s">
        <v>0</v>
      </c>
      <c r="AC2340" t="s">
        <v>6280</v>
      </c>
    </row>
    <row r="2341" spans="1:29">
      <c r="A2341" t="s">
        <v>6281</v>
      </c>
      <c r="B2341" s="11" t="str">
        <f>IF(ISNUMBER(SEARCH(E2341,A2341)),A2341,IF(OR(E2341="",E2341=""),A2341,A2341&amp;" - "&amp;E2341))</f>
        <v>MGF Pop Up No. 5 22/1 THC Rich - Super Kush</v>
      </c>
      <c r="C2341" t="s">
        <v>3108</v>
      </c>
      <c r="D2341" t="s">
        <v>3109</v>
      </c>
      <c r="E2341" s="79" t="s">
        <v>6282</v>
      </c>
      <c r="F2341" s="81" t="s">
        <v>177</v>
      </c>
      <c r="G2341" t="s">
        <v>4126</v>
      </c>
      <c r="H2341" t="s">
        <v>65</v>
      </c>
      <c r="K2341" t="s">
        <v>52</v>
      </c>
      <c r="L2341" t="s">
        <v>1506</v>
      </c>
      <c r="M2341" t="s">
        <v>121</v>
      </c>
      <c r="N2341" t="s">
        <v>72</v>
      </c>
      <c r="O2341" t="s">
        <v>71</v>
      </c>
      <c r="P2341" t="s">
        <v>146</v>
      </c>
      <c r="Q2341" t="s">
        <v>59</v>
      </c>
      <c r="R2341" t="s">
        <v>89</v>
      </c>
      <c r="S2341" t="s">
        <v>62</v>
      </c>
      <c r="T2341" t="s">
        <v>123</v>
      </c>
      <c r="U2341" t="s">
        <v>147</v>
      </c>
      <c r="V2341" t="s">
        <v>77</v>
      </c>
      <c r="W2341" t="s">
        <v>225</v>
      </c>
      <c r="X2341" t="s">
        <v>116</v>
      </c>
      <c r="Y2341" t="s">
        <v>0</v>
      </c>
      <c r="Z2341" t="s">
        <v>64</v>
      </c>
      <c r="AA2341" t="s">
        <v>3109</v>
      </c>
      <c r="AB2341" t="s">
        <v>0</v>
      </c>
      <c r="AC2341" t="s">
        <v>6283</v>
      </c>
    </row>
    <row r="2342" spans="1:29">
      <c r="A2342" t="s">
        <v>6284</v>
      </c>
      <c r="B2342" s="11" t="str">
        <f>IF(ISNUMBER(SEARCH(E2342,A2342)),A2342,IF(OR(E2342="",E2342=""),A2342,A2342&amp;" - "&amp;E2342))</f>
        <v>MGF Pop Up No. 7 22/1 THC Rich - El Chivo x Rainbow Cheddar</v>
      </c>
      <c r="C2342" t="s">
        <v>3108</v>
      </c>
      <c r="D2342" t="s">
        <v>3109</v>
      </c>
      <c r="E2342" s="79" t="s">
        <v>6285</v>
      </c>
      <c r="F2342" s="81" t="s">
        <v>177</v>
      </c>
      <c r="G2342" t="s">
        <v>4086</v>
      </c>
      <c r="H2342" t="s">
        <v>65</v>
      </c>
      <c r="K2342" t="s">
        <v>52</v>
      </c>
      <c r="L2342" t="s">
        <v>1506</v>
      </c>
      <c r="M2342" t="s">
        <v>121</v>
      </c>
      <c r="N2342" t="s">
        <v>72</v>
      </c>
      <c r="O2342" t="s">
        <v>88</v>
      </c>
      <c r="P2342" t="s">
        <v>186</v>
      </c>
      <c r="Q2342" t="s">
        <v>112</v>
      </c>
      <c r="R2342" t="s">
        <v>59</v>
      </c>
      <c r="S2342" t="s">
        <v>106</v>
      </c>
      <c r="T2342" t="s">
        <v>179</v>
      </c>
      <c r="U2342" t="s">
        <v>147</v>
      </c>
      <c r="V2342" t="s">
        <v>77</v>
      </c>
      <c r="W2342" t="s">
        <v>116</v>
      </c>
      <c r="X2342" t="s">
        <v>180</v>
      </c>
      <c r="Y2342" t="s">
        <v>0</v>
      </c>
      <c r="Z2342" t="s">
        <v>64</v>
      </c>
      <c r="AA2342" t="s">
        <v>3109</v>
      </c>
      <c r="AB2342" t="s">
        <v>0</v>
      </c>
      <c r="AC2342" t="s">
        <v>6286</v>
      </c>
    </row>
    <row r="2343" spans="1:29">
      <c r="A2343" t="s">
        <v>6287</v>
      </c>
      <c r="B2343" s="11" t="str">
        <f>IF(ISNUMBER(SEARCH(E2343,A2343)),A2343,IF(OR(E2343="",E2343=""),A2343,A2343&amp;" - "&amp;E2343))</f>
        <v>MGF Pop Up No. 6 26/1 THC Rich - Gastro Pop</v>
      </c>
      <c r="C2343" t="s">
        <v>3108</v>
      </c>
      <c r="D2343" t="s">
        <v>3109</v>
      </c>
      <c r="E2343" s="79" t="s">
        <v>1564</v>
      </c>
      <c r="F2343" s="81" t="s">
        <v>177</v>
      </c>
      <c r="G2343" t="s">
        <v>4086</v>
      </c>
      <c r="H2343" t="s">
        <v>65</v>
      </c>
      <c r="K2343" t="s">
        <v>52</v>
      </c>
      <c r="L2343" t="s">
        <v>1506</v>
      </c>
      <c r="M2343" t="s">
        <v>156</v>
      </c>
      <c r="N2343" t="s">
        <v>103</v>
      </c>
      <c r="O2343" t="s">
        <v>0</v>
      </c>
      <c r="P2343" t="s">
        <v>58</v>
      </c>
      <c r="Q2343" t="s">
        <v>89</v>
      </c>
      <c r="R2343" t="s">
        <v>59</v>
      </c>
      <c r="S2343" t="s">
        <v>62</v>
      </c>
      <c r="T2343" t="s">
        <v>123</v>
      </c>
      <c r="U2343" t="s">
        <v>147</v>
      </c>
      <c r="V2343" t="s">
        <v>77</v>
      </c>
      <c r="W2343" t="s">
        <v>107</v>
      </c>
      <c r="X2343" t="s">
        <v>173</v>
      </c>
      <c r="Y2343" t="s">
        <v>0</v>
      </c>
      <c r="Z2343" t="s">
        <v>64</v>
      </c>
      <c r="AA2343" t="s">
        <v>3109</v>
      </c>
      <c r="AB2343" t="s">
        <v>0</v>
      </c>
      <c r="AC2343" t="s">
        <v>6288</v>
      </c>
    </row>
    <row r="2344" spans="1:29">
      <c r="A2344" t="s">
        <v>6289</v>
      </c>
      <c r="B2344" s="11" t="str">
        <f>IF(ISNUMBER(SEARCH(E2344,A2344)),A2344,IF(OR(E2344="",E2344=""),A2344,A2344&amp;" - "&amp;E2344))</f>
        <v>BC Zugspitzexpress 30/1 ZEX - Frosted Gumbo</v>
      </c>
      <c r="C2344" t="s">
        <v>463</v>
      </c>
      <c r="D2344" t="s">
        <v>468</v>
      </c>
      <c r="E2344" s="9" t="s">
        <v>5406</v>
      </c>
      <c r="F2344" s="1" t="s">
        <v>86</v>
      </c>
      <c r="G2344" t="s">
        <v>4057</v>
      </c>
      <c r="H2344" t="s">
        <v>65</v>
      </c>
      <c r="K2344" t="s">
        <v>52</v>
      </c>
      <c r="L2344" t="s">
        <v>53</v>
      </c>
      <c r="M2344" t="s">
        <v>54</v>
      </c>
      <c r="N2344" t="s">
        <v>121</v>
      </c>
      <c r="O2344" t="s">
        <v>103</v>
      </c>
      <c r="P2344" t="s">
        <v>58</v>
      </c>
      <c r="Q2344" t="s">
        <v>57</v>
      </c>
      <c r="R2344" t="s">
        <v>89</v>
      </c>
      <c r="S2344" t="s">
        <v>106</v>
      </c>
      <c r="T2344" t="s">
        <v>62</v>
      </c>
      <c r="U2344" t="s">
        <v>147</v>
      </c>
      <c r="V2344" t="s">
        <v>77</v>
      </c>
      <c r="W2344" t="s">
        <v>116</v>
      </c>
      <c r="X2344" t="s">
        <v>93</v>
      </c>
      <c r="Y2344" t="s">
        <v>0</v>
      </c>
      <c r="Z2344" t="s">
        <v>64</v>
      </c>
      <c r="AA2344" t="s">
        <v>468</v>
      </c>
      <c r="AB2344" t="s">
        <v>0</v>
      </c>
      <c r="AC2344" t="s">
        <v>6290</v>
      </c>
    </row>
    <row r="2345" spans="1:29">
      <c r="A2345" t="s">
        <v>6291</v>
      </c>
      <c r="B2345" s="11" t="str">
        <f>IF(ISNUMBER(SEARCH(E2345,A2345)),A2345,IF(OR(E2345="",E2345=""),A2345,A2345&amp;" - "&amp;E2345))</f>
        <v>Demecan BB Strong Drop - Lemon Z</v>
      </c>
      <c r="C2345" t="s">
        <v>484</v>
      </c>
      <c r="D2345" t="s">
        <v>485</v>
      </c>
      <c r="E2345" s="79" t="s">
        <v>6181</v>
      </c>
      <c r="F2345" s="81" t="s">
        <v>144</v>
      </c>
      <c r="G2345" t="s">
        <v>4086</v>
      </c>
      <c r="H2345" t="s">
        <v>65</v>
      </c>
      <c r="K2345" t="s">
        <v>52</v>
      </c>
      <c r="L2345" t="s">
        <v>53</v>
      </c>
      <c r="M2345" t="s">
        <v>72</v>
      </c>
      <c r="N2345" t="s">
        <v>178</v>
      </c>
      <c r="O2345" t="s">
        <v>88</v>
      </c>
      <c r="P2345" t="s">
        <v>136</v>
      </c>
      <c r="Q2345" t="s">
        <v>59</v>
      </c>
      <c r="R2345" t="s">
        <v>89</v>
      </c>
      <c r="S2345" t="s">
        <v>106</v>
      </c>
      <c r="T2345" t="s">
        <v>62</v>
      </c>
      <c r="U2345" t="s">
        <v>147</v>
      </c>
      <c r="V2345" t="s">
        <v>77</v>
      </c>
      <c r="W2345" t="s">
        <v>165</v>
      </c>
      <c r="X2345" t="s">
        <v>129</v>
      </c>
      <c r="Y2345" t="s">
        <v>0</v>
      </c>
      <c r="Z2345" t="s">
        <v>64</v>
      </c>
      <c r="AA2345" t="s">
        <v>485</v>
      </c>
      <c r="AB2345" t="s">
        <v>0</v>
      </c>
      <c r="AC2345" t="s">
        <v>6292</v>
      </c>
    </row>
    <row r="2346" spans="1:29">
      <c r="A2346" t="s">
        <v>6293</v>
      </c>
      <c r="B2346" s="11" t="str">
        <f>IF(ISNUMBER(SEARCH(E2346,A2346)),A2346,IF(OR(E2346="",E2346=""),A2346,A2346&amp;" - "&amp;E2346))</f>
        <v>Good Supply THC22 AOG - Amnesia OG</v>
      </c>
      <c r="C2346" t="s">
        <v>133</v>
      </c>
      <c r="D2346" t="s">
        <v>134</v>
      </c>
      <c r="E2346" s="79" t="s">
        <v>6294</v>
      </c>
      <c r="F2346" s="81" t="s">
        <v>86</v>
      </c>
      <c r="G2346" t="s">
        <v>4126</v>
      </c>
      <c r="H2346" t="s">
        <v>65</v>
      </c>
      <c r="K2346" t="s">
        <v>52</v>
      </c>
      <c r="L2346" t="s">
        <v>102</v>
      </c>
      <c r="M2346" t="s">
        <v>54</v>
      </c>
      <c r="N2346" t="s">
        <v>71</v>
      </c>
      <c r="O2346" t="s">
        <v>178</v>
      </c>
      <c r="P2346" t="s">
        <v>59</v>
      </c>
      <c r="Q2346" t="s">
        <v>89</v>
      </c>
      <c r="R2346" t="s">
        <v>157</v>
      </c>
      <c r="S2346" t="s">
        <v>106</v>
      </c>
      <c r="T2346" t="s">
        <v>62</v>
      </c>
      <c r="U2346" t="s">
        <v>147</v>
      </c>
      <c r="V2346" t="s">
        <v>77</v>
      </c>
      <c r="W2346" t="s">
        <v>292</v>
      </c>
      <c r="X2346" t="s">
        <v>79</v>
      </c>
      <c r="Y2346" t="s">
        <v>0</v>
      </c>
      <c r="Z2346" t="s">
        <v>64</v>
      </c>
      <c r="AA2346" t="s">
        <v>134</v>
      </c>
      <c r="AB2346" t="s">
        <v>0</v>
      </c>
      <c r="AC2346" t="s">
        <v>6295</v>
      </c>
    </row>
    <row r="2347" spans="1:29">
      <c r="A2347" t="s">
        <v>6296</v>
      </c>
      <c r="B2347" s="11" t="str">
        <f>IF(ISNUMBER(SEARCH(E2347,A2347)),A2347,IF(OR(E2347="",E2347=""),A2347,A2347&amp;" - "&amp;E2347))</f>
        <v>NICE surprise 14/1 OZK - Ozark</v>
      </c>
      <c r="C2347" t="s">
        <v>996</v>
      </c>
      <c r="D2347" t="s">
        <v>997</v>
      </c>
      <c r="E2347" s="79" t="s">
        <v>6155</v>
      </c>
      <c r="F2347" s="81" t="s">
        <v>86</v>
      </c>
      <c r="G2347" t="s">
        <v>40</v>
      </c>
      <c r="H2347" t="s">
        <v>65</v>
      </c>
      <c r="K2347" t="s">
        <v>52</v>
      </c>
      <c r="L2347" t="s">
        <v>102</v>
      </c>
      <c r="M2347" t="s">
        <v>72</v>
      </c>
      <c r="N2347" t="s">
        <v>54</v>
      </c>
      <c r="O2347" t="s">
        <v>71</v>
      </c>
      <c r="P2347" t="s">
        <v>59</v>
      </c>
      <c r="Q2347" t="s">
        <v>89</v>
      </c>
      <c r="R2347" t="s">
        <v>58</v>
      </c>
      <c r="S2347" t="s">
        <v>106</v>
      </c>
      <c r="T2347" t="s">
        <v>62</v>
      </c>
      <c r="U2347" t="s">
        <v>123</v>
      </c>
      <c r="V2347" t="s">
        <v>92</v>
      </c>
      <c r="W2347" t="s">
        <v>77</v>
      </c>
      <c r="X2347" t="s">
        <v>129</v>
      </c>
      <c r="Y2347" t="s">
        <v>0</v>
      </c>
      <c r="Z2347" t="s">
        <v>64</v>
      </c>
      <c r="AA2347" t="s">
        <v>997</v>
      </c>
      <c r="AB2347" t="s">
        <v>0</v>
      </c>
      <c r="AC2347" t="s">
        <v>6297</v>
      </c>
    </row>
    <row r="2348" spans="1:29">
      <c r="A2348" t="s">
        <v>6298</v>
      </c>
      <c r="B2348" s="11" t="str">
        <f>IF(ISNUMBER(SEARCH(E2348,A2348)),A2348,IF(OR(E2348="",E2348=""),A2348,A2348&amp;" - "&amp;E2348))</f>
        <v>NOC OF 20 - KO x Sherbet Shocker</v>
      </c>
      <c r="C2348" t="s">
        <v>2841</v>
      </c>
      <c r="D2348" t="s">
        <v>2842</v>
      </c>
      <c r="E2348" s="79" t="s">
        <v>3738</v>
      </c>
      <c r="F2348" s="81" t="s">
        <v>86</v>
      </c>
      <c r="G2348" t="s">
        <v>460</v>
      </c>
      <c r="H2348" t="s">
        <v>65</v>
      </c>
      <c r="K2348" t="s">
        <v>52</v>
      </c>
      <c r="L2348" t="s">
        <v>3739</v>
      </c>
      <c r="M2348" t="s">
        <v>111</v>
      </c>
      <c r="N2348" t="s">
        <v>54</v>
      </c>
      <c r="O2348" t="s">
        <v>88</v>
      </c>
      <c r="P2348" t="s">
        <v>59</v>
      </c>
      <c r="Q2348" t="s">
        <v>57</v>
      </c>
      <c r="R2348" t="s">
        <v>75</v>
      </c>
      <c r="S2348" t="s">
        <v>90</v>
      </c>
      <c r="T2348" t="s">
        <v>61</v>
      </c>
      <c r="U2348" t="s">
        <v>62</v>
      </c>
      <c r="V2348" t="s">
        <v>116</v>
      </c>
      <c r="W2348" t="s">
        <v>93</v>
      </c>
      <c r="X2348" t="s">
        <v>107</v>
      </c>
      <c r="Y2348" t="s">
        <v>0</v>
      </c>
      <c r="Z2348" t="s">
        <v>64</v>
      </c>
      <c r="AA2348" t="s">
        <v>2842</v>
      </c>
      <c r="AB2348" t="s">
        <v>0</v>
      </c>
      <c r="AC2348" t="s">
        <v>6299</v>
      </c>
    </row>
    <row r="2349" spans="1:29">
      <c r="A2349" t="s">
        <v>6300</v>
      </c>
      <c r="B2349" s="11" t="str">
        <f>IF(ISNUMBER(SEARCH(E2349,A2349)),A2349,IF(OR(E2349="",E2349=""),A2349,A2349&amp;" - "&amp;E2349))</f>
        <v>Good Supply THC22 LHG - Lemon Haze Gelato</v>
      </c>
      <c r="C2349" t="s">
        <v>133</v>
      </c>
      <c r="D2349" t="s">
        <v>134</v>
      </c>
      <c r="E2349" s="79" t="s">
        <v>6301</v>
      </c>
      <c r="F2349" s="81" t="s">
        <v>86</v>
      </c>
      <c r="G2349" t="s">
        <v>4126</v>
      </c>
      <c r="H2349" t="s">
        <v>65</v>
      </c>
      <c r="K2349" t="s">
        <v>52</v>
      </c>
      <c r="L2349" t="s">
        <v>102</v>
      </c>
      <c r="M2349" t="s">
        <v>72</v>
      </c>
      <c r="N2349" t="s">
        <v>71</v>
      </c>
      <c r="O2349" t="s">
        <v>88</v>
      </c>
      <c r="P2349" t="s">
        <v>59</v>
      </c>
      <c r="Q2349" t="s">
        <v>58</v>
      </c>
      <c r="R2349" t="s">
        <v>74</v>
      </c>
      <c r="S2349" t="s">
        <v>106</v>
      </c>
      <c r="T2349" t="s">
        <v>62</v>
      </c>
      <c r="U2349" t="s">
        <v>147</v>
      </c>
      <c r="V2349" t="s">
        <v>92</v>
      </c>
      <c r="W2349" t="s">
        <v>77</v>
      </c>
      <c r="X2349" t="s">
        <v>129</v>
      </c>
      <c r="Y2349" t="s">
        <v>0</v>
      </c>
      <c r="Z2349" t="s">
        <v>64</v>
      </c>
      <c r="AA2349" t="s">
        <v>134</v>
      </c>
      <c r="AB2349" t="s">
        <v>0</v>
      </c>
      <c r="AC2349" t="s">
        <v>6302</v>
      </c>
    </row>
    <row r="2350" spans="1:29">
      <c r="A2350" t="s">
        <v>6303</v>
      </c>
      <c r="B2350" s="11" t="str">
        <f>IF(ISNUMBER(SEARCH(E2350,A2350)),A2350,IF(OR(E2350="",E2350=""),A2350,A2350&amp;" - "&amp;E2350))</f>
        <v>NICE 22/1 BL - Black Lime</v>
      </c>
      <c r="C2350" t="s">
        <v>996</v>
      </c>
      <c r="D2350" t="s">
        <v>997</v>
      </c>
      <c r="E2350" s="79" t="s">
        <v>3811</v>
      </c>
      <c r="F2350" s="81" t="s">
        <v>86</v>
      </c>
      <c r="G2350" t="s">
        <v>4126</v>
      </c>
      <c r="H2350" t="s">
        <v>65</v>
      </c>
      <c r="K2350" t="s">
        <v>52</v>
      </c>
      <c r="L2350" t="s">
        <v>102</v>
      </c>
      <c r="M2350" t="s">
        <v>54</v>
      </c>
      <c r="N2350" t="s">
        <v>178</v>
      </c>
      <c r="O2350" t="s">
        <v>88</v>
      </c>
      <c r="P2350" t="s">
        <v>73</v>
      </c>
      <c r="Q2350" t="s">
        <v>59</v>
      </c>
      <c r="R2350" t="s">
        <v>75</v>
      </c>
      <c r="S2350" t="s">
        <v>106</v>
      </c>
      <c r="T2350" t="s">
        <v>62</v>
      </c>
      <c r="U2350" t="s">
        <v>147</v>
      </c>
      <c r="V2350" t="s">
        <v>79</v>
      </c>
      <c r="W2350" t="s">
        <v>107</v>
      </c>
      <c r="X2350" t="s">
        <v>77</v>
      </c>
      <c r="Y2350" t="s">
        <v>0</v>
      </c>
      <c r="Z2350" t="s">
        <v>64</v>
      </c>
      <c r="AA2350" t="s">
        <v>997</v>
      </c>
      <c r="AB2350" t="s">
        <v>0</v>
      </c>
      <c r="AC2350" t="s">
        <v>6304</v>
      </c>
    </row>
    <row r="2351" spans="1:29">
      <c r="A2351" t="s">
        <v>6305</v>
      </c>
      <c r="B2351" s="11" t="str">
        <f>IF(ISNUMBER(SEARCH(E2351,A2351)),A2351,IF(OR(E2351="",E2351=""),A2351,A2351&amp;" - "&amp;E2351))</f>
        <v>Barongo 30/1 SBT - San Andreas Juice</v>
      </c>
      <c r="C2351" t="s">
        <v>641</v>
      </c>
      <c r="D2351" t="s">
        <v>642</v>
      </c>
      <c r="E2351" s="9" t="s">
        <v>6306</v>
      </c>
      <c r="F2351" s="1" t="s">
        <v>86</v>
      </c>
      <c r="G2351" t="s">
        <v>4057</v>
      </c>
      <c r="H2351" t="s">
        <v>65</v>
      </c>
      <c r="K2351" t="s">
        <v>52</v>
      </c>
      <c r="L2351" t="s">
        <v>53</v>
      </c>
      <c r="M2351" t="s">
        <v>88</v>
      </c>
      <c r="N2351" t="s">
        <v>0</v>
      </c>
      <c r="O2351" t="s">
        <v>0</v>
      </c>
      <c r="P2351" t="s">
        <v>59</v>
      </c>
      <c r="Q2351" t="s">
        <v>89</v>
      </c>
      <c r="R2351" t="s">
        <v>157</v>
      </c>
      <c r="S2351" t="s">
        <v>106</v>
      </c>
      <c r="T2351" t="s">
        <v>62</v>
      </c>
      <c r="U2351" t="s">
        <v>147</v>
      </c>
      <c r="V2351" t="s">
        <v>77</v>
      </c>
      <c r="W2351" t="s">
        <v>165</v>
      </c>
      <c r="X2351" t="s">
        <v>129</v>
      </c>
      <c r="Y2351" t="s">
        <v>0</v>
      </c>
      <c r="Z2351" t="s">
        <v>64</v>
      </c>
      <c r="AA2351" t="s">
        <v>642</v>
      </c>
      <c r="AB2351" t="s">
        <v>0</v>
      </c>
      <c r="AC2351" t="s">
        <v>6307</v>
      </c>
    </row>
    <row r="2352" spans="1:29">
      <c r="A2352" t="s">
        <v>6308</v>
      </c>
      <c r="B2352" s="11" t="str">
        <f>IF(ISNUMBER(SEARCH(E2352,A2352)),A2352,IF(OR(E2352="",E2352=""),A2352,A2352&amp;" - "&amp;E2352))</f>
        <v>CR Epic Drop - Chronic</v>
      </c>
      <c r="C2352" t="s">
        <v>484</v>
      </c>
      <c r="D2352" t="s">
        <v>485</v>
      </c>
      <c r="E2352" s="79" t="s">
        <v>6309</v>
      </c>
      <c r="F2352" s="81" t="s">
        <v>86</v>
      </c>
      <c r="G2352" t="s">
        <v>4164</v>
      </c>
      <c r="H2352" t="s">
        <v>65</v>
      </c>
      <c r="K2352" t="s">
        <v>52</v>
      </c>
      <c r="L2352" t="s">
        <v>53</v>
      </c>
      <c r="M2352" t="s">
        <v>72</v>
      </c>
      <c r="N2352" t="s">
        <v>88</v>
      </c>
      <c r="O2352" t="s">
        <v>103</v>
      </c>
      <c r="P2352" t="s">
        <v>59</v>
      </c>
      <c r="Q2352" t="s">
        <v>89</v>
      </c>
      <c r="R2352" t="s">
        <v>157</v>
      </c>
      <c r="S2352" t="s">
        <v>106</v>
      </c>
      <c r="T2352" t="s">
        <v>62</v>
      </c>
      <c r="U2352" t="s">
        <v>147</v>
      </c>
      <c r="V2352" t="s">
        <v>77</v>
      </c>
      <c r="W2352" t="s">
        <v>129</v>
      </c>
      <c r="X2352" t="s">
        <v>292</v>
      </c>
      <c r="Y2352" t="s">
        <v>0</v>
      </c>
      <c r="Z2352" t="s">
        <v>64</v>
      </c>
      <c r="AA2352" t="s">
        <v>485</v>
      </c>
      <c r="AB2352" t="s">
        <v>0</v>
      </c>
      <c r="AC2352" t="s">
        <v>6310</v>
      </c>
    </row>
    <row r="2353" spans="1:29">
      <c r="A2353" t="s">
        <v>6311</v>
      </c>
      <c r="B2353" s="11" t="str">
        <f>IF(ISNUMBER(SEARCH(E2353,A2353)),A2353,IF(OR(E2353="",E2353=""),A2353,A2353&amp;" - "&amp;E2353))</f>
        <v>CR Regular Drop GMO x - Gush Mints</v>
      </c>
      <c r="C2353" t="s">
        <v>484</v>
      </c>
      <c r="D2353" t="s">
        <v>485</v>
      </c>
      <c r="E2353" s="79" t="s">
        <v>2875</v>
      </c>
      <c r="F2353" s="81" t="s">
        <v>86</v>
      </c>
      <c r="G2353" t="s">
        <v>26</v>
      </c>
      <c r="H2353" t="s">
        <v>65</v>
      </c>
      <c r="K2353" t="s">
        <v>52</v>
      </c>
      <c r="L2353" t="s">
        <v>53</v>
      </c>
      <c r="M2353" t="s">
        <v>71</v>
      </c>
      <c r="N2353" t="s">
        <v>88</v>
      </c>
      <c r="O2353" t="s">
        <v>72</v>
      </c>
      <c r="P2353" t="s">
        <v>89</v>
      </c>
      <c r="Q2353" t="s">
        <v>73</v>
      </c>
      <c r="R2353" t="s">
        <v>75</v>
      </c>
      <c r="S2353" t="s">
        <v>61</v>
      </c>
      <c r="T2353" t="s">
        <v>76</v>
      </c>
      <c r="U2353" t="s">
        <v>62</v>
      </c>
      <c r="V2353" t="s">
        <v>116</v>
      </c>
      <c r="W2353" t="s">
        <v>107</v>
      </c>
      <c r="X2353" t="s">
        <v>0</v>
      </c>
      <c r="Y2353" t="s">
        <v>0</v>
      </c>
      <c r="Z2353" t="s">
        <v>64</v>
      </c>
      <c r="AA2353" t="s">
        <v>485</v>
      </c>
      <c r="AB2353" t="s">
        <v>2876</v>
      </c>
      <c r="AC2353" t="s">
        <v>6312</v>
      </c>
    </row>
    <row r="2354" spans="1:29">
      <c r="A2354" t="s">
        <v>6313</v>
      </c>
      <c r="B2354" s="11" t="str">
        <f>IF(ISNUMBER(SEARCH(E2354,A2354)),A2354,IF(OR(E2354="",E2354=""),A2354,A2354&amp;" - "&amp;E2354))</f>
        <v>MC Regular Drop Secret Weapon X Cookies n Cream - Oreoz</v>
      </c>
      <c r="C2354" t="s">
        <v>484</v>
      </c>
      <c r="D2354" t="s">
        <v>485</v>
      </c>
      <c r="E2354" s="79" t="s">
        <v>603</v>
      </c>
      <c r="F2354" s="81" t="s">
        <v>86</v>
      </c>
      <c r="G2354" t="s">
        <v>26</v>
      </c>
      <c r="H2354" t="s">
        <v>65</v>
      </c>
      <c r="K2354" t="s">
        <v>52</v>
      </c>
      <c r="L2354" t="s">
        <v>53</v>
      </c>
      <c r="M2354" t="s">
        <v>71</v>
      </c>
      <c r="N2354" t="s">
        <v>72</v>
      </c>
      <c r="O2354" t="s">
        <v>103</v>
      </c>
      <c r="P2354" t="s">
        <v>591</v>
      </c>
      <c r="Q2354" t="s">
        <v>57</v>
      </c>
      <c r="R2354" t="s">
        <v>604</v>
      </c>
      <c r="S2354" t="s">
        <v>106</v>
      </c>
      <c r="T2354" t="s">
        <v>62</v>
      </c>
      <c r="U2354" t="s">
        <v>147</v>
      </c>
      <c r="V2354" t="s">
        <v>116</v>
      </c>
      <c r="W2354" t="s">
        <v>79</v>
      </c>
      <c r="X2354" t="s">
        <v>173</v>
      </c>
      <c r="Y2354" t="s">
        <v>0</v>
      </c>
      <c r="Z2354" t="s">
        <v>64</v>
      </c>
      <c r="AA2354" t="s">
        <v>485</v>
      </c>
      <c r="AB2354" t="s">
        <v>0</v>
      </c>
      <c r="AC2354" t="s">
        <v>6314</v>
      </c>
    </row>
    <row r="2355" spans="1:29">
      <c r="A2355" t="s">
        <v>6315</v>
      </c>
      <c r="B2355" s="11" t="str">
        <f>IF(ISNUMBER(SEARCH(E2355,A2355)),A2355,IF(OR(E2355="",E2355=""),A2355,A2355&amp;" - "&amp;E2355))</f>
        <v>Buuo 24/1 TM - Tropic Boom Popstars</v>
      </c>
      <c r="C2355" t="s">
        <v>641</v>
      </c>
      <c r="D2355" t="s">
        <v>642</v>
      </c>
      <c r="E2355" s="79" t="s">
        <v>6316</v>
      </c>
      <c r="F2355" s="81" t="s">
        <v>86</v>
      </c>
      <c r="G2355" t="s">
        <v>448</v>
      </c>
      <c r="H2355" t="s">
        <v>65</v>
      </c>
      <c r="K2355" t="s">
        <v>52</v>
      </c>
      <c r="L2355" t="s">
        <v>53</v>
      </c>
      <c r="M2355" t="s">
        <v>72</v>
      </c>
      <c r="N2355" t="s">
        <v>88</v>
      </c>
      <c r="O2355" t="s">
        <v>71</v>
      </c>
      <c r="P2355" t="s">
        <v>157</v>
      </c>
      <c r="Q2355" t="s">
        <v>146</v>
      </c>
      <c r="R2355" t="s">
        <v>89</v>
      </c>
      <c r="S2355" t="s">
        <v>128</v>
      </c>
      <c r="T2355" t="s">
        <v>106</v>
      </c>
      <c r="U2355" t="s">
        <v>123</v>
      </c>
      <c r="V2355" t="s">
        <v>292</v>
      </c>
      <c r="W2355" t="s">
        <v>79</v>
      </c>
      <c r="X2355" t="s">
        <v>77</v>
      </c>
      <c r="Y2355" t="s">
        <v>0</v>
      </c>
      <c r="Z2355" t="s">
        <v>64</v>
      </c>
      <c r="AA2355" t="s">
        <v>642</v>
      </c>
      <c r="AB2355" t="s">
        <v>0</v>
      </c>
      <c r="AC2355" t="s">
        <v>6317</v>
      </c>
    </row>
    <row r="2356" spans="1:29">
      <c r="A2356" t="s">
        <v>6318</v>
      </c>
      <c r="B2356" s="11" t="str">
        <f>IF(ISNUMBER(SEARCH(E2356,A2356)),A2356,IF(OR(E2356="",E2356=""),A2356,A2356&amp;" - "&amp;E2356))</f>
        <v>420 Natural 36/1 CA TGO - Triangle Octane</v>
      </c>
      <c r="C2356" t="s">
        <v>463</v>
      </c>
      <c r="D2356" t="s">
        <v>468</v>
      </c>
      <c r="E2356" s="9" t="s">
        <v>6114</v>
      </c>
      <c r="F2356" s="1" t="s">
        <v>177</v>
      </c>
      <c r="G2356" t="s">
        <v>5365</v>
      </c>
      <c r="H2356" t="s">
        <v>65</v>
      </c>
      <c r="K2356" t="s">
        <v>52</v>
      </c>
      <c r="L2356" t="s">
        <v>53</v>
      </c>
      <c r="M2356" t="s">
        <v>121</v>
      </c>
      <c r="N2356" t="s">
        <v>72</v>
      </c>
      <c r="O2356" t="s">
        <v>88</v>
      </c>
      <c r="P2356" t="s">
        <v>59</v>
      </c>
      <c r="Q2356" t="s">
        <v>89</v>
      </c>
      <c r="R2356" t="s">
        <v>146</v>
      </c>
      <c r="S2356" t="s">
        <v>128</v>
      </c>
      <c r="T2356" t="s">
        <v>106</v>
      </c>
      <c r="U2356" t="s">
        <v>164</v>
      </c>
      <c r="V2356" t="s">
        <v>92</v>
      </c>
      <c r="W2356" t="s">
        <v>93</v>
      </c>
      <c r="X2356" t="s">
        <v>77</v>
      </c>
      <c r="Y2356" t="s">
        <v>0</v>
      </c>
      <c r="Z2356" t="s">
        <v>64</v>
      </c>
      <c r="AA2356" t="s">
        <v>468</v>
      </c>
      <c r="AB2356" t="s">
        <v>0</v>
      </c>
      <c r="AC2356" t="s">
        <v>6319</v>
      </c>
    </row>
    <row r="2357" spans="1:29">
      <c r="A2357" t="s">
        <v>6320</v>
      </c>
      <c r="B2357" s="11" t="str">
        <f>IF(ISNUMBER(SEARCH(E2357,A2357)),A2357,IF(OR(E2357="",E2357=""),A2357,A2357&amp;" - "&amp;E2357))</f>
        <v>420 Natural 33/1 CA TGO - Triangle Octane</v>
      </c>
      <c r="C2357" t="s">
        <v>463</v>
      </c>
      <c r="D2357" t="s">
        <v>468</v>
      </c>
      <c r="E2357" s="9" t="s">
        <v>6114</v>
      </c>
      <c r="F2357" s="1" t="s">
        <v>177</v>
      </c>
      <c r="G2357" t="s">
        <v>4169</v>
      </c>
      <c r="H2357" t="s">
        <v>65</v>
      </c>
      <c r="K2357" t="s">
        <v>52</v>
      </c>
      <c r="L2357" t="s">
        <v>53</v>
      </c>
      <c r="M2357" t="s">
        <v>121</v>
      </c>
      <c r="N2357" t="s">
        <v>72</v>
      </c>
      <c r="O2357" t="s">
        <v>88</v>
      </c>
      <c r="P2357" t="s">
        <v>59</v>
      </c>
      <c r="Q2357" t="s">
        <v>89</v>
      </c>
      <c r="R2357" t="s">
        <v>146</v>
      </c>
      <c r="S2357" t="s">
        <v>128</v>
      </c>
      <c r="T2357" t="s">
        <v>106</v>
      </c>
      <c r="U2357" t="s">
        <v>164</v>
      </c>
      <c r="V2357" t="s">
        <v>92</v>
      </c>
      <c r="W2357" t="s">
        <v>93</v>
      </c>
      <c r="X2357" t="s">
        <v>77</v>
      </c>
      <c r="Y2357" t="s">
        <v>0</v>
      </c>
      <c r="Z2357" t="s">
        <v>64</v>
      </c>
      <c r="AA2357" t="s">
        <v>468</v>
      </c>
      <c r="AB2357" t="s">
        <v>0</v>
      </c>
      <c r="AC2357" t="s">
        <v>6321</v>
      </c>
    </row>
    <row r="2358" spans="1:29">
      <c r="A2358" t="s">
        <v>6322</v>
      </c>
      <c r="B2358" s="11" t="str">
        <f>IF(ISNUMBER(SEARCH(E2358,A2358)),A2358,IF(OR(E2358="",E2358=""),A2358,A2358&amp;" - "&amp;E2358))</f>
        <v>420 Natural 27/1 CA TGO - Triangle Octane</v>
      </c>
      <c r="C2358" t="s">
        <v>463</v>
      </c>
      <c r="D2358" t="s">
        <v>468</v>
      </c>
      <c r="E2358" s="9" t="s">
        <v>6114</v>
      </c>
      <c r="F2358" s="1" t="s">
        <v>177</v>
      </c>
      <c r="G2358" t="s">
        <v>33</v>
      </c>
      <c r="H2358" t="s">
        <v>65</v>
      </c>
      <c r="K2358" t="s">
        <v>52</v>
      </c>
      <c r="L2358" t="s">
        <v>53</v>
      </c>
      <c r="M2358" t="s">
        <v>121</v>
      </c>
      <c r="N2358" t="s">
        <v>72</v>
      </c>
      <c r="O2358" t="s">
        <v>88</v>
      </c>
      <c r="P2358" t="s">
        <v>59</v>
      </c>
      <c r="Q2358" t="s">
        <v>89</v>
      </c>
      <c r="R2358" t="s">
        <v>146</v>
      </c>
      <c r="S2358" t="s">
        <v>128</v>
      </c>
      <c r="T2358" t="s">
        <v>106</v>
      </c>
      <c r="U2358" t="s">
        <v>164</v>
      </c>
      <c r="V2358" t="s">
        <v>92</v>
      </c>
      <c r="W2358" t="s">
        <v>93</v>
      </c>
      <c r="X2358" t="s">
        <v>77</v>
      </c>
      <c r="Y2358" t="s">
        <v>0</v>
      </c>
      <c r="Z2358" t="s">
        <v>64</v>
      </c>
      <c r="AA2358" t="s">
        <v>468</v>
      </c>
      <c r="AB2358" t="s">
        <v>0</v>
      </c>
      <c r="AC2358" t="s">
        <v>6323</v>
      </c>
    </row>
    <row r="2359" spans="1:29">
      <c r="A2359" t="s">
        <v>6324</v>
      </c>
      <c r="B2359" s="11" t="str">
        <f>IF(ISNUMBER(SEARCH(E2359,A2359)),A2359,IF(OR(E2359="",E2359=""),A2359,A2359&amp;" - "&amp;E2359))</f>
        <v>420 Natural 25/1 CA TGO - Triangle Octane</v>
      </c>
      <c r="C2359" t="s">
        <v>463</v>
      </c>
      <c r="D2359" t="s">
        <v>468</v>
      </c>
      <c r="E2359" s="9" t="s">
        <v>6114</v>
      </c>
      <c r="F2359" s="1" t="s">
        <v>177</v>
      </c>
      <c r="G2359" t="s">
        <v>26</v>
      </c>
      <c r="H2359" t="s">
        <v>65</v>
      </c>
      <c r="K2359" t="s">
        <v>52</v>
      </c>
      <c r="L2359" t="s">
        <v>53</v>
      </c>
      <c r="M2359" t="s">
        <v>121</v>
      </c>
      <c r="N2359" t="s">
        <v>72</v>
      </c>
      <c r="O2359" t="s">
        <v>88</v>
      </c>
      <c r="P2359" t="s">
        <v>59</v>
      </c>
      <c r="Q2359" t="s">
        <v>89</v>
      </c>
      <c r="R2359" t="s">
        <v>146</v>
      </c>
      <c r="S2359" t="s">
        <v>128</v>
      </c>
      <c r="T2359" t="s">
        <v>106</v>
      </c>
      <c r="U2359" t="s">
        <v>164</v>
      </c>
      <c r="V2359" t="s">
        <v>92</v>
      </c>
      <c r="W2359" t="s">
        <v>93</v>
      </c>
      <c r="X2359" t="s">
        <v>77</v>
      </c>
      <c r="Y2359" t="s">
        <v>0</v>
      </c>
      <c r="Z2359" t="s">
        <v>64</v>
      </c>
      <c r="AA2359" t="s">
        <v>468</v>
      </c>
      <c r="AB2359" t="s">
        <v>0</v>
      </c>
      <c r="AC2359" t="s">
        <v>6325</v>
      </c>
    </row>
    <row r="2360" spans="1:29">
      <c r="A2360" t="s">
        <v>6326</v>
      </c>
      <c r="B2360" s="11" t="str">
        <f>IF(ISNUMBER(SEARCH(E2360,A2360)),A2360,IF(OR(E2360="",E2360=""),A2360,A2360&amp;" - "&amp;E2360))</f>
        <v>aleph Matterhorn 30/1 - Banjo</v>
      </c>
      <c r="C2360" t="s">
        <v>725</v>
      </c>
      <c r="D2360" t="s">
        <v>726</v>
      </c>
      <c r="E2360" s="9" t="s">
        <v>3686</v>
      </c>
      <c r="F2360" s="1" t="s">
        <v>69</v>
      </c>
      <c r="G2360" t="s">
        <v>4057</v>
      </c>
      <c r="H2360" t="s">
        <v>65</v>
      </c>
      <c r="K2360" t="s">
        <v>52</v>
      </c>
      <c r="L2360" t="s">
        <v>4603</v>
      </c>
      <c r="M2360" t="s">
        <v>72</v>
      </c>
      <c r="N2360" t="s">
        <v>88</v>
      </c>
      <c r="O2360" t="s">
        <v>0</v>
      </c>
      <c r="P2360" t="s">
        <v>89</v>
      </c>
      <c r="Q2360" t="s">
        <v>58</v>
      </c>
      <c r="R2360" t="s">
        <v>186</v>
      </c>
      <c r="S2360" t="s">
        <v>106</v>
      </c>
      <c r="T2360" t="s">
        <v>179</v>
      </c>
      <c r="U2360" t="s">
        <v>76</v>
      </c>
      <c r="V2360" t="s">
        <v>116</v>
      </c>
      <c r="W2360" t="s">
        <v>79</v>
      </c>
      <c r="X2360" t="s">
        <v>107</v>
      </c>
      <c r="Y2360" t="s">
        <v>0</v>
      </c>
      <c r="Z2360" t="s">
        <v>64</v>
      </c>
      <c r="AA2360" t="s">
        <v>726</v>
      </c>
      <c r="AB2360" t="s">
        <v>0</v>
      </c>
      <c r="AC2360" t="s">
        <v>6327</v>
      </c>
    </row>
    <row r="2361" spans="1:29">
      <c r="A2361" t="s">
        <v>1096</v>
      </c>
      <c r="B2361" s="11" t="str">
        <f>IF(ISNUMBER(SEARCH(E2361,A2361)),A2361,IF(OR(E2361="",E2361=""),A2361,A2361&amp;" - "&amp;E2361))</f>
        <v>Bathera 28/1 - Black Cherry Punch</v>
      </c>
      <c r="C2361" t="s">
        <v>4625</v>
      </c>
      <c r="D2361" t="s">
        <v>160</v>
      </c>
      <c r="E2361" s="9" t="s">
        <v>685</v>
      </c>
      <c r="F2361" s="1" t="s">
        <v>177</v>
      </c>
      <c r="G2361" t="s">
        <v>4164</v>
      </c>
      <c r="H2361" t="s">
        <v>65</v>
      </c>
      <c r="K2361" t="s">
        <v>52</v>
      </c>
      <c r="L2361" t="s">
        <v>497</v>
      </c>
      <c r="M2361" t="s">
        <v>72</v>
      </c>
      <c r="N2361" t="s">
        <v>121</v>
      </c>
      <c r="O2361" t="s">
        <v>103</v>
      </c>
      <c r="P2361" t="s">
        <v>58</v>
      </c>
      <c r="Q2361" t="s">
        <v>104</v>
      </c>
      <c r="R2361" t="s">
        <v>89</v>
      </c>
      <c r="S2361" t="s">
        <v>106</v>
      </c>
      <c r="T2361" t="s">
        <v>62</v>
      </c>
      <c r="U2361" t="s">
        <v>123</v>
      </c>
      <c r="V2361" t="s">
        <v>77</v>
      </c>
      <c r="W2361" t="s">
        <v>116</v>
      </c>
      <c r="X2361" t="s">
        <v>79</v>
      </c>
      <c r="Y2361" t="s">
        <v>0</v>
      </c>
      <c r="Z2361" t="s">
        <v>64</v>
      </c>
      <c r="AA2361" t="s">
        <v>160</v>
      </c>
      <c r="AB2361" t="s">
        <v>0</v>
      </c>
      <c r="AC2361" t="s">
        <v>6328</v>
      </c>
    </row>
    <row r="2362" spans="1:29">
      <c r="A2362" t="s">
        <v>6329</v>
      </c>
      <c r="B2362" s="11" t="str">
        <f>IF(ISNUMBER(SEARCH(E2362,A2362)),A2362,IF(OR(E2362="",E2362=""),A2362,A2362&amp;" - "&amp;E2362))</f>
        <v>IMC K18 CBD13 - Swiss CBD</v>
      </c>
      <c r="C2362" t="s">
        <v>646</v>
      </c>
      <c r="D2362" t="s">
        <v>646</v>
      </c>
      <c r="E2362" s="79" t="s">
        <v>6330</v>
      </c>
      <c r="F2362" s="81" t="s">
        <v>86</v>
      </c>
      <c r="G2362" t="s">
        <v>65</v>
      </c>
      <c r="H2362" t="s">
        <v>65</v>
      </c>
      <c r="K2362" t="s">
        <v>52</v>
      </c>
      <c r="L2362" t="s">
        <v>4603</v>
      </c>
      <c r="M2362" t="s">
        <v>72</v>
      </c>
      <c r="N2362" t="s">
        <v>0</v>
      </c>
      <c r="O2362" t="s">
        <v>0</v>
      </c>
      <c r="P2362" t="s">
        <v>75</v>
      </c>
      <c r="Q2362" t="s">
        <v>59</v>
      </c>
      <c r="R2362" t="s">
        <v>157</v>
      </c>
      <c r="S2362" t="s">
        <v>106</v>
      </c>
      <c r="T2362" t="s">
        <v>62</v>
      </c>
      <c r="U2362" t="s">
        <v>147</v>
      </c>
      <c r="V2362" t="s">
        <v>77</v>
      </c>
      <c r="W2362" t="s">
        <v>165</v>
      </c>
      <c r="X2362" t="s">
        <v>180</v>
      </c>
      <c r="Y2362" t="s">
        <v>0</v>
      </c>
      <c r="Z2362" t="s">
        <v>64</v>
      </c>
      <c r="AA2362" t="s">
        <v>646</v>
      </c>
      <c r="AB2362" t="s">
        <v>0</v>
      </c>
      <c r="AC2362" t="s">
        <v>6331</v>
      </c>
    </row>
    <row r="2363" spans="1:29">
      <c r="A2363" t="s">
        <v>6332</v>
      </c>
      <c r="B2363" s="11" t="str">
        <f>IF(ISNUMBER(SEARCH(E2363,A2363)),A2363,IF(OR(E2363="",E2363=""),A2363,A2363&amp;" - "&amp;E2363))</f>
        <v>IMC PBG THC25 Token - Sour Beach</v>
      </c>
      <c r="C2363" t="s">
        <v>646</v>
      </c>
      <c r="D2363" t="s">
        <v>646</v>
      </c>
      <c r="E2363" s="79" t="s">
        <v>6333</v>
      </c>
      <c r="F2363" s="81" t="s">
        <v>86</v>
      </c>
      <c r="G2363" t="s">
        <v>26</v>
      </c>
      <c r="H2363" t="s">
        <v>65</v>
      </c>
      <c r="K2363" t="s">
        <v>52</v>
      </c>
      <c r="L2363" t="s">
        <v>102</v>
      </c>
      <c r="M2363" t="s">
        <v>88</v>
      </c>
      <c r="N2363" t="s">
        <v>72</v>
      </c>
      <c r="O2363" t="s">
        <v>0</v>
      </c>
      <c r="P2363" t="s">
        <v>75</v>
      </c>
      <c r="Q2363" t="s">
        <v>74</v>
      </c>
      <c r="R2363" t="s">
        <v>157</v>
      </c>
      <c r="S2363" t="s">
        <v>106</v>
      </c>
      <c r="T2363" t="s">
        <v>62</v>
      </c>
      <c r="U2363" t="s">
        <v>147</v>
      </c>
      <c r="V2363" t="s">
        <v>107</v>
      </c>
      <c r="W2363" t="s">
        <v>116</v>
      </c>
      <c r="X2363" t="s">
        <v>77</v>
      </c>
      <c r="Y2363" t="s">
        <v>0</v>
      </c>
      <c r="Z2363" t="s">
        <v>64</v>
      </c>
      <c r="AA2363" t="s">
        <v>646</v>
      </c>
      <c r="AB2363" t="s">
        <v>0</v>
      </c>
      <c r="AC2363" t="s">
        <v>6334</v>
      </c>
    </row>
    <row r="2364" spans="1:29">
      <c r="A2364" t="s">
        <v>6335</v>
      </c>
      <c r="B2364" s="11" t="str">
        <f>IF(ISNUMBER(SEARCH(E2364,A2364)),A2364,IF(OR(E2364="",E2364=""),A2364,A2364&amp;" - "&amp;E2364))</f>
        <v>IMC FMO THC27 - NYC Diesel</v>
      </c>
      <c r="C2364" t="s">
        <v>646</v>
      </c>
      <c r="D2364" t="s">
        <v>646</v>
      </c>
      <c r="E2364" s="79" t="s">
        <v>399</v>
      </c>
      <c r="F2364" s="81" t="s">
        <v>144</v>
      </c>
      <c r="G2364" t="s">
        <v>33</v>
      </c>
      <c r="H2364" t="s">
        <v>65</v>
      </c>
      <c r="K2364" t="s">
        <v>52</v>
      </c>
      <c r="L2364" t="s">
        <v>145</v>
      </c>
      <c r="M2364" t="s">
        <v>72</v>
      </c>
      <c r="N2364" t="s">
        <v>111</v>
      </c>
      <c r="O2364" t="s">
        <v>178</v>
      </c>
      <c r="P2364" t="s">
        <v>58</v>
      </c>
      <c r="Q2364" t="s">
        <v>75</v>
      </c>
      <c r="R2364" t="s">
        <v>0</v>
      </c>
      <c r="S2364" t="s">
        <v>62</v>
      </c>
      <c r="T2364" t="s">
        <v>147</v>
      </c>
      <c r="U2364" t="s">
        <v>192</v>
      </c>
      <c r="V2364" t="s">
        <v>292</v>
      </c>
      <c r="W2364" t="s">
        <v>173</v>
      </c>
      <c r="X2364" t="s">
        <v>77</v>
      </c>
      <c r="Y2364" t="s">
        <v>0</v>
      </c>
      <c r="Z2364" t="s">
        <v>64</v>
      </c>
      <c r="AA2364" t="s">
        <v>646</v>
      </c>
      <c r="AB2364" t="s">
        <v>150</v>
      </c>
      <c r="AC2364" t="s">
        <v>6336</v>
      </c>
    </row>
    <row r="2365" spans="1:29">
      <c r="A2365" t="s">
        <v>6337</v>
      </c>
      <c r="B2365" s="11" t="str">
        <f>IF(ISNUMBER(SEARCH(E2365,A2365)),A2365,IF(OR(E2365="",E2365=""),A2365,A2365&amp;" - "&amp;E2365))</f>
        <v>IMC PBG THC27 Token - Sour Beach</v>
      </c>
      <c r="C2365" t="s">
        <v>646</v>
      </c>
      <c r="D2365" t="s">
        <v>646</v>
      </c>
      <c r="E2365" s="79" t="s">
        <v>6333</v>
      </c>
      <c r="F2365" s="81" t="s">
        <v>86</v>
      </c>
      <c r="G2365" t="s">
        <v>33</v>
      </c>
      <c r="H2365" t="s">
        <v>65</v>
      </c>
      <c r="K2365" t="s">
        <v>52</v>
      </c>
      <c r="L2365" t="s">
        <v>102</v>
      </c>
      <c r="M2365" t="s">
        <v>88</v>
      </c>
      <c r="N2365" t="s">
        <v>72</v>
      </c>
      <c r="O2365" t="s">
        <v>0</v>
      </c>
      <c r="P2365" t="s">
        <v>75</v>
      </c>
      <c r="Q2365" t="s">
        <v>74</v>
      </c>
      <c r="R2365" t="s">
        <v>157</v>
      </c>
      <c r="S2365" t="s">
        <v>106</v>
      </c>
      <c r="T2365" t="s">
        <v>62</v>
      </c>
      <c r="U2365" t="s">
        <v>147</v>
      </c>
      <c r="V2365" t="s">
        <v>107</v>
      </c>
      <c r="W2365" t="s">
        <v>116</v>
      </c>
      <c r="X2365" t="s">
        <v>77</v>
      </c>
      <c r="Y2365" t="s">
        <v>0</v>
      </c>
      <c r="Z2365" t="s">
        <v>64</v>
      </c>
      <c r="AA2365" t="s">
        <v>646</v>
      </c>
      <c r="AB2365" t="s">
        <v>0</v>
      </c>
      <c r="AC2365" t="s">
        <v>6338</v>
      </c>
    </row>
    <row r="2366" spans="1:29">
      <c r="A2366" t="s">
        <v>6339</v>
      </c>
      <c r="B2366" s="11" t="str">
        <f>IF(ISNUMBER(SEARCH(E2366,A2366)),A2366,IF(OR(E2366="",E2366=""),A2366,A2366&amp;" - "&amp;E2366))</f>
        <v>IMC TKH THC27 - Pineapple Express</v>
      </c>
      <c r="C2366" t="s">
        <v>646</v>
      </c>
      <c r="D2366" t="s">
        <v>646</v>
      </c>
      <c r="E2366" s="79" t="s">
        <v>4020</v>
      </c>
      <c r="F2366" s="81" t="s">
        <v>144</v>
      </c>
      <c r="G2366" t="s">
        <v>33</v>
      </c>
      <c r="H2366" t="s">
        <v>65</v>
      </c>
      <c r="K2366" t="s">
        <v>52</v>
      </c>
      <c r="L2366" t="s">
        <v>102</v>
      </c>
      <c r="M2366" t="s">
        <v>55</v>
      </c>
      <c r="N2366" t="s">
        <v>72</v>
      </c>
      <c r="O2366" t="s">
        <v>88</v>
      </c>
      <c r="P2366" t="s">
        <v>59</v>
      </c>
      <c r="Q2366" t="s">
        <v>75</v>
      </c>
      <c r="R2366" t="s">
        <v>74</v>
      </c>
      <c r="S2366" t="s">
        <v>106</v>
      </c>
      <c r="T2366" t="s">
        <v>62</v>
      </c>
      <c r="U2366" t="s">
        <v>105</v>
      </c>
      <c r="V2366" t="s">
        <v>180</v>
      </c>
      <c r="W2366" t="s">
        <v>129</v>
      </c>
      <c r="X2366" t="s">
        <v>107</v>
      </c>
      <c r="Y2366" t="s">
        <v>0</v>
      </c>
      <c r="Z2366" t="s">
        <v>64</v>
      </c>
      <c r="AA2366" t="s">
        <v>646</v>
      </c>
      <c r="AB2366" t="s">
        <v>0</v>
      </c>
      <c r="AC2366" t="s">
        <v>6340</v>
      </c>
    </row>
    <row r="2367" spans="1:29">
      <c r="A2367" t="s">
        <v>6341</v>
      </c>
      <c r="B2367" s="11" t="str">
        <f>IF(ISNUMBER(SEARCH(E2367,A2367)),A2367,IF(OR(E2367="",E2367=""),A2367,A2367&amp;" - "&amp;E2367))</f>
        <v>Barongo 30/1 Cali Motion - LA Animal</v>
      </c>
      <c r="C2367" t="s">
        <v>641</v>
      </c>
      <c r="D2367" t="s">
        <v>642</v>
      </c>
      <c r="E2367" s="9" t="s">
        <v>5945</v>
      </c>
      <c r="F2367" s="1" t="s">
        <v>120</v>
      </c>
      <c r="G2367" t="s">
        <v>4057</v>
      </c>
      <c r="H2367" t="s">
        <v>65</v>
      </c>
      <c r="K2367" t="s">
        <v>52</v>
      </c>
      <c r="L2367" t="s">
        <v>53</v>
      </c>
      <c r="M2367" t="s">
        <v>54</v>
      </c>
      <c r="N2367" t="s">
        <v>88</v>
      </c>
      <c r="O2367" t="s">
        <v>156</v>
      </c>
      <c r="P2367" t="s">
        <v>75</v>
      </c>
      <c r="Q2367" t="s">
        <v>104</v>
      </c>
      <c r="R2367" t="s">
        <v>74</v>
      </c>
      <c r="S2367" t="s">
        <v>106</v>
      </c>
      <c r="T2367" t="s">
        <v>466</v>
      </c>
      <c r="U2367" t="s">
        <v>493</v>
      </c>
      <c r="V2367" t="s">
        <v>107</v>
      </c>
      <c r="W2367" t="s">
        <v>4398</v>
      </c>
      <c r="X2367" t="s">
        <v>457</v>
      </c>
      <c r="Y2367" t="s">
        <v>0</v>
      </c>
      <c r="Z2367" t="s">
        <v>64</v>
      </c>
      <c r="AA2367" t="s">
        <v>642</v>
      </c>
      <c r="AB2367" t="s">
        <v>0</v>
      </c>
      <c r="AC2367" t="s">
        <v>6342</v>
      </c>
    </row>
    <row r="2368" spans="1:29">
      <c r="A2368" t="s">
        <v>6343</v>
      </c>
      <c r="B2368" s="11" t="str">
        <f>IF(ISNUMBER(SEARCH(E2368,A2368)),A2368,IF(OR(E2368="",E2368=""),A2368,A2368&amp;" - "&amp;E2368))</f>
        <v>Buuo 26/1 Vitae - Hot White Garlic</v>
      </c>
      <c r="C2368" t="s">
        <v>641</v>
      </c>
      <c r="D2368" t="s">
        <v>642</v>
      </c>
      <c r="E2368" s="79" t="s">
        <v>6344</v>
      </c>
      <c r="F2368" s="81" t="s">
        <v>86</v>
      </c>
      <c r="G2368" t="s">
        <v>4086</v>
      </c>
      <c r="H2368" t="s">
        <v>65</v>
      </c>
      <c r="K2368" t="s">
        <v>52</v>
      </c>
      <c r="L2368" t="s">
        <v>53</v>
      </c>
      <c r="M2368" t="s">
        <v>121</v>
      </c>
      <c r="N2368" t="s">
        <v>103</v>
      </c>
      <c r="O2368" t="s">
        <v>54</v>
      </c>
      <c r="P2368" t="s">
        <v>59</v>
      </c>
      <c r="Q2368" t="s">
        <v>74</v>
      </c>
      <c r="R2368" t="s">
        <v>0</v>
      </c>
      <c r="S2368" t="s">
        <v>106</v>
      </c>
      <c r="T2368" t="s">
        <v>62</v>
      </c>
      <c r="U2368" t="s">
        <v>147</v>
      </c>
      <c r="V2368" t="s">
        <v>116</v>
      </c>
      <c r="W2368" t="s">
        <v>292</v>
      </c>
      <c r="X2368" t="s">
        <v>79</v>
      </c>
      <c r="Y2368" t="s">
        <v>0</v>
      </c>
      <c r="Z2368" t="s">
        <v>64</v>
      </c>
      <c r="AA2368" t="s">
        <v>642</v>
      </c>
      <c r="AB2368" t="s">
        <v>0</v>
      </c>
      <c r="AC2368" t="s">
        <v>6345</v>
      </c>
    </row>
    <row r="2369" spans="1:29">
      <c r="A2369" t="s">
        <v>6346</v>
      </c>
      <c r="B2369" s="11" t="str">
        <f>IF(ISNUMBER(SEARCH(E2369,A2369)),A2369,IF(OR(E2369="",E2369=""),A2369,A2369&amp;" - "&amp;E2369))</f>
        <v>aleph rose 18/1 - Tropicana Cookies</v>
      </c>
      <c r="C2369" t="s">
        <v>725</v>
      </c>
      <c r="D2369" t="s">
        <v>726</v>
      </c>
      <c r="E2369" s="9" t="s">
        <v>624</v>
      </c>
      <c r="F2369" s="1" t="s">
        <v>144</v>
      </c>
      <c r="G2369" t="s">
        <v>8</v>
      </c>
      <c r="H2369" t="s">
        <v>65</v>
      </c>
      <c r="K2369" t="s">
        <v>52</v>
      </c>
      <c r="L2369" t="s">
        <v>185</v>
      </c>
      <c r="M2369" t="s">
        <v>55</v>
      </c>
      <c r="N2369" t="s">
        <v>111</v>
      </c>
      <c r="O2369" t="s">
        <v>178</v>
      </c>
      <c r="P2369" t="s">
        <v>136</v>
      </c>
      <c r="Q2369" t="s">
        <v>58</v>
      </c>
      <c r="R2369" t="s">
        <v>75</v>
      </c>
      <c r="S2369" t="s">
        <v>90</v>
      </c>
      <c r="T2369" t="s">
        <v>62</v>
      </c>
      <c r="U2369" t="s">
        <v>123</v>
      </c>
      <c r="V2369" t="s">
        <v>77</v>
      </c>
      <c r="W2369" t="s">
        <v>79</v>
      </c>
      <c r="X2369" t="s">
        <v>173</v>
      </c>
      <c r="Y2369" t="s">
        <v>0</v>
      </c>
      <c r="Z2369" t="s">
        <v>64</v>
      </c>
      <c r="AA2369" t="s">
        <v>726</v>
      </c>
      <c r="AB2369" t="s">
        <v>0</v>
      </c>
      <c r="AC2369" t="s">
        <v>6347</v>
      </c>
    </row>
    <row r="2370" spans="1:29">
      <c r="A2370" t="s">
        <v>6348</v>
      </c>
      <c r="B2370" s="11" t="str">
        <f>IF(ISNUMBER(SEARCH(E2370,A2370)),A2370,IF(OR(E2370="",E2370=""),A2370,A2370&amp;" - "&amp;E2370))</f>
        <v>Roxton Air STV 30/1 - Jelly Rancher</v>
      </c>
      <c r="C2370" t="s">
        <v>564</v>
      </c>
      <c r="D2370" t="s">
        <v>565</v>
      </c>
      <c r="E2370" s="79" t="s">
        <v>5394</v>
      </c>
      <c r="F2370" s="81" t="s">
        <v>144</v>
      </c>
      <c r="G2370" t="s">
        <v>4057</v>
      </c>
      <c r="H2370" t="s">
        <v>65</v>
      </c>
      <c r="K2370" t="s">
        <v>52</v>
      </c>
      <c r="L2370" t="s">
        <v>53</v>
      </c>
      <c r="M2370" t="s">
        <v>72</v>
      </c>
      <c r="N2370" t="s">
        <v>54</v>
      </c>
      <c r="O2370" t="s">
        <v>71</v>
      </c>
      <c r="P2370" t="s">
        <v>104</v>
      </c>
      <c r="Q2370" t="s">
        <v>136</v>
      </c>
      <c r="R2370" t="s">
        <v>113</v>
      </c>
      <c r="S2370" t="s">
        <v>106</v>
      </c>
      <c r="T2370" t="s">
        <v>62</v>
      </c>
      <c r="U2370" t="s">
        <v>192</v>
      </c>
      <c r="V2370" t="s">
        <v>292</v>
      </c>
      <c r="W2370" t="s">
        <v>79</v>
      </c>
      <c r="X2370" t="s">
        <v>107</v>
      </c>
      <c r="Y2370" t="s">
        <v>0</v>
      </c>
      <c r="Z2370" t="s">
        <v>64</v>
      </c>
      <c r="AA2370" t="s">
        <v>565</v>
      </c>
      <c r="AB2370" t="s">
        <v>0</v>
      </c>
      <c r="AC2370" t="s">
        <v>6349</v>
      </c>
    </row>
    <row r="2371" spans="1:29">
      <c r="A2371" t="s">
        <v>6350</v>
      </c>
      <c r="B2371" s="11" t="str">
        <f>IF(ISNUMBER(SEARCH(E2371,A2371)),A2371,IF(OR(E2371="",E2371=""),A2371,A2371&amp;" - "&amp;E2371))</f>
        <v>Good Supply Cannabisblüten THC25 SAC - Space Age Cake</v>
      </c>
      <c r="C2371" t="s">
        <v>133</v>
      </c>
      <c r="D2371" t="s">
        <v>134</v>
      </c>
      <c r="E2371" s="79" t="s">
        <v>5661</v>
      </c>
      <c r="F2371" s="81" t="s">
        <v>177</v>
      </c>
      <c r="G2371" t="s">
        <v>26</v>
      </c>
      <c r="H2371" t="s">
        <v>65</v>
      </c>
      <c r="K2371" t="s">
        <v>52</v>
      </c>
      <c r="L2371" t="s">
        <v>102</v>
      </c>
      <c r="M2371" t="s">
        <v>121</v>
      </c>
      <c r="N2371" t="s">
        <v>111</v>
      </c>
      <c r="O2371" t="s">
        <v>72</v>
      </c>
      <c r="P2371" t="s">
        <v>157</v>
      </c>
      <c r="Q2371" t="s">
        <v>74</v>
      </c>
      <c r="R2371" t="s">
        <v>59</v>
      </c>
      <c r="S2371" t="s">
        <v>62</v>
      </c>
      <c r="T2371" t="s">
        <v>147</v>
      </c>
      <c r="U2371" t="s">
        <v>493</v>
      </c>
      <c r="V2371" t="s">
        <v>4398</v>
      </c>
      <c r="W2371" t="s">
        <v>138</v>
      </c>
      <c r="X2371" t="s">
        <v>165</v>
      </c>
      <c r="Y2371" t="s">
        <v>0</v>
      </c>
      <c r="Z2371" t="s">
        <v>64</v>
      </c>
      <c r="AA2371" t="s">
        <v>134</v>
      </c>
      <c r="AB2371" t="s">
        <v>0</v>
      </c>
      <c r="AC2371" t="s">
        <v>6351</v>
      </c>
    </row>
    <row r="2372" spans="1:29">
      <c r="A2372" t="s">
        <v>6352</v>
      </c>
      <c r="B2372" s="11" t="str">
        <f>IF(ISNUMBER(SEARCH(E2372,A2372)),A2372,IF(OR(E2372="",E2372=""),A2372,A2372&amp;" - "&amp;E2372))</f>
        <v>Good Supply Cannabisblüten THC30 SAC - Space Age Cake</v>
      </c>
      <c r="C2372" t="s">
        <v>133</v>
      </c>
      <c r="D2372" t="s">
        <v>134</v>
      </c>
      <c r="E2372" s="79" t="s">
        <v>5661</v>
      </c>
      <c r="F2372" s="81" t="s">
        <v>177</v>
      </c>
      <c r="G2372" t="s">
        <v>4057</v>
      </c>
      <c r="H2372" t="s">
        <v>65</v>
      </c>
      <c r="K2372" t="s">
        <v>52</v>
      </c>
      <c r="L2372" t="s">
        <v>102</v>
      </c>
      <c r="M2372" t="s">
        <v>121</v>
      </c>
      <c r="N2372" t="s">
        <v>111</v>
      </c>
      <c r="O2372" t="s">
        <v>72</v>
      </c>
      <c r="P2372" t="s">
        <v>157</v>
      </c>
      <c r="Q2372" t="s">
        <v>74</v>
      </c>
      <c r="R2372" t="s">
        <v>59</v>
      </c>
      <c r="S2372" t="s">
        <v>62</v>
      </c>
      <c r="T2372" t="s">
        <v>147</v>
      </c>
      <c r="U2372" t="s">
        <v>493</v>
      </c>
      <c r="V2372" t="s">
        <v>4398</v>
      </c>
      <c r="W2372" t="s">
        <v>138</v>
      </c>
      <c r="X2372" t="s">
        <v>165</v>
      </c>
      <c r="Y2372" t="s">
        <v>0</v>
      </c>
      <c r="Z2372" t="s">
        <v>64</v>
      </c>
      <c r="AA2372" t="s">
        <v>134</v>
      </c>
      <c r="AB2372" t="s">
        <v>0</v>
      </c>
      <c r="AC2372" t="s">
        <v>6353</v>
      </c>
    </row>
    <row r="2373" spans="1:29">
      <c r="A2373" t="s">
        <v>6354</v>
      </c>
      <c r="B2373" s="11" t="str">
        <f>IF(ISNUMBER(SEARCH(E2373,A2373)),A2373,IF(OR(E2373="",E2373=""),A2373,A2373&amp;" - "&amp;E2373))</f>
        <v>Good Supply Cannabisblüten THC15 SNL - Snow Leopard</v>
      </c>
      <c r="C2373" t="s">
        <v>133</v>
      </c>
      <c r="D2373" t="s">
        <v>134</v>
      </c>
      <c r="E2373" s="79" t="s">
        <v>5670</v>
      </c>
      <c r="F2373" s="81" t="s">
        <v>177</v>
      </c>
      <c r="G2373" t="s">
        <v>20</v>
      </c>
      <c r="H2373" t="s">
        <v>65</v>
      </c>
      <c r="K2373" t="s">
        <v>52</v>
      </c>
      <c r="L2373" t="s">
        <v>102</v>
      </c>
      <c r="M2373" t="s">
        <v>121</v>
      </c>
      <c r="N2373" t="s">
        <v>72</v>
      </c>
      <c r="O2373" t="s">
        <v>54</v>
      </c>
      <c r="P2373" t="s">
        <v>59</v>
      </c>
      <c r="Q2373" t="s">
        <v>157</v>
      </c>
      <c r="R2373" t="s">
        <v>74</v>
      </c>
      <c r="S2373" t="s">
        <v>147</v>
      </c>
      <c r="T2373" t="s">
        <v>192</v>
      </c>
      <c r="U2373" t="s">
        <v>224</v>
      </c>
      <c r="V2373" t="s">
        <v>77</v>
      </c>
      <c r="W2373" t="s">
        <v>116</v>
      </c>
      <c r="X2373" t="s">
        <v>180</v>
      </c>
      <c r="Y2373" t="s">
        <v>0</v>
      </c>
      <c r="Z2373" t="s">
        <v>64</v>
      </c>
      <c r="AA2373" t="s">
        <v>134</v>
      </c>
      <c r="AB2373" t="s">
        <v>0</v>
      </c>
      <c r="AC2373" t="s">
        <v>6355</v>
      </c>
    </row>
    <row r="2374" spans="1:29">
      <c r="A2374" t="s">
        <v>6356</v>
      </c>
      <c r="B2374" s="11" t="str">
        <f>IF(ISNUMBER(SEARCH(E2374,A2374)),A2374,IF(OR(E2374="",E2374=""),A2374,A2374&amp;" - "&amp;E2374))</f>
        <v>Good Supply Cannabisblüten THC18 SNL - Snow Leopard</v>
      </c>
      <c r="C2374" t="s">
        <v>133</v>
      </c>
      <c r="D2374" t="s">
        <v>134</v>
      </c>
      <c r="E2374" s="79" t="s">
        <v>5670</v>
      </c>
      <c r="F2374" s="81" t="s">
        <v>177</v>
      </c>
      <c r="G2374" t="s">
        <v>8</v>
      </c>
      <c r="H2374" t="s">
        <v>65</v>
      </c>
      <c r="K2374" t="s">
        <v>52</v>
      </c>
      <c r="L2374" t="s">
        <v>102</v>
      </c>
      <c r="M2374" t="s">
        <v>121</v>
      </c>
      <c r="N2374" t="s">
        <v>72</v>
      </c>
      <c r="O2374" t="s">
        <v>54</v>
      </c>
      <c r="P2374" t="s">
        <v>59</v>
      </c>
      <c r="Q2374" t="s">
        <v>157</v>
      </c>
      <c r="R2374" t="s">
        <v>74</v>
      </c>
      <c r="S2374" t="s">
        <v>147</v>
      </c>
      <c r="T2374" t="s">
        <v>192</v>
      </c>
      <c r="U2374" t="s">
        <v>224</v>
      </c>
      <c r="V2374" t="s">
        <v>77</v>
      </c>
      <c r="W2374" t="s">
        <v>116</v>
      </c>
      <c r="X2374" t="s">
        <v>180</v>
      </c>
      <c r="Y2374" t="s">
        <v>0</v>
      </c>
      <c r="Z2374" t="s">
        <v>64</v>
      </c>
      <c r="AA2374" t="s">
        <v>134</v>
      </c>
      <c r="AB2374" t="s">
        <v>0</v>
      </c>
      <c r="AC2374" t="s">
        <v>6357</v>
      </c>
    </row>
    <row r="2375" spans="1:29">
      <c r="A2375" t="s">
        <v>6358</v>
      </c>
      <c r="B2375" s="11" t="str">
        <f>IF(ISNUMBER(SEARCH(E2375,A2375)),A2375,IF(OR(E2375="",E2375=""),A2375,A2375&amp;" - "&amp;E2375))</f>
        <v>Good Supply Cannabisblüten THC25 SWK - Skywalker Kush</v>
      </c>
      <c r="C2375" t="s">
        <v>133</v>
      </c>
      <c r="D2375" t="s">
        <v>134</v>
      </c>
      <c r="E2375" s="79" t="s">
        <v>4193</v>
      </c>
      <c r="F2375" s="81" t="s">
        <v>177</v>
      </c>
      <c r="G2375" t="s">
        <v>26</v>
      </c>
      <c r="H2375" t="s">
        <v>65</v>
      </c>
      <c r="K2375" t="s">
        <v>52</v>
      </c>
      <c r="L2375" t="s">
        <v>102</v>
      </c>
      <c r="M2375" t="s">
        <v>88</v>
      </c>
      <c r="N2375" t="s">
        <v>72</v>
      </c>
      <c r="O2375" t="s">
        <v>0</v>
      </c>
      <c r="P2375" t="s">
        <v>146</v>
      </c>
      <c r="Q2375" t="s">
        <v>75</v>
      </c>
      <c r="R2375" t="s">
        <v>59</v>
      </c>
      <c r="S2375" t="s">
        <v>106</v>
      </c>
      <c r="T2375" t="s">
        <v>62</v>
      </c>
      <c r="U2375" t="s">
        <v>147</v>
      </c>
      <c r="V2375" t="s">
        <v>79</v>
      </c>
      <c r="W2375" t="s">
        <v>107</v>
      </c>
      <c r="X2375" t="s">
        <v>77</v>
      </c>
      <c r="Y2375" t="s">
        <v>0</v>
      </c>
      <c r="Z2375" t="s">
        <v>64</v>
      </c>
      <c r="AA2375" t="s">
        <v>134</v>
      </c>
      <c r="AB2375" t="s">
        <v>0</v>
      </c>
      <c r="AC2375" t="s">
        <v>6359</v>
      </c>
    </row>
    <row r="2376" spans="1:29">
      <c r="A2376" t="s">
        <v>6360</v>
      </c>
      <c r="B2376" s="11" t="str">
        <f>IF(ISNUMBER(SEARCH(E2376,A2376)),A2376,IF(OR(E2376="",E2376=""),A2376,A2376&amp;" - "&amp;E2376))</f>
        <v>Good Supply Cannabisblüten THC22 SWK - Skywalker Kush</v>
      </c>
      <c r="C2376" t="s">
        <v>133</v>
      </c>
      <c r="D2376" t="s">
        <v>134</v>
      </c>
      <c r="E2376" s="79" t="s">
        <v>4193</v>
      </c>
      <c r="F2376" s="81" t="s">
        <v>177</v>
      </c>
      <c r="G2376" t="s">
        <v>4126</v>
      </c>
      <c r="H2376" t="s">
        <v>65</v>
      </c>
      <c r="K2376" t="s">
        <v>52</v>
      </c>
      <c r="L2376" t="s">
        <v>102</v>
      </c>
      <c r="M2376" t="s">
        <v>88</v>
      </c>
      <c r="N2376" t="s">
        <v>72</v>
      </c>
      <c r="O2376" t="s">
        <v>0</v>
      </c>
      <c r="P2376" t="s">
        <v>146</v>
      </c>
      <c r="Q2376" t="s">
        <v>75</v>
      </c>
      <c r="R2376" t="s">
        <v>59</v>
      </c>
      <c r="S2376" t="s">
        <v>106</v>
      </c>
      <c r="T2376" t="s">
        <v>62</v>
      </c>
      <c r="U2376" t="s">
        <v>147</v>
      </c>
      <c r="V2376" t="s">
        <v>79</v>
      </c>
      <c r="W2376" t="s">
        <v>107</v>
      </c>
      <c r="X2376" t="s">
        <v>77</v>
      </c>
      <c r="Y2376" t="s">
        <v>0</v>
      </c>
      <c r="Z2376" t="s">
        <v>64</v>
      </c>
      <c r="AA2376" t="s">
        <v>134</v>
      </c>
      <c r="AB2376" t="s">
        <v>0</v>
      </c>
      <c r="AC2376" t="s">
        <v>6361</v>
      </c>
    </row>
    <row r="2377" spans="1:29">
      <c r="A2377" t="s">
        <v>6362</v>
      </c>
      <c r="B2377" s="11" t="str">
        <f>IF(ISNUMBER(SEARCH(E2377,A2377)),A2377,IF(OR(E2377="",E2377=""),A2377,A2377&amp;" - "&amp;E2377))</f>
        <v>Good Supply Cannabisblüten THC28 MRG - Meringue 64</v>
      </c>
      <c r="C2377" t="s">
        <v>133</v>
      </c>
      <c r="D2377" t="s">
        <v>134</v>
      </c>
      <c r="E2377" s="79" t="s">
        <v>5667</v>
      </c>
      <c r="F2377" s="81" t="s">
        <v>86</v>
      </c>
      <c r="G2377" t="s">
        <v>4164</v>
      </c>
      <c r="H2377" t="s">
        <v>65</v>
      </c>
      <c r="K2377" t="s">
        <v>52</v>
      </c>
      <c r="L2377" t="s">
        <v>102</v>
      </c>
      <c r="M2377" t="s">
        <v>103</v>
      </c>
      <c r="N2377" t="s">
        <v>121</v>
      </c>
      <c r="O2377" t="s">
        <v>72</v>
      </c>
      <c r="P2377" t="s">
        <v>74</v>
      </c>
      <c r="Q2377" t="s">
        <v>59</v>
      </c>
      <c r="R2377" t="s">
        <v>75</v>
      </c>
      <c r="S2377" t="s">
        <v>62</v>
      </c>
      <c r="T2377" t="s">
        <v>147</v>
      </c>
      <c r="U2377" t="s">
        <v>493</v>
      </c>
      <c r="V2377" t="s">
        <v>138</v>
      </c>
      <c r="W2377" t="s">
        <v>165</v>
      </c>
      <c r="X2377" t="s">
        <v>93</v>
      </c>
      <c r="Y2377" t="s">
        <v>0</v>
      </c>
      <c r="Z2377" t="s">
        <v>64</v>
      </c>
      <c r="AA2377" t="s">
        <v>134</v>
      </c>
      <c r="AB2377" t="s">
        <v>0</v>
      </c>
      <c r="AC2377" t="s">
        <v>6363</v>
      </c>
    </row>
    <row r="2378" spans="1:29">
      <c r="A2378" t="s">
        <v>6364</v>
      </c>
      <c r="B2378" s="11" t="str">
        <f>IF(ISNUMBER(SEARCH(E2378,A2378)),A2378,IF(OR(E2378="",E2378=""),A2378,A2378&amp;" - "&amp;E2378))</f>
        <v>Good Supply Cannabisblüten THC22 MRG - Meringue 64</v>
      </c>
      <c r="C2378" t="s">
        <v>133</v>
      </c>
      <c r="D2378" t="s">
        <v>134</v>
      </c>
      <c r="E2378" s="79" t="s">
        <v>5667</v>
      </c>
      <c r="F2378" s="81" t="s">
        <v>86</v>
      </c>
      <c r="G2378" t="s">
        <v>4126</v>
      </c>
      <c r="H2378" t="s">
        <v>65</v>
      </c>
      <c r="K2378" t="s">
        <v>52</v>
      </c>
      <c r="L2378" t="s">
        <v>102</v>
      </c>
      <c r="M2378" t="s">
        <v>103</v>
      </c>
      <c r="N2378" t="s">
        <v>121</v>
      </c>
      <c r="O2378" t="s">
        <v>72</v>
      </c>
      <c r="P2378" t="s">
        <v>74</v>
      </c>
      <c r="Q2378" t="s">
        <v>59</v>
      </c>
      <c r="R2378" t="s">
        <v>75</v>
      </c>
      <c r="S2378" t="s">
        <v>62</v>
      </c>
      <c r="T2378" t="s">
        <v>147</v>
      </c>
      <c r="U2378" t="s">
        <v>493</v>
      </c>
      <c r="V2378" t="s">
        <v>138</v>
      </c>
      <c r="W2378" t="s">
        <v>165</v>
      </c>
      <c r="X2378" t="s">
        <v>93</v>
      </c>
      <c r="Y2378" t="s">
        <v>0</v>
      </c>
      <c r="Z2378" t="s">
        <v>64</v>
      </c>
      <c r="AA2378" t="s">
        <v>134</v>
      </c>
      <c r="AB2378" t="s">
        <v>0</v>
      </c>
      <c r="AC2378" t="s">
        <v>6365</v>
      </c>
    </row>
    <row r="2379" spans="1:29">
      <c r="A2379" t="s">
        <v>6366</v>
      </c>
      <c r="B2379" s="11" t="str">
        <f>IF(ISNUMBER(SEARCH(E2379,A2379)),A2379,IF(OR(E2379="",E2379=""),A2379,A2379&amp;" - "&amp;E2379))</f>
        <v>IMC GUM THC22 Selected - Clownz</v>
      </c>
      <c r="C2379" t="s">
        <v>646</v>
      </c>
      <c r="D2379" t="s">
        <v>646</v>
      </c>
      <c r="E2379" s="79" t="s">
        <v>5894</v>
      </c>
      <c r="F2379" s="81" t="s">
        <v>86</v>
      </c>
      <c r="G2379" t="s">
        <v>4126</v>
      </c>
      <c r="H2379" t="s">
        <v>65</v>
      </c>
      <c r="K2379" t="s">
        <v>52</v>
      </c>
      <c r="L2379" t="s">
        <v>423</v>
      </c>
      <c r="M2379" t="s">
        <v>54</v>
      </c>
      <c r="N2379" t="s">
        <v>111</v>
      </c>
      <c r="O2379" t="s">
        <v>178</v>
      </c>
      <c r="P2379" t="s">
        <v>74</v>
      </c>
      <c r="Q2379" t="s">
        <v>89</v>
      </c>
      <c r="R2379" t="s">
        <v>58</v>
      </c>
      <c r="S2379" t="s">
        <v>106</v>
      </c>
      <c r="T2379" t="s">
        <v>62</v>
      </c>
      <c r="U2379" t="s">
        <v>0</v>
      </c>
      <c r="V2379" t="s">
        <v>107</v>
      </c>
      <c r="W2379" t="s">
        <v>77</v>
      </c>
      <c r="X2379" t="s">
        <v>0</v>
      </c>
      <c r="Y2379" t="s">
        <v>0</v>
      </c>
      <c r="Z2379" t="s">
        <v>64</v>
      </c>
      <c r="AA2379" t="s">
        <v>646</v>
      </c>
      <c r="AB2379" t="s">
        <v>0</v>
      </c>
      <c r="AC2379" t="s">
        <v>6367</v>
      </c>
    </row>
    <row r="2380" spans="1:29">
      <c r="A2380" t="s">
        <v>6368</v>
      </c>
      <c r="B2380" s="11" t="str">
        <f>IF(ISNUMBER(SEARCH(E2380,A2380)),A2380,IF(OR(E2380="",E2380=""),A2380,A2380&amp;" - "&amp;E2380))</f>
        <v>Weeco PS 25/1 - Pulsar</v>
      </c>
      <c r="C2380" t="s">
        <v>905</v>
      </c>
      <c r="D2380" t="s">
        <v>906</v>
      </c>
      <c r="E2380" s="79" t="s">
        <v>6369</v>
      </c>
      <c r="F2380" s="81" t="s">
        <v>86</v>
      </c>
      <c r="G2380" t="s">
        <v>26</v>
      </c>
      <c r="H2380" t="s">
        <v>65</v>
      </c>
      <c r="K2380" t="s">
        <v>52</v>
      </c>
      <c r="L2380" t="s">
        <v>53</v>
      </c>
      <c r="M2380" t="s">
        <v>111</v>
      </c>
      <c r="N2380" t="s">
        <v>54</v>
      </c>
      <c r="O2380" t="s">
        <v>178</v>
      </c>
      <c r="P2380" t="s">
        <v>146</v>
      </c>
      <c r="Q2380" t="s">
        <v>104</v>
      </c>
      <c r="R2380" t="s">
        <v>74</v>
      </c>
      <c r="S2380" t="s">
        <v>106</v>
      </c>
      <c r="T2380" t="s">
        <v>62</v>
      </c>
      <c r="U2380" t="s">
        <v>147</v>
      </c>
      <c r="V2380" t="s">
        <v>138</v>
      </c>
      <c r="W2380" t="s">
        <v>107</v>
      </c>
      <c r="X2380" t="s">
        <v>292</v>
      </c>
      <c r="Y2380" t="s">
        <v>0</v>
      </c>
      <c r="Z2380" t="s">
        <v>64</v>
      </c>
      <c r="AA2380" t="s">
        <v>906</v>
      </c>
      <c r="AB2380" t="s">
        <v>0</v>
      </c>
      <c r="AC2380" t="s">
        <v>6370</v>
      </c>
    </row>
    <row r="2381" spans="1:29">
      <c r="A2381" t="s">
        <v>6371</v>
      </c>
      <c r="B2381" s="11" t="str">
        <f>IF(ISNUMBER(SEARCH(E2381,A2381)),A2381,IF(OR(E2381="",E2381=""),A2381,A2381&amp;" - "&amp;E2381))</f>
        <v>Weeco 18/1 KIKU - Kings Kush</v>
      </c>
      <c r="C2381" t="s">
        <v>905</v>
      </c>
      <c r="D2381" t="s">
        <v>906</v>
      </c>
      <c r="E2381" s="79" t="s">
        <v>5926</v>
      </c>
      <c r="F2381" s="81" t="s">
        <v>177</v>
      </c>
      <c r="G2381" t="s">
        <v>8</v>
      </c>
      <c r="H2381" t="s">
        <v>65</v>
      </c>
      <c r="K2381" t="s">
        <v>52</v>
      </c>
      <c r="L2381" t="s">
        <v>53</v>
      </c>
      <c r="M2381" t="s">
        <v>88</v>
      </c>
      <c r="N2381" t="s">
        <v>71</v>
      </c>
      <c r="O2381" t="s">
        <v>72</v>
      </c>
      <c r="P2381" t="s">
        <v>89</v>
      </c>
      <c r="Q2381" t="s">
        <v>58</v>
      </c>
      <c r="R2381" t="s">
        <v>157</v>
      </c>
      <c r="S2381" t="s">
        <v>106</v>
      </c>
      <c r="T2381" t="s">
        <v>179</v>
      </c>
      <c r="U2381" t="s">
        <v>164</v>
      </c>
      <c r="V2381" t="s">
        <v>77</v>
      </c>
      <c r="W2381" t="s">
        <v>292</v>
      </c>
      <c r="X2381" t="s">
        <v>93</v>
      </c>
      <c r="Y2381" t="s">
        <v>0</v>
      </c>
      <c r="Z2381" t="s">
        <v>64</v>
      </c>
      <c r="AA2381" t="s">
        <v>906</v>
      </c>
      <c r="AB2381" t="s">
        <v>0</v>
      </c>
      <c r="AC2381" t="s">
        <v>6372</v>
      </c>
    </row>
    <row r="2382" spans="1:29">
      <c r="A2382" t="s">
        <v>6373</v>
      </c>
      <c r="B2382" s="11" t="str">
        <f>IF(ISNUMBER(SEARCH(E2382,A2382)),A2382,IF(OR(E2382="",E2382=""),A2382,A2382&amp;" - "&amp;E2382))</f>
        <v>Weeco 22/1 WECA - Wedding Cake</v>
      </c>
      <c r="C2382" t="s">
        <v>905</v>
      </c>
      <c r="D2382" t="s">
        <v>906</v>
      </c>
      <c r="E2382" s="79" t="s">
        <v>1195</v>
      </c>
      <c r="F2382" s="81" t="s">
        <v>177</v>
      </c>
      <c r="G2382" t="s">
        <v>4126</v>
      </c>
      <c r="H2382" t="s">
        <v>65</v>
      </c>
      <c r="K2382" t="s">
        <v>52</v>
      </c>
      <c r="L2382" t="s">
        <v>53</v>
      </c>
      <c r="M2382" t="s">
        <v>156</v>
      </c>
      <c r="N2382" t="s">
        <v>72</v>
      </c>
      <c r="O2382" t="s">
        <v>0</v>
      </c>
      <c r="P2382" t="s">
        <v>59</v>
      </c>
      <c r="Q2382" t="s">
        <v>89</v>
      </c>
      <c r="R2382" t="s">
        <v>57</v>
      </c>
      <c r="S2382" t="s">
        <v>466</v>
      </c>
      <c r="T2382" t="s">
        <v>493</v>
      </c>
      <c r="U2382" t="s">
        <v>0</v>
      </c>
      <c r="V2382" t="s">
        <v>93</v>
      </c>
      <c r="W2382" t="s">
        <v>107</v>
      </c>
      <c r="X2382" t="s">
        <v>116</v>
      </c>
      <c r="Y2382" t="s">
        <v>0</v>
      </c>
      <c r="Z2382" t="s">
        <v>64</v>
      </c>
      <c r="AA2382" t="s">
        <v>906</v>
      </c>
      <c r="AB2382" t="s">
        <v>0</v>
      </c>
      <c r="AC2382" t="s">
        <v>6374</v>
      </c>
    </row>
    <row r="2383" spans="1:29">
      <c r="A2383" t="s">
        <v>6375</v>
      </c>
      <c r="B2383" s="11" t="str">
        <f>IF(ISNUMBER(SEARCH(E2383,A2383)),A2383,IF(OR(E2383="",E2383=""),A2383,A2383&amp;" - "&amp;E2383))</f>
        <v>Weeco 25/1 WECA - Wedding Cake</v>
      </c>
      <c r="C2383" t="s">
        <v>905</v>
      </c>
      <c r="D2383" t="s">
        <v>906</v>
      </c>
      <c r="E2383" s="79" t="s">
        <v>1195</v>
      </c>
      <c r="F2383" s="81" t="s">
        <v>177</v>
      </c>
      <c r="G2383" t="s">
        <v>26</v>
      </c>
      <c r="H2383" t="s">
        <v>65</v>
      </c>
      <c r="K2383" t="s">
        <v>52</v>
      </c>
      <c r="L2383" t="s">
        <v>53</v>
      </c>
      <c r="M2383" t="s">
        <v>156</v>
      </c>
      <c r="N2383" t="s">
        <v>72</v>
      </c>
      <c r="O2383" t="s">
        <v>0</v>
      </c>
      <c r="P2383" t="s">
        <v>59</v>
      </c>
      <c r="Q2383" t="s">
        <v>89</v>
      </c>
      <c r="R2383" t="s">
        <v>57</v>
      </c>
      <c r="S2383" t="s">
        <v>466</v>
      </c>
      <c r="T2383" t="s">
        <v>493</v>
      </c>
      <c r="U2383" t="s">
        <v>0</v>
      </c>
      <c r="V2383" t="s">
        <v>93</v>
      </c>
      <c r="W2383" t="s">
        <v>107</v>
      </c>
      <c r="X2383" t="s">
        <v>116</v>
      </c>
      <c r="Y2383" t="s">
        <v>0</v>
      </c>
      <c r="Z2383" t="s">
        <v>64</v>
      </c>
      <c r="AA2383" t="s">
        <v>906</v>
      </c>
      <c r="AB2383" t="s">
        <v>0</v>
      </c>
      <c r="AC2383" t="s">
        <v>6376</v>
      </c>
    </row>
    <row r="2384" spans="1:29">
      <c r="A2384" t="s">
        <v>6377</v>
      </c>
      <c r="B2384" s="11" t="str">
        <f>IF(ISNUMBER(SEARCH(E2384,A2384)),A2384,IF(OR(E2384="",E2384=""),A2384,A2384&amp;" - "&amp;E2384))</f>
        <v>Cannabis 1A 20/1 - White Widow</v>
      </c>
      <c r="C2384" t="s">
        <v>905</v>
      </c>
      <c r="D2384" t="s">
        <v>906</v>
      </c>
      <c r="E2384" s="79" t="s">
        <v>251</v>
      </c>
      <c r="F2384" s="81" t="s">
        <v>86</v>
      </c>
      <c r="G2384" t="s">
        <v>460</v>
      </c>
      <c r="H2384" t="s">
        <v>65</v>
      </c>
      <c r="K2384" t="s">
        <v>17</v>
      </c>
      <c r="L2384" t="s">
        <v>87</v>
      </c>
      <c r="M2384" t="s">
        <v>54</v>
      </c>
      <c r="N2384" t="s">
        <v>55</v>
      </c>
      <c r="O2384" t="s">
        <v>178</v>
      </c>
      <c r="P2384" t="s">
        <v>113</v>
      </c>
      <c r="Q2384" t="s">
        <v>59</v>
      </c>
      <c r="R2384" t="s">
        <v>74</v>
      </c>
      <c r="S2384" t="s">
        <v>128</v>
      </c>
      <c r="T2384" t="s">
        <v>179</v>
      </c>
      <c r="U2384" t="s">
        <v>76</v>
      </c>
      <c r="V2384" t="s">
        <v>107</v>
      </c>
      <c r="W2384" t="s">
        <v>77</v>
      </c>
      <c r="X2384" t="s">
        <v>457</v>
      </c>
      <c r="Y2384" t="s">
        <v>0</v>
      </c>
      <c r="Z2384" t="s">
        <v>64</v>
      </c>
      <c r="AA2384" t="s">
        <v>906</v>
      </c>
      <c r="AB2384" t="s">
        <v>0</v>
      </c>
      <c r="AC2384" t="s">
        <v>6378</v>
      </c>
    </row>
    <row r="2385" spans="1:29">
      <c r="A2385" t="s">
        <v>6379</v>
      </c>
      <c r="B2385" s="11" t="str">
        <f>IF(ISNUMBER(SEARCH(E2385,A2385)),A2385,IF(OR(E2385="",E2385=""),A2385,A2385&amp;" - "&amp;E2385))</f>
        <v>madrecan 27/1 SKY Minis - Skywalker</v>
      </c>
      <c r="C2385" t="s">
        <v>83</v>
      </c>
      <c r="D2385" t="s">
        <v>95</v>
      </c>
      <c r="E2385" s="79" t="s">
        <v>1174</v>
      </c>
      <c r="F2385" s="81" t="s">
        <v>86</v>
      </c>
      <c r="G2385" t="s">
        <v>33</v>
      </c>
      <c r="H2385" t="s">
        <v>65</v>
      </c>
      <c r="K2385" t="s">
        <v>52</v>
      </c>
      <c r="L2385" t="s">
        <v>102</v>
      </c>
      <c r="M2385" t="s">
        <v>103</v>
      </c>
      <c r="N2385" t="s">
        <v>71</v>
      </c>
      <c r="O2385" t="s">
        <v>72</v>
      </c>
      <c r="P2385" t="s">
        <v>0</v>
      </c>
      <c r="Q2385" t="s">
        <v>0</v>
      </c>
      <c r="R2385" t="s">
        <v>0</v>
      </c>
      <c r="S2385" t="s">
        <v>61</v>
      </c>
      <c r="T2385" t="s">
        <v>62</v>
      </c>
      <c r="U2385" t="s">
        <v>147</v>
      </c>
      <c r="V2385" t="s">
        <v>93</v>
      </c>
      <c r="W2385" t="s">
        <v>77</v>
      </c>
      <c r="X2385" t="s">
        <v>116</v>
      </c>
      <c r="Y2385" t="s">
        <v>0</v>
      </c>
      <c r="Z2385" t="s">
        <v>64</v>
      </c>
      <c r="AA2385" t="s">
        <v>95</v>
      </c>
      <c r="AB2385" t="s">
        <v>0</v>
      </c>
      <c r="AC2385" t="s">
        <v>6380</v>
      </c>
    </row>
    <row r="2386" spans="1:29">
      <c r="A2386" t="s">
        <v>7346</v>
      </c>
      <c r="B2386" s="11" t="str">
        <f>IF(ISNUMBER(SEARCH(E2386,A2386)),A2386,IF(OR(E2386="",E2386=""),A2386,A2386&amp;" - "&amp;E2386))</f>
        <v>ZOIKS 31/1 TG  - Tangrini</v>
      </c>
      <c r="C2386" t="s">
        <v>4601</v>
      </c>
      <c r="D2386" t="s">
        <v>572</v>
      </c>
      <c r="E2386" s="79" t="s">
        <v>5755</v>
      </c>
      <c r="F2386" s="81" t="s">
        <v>144</v>
      </c>
      <c r="G2386" t="s">
        <v>4488</v>
      </c>
      <c r="H2386" t="s">
        <v>65</v>
      </c>
      <c r="K2386" t="s">
        <v>52</v>
      </c>
      <c r="L2386" t="s">
        <v>53</v>
      </c>
      <c r="M2386" t="s">
        <v>72</v>
      </c>
      <c r="N2386" t="s">
        <v>54</v>
      </c>
      <c r="O2386" t="s">
        <v>71</v>
      </c>
      <c r="P2386" t="s">
        <v>59</v>
      </c>
      <c r="Q2386" t="s">
        <v>75</v>
      </c>
      <c r="R2386" t="s">
        <v>89</v>
      </c>
      <c r="S2386" t="s">
        <v>90</v>
      </c>
      <c r="T2386" t="s">
        <v>62</v>
      </c>
      <c r="U2386" t="s">
        <v>147</v>
      </c>
      <c r="V2386" t="s">
        <v>79</v>
      </c>
      <c r="W2386" t="s">
        <v>77</v>
      </c>
      <c r="X2386" t="s">
        <v>292</v>
      </c>
      <c r="Y2386" t="s">
        <v>0</v>
      </c>
      <c r="Z2386" t="s">
        <v>64</v>
      </c>
      <c r="AA2386" t="s">
        <v>572</v>
      </c>
      <c r="AB2386" t="s">
        <v>0</v>
      </c>
      <c r="AC2386" t="s">
        <v>6381</v>
      </c>
    </row>
    <row r="2387" spans="1:29">
      <c r="A2387" t="s">
        <v>6382</v>
      </c>
      <c r="B2387" s="11" t="str">
        <f>IF(ISNUMBER(SEARCH(E2387,A2387)),A2387,IF(OR(E2387="",E2387=""),A2387,A2387&amp;" - "&amp;E2387))</f>
        <v>Cannamedical Sativa Ultra ES - Banjo</v>
      </c>
      <c r="C2387" t="s">
        <v>48</v>
      </c>
      <c r="D2387" t="s">
        <v>49</v>
      </c>
      <c r="E2387" s="79" t="s">
        <v>3686</v>
      </c>
      <c r="F2387" s="81" t="s">
        <v>86</v>
      </c>
      <c r="G2387" t="s">
        <v>4164</v>
      </c>
      <c r="H2387" t="s">
        <v>65</v>
      </c>
      <c r="K2387" t="s">
        <v>52</v>
      </c>
      <c r="L2387" t="s">
        <v>53</v>
      </c>
      <c r="M2387" t="s">
        <v>72</v>
      </c>
      <c r="N2387" t="s">
        <v>88</v>
      </c>
      <c r="O2387" t="s">
        <v>0</v>
      </c>
      <c r="P2387" t="s">
        <v>89</v>
      </c>
      <c r="Q2387" t="s">
        <v>58</v>
      </c>
      <c r="R2387" t="s">
        <v>186</v>
      </c>
      <c r="S2387" t="s">
        <v>106</v>
      </c>
      <c r="T2387" t="s">
        <v>62</v>
      </c>
      <c r="U2387" t="s">
        <v>147</v>
      </c>
      <c r="V2387" t="s">
        <v>116</v>
      </c>
      <c r="W2387" t="s">
        <v>79</v>
      </c>
      <c r="X2387" t="s">
        <v>107</v>
      </c>
      <c r="Y2387" t="s">
        <v>0</v>
      </c>
      <c r="Z2387" t="s">
        <v>64</v>
      </c>
      <c r="AA2387" t="s">
        <v>49</v>
      </c>
      <c r="AB2387" t="s">
        <v>0</v>
      </c>
      <c r="AC2387" t="s">
        <v>6383</v>
      </c>
    </row>
    <row r="2388" spans="1:29">
      <c r="A2388" t="s">
        <v>6384</v>
      </c>
      <c r="B2388" s="11" t="str">
        <f>IF(ISNUMBER(SEARCH(E2388,A2388)),A2388,IF(OR(E2388="",E2388=""),A2388,A2388&amp;" - "&amp;E2388))</f>
        <v>Buuo 24/1 DC Smalls - Rainbow Lava</v>
      </c>
      <c r="C2388" t="s">
        <v>641</v>
      </c>
      <c r="D2388" t="s">
        <v>642</v>
      </c>
      <c r="E2388" s="79" t="s">
        <v>5035</v>
      </c>
      <c r="F2388" s="81" t="s">
        <v>86</v>
      </c>
      <c r="G2388" t="s">
        <v>448</v>
      </c>
      <c r="H2388" t="s">
        <v>65</v>
      </c>
      <c r="K2388" t="s">
        <v>52</v>
      </c>
      <c r="L2388" t="s">
        <v>53</v>
      </c>
      <c r="M2388" t="s">
        <v>54</v>
      </c>
      <c r="N2388" t="s">
        <v>72</v>
      </c>
      <c r="O2388" t="s">
        <v>103</v>
      </c>
      <c r="P2388" t="s">
        <v>113</v>
      </c>
      <c r="Q2388" t="s">
        <v>59</v>
      </c>
      <c r="R2388" t="s">
        <v>89</v>
      </c>
      <c r="S2388" t="s">
        <v>106</v>
      </c>
      <c r="T2388" t="s">
        <v>62</v>
      </c>
      <c r="U2388" t="s">
        <v>147</v>
      </c>
      <c r="V2388" t="s">
        <v>107</v>
      </c>
      <c r="W2388" t="s">
        <v>173</v>
      </c>
      <c r="X2388" t="s">
        <v>77</v>
      </c>
      <c r="Y2388" t="s">
        <v>0</v>
      </c>
      <c r="Z2388" t="s">
        <v>64</v>
      </c>
      <c r="AA2388" t="s">
        <v>642</v>
      </c>
      <c r="AB2388" t="s">
        <v>0</v>
      </c>
      <c r="AC2388" t="s">
        <v>6385</v>
      </c>
    </row>
    <row r="2389" spans="1:29">
      <c r="A2389" t="s">
        <v>6386</v>
      </c>
      <c r="B2389" s="11" t="str">
        <f>IF(ISNUMBER(SEARCH(E2389,A2389)),A2389,IF(OR(E2389="",E2389=""),A2389,A2389&amp;" - "&amp;E2389))</f>
        <v>Botanics Velvet Twister 22/1 - Candy Cartel</v>
      </c>
      <c r="C2389" t="s">
        <v>141</v>
      </c>
      <c r="D2389" t="s">
        <v>149</v>
      </c>
      <c r="E2389" s="79" t="s">
        <v>5223</v>
      </c>
      <c r="F2389" s="81" t="s">
        <v>86</v>
      </c>
      <c r="G2389" t="s">
        <v>4126</v>
      </c>
      <c r="H2389" t="s">
        <v>65</v>
      </c>
      <c r="K2389" t="s">
        <v>52</v>
      </c>
      <c r="L2389" t="s">
        <v>965</v>
      </c>
      <c r="M2389" t="s">
        <v>121</v>
      </c>
      <c r="N2389" t="s">
        <v>72</v>
      </c>
      <c r="O2389" t="s">
        <v>88</v>
      </c>
      <c r="P2389" t="s">
        <v>104</v>
      </c>
      <c r="Q2389" t="s">
        <v>75</v>
      </c>
      <c r="R2389" t="s">
        <v>89</v>
      </c>
      <c r="S2389" t="s">
        <v>106</v>
      </c>
      <c r="T2389" t="s">
        <v>62</v>
      </c>
      <c r="U2389" t="s">
        <v>147</v>
      </c>
      <c r="V2389" t="s">
        <v>93</v>
      </c>
      <c r="W2389" t="s">
        <v>79</v>
      </c>
      <c r="X2389" t="s">
        <v>116</v>
      </c>
      <c r="Y2389" t="s">
        <v>0</v>
      </c>
      <c r="Z2389" t="s">
        <v>64</v>
      </c>
      <c r="AA2389" t="s">
        <v>149</v>
      </c>
      <c r="AB2389" t="s">
        <v>5168</v>
      </c>
      <c r="AC2389" t="s">
        <v>6387</v>
      </c>
    </row>
    <row r="2390" spans="1:29">
      <c r="A2390" t="s">
        <v>6388</v>
      </c>
      <c r="B2390" s="11" t="str">
        <f>IF(ISNUMBER(SEARCH(E2390,A2390)),A2390,IF(OR(E2390="",E2390=""),A2390,A2390&amp;" - "&amp;E2390))</f>
        <v>aleph Ruby 21/1 - Kosher Tangie</v>
      </c>
      <c r="C2390" t="s">
        <v>725</v>
      </c>
      <c r="D2390" t="s">
        <v>726</v>
      </c>
      <c r="E2390" s="9" t="s">
        <v>6128</v>
      </c>
      <c r="F2390" s="1" t="s">
        <v>144</v>
      </c>
      <c r="G2390" t="s">
        <v>452</v>
      </c>
      <c r="H2390" t="s">
        <v>65</v>
      </c>
      <c r="K2390" t="s">
        <v>52</v>
      </c>
      <c r="L2390" t="s">
        <v>53</v>
      </c>
      <c r="M2390" t="s">
        <v>54</v>
      </c>
      <c r="N2390" t="s">
        <v>103</v>
      </c>
      <c r="O2390" t="s">
        <v>71</v>
      </c>
      <c r="P2390" t="s">
        <v>58</v>
      </c>
      <c r="Q2390" t="s">
        <v>74</v>
      </c>
      <c r="R2390" t="s">
        <v>75</v>
      </c>
      <c r="S2390" t="s">
        <v>106</v>
      </c>
      <c r="T2390" t="s">
        <v>62</v>
      </c>
      <c r="U2390" t="s">
        <v>147</v>
      </c>
      <c r="V2390" t="s">
        <v>180</v>
      </c>
      <c r="W2390" t="s">
        <v>292</v>
      </c>
      <c r="X2390" t="s">
        <v>138</v>
      </c>
      <c r="Y2390" t="s">
        <v>0</v>
      </c>
      <c r="Z2390" t="s">
        <v>64</v>
      </c>
      <c r="AA2390" t="s">
        <v>726</v>
      </c>
      <c r="AB2390" t="s">
        <v>0</v>
      </c>
      <c r="AC2390" t="s">
        <v>6389</v>
      </c>
    </row>
    <row r="2391" spans="1:29">
      <c r="A2391" t="s">
        <v>6390</v>
      </c>
      <c r="B2391" s="11" t="str">
        <f>IF(ISNUMBER(SEARCH(E2391,A2391)),A2391,IF(OR(E2391="",E2391=""),A2391,A2391&amp;" - "&amp;E2391))</f>
        <v>Remexian 30/1 HMA LOG Minis - Lemon OG</v>
      </c>
      <c r="C2391" t="s">
        <v>83</v>
      </c>
      <c r="D2391" t="s">
        <v>95</v>
      </c>
      <c r="E2391" s="79" t="s">
        <v>913</v>
      </c>
      <c r="F2391" s="81" t="s">
        <v>86</v>
      </c>
      <c r="G2391" t="s">
        <v>4057</v>
      </c>
      <c r="H2391" t="s">
        <v>65</v>
      </c>
      <c r="K2391" t="s">
        <v>52</v>
      </c>
      <c r="L2391" t="s">
        <v>53</v>
      </c>
      <c r="M2391" t="s">
        <v>55</v>
      </c>
      <c r="N2391" t="s">
        <v>72</v>
      </c>
      <c r="O2391" t="s">
        <v>0</v>
      </c>
      <c r="P2391" t="s">
        <v>58</v>
      </c>
      <c r="Q2391" t="s">
        <v>75</v>
      </c>
      <c r="R2391" t="s">
        <v>0</v>
      </c>
      <c r="S2391" t="s">
        <v>106</v>
      </c>
      <c r="T2391" t="s">
        <v>62</v>
      </c>
      <c r="U2391" t="s">
        <v>123</v>
      </c>
      <c r="V2391" t="s">
        <v>914</v>
      </c>
      <c r="W2391" t="s">
        <v>79</v>
      </c>
      <c r="X2391" t="s">
        <v>93</v>
      </c>
      <c r="Y2391" t="s">
        <v>0</v>
      </c>
      <c r="Z2391" t="s">
        <v>64</v>
      </c>
      <c r="AA2391" t="s">
        <v>95</v>
      </c>
      <c r="AB2391" t="s">
        <v>5289</v>
      </c>
      <c r="AC2391" t="s">
        <v>6391</v>
      </c>
    </row>
    <row r="2392" spans="1:29">
      <c r="A2392" t="s">
        <v>6392</v>
      </c>
      <c r="B2392" s="11" t="str">
        <f>IF(ISNUMBER(SEARCH(E2392,A2392)),A2392,IF(OR(E2392="",E2392=""),A2392,A2392&amp;" - "&amp;E2392))</f>
        <v>Huala 20/1 UK CIN - Cinderella Kush</v>
      </c>
      <c r="C2392" t="s">
        <v>463</v>
      </c>
      <c r="D2392" t="s">
        <v>468</v>
      </c>
      <c r="E2392" s="79" t="s">
        <v>3042</v>
      </c>
      <c r="F2392" s="81" t="s">
        <v>177</v>
      </c>
      <c r="G2392" t="s">
        <v>460</v>
      </c>
      <c r="H2392" t="s">
        <v>65</v>
      </c>
      <c r="K2392" t="s">
        <v>52</v>
      </c>
      <c r="L2392" t="s">
        <v>3043</v>
      </c>
      <c r="M2392" t="s">
        <v>111</v>
      </c>
      <c r="N2392" t="s">
        <v>178</v>
      </c>
      <c r="O2392" t="s">
        <v>88</v>
      </c>
      <c r="P2392" t="s">
        <v>136</v>
      </c>
      <c r="Q2392" t="s">
        <v>157</v>
      </c>
      <c r="R2392" t="s">
        <v>146</v>
      </c>
      <c r="S2392" t="s">
        <v>128</v>
      </c>
      <c r="T2392" t="s">
        <v>61</v>
      </c>
      <c r="U2392" t="s">
        <v>62</v>
      </c>
      <c r="V2392" t="s">
        <v>116</v>
      </c>
      <c r="W2392" t="s">
        <v>93</v>
      </c>
      <c r="X2392" t="s">
        <v>107</v>
      </c>
      <c r="Y2392" t="s">
        <v>0</v>
      </c>
      <c r="Z2392" t="s">
        <v>64</v>
      </c>
      <c r="AA2392" t="s">
        <v>468</v>
      </c>
      <c r="AB2392" t="s">
        <v>0</v>
      </c>
      <c r="AC2392" t="s">
        <v>6393</v>
      </c>
    </row>
    <row r="2393" spans="1:29">
      <c r="A2393" t="s">
        <v>6394</v>
      </c>
      <c r="B2393" s="11" t="str">
        <f>IF(ISNUMBER(SEARCH(E2393,A2393)),A2393,IF(OR(E2393="",E2393=""),A2393,A2393&amp;" - "&amp;E2393))</f>
        <v>IMC Cannabisblüten THC22 T18 - Notorious Gush</v>
      </c>
      <c r="C2393" t="s">
        <v>646</v>
      </c>
      <c r="D2393" t="s">
        <v>646</v>
      </c>
      <c r="E2393" s="79" t="s">
        <v>5498</v>
      </c>
      <c r="F2393" s="81" t="s">
        <v>144</v>
      </c>
      <c r="G2393" t="s">
        <v>26</v>
      </c>
      <c r="H2393" t="s">
        <v>65</v>
      </c>
      <c r="K2393" t="s">
        <v>52</v>
      </c>
      <c r="L2393" t="s">
        <v>423</v>
      </c>
      <c r="M2393" t="s">
        <v>121</v>
      </c>
      <c r="N2393" t="s">
        <v>72</v>
      </c>
      <c r="O2393" t="s">
        <v>54</v>
      </c>
      <c r="P2393" t="s">
        <v>59</v>
      </c>
      <c r="Q2393" t="s">
        <v>74</v>
      </c>
      <c r="R2393" t="s">
        <v>0</v>
      </c>
      <c r="S2393" t="s">
        <v>106</v>
      </c>
      <c r="T2393" t="s">
        <v>179</v>
      </c>
      <c r="U2393" t="s">
        <v>62</v>
      </c>
      <c r="V2393" t="s">
        <v>77</v>
      </c>
      <c r="W2393" t="s">
        <v>116</v>
      </c>
      <c r="X2393" t="s">
        <v>138</v>
      </c>
      <c r="Y2393" t="s">
        <v>0</v>
      </c>
      <c r="Z2393" t="s">
        <v>64</v>
      </c>
      <c r="AA2393" t="s">
        <v>646</v>
      </c>
      <c r="AB2393" t="s">
        <v>0</v>
      </c>
      <c r="AC2393" t="s">
        <v>6395</v>
      </c>
    </row>
    <row r="2394" spans="1:29">
      <c r="A2394" t="s">
        <v>6396</v>
      </c>
      <c r="B2394" s="11" t="str">
        <f>IF(ISNUMBER(SEARCH(E2394,A2394)),A2394,IF(OR(E2394="",E2394=""),A2394,A2394&amp;" - "&amp;E2394))</f>
        <v>aleph rose 21/1 - Tropicana Cookies</v>
      </c>
      <c r="C2394" t="s">
        <v>725</v>
      </c>
      <c r="D2394" t="s">
        <v>726</v>
      </c>
      <c r="E2394" s="9" t="s">
        <v>624</v>
      </c>
      <c r="F2394" s="1" t="s">
        <v>144</v>
      </c>
      <c r="G2394" t="s">
        <v>452</v>
      </c>
      <c r="H2394" t="s">
        <v>65</v>
      </c>
      <c r="K2394" t="s">
        <v>52</v>
      </c>
      <c r="L2394" t="s">
        <v>185</v>
      </c>
      <c r="M2394" t="s">
        <v>55</v>
      </c>
      <c r="N2394" t="s">
        <v>111</v>
      </c>
      <c r="O2394" t="s">
        <v>178</v>
      </c>
      <c r="P2394" t="s">
        <v>136</v>
      </c>
      <c r="Q2394" t="s">
        <v>58</v>
      </c>
      <c r="R2394" t="s">
        <v>75</v>
      </c>
      <c r="S2394" t="s">
        <v>90</v>
      </c>
      <c r="T2394" t="s">
        <v>62</v>
      </c>
      <c r="U2394" t="s">
        <v>123</v>
      </c>
      <c r="V2394" t="s">
        <v>77</v>
      </c>
      <c r="W2394" t="s">
        <v>79</v>
      </c>
      <c r="X2394" t="s">
        <v>173</v>
      </c>
      <c r="Y2394" t="s">
        <v>0</v>
      </c>
      <c r="Z2394" t="s">
        <v>64</v>
      </c>
      <c r="AA2394" t="s">
        <v>726</v>
      </c>
      <c r="AB2394" t="s">
        <v>0</v>
      </c>
      <c r="AC2394" t="s">
        <v>6397</v>
      </c>
    </row>
    <row r="2395" spans="1:29">
      <c r="A2395" t="s">
        <v>6398</v>
      </c>
      <c r="B2395" s="11" t="str">
        <f>IF(ISNUMBER(SEARCH(E2395,A2395)),A2395,IF(OR(E2395="",E2395=""),A2395,A2395&amp;" - "&amp;E2395))</f>
        <v>bava med 21/1 MAN CO - Mandarin Cookies</v>
      </c>
      <c r="C2395" t="s">
        <v>4180</v>
      </c>
      <c r="D2395" t="s">
        <v>5258</v>
      </c>
      <c r="E2395" s="9" t="s">
        <v>800</v>
      </c>
      <c r="F2395" s="1" t="s">
        <v>86</v>
      </c>
      <c r="G2395" t="s">
        <v>452</v>
      </c>
      <c r="H2395" t="s">
        <v>65</v>
      </c>
      <c r="K2395" t="s">
        <v>52</v>
      </c>
      <c r="L2395" t="s">
        <v>102</v>
      </c>
      <c r="M2395" t="s">
        <v>55</v>
      </c>
      <c r="N2395" t="s">
        <v>71</v>
      </c>
      <c r="O2395" t="s">
        <v>72</v>
      </c>
      <c r="P2395" t="s">
        <v>75</v>
      </c>
      <c r="Q2395" t="s">
        <v>58</v>
      </c>
      <c r="R2395" t="s">
        <v>0</v>
      </c>
      <c r="S2395" t="s">
        <v>128</v>
      </c>
      <c r="T2395" t="s">
        <v>106</v>
      </c>
      <c r="U2395" t="s">
        <v>62</v>
      </c>
      <c r="V2395" t="s">
        <v>77</v>
      </c>
      <c r="W2395" t="s">
        <v>173</v>
      </c>
      <c r="X2395" t="s">
        <v>711</v>
      </c>
      <c r="Y2395" t="s">
        <v>0</v>
      </c>
      <c r="Z2395" t="s">
        <v>64</v>
      </c>
      <c r="AA2395" t="s">
        <v>5258</v>
      </c>
      <c r="AB2395" t="s">
        <v>0</v>
      </c>
      <c r="AC2395" t="s">
        <v>6399</v>
      </c>
    </row>
    <row r="2396" spans="1:29">
      <c r="A2396" t="s">
        <v>6400</v>
      </c>
      <c r="B2396" s="11" t="str">
        <f>IF(ISNUMBER(SEARCH(E2396,A2396)),A2396,IF(OR(E2396="",E2396=""),A2396,A2396&amp;" - "&amp;E2396))</f>
        <v>TRUU GT 27/1 - Kush Cookies</v>
      </c>
      <c r="C2396" t="s">
        <v>484</v>
      </c>
      <c r="D2396" t="s">
        <v>485</v>
      </c>
      <c r="E2396" s="79" t="s">
        <v>5197</v>
      </c>
      <c r="F2396" s="81" t="s">
        <v>177</v>
      </c>
      <c r="G2396" t="s">
        <v>33</v>
      </c>
      <c r="H2396" t="s">
        <v>65</v>
      </c>
      <c r="K2396" t="s">
        <v>52</v>
      </c>
      <c r="L2396" t="s">
        <v>53</v>
      </c>
      <c r="M2396" t="s">
        <v>54</v>
      </c>
      <c r="N2396" t="s">
        <v>88</v>
      </c>
      <c r="O2396" t="s">
        <v>121</v>
      </c>
      <c r="P2396" t="s">
        <v>59</v>
      </c>
      <c r="Q2396" t="s">
        <v>57</v>
      </c>
      <c r="R2396" t="s">
        <v>186</v>
      </c>
      <c r="S2396" t="s">
        <v>128</v>
      </c>
      <c r="T2396" t="s">
        <v>106</v>
      </c>
      <c r="U2396" t="s">
        <v>164</v>
      </c>
      <c r="V2396" t="s">
        <v>116</v>
      </c>
      <c r="W2396" t="s">
        <v>77</v>
      </c>
      <c r="X2396" t="s">
        <v>138</v>
      </c>
      <c r="Y2396" t="s">
        <v>0</v>
      </c>
      <c r="Z2396" t="s">
        <v>64</v>
      </c>
      <c r="AA2396" t="s">
        <v>485</v>
      </c>
      <c r="AB2396" t="s">
        <v>0</v>
      </c>
      <c r="AC2396" t="s">
        <v>6401</v>
      </c>
    </row>
    <row r="2397" spans="1:29">
      <c r="A2397" t="s">
        <v>6402</v>
      </c>
      <c r="B2397" s="11" t="str">
        <f>IF(ISNUMBER(SEARCH(E2397,A2397)),A2397,IF(OR(E2397="",E2397=""),A2397,A2397&amp;" - "&amp;E2397))</f>
        <v>Wellford Aquaponic 29/1 LBO - Legendary Bozy</v>
      </c>
      <c r="C2397" t="s">
        <v>741</v>
      </c>
      <c r="D2397" t="s">
        <v>742</v>
      </c>
      <c r="E2397" s="79" t="s">
        <v>5420</v>
      </c>
      <c r="F2397" s="81" t="s">
        <v>177</v>
      </c>
      <c r="G2397" t="s">
        <v>443</v>
      </c>
      <c r="H2397" t="s">
        <v>65</v>
      </c>
      <c r="K2397" t="s">
        <v>52</v>
      </c>
      <c r="L2397" t="s">
        <v>53</v>
      </c>
      <c r="M2397" t="s">
        <v>103</v>
      </c>
      <c r="N2397" t="s">
        <v>121</v>
      </c>
      <c r="O2397" t="s">
        <v>72</v>
      </c>
      <c r="P2397" t="s">
        <v>75</v>
      </c>
      <c r="Q2397" t="s">
        <v>89</v>
      </c>
      <c r="R2397" t="s">
        <v>112</v>
      </c>
      <c r="S2397" t="s">
        <v>90</v>
      </c>
      <c r="T2397" t="s">
        <v>106</v>
      </c>
      <c r="U2397" t="s">
        <v>105</v>
      </c>
      <c r="V2397" t="s">
        <v>93</v>
      </c>
      <c r="W2397" t="s">
        <v>116</v>
      </c>
      <c r="X2397" t="s">
        <v>0</v>
      </c>
      <c r="Y2397" t="s">
        <v>0</v>
      </c>
      <c r="Z2397" t="s">
        <v>64</v>
      </c>
      <c r="AA2397" t="s">
        <v>742</v>
      </c>
      <c r="AB2397" t="s">
        <v>979</v>
      </c>
      <c r="AC2397" t="s">
        <v>6403</v>
      </c>
    </row>
    <row r="2398" spans="1:29">
      <c r="A2398" t="s">
        <v>6404</v>
      </c>
      <c r="B2398" s="11" t="str">
        <f>IF(ISNUMBER(SEARCH(E2398,A2398)),A2398,IF(OR(E2398="",E2398=""),A2398,A2398&amp;" - "&amp;E2398))</f>
        <v>Wellford Aquaponic 26/1 LBO - Legendary Bozy</v>
      </c>
      <c r="C2398" t="s">
        <v>741</v>
      </c>
      <c r="D2398" t="s">
        <v>742</v>
      </c>
      <c r="E2398" s="79" t="s">
        <v>5420</v>
      </c>
      <c r="F2398" s="81" t="s">
        <v>177</v>
      </c>
      <c r="G2398" t="s">
        <v>4086</v>
      </c>
      <c r="H2398" t="s">
        <v>65</v>
      </c>
      <c r="K2398" t="s">
        <v>52</v>
      </c>
      <c r="L2398" t="s">
        <v>53</v>
      </c>
      <c r="M2398" t="s">
        <v>103</v>
      </c>
      <c r="N2398" t="s">
        <v>121</v>
      </c>
      <c r="O2398" t="s">
        <v>72</v>
      </c>
      <c r="P2398" t="s">
        <v>75</v>
      </c>
      <c r="Q2398" t="s">
        <v>89</v>
      </c>
      <c r="R2398" t="s">
        <v>112</v>
      </c>
      <c r="S2398" t="s">
        <v>90</v>
      </c>
      <c r="T2398" t="s">
        <v>106</v>
      </c>
      <c r="U2398" t="s">
        <v>105</v>
      </c>
      <c r="V2398" t="s">
        <v>93</v>
      </c>
      <c r="W2398" t="s">
        <v>116</v>
      </c>
      <c r="X2398" t="s">
        <v>0</v>
      </c>
      <c r="Y2398" t="s">
        <v>0</v>
      </c>
      <c r="Z2398" t="s">
        <v>64</v>
      </c>
      <c r="AA2398" t="s">
        <v>742</v>
      </c>
      <c r="AB2398" t="s">
        <v>979</v>
      </c>
      <c r="AC2398" t="s">
        <v>6405</v>
      </c>
    </row>
    <row r="2399" spans="1:29">
      <c r="A2399" t="s">
        <v>6406</v>
      </c>
      <c r="B2399" s="11" t="str">
        <f>IF(ISNUMBER(SEARCH(E2399,A2399)),A2399,IF(OR(E2399="",E2399=""),A2399,A2399&amp;" - "&amp;E2399))</f>
        <v>Wellford Aquaponic 23/1 LBO - Legendary Bozy</v>
      </c>
      <c r="C2399" t="s">
        <v>741</v>
      </c>
      <c r="D2399" t="s">
        <v>742</v>
      </c>
      <c r="E2399" s="79" t="s">
        <v>5420</v>
      </c>
      <c r="F2399" s="81" t="s">
        <v>177</v>
      </c>
      <c r="G2399" t="s">
        <v>436</v>
      </c>
      <c r="H2399" t="s">
        <v>65</v>
      </c>
      <c r="K2399" t="s">
        <v>52</v>
      </c>
      <c r="L2399" t="s">
        <v>53</v>
      </c>
      <c r="M2399" t="s">
        <v>103</v>
      </c>
      <c r="N2399" t="s">
        <v>121</v>
      </c>
      <c r="O2399" t="s">
        <v>72</v>
      </c>
      <c r="P2399" t="s">
        <v>75</v>
      </c>
      <c r="Q2399" t="s">
        <v>89</v>
      </c>
      <c r="R2399" t="s">
        <v>112</v>
      </c>
      <c r="S2399" t="s">
        <v>90</v>
      </c>
      <c r="T2399" t="s">
        <v>106</v>
      </c>
      <c r="U2399" t="s">
        <v>105</v>
      </c>
      <c r="V2399" t="s">
        <v>93</v>
      </c>
      <c r="W2399" t="s">
        <v>116</v>
      </c>
      <c r="X2399" t="s">
        <v>0</v>
      </c>
      <c r="Y2399" t="s">
        <v>0</v>
      </c>
      <c r="Z2399" t="s">
        <v>64</v>
      </c>
      <c r="AA2399" t="s">
        <v>742</v>
      </c>
      <c r="AB2399" t="s">
        <v>979</v>
      </c>
      <c r="AC2399" t="s">
        <v>6407</v>
      </c>
    </row>
    <row r="2400" spans="1:29">
      <c r="A2400" t="s">
        <v>6408</v>
      </c>
      <c r="B2400" s="11" t="str">
        <f>IF(ISNUMBER(SEARCH(E2400,A2400)),A2400,IF(OR(E2400="",E2400=""),A2400,A2400&amp;" - "&amp;E2400))</f>
        <v>Wellford Aquaponic 29/1 GTH - Ghost Train Haze</v>
      </c>
      <c r="C2400" t="s">
        <v>741</v>
      </c>
      <c r="D2400" t="s">
        <v>742</v>
      </c>
      <c r="E2400" s="79" t="s">
        <v>343</v>
      </c>
      <c r="F2400" s="81" t="s">
        <v>144</v>
      </c>
      <c r="G2400" t="s">
        <v>443</v>
      </c>
      <c r="H2400" t="s">
        <v>65</v>
      </c>
      <c r="K2400" t="s">
        <v>52</v>
      </c>
      <c r="L2400" t="s">
        <v>53</v>
      </c>
      <c r="M2400" t="s">
        <v>55</v>
      </c>
      <c r="N2400" t="s">
        <v>111</v>
      </c>
      <c r="O2400" t="s">
        <v>178</v>
      </c>
      <c r="P2400" t="s">
        <v>75</v>
      </c>
      <c r="Q2400" t="s">
        <v>59</v>
      </c>
      <c r="R2400" t="s">
        <v>146</v>
      </c>
      <c r="S2400" t="s">
        <v>90</v>
      </c>
      <c r="T2400" t="s">
        <v>106</v>
      </c>
      <c r="U2400" t="s">
        <v>105</v>
      </c>
      <c r="V2400" t="s">
        <v>107</v>
      </c>
      <c r="W2400" t="s">
        <v>77</v>
      </c>
      <c r="X2400" t="s">
        <v>79</v>
      </c>
      <c r="Y2400" t="s">
        <v>0</v>
      </c>
      <c r="Z2400" t="s">
        <v>64</v>
      </c>
      <c r="AA2400" t="s">
        <v>742</v>
      </c>
      <c r="AB2400" t="s">
        <v>979</v>
      </c>
      <c r="AC2400" t="s">
        <v>6409</v>
      </c>
    </row>
    <row r="2401" spans="1:29">
      <c r="A2401" t="s">
        <v>6410</v>
      </c>
      <c r="B2401" s="11" t="str">
        <f>IF(ISNUMBER(SEARCH(E2401,A2401)),A2401,IF(OR(E2401="",E2401=""),A2401,A2401&amp;" - "&amp;E2401))</f>
        <v>Wellford Peak CA T95 33/1 - Tres Dawg x I-95</v>
      </c>
      <c r="C2401" t="s">
        <v>741</v>
      </c>
      <c r="D2401" t="s">
        <v>742</v>
      </c>
      <c r="E2401" s="79" t="s">
        <v>5423</v>
      </c>
      <c r="F2401" s="81" t="s">
        <v>177</v>
      </c>
      <c r="G2401" t="s">
        <v>4169</v>
      </c>
      <c r="H2401" t="s">
        <v>65</v>
      </c>
      <c r="K2401" t="s">
        <v>52</v>
      </c>
      <c r="L2401" t="s">
        <v>53</v>
      </c>
      <c r="M2401" t="s">
        <v>103</v>
      </c>
      <c r="N2401" t="s">
        <v>54</v>
      </c>
      <c r="O2401" t="s">
        <v>111</v>
      </c>
      <c r="P2401" t="s">
        <v>75</v>
      </c>
      <c r="Q2401" t="s">
        <v>157</v>
      </c>
      <c r="R2401" t="s">
        <v>59</v>
      </c>
      <c r="S2401" t="s">
        <v>128</v>
      </c>
      <c r="T2401" t="s">
        <v>61</v>
      </c>
      <c r="U2401" t="s">
        <v>62</v>
      </c>
      <c r="V2401" t="s">
        <v>93</v>
      </c>
      <c r="W2401" t="s">
        <v>165</v>
      </c>
      <c r="X2401" t="s">
        <v>225</v>
      </c>
      <c r="Y2401" t="s">
        <v>0</v>
      </c>
      <c r="Z2401" t="s">
        <v>64</v>
      </c>
      <c r="AA2401" t="s">
        <v>742</v>
      </c>
      <c r="AB2401" t="s">
        <v>0</v>
      </c>
      <c r="AC2401" t="s">
        <v>6411</v>
      </c>
    </row>
    <row r="2402" spans="1:29">
      <c r="A2402" t="s">
        <v>6412</v>
      </c>
      <c r="B2402" s="11" t="str">
        <f>IF(ISNUMBER(SEARCH(E2402,A2402)),A2402,IF(OR(E2402="",E2402=""),A2402,A2402&amp;" - "&amp;E2402))</f>
        <v>Wellford Peak CA T95 28/1 - Tres Dawg x I-95</v>
      </c>
      <c r="C2402" t="s">
        <v>741</v>
      </c>
      <c r="D2402" t="s">
        <v>742</v>
      </c>
      <c r="E2402" s="79" t="s">
        <v>5423</v>
      </c>
      <c r="F2402" s="81" t="s">
        <v>177</v>
      </c>
      <c r="G2402" t="s">
        <v>4164</v>
      </c>
      <c r="H2402" t="s">
        <v>65</v>
      </c>
      <c r="K2402" t="s">
        <v>52</v>
      </c>
      <c r="L2402" t="s">
        <v>53</v>
      </c>
      <c r="M2402" t="s">
        <v>103</v>
      </c>
      <c r="N2402" t="s">
        <v>54</v>
      </c>
      <c r="O2402" t="s">
        <v>111</v>
      </c>
      <c r="P2402" t="s">
        <v>75</v>
      </c>
      <c r="Q2402" t="s">
        <v>157</v>
      </c>
      <c r="R2402" t="s">
        <v>59</v>
      </c>
      <c r="S2402" t="s">
        <v>128</v>
      </c>
      <c r="T2402" t="s">
        <v>61</v>
      </c>
      <c r="U2402" t="s">
        <v>62</v>
      </c>
      <c r="V2402" t="s">
        <v>93</v>
      </c>
      <c r="W2402" t="s">
        <v>165</v>
      </c>
      <c r="X2402" t="s">
        <v>225</v>
      </c>
      <c r="Y2402" t="s">
        <v>0</v>
      </c>
      <c r="Z2402" t="s">
        <v>64</v>
      </c>
      <c r="AA2402" t="s">
        <v>742</v>
      </c>
      <c r="AB2402" t="s">
        <v>0</v>
      </c>
      <c r="AC2402" t="s">
        <v>6413</v>
      </c>
    </row>
    <row r="2403" spans="1:29">
      <c r="A2403" t="s">
        <v>6414</v>
      </c>
      <c r="B2403" s="11" t="str">
        <f>IF(ISNUMBER(SEARCH(E2403,A2403)),A2403,IF(OR(E2403="",E2403=""),A2403,A2403&amp;" - "&amp;E2403))</f>
        <v>Wellford Peak CA T95 26/1 - Tres Dawg x I-95</v>
      </c>
      <c r="C2403" t="s">
        <v>741</v>
      </c>
      <c r="D2403" t="s">
        <v>742</v>
      </c>
      <c r="E2403" s="79" t="s">
        <v>5423</v>
      </c>
      <c r="F2403" s="81" t="s">
        <v>177</v>
      </c>
      <c r="G2403" t="s">
        <v>4086</v>
      </c>
      <c r="H2403" t="s">
        <v>65</v>
      </c>
      <c r="K2403" t="s">
        <v>52</v>
      </c>
      <c r="L2403" t="s">
        <v>53</v>
      </c>
      <c r="M2403" t="s">
        <v>103</v>
      </c>
      <c r="N2403" t="s">
        <v>54</v>
      </c>
      <c r="O2403" t="s">
        <v>111</v>
      </c>
      <c r="P2403" t="s">
        <v>75</v>
      </c>
      <c r="Q2403" t="s">
        <v>157</v>
      </c>
      <c r="R2403" t="s">
        <v>59</v>
      </c>
      <c r="S2403" t="s">
        <v>128</v>
      </c>
      <c r="T2403" t="s">
        <v>61</v>
      </c>
      <c r="U2403" t="s">
        <v>62</v>
      </c>
      <c r="V2403" t="s">
        <v>93</v>
      </c>
      <c r="W2403" t="s">
        <v>165</v>
      </c>
      <c r="X2403" t="s">
        <v>225</v>
      </c>
      <c r="Y2403" t="s">
        <v>0</v>
      </c>
      <c r="Z2403" t="s">
        <v>64</v>
      </c>
      <c r="AA2403" t="s">
        <v>742</v>
      </c>
      <c r="AB2403" t="s">
        <v>0</v>
      </c>
      <c r="AC2403" t="s">
        <v>6415</v>
      </c>
    </row>
    <row r="2404" spans="1:29">
      <c r="A2404" t="s">
        <v>6416</v>
      </c>
      <c r="B2404" s="11" t="str">
        <f>IF(ISNUMBER(SEARCH(E2404,A2404)),A2404,IF(OR(E2404="",E2404=""),A2404,A2404&amp;" - "&amp;E2404))</f>
        <v>Wellford Peak CA PKM 30/1 - Pink Kush Mints</v>
      </c>
      <c r="C2404" t="s">
        <v>741</v>
      </c>
      <c r="D2404" t="s">
        <v>742</v>
      </c>
      <c r="E2404" s="79" t="s">
        <v>3938</v>
      </c>
      <c r="F2404" s="81" t="s">
        <v>177</v>
      </c>
      <c r="G2404" t="s">
        <v>4057</v>
      </c>
      <c r="H2404" t="s">
        <v>65</v>
      </c>
      <c r="K2404" t="s">
        <v>52</v>
      </c>
      <c r="L2404" t="s">
        <v>53</v>
      </c>
      <c r="M2404" t="s">
        <v>88</v>
      </c>
      <c r="N2404" t="s">
        <v>72</v>
      </c>
      <c r="O2404" t="s">
        <v>0</v>
      </c>
      <c r="P2404" t="s">
        <v>89</v>
      </c>
      <c r="Q2404" t="s">
        <v>104</v>
      </c>
      <c r="R2404" t="s">
        <v>59</v>
      </c>
      <c r="S2404" t="s">
        <v>61</v>
      </c>
      <c r="T2404" t="s">
        <v>62</v>
      </c>
      <c r="U2404" t="s">
        <v>123</v>
      </c>
      <c r="V2404" t="s">
        <v>107</v>
      </c>
      <c r="W2404" t="s">
        <v>138</v>
      </c>
      <c r="X2404" t="s">
        <v>116</v>
      </c>
      <c r="Y2404" t="s">
        <v>0</v>
      </c>
      <c r="Z2404" t="s">
        <v>64</v>
      </c>
      <c r="AA2404" t="s">
        <v>742</v>
      </c>
      <c r="AB2404" t="s">
        <v>0</v>
      </c>
      <c r="AC2404" t="s">
        <v>6417</v>
      </c>
    </row>
    <row r="2405" spans="1:29">
      <c r="A2405" t="s">
        <v>6418</v>
      </c>
      <c r="B2405" s="11" t="str">
        <f>IF(ISNUMBER(SEARCH(E2405,A2405)),A2405,IF(OR(E2405="",E2405=""),A2405,A2405&amp;" - "&amp;E2405))</f>
        <v>Wellford Aquaponic 29/1 CRO - Crescendo Cookies</v>
      </c>
      <c r="C2405" t="s">
        <v>741</v>
      </c>
      <c r="D2405" t="s">
        <v>742</v>
      </c>
      <c r="E2405" s="79" t="s">
        <v>893</v>
      </c>
      <c r="F2405" s="81" t="s">
        <v>120</v>
      </c>
      <c r="G2405" t="s">
        <v>443</v>
      </c>
      <c r="H2405" t="s">
        <v>65</v>
      </c>
      <c r="K2405" t="s">
        <v>52</v>
      </c>
      <c r="L2405" t="s">
        <v>53</v>
      </c>
      <c r="M2405" t="s">
        <v>72</v>
      </c>
      <c r="N2405" t="s">
        <v>212</v>
      </c>
      <c r="O2405" t="s">
        <v>88</v>
      </c>
      <c r="P2405" t="s">
        <v>113</v>
      </c>
      <c r="Q2405" t="s">
        <v>58</v>
      </c>
      <c r="R2405" t="s">
        <v>89</v>
      </c>
      <c r="S2405" t="s">
        <v>128</v>
      </c>
      <c r="T2405" t="s">
        <v>61</v>
      </c>
      <c r="U2405" t="s">
        <v>62</v>
      </c>
      <c r="V2405" t="s">
        <v>116</v>
      </c>
      <c r="W2405" t="s">
        <v>173</v>
      </c>
      <c r="X2405" t="s">
        <v>77</v>
      </c>
      <c r="Y2405" t="s">
        <v>0</v>
      </c>
      <c r="Z2405" t="s">
        <v>64</v>
      </c>
      <c r="AA2405" t="s">
        <v>742</v>
      </c>
      <c r="AB2405" t="s">
        <v>979</v>
      </c>
      <c r="AC2405" t="s">
        <v>6419</v>
      </c>
    </row>
    <row r="2406" spans="1:29">
      <c r="A2406" t="s">
        <v>6420</v>
      </c>
      <c r="B2406" s="11" t="str">
        <f>IF(ISNUMBER(SEARCH(E2406,A2406)),A2406,IF(OR(E2406="",E2406=""),A2406,A2406&amp;" - "&amp;E2406))</f>
        <v>enua 30/1 JFG CA - Jet Fuel Gelato</v>
      </c>
      <c r="C2406" t="s">
        <v>650</v>
      </c>
      <c r="D2406" t="s">
        <v>653</v>
      </c>
      <c r="E2406" s="79" t="s">
        <v>797</v>
      </c>
      <c r="F2406" s="81" t="s">
        <v>86</v>
      </c>
      <c r="G2406" t="s">
        <v>448</v>
      </c>
      <c r="H2406" t="s">
        <v>65</v>
      </c>
      <c r="K2406" t="s">
        <v>17</v>
      </c>
      <c r="L2406" t="s">
        <v>53</v>
      </c>
      <c r="M2406" t="s">
        <v>88</v>
      </c>
      <c r="N2406" t="s">
        <v>72</v>
      </c>
      <c r="O2406" t="s">
        <v>71</v>
      </c>
      <c r="P2406" t="s">
        <v>58</v>
      </c>
      <c r="Q2406" t="s">
        <v>89</v>
      </c>
      <c r="R2406" t="s">
        <v>59</v>
      </c>
      <c r="S2406" t="s">
        <v>106</v>
      </c>
      <c r="T2406" t="s">
        <v>62</v>
      </c>
      <c r="U2406" t="s">
        <v>91</v>
      </c>
      <c r="V2406" t="s">
        <v>116</v>
      </c>
      <c r="W2406" t="s">
        <v>77</v>
      </c>
      <c r="X2406" t="s">
        <v>173</v>
      </c>
      <c r="Y2406" t="s">
        <v>0</v>
      </c>
      <c r="Z2406" t="s">
        <v>64</v>
      </c>
      <c r="AA2406" t="s">
        <v>653</v>
      </c>
      <c r="AB2406" t="s">
        <v>0</v>
      </c>
      <c r="AC2406" t="s">
        <v>6421</v>
      </c>
    </row>
    <row r="2407" spans="1:29">
      <c r="A2407" t="s">
        <v>5328</v>
      </c>
      <c r="B2407" s="11" t="str">
        <f>IF(ISNUMBER(SEARCH(E2407,A2407)),A2407,IF(OR(E2407="",E2407=""),A2407,A2407&amp;" - "&amp;E2407))</f>
        <v>Remexian 30/1 MTL PAR - Franco's Revenge</v>
      </c>
      <c r="C2407" t="s">
        <v>83</v>
      </c>
      <c r="D2407" t="s">
        <v>95</v>
      </c>
      <c r="E2407" s="79" t="s">
        <v>6422</v>
      </c>
      <c r="F2407" s="81" t="s">
        <v>120</v>
      </c>
      <c r="G2407" t="s">
        <v>4057</v>
      </c>
      <c r="H2407" t="s">
        <v>65</v>
      </c>
      <c r="K2407" t="s">
        <v>52</v>
      </c>
      <c r="L2407" t="s">
        <v>53</v>
      </c>
      <c r="M2407" t="s">
        <v>121</v>
      </c>
      <c r="N2407" t="s">
        <v>72</v>
      </c>
      <c r="O2407" t="s">
        <v>88</v>
      </c>
      <c r="P2407" t="s">
        <v>89</v>
      </c>
      <c r="Q2407" t="s">
        <v>58</v>
      </c>
      <c r="R2407" t="s">
        <v>73</v>
      </c>
      <c r="S2407" t="s">
        <v>106</v>
      </c>
      <c r="T2407" t="s">
        <v>62</v>
      </c>
      <c r="U2407" t="s">
        <v>123</v>
      </c>
      <c r="V2407" t="s">
        <v>116</v>
      </c>
      <c r="W2407" t="s">
        <v>77</v>
      </c>
      <c r="X2407" t="s">
        <v>914</v>
      </c>
      <c r="Y2407" t="s">
        <v>0</v>
      </c>
      <c r="Z2407" t="s">
        <v>64</v>
      </c>
      <c r="AA2407" t="s">
        <v>95</v>
      </c>
      <c r="AB2407" t="s">
        <v>0</v>
      </c>
      <c r="AC2407" t="s">
        <v>6423</v>
      </c>
    </row>
    <row r="2408" spans="1:29">
      <c r="A2408" t="s">
        <v>6424</v>
      </c>
      <c r="B2408" s="11" t="str">
        <f>IF(ISNUMBER(SEARCH(E2408,A2408)),A2408,IF(OR(E2408="",E2408=""),A2408,A2408&amp;" - "&amp;E2408))</f>
        <v>Remexian 24/1 GCC THZ - The Zoap</v>
      </c>
      <c r="C2408" t="s">
        <v>83</v>
      </c>
      <c r="D2408" t="s">
        <v>95</v>
      </c>
      <c r="E2408" s="79" t="s">
        <v>5316</v>
      </c>
      <c r="F2408" s="81" t="s">
        <v>86</v>
      </c>
      <c r="G2408" t="s">
        <v>448</v>
      </c>
      <c r="H2408" t="s">
        <v>65</v>
      </c>
      <c r="K2408" t="s">
        <v>52</v>
      </c>
      <c r="L2408" t="s">
        <v>53</v>
      </c>
      <c r="M2408" t="s">
        <v>72</v>
      </c>
      <c r="N2408" t="s">
        <v>54</v>
      </c>
      <c r="O2408" t="s">
        <v>71</v>
      </c>
      <c r="P2408" t="s">
        <v>59</v>
      </c>
      <c r="Q2408" t="s">
        <v>136</v>
      </c>
      <c r="R2408" t="s">
        <v>89</v>
      </c>
      <c r="S2408" t="s">
        <v>106</v>
      </c>
      <c r="T2408" t="s">
        <v>62</v>
      </c>
      <c r="U2408" t="s">
        <v>91</v>
      </c>
      <c r="V2408" t="s">
        <v>92</v>
      </c>
      <c r="W2408" t="s">
        <v>77</v>
      </c>
      <c r="X2408" t="s">
        <v>292</v>
      </c>
      <c r="Y2408" t="s">
        <v>0</v>
      </c>
      <c r="Z2408" t="s">
        <v>64</v>
      </c>
      <c r="AA2408" t="s">
        <v>95</v>
      </c>
      <c r="AB2408" t="s">
        <v>0</v>
      </c>
      <c r="AC2408" t="s">
        <v>6425</v>
      </c>
    </row>
    <row r="2409" spans="1:29">
      <c r="A2409" t="s">
        <v>6426</v>
      </c>
      <c r="B2409" s="11" t="str">
        <f>IF(ISNUMBER(SEARCH(E2409,A2409)),A2409,IF(OR(E2409="",E2409=""),A2409,A2409&amp;" - "&amp;E2409))</f>
        <v>Remexian 30/1 CRX OOG - Oasis OG</v>
      </c>
      <c r="C2409" t="s">
        <v>83</v>
      </c>
      <c r="D2409" t="s">
        <v>95</v>
      </c>
      <c r="E2409" s="79" t="s">
        <v>1187</v>
      </c>
      <c r="F2409" s="81" t="s">
        <v>86</v>
      </c>
      <c r="G2409" t="s">
        <v>4057</v>
      </c>
      <c r="H2409" t="s">
        <v>65</v>
      </c>
      <c r="K2409" t="s">
        <v>52</v>
      </c>
      <c r="L2409" t="s">
        <v>53</v>
      </c>
      <c r="M2409" t="s">
        <v>72</v>
      </c>
      <c r="N2409" t="s">
        <v>0</v>
      </c>
      <c r="O2409" t="s">
        <v>0</v>
      </c>
      <c r="P2409" t="s">
        <v>146</v>
      </c>
      <c r="Q2409" t="s">
        <v>59</v>
      </c>
      <c r="R2409" t="s">
        <v>74</v>
      </c>
      <c r="S2409" t="s">
        <v>106</v>
      </c>
      <c r="T2409" t="s">
        <v>62</v>
      </c>
      <c r="U2409" t="s">
        <v>493</v>
      </c>
      <c r="V2409" t="s">
        <v>107</v>
      </c>
      <c r="W2409" t="s">
        <v>93</v>
      </c>
      <c r="X2409" t="s">
        <v>0</v>
      </c>
      <c r="Y2409" t="s">
        <v>0</v>
      </c>
      <c r="Z2409" t="s">
        <v>64</v>
      </c>
      <c r="AA2409" t="s">
        <v>95</v>
      </c>
      <c r="AB2409" t="s">
        <v>0</v>
      </c>
      <c r="AC2409" t="s">
        <v>6427</v>
      </c>
    </row>
    <row r="2410" spans="1:29">
      <c r="A2410" t="s">
        <v>6428</v>
      </c>
      <c r="B2410" s="11" t="str">
        <f>IF(ISNUMBER(SEARCH(E2410,A2410)),A2410,IF(OR(E2410="",E2410=""),A2410,A2410&amp;" - "&amp;E2410))</f>
        <v>Remexian 27/1 GCC GUB Guava Bars - Guava Barz</v>
      </c>
      <c r="C2410" t="s">
        <v>83</v>
      </c>
      <c r="D2410" t="s">
        <v>95</v>
      </c>
      <c r="E2410" s="79" t="s">
        <v>934</v>
      </c>
      <c r="F2410" s="81" t="s">
        <v>86</v>
      </c>
      <c r="G2410" t="s">
        <v>33</v>
      </c>
      <c r="H2410" t="s">
        <v>65</v>
      </c>
      <c r="K2410" t="s">
        <v>52</v>
      </c>
      <c r="L2410" t="s">
        <v>53</v>
      </c>
      <c r="M2410" t="s">
        <v>72</v>
      </c>
      <c r="N2410" t="s">
        <v>55</v>
      </c>
      <c r="O2410" t="s">
        <v>0</v>
      </c>
      <c r="P2410" t="s">
        <v>73</v>
      </c>
      <c r="Q2410" t="s">
        <v>89</v>
      </c>
      <c r="R2410" t="s">
        <v>58</v>
      </c>
      <c r="S2410" t="s">
        <v>106</v>
      </c>
      <c r="T2410" t="s">
        <v>91</v>
      </c>
      <c r="U2410" t="s">
        <v>466</v>
      </c>
      <c r="V2410" t="s">
        <v>77</v>
      </c>
      <c r="W2410" t="s">
        <v>107</v>
      </c>
      <c r="X2410" t="s">
        <v>0</v>
      </c>
      <c r="Y2410" t="s">
        <v>0</v>
      </c>
      <c r="Z2410" t="s">
        <v>64</v>
      </c>
      <c r="AA2410" t="s">
        <v>95</v>
      </c>
      <c r="AB2410" t="s">
        <v>0</v>
      </c>
      <c r="AC2410" t="s">
        <v>6429</v>
      </c>
    </row>
    <row r="2411" spans="1:29">
      <c r="A2411" t="s">
        <v>6430</v>
      </c>
      <c r="B2411" s="11" t="str">
        <f>IF(ISNUMBER(SEARCH(E2411,A2411)),A2411,IF(OR(E2411="",E2411=""),A2411,A2411&amp;" - "&amp;E2411))</f>
        <v>29/1 NICE CB - Cocoa Bomba</v>
      </c>
      <c r="C2411" t="s">
        <v>996</v>
      </c>
      <c r="D2411" t="s">
        <v>997</v>
      </c>
      <c r="E2411" s="9" t="s">
        <v>813</v>
      </c>
      <c r="F2411" s="1" t="s">
        <v>86</v>
      </c>
      <c r="G2411" t="s">
        <v>443</v>
      </c>
      <c r="H2411" t="s">
        <v>65</v>
      </c>
      <c r="K2411" t="s">
        <v>52</v>
      </c>
      <c r="L2411" t="s">
        <v>53</v>
      </c>
      <c r="M2411" t="s">
        <v>55</v>
      </c>
      <c r="N2411" t="s">
        <v>72</v>
      </c>
      <c r="O2411" t="s">
        <v>0</v>
      </c>
      <c r="P2411" t="s">
        <v>75</v>
      </c>
      <c r="Q2411" t="s">
        <v>59</v>
      </c>
      <c r="R2411" t="s">
        <v>74</v>
      </c>
      <c r="S2411" t="s">
        <v>90</v>
      </c>
      <c r="T2411" t="s">
        <v>114</v>
      </c>
      <c r="U2411" t="s">
        <v>60</v>
      </c>
      <c r="V2411" t="s">
        <v>208</v>
      </c>
      <c r="W2411" t="s">
        <v>77</v>
      </c>
      <c r="X2411" t="s">
        <v>173</v>
      </c>
      <c r="Y2411" t="s">
        <v>0</v>
      </c>
      <c r="Z2411" t="s">
        <v>64</v>
      </c>
      <c r="AA2411" t="s">
        <v>997</v>
      </c>
      <c r="AB2411" t="s">
        <v>812</v>
      </c>
      <c r="AC2411" t="s">
        <v>6431</v>
      </c>
    </row>
    <row r="2412" spans="1:29">
      <c r="A2412" t="s">
        <v>1640</v>
      </c>
      <c r="B2412" s="11" t="str">
        <f>IF(ISNUMBER(SEARCH(E2412,A2412)),A2412,IF(OR(E2412="",E2412=""),A2412,A2412&amp;" - "&amp;E2412))</f>
        <v>TYSON 2.0 24/1 - Frozen Fist</v>
      </c>
      <c r="C2412" t="s">
        <v>141</v>
      </c>
      <c r="D2412" t="s">
        <v>149</v>
      </c>
      <c r="E2412" s="79" t="s">
        <v>5332</v>
      </c>
      <c r="F2412" s="81" t="s">
        <v>86</v>
      </c>
      <c r="G2412" t="s">
        <v>448</v>
      </c>
      <c r="H2412" t="s">
        <v>65</v>
      </c>
      <c r="K2412" t="s">
        <v>52</v>
      </c>
      <c r="L2412" t="s">
        <v>145</v>
      </c>
      <c r="M2412" t="s">
        <v>72</v>
      </c>
      <c r="N2412" t="s">
        <v>71</v>
      </c>
      <c r="O2412" t="s">
        <v>178</v>
      </c>
      <c r="P2412" t="s">
        <v>112</v>
      </c>
      <c r="Q2412" t="s">
        <v>89</v>
      </c>
      <c r="R2412" t="s">
        <v>59</v>
      </c>
      <c r="S2412" t="s">
        <v>90</v>
      </c>
      <c r="T2412" t="s">
        <v>128</v>
      </c>
      <c r="U2412" t="s">
        <v>61</v>
      </c>
      <c r="V2412" t="s">
        <v>107</v>
      </c>
      <c r="W2412" t="s">
        <v>165</v>
      </c>
      <c r="X2412" t="s">
        <v>129</v>
      </c>
      <c r="Y2412" t="s">
        <v>0</v>
      </c>
      <c r="Z2412" t="s">
        <v>64</v>
      </c>
      <c r="AA2412" t="s">
        <v>149</v>
      </c>
      <c r="AB2412" t="s">
        <v>0</v>
      </c>
      <c r="AC2412" t="s">
        <v>6432</v>
      </c>
    </row>
    <row r="2413" spans="1:29">
      <c r="A2413" t="s">
        <v>140</v>
      </c>
      <c r="B2413" s="11" t="str">
        <f>IF(ISNUMBER(SEARCH(E2413,A2413)),A2413,IF(OR(E2413="",E2413=""),A2413,A2413&amp;" - "&amp;E2413))</f>
        <v>TYSON 2.0 30/1 - Alexander The Great</v>
      </c>
      <c r="C2413" t="s">
        <v>141</v>
      </c>
      <c r="D2413" t="s">
        <v>149</v>
      </c>
      <c r="E2413" s="79" t="s">
        <v>5334</v>
      </c>
      <c r="F2413" s="81" t="s">
        <v>177</v>
      </c>
      <c r="G2413" t="s">
        <v>443</v>
      </c>
      <c r="H2413" t="s">
        <v>65</v>
      </c>
      <c r="K2413" t="s">
        <v>52</v>
      </c>
      <c r="L2413" t="s">
        <v>145</v>
      </c>
      <c r="M2413" t="s">
        <v>72</v>
      </c>
      <c r="N2413" t="s">
        <v>178</v>
      </c>
      <c r="O2413" t="s">
        <v>54</v>
      </c>
      <c r="P2413" t="s">
        <v>59</v>
      </c>
      <c r="Q2413" t="s">
        <v>75</v>
      </c>
      <c r="R2413" t="s">
        <v>73</v>
      </c>
      <c r="S2413" t="s">
        <v>106</v>
      </c>
      <c r="T2413" t="s">
        <v>62</v>
      </c>
      <c r="U2413" t="s">
        <v>147</v>
      </c>
      <c r="V2413" t="s">
        <v>116</v>
      </c>
      <c r="W2413" t="s">
        <v>93</v>
      </c>
      <c r="X2413" t="s">
        <v>107</v>
      </c>
      <c r="Y2413" t="s">
        <v>0</v>
      </c>
      <c r="Z2413" t="s">
        <v>64</v>
      </c>
      <c r="AA2413" t="s">
        <v>149</v>
      </c>
      <c r="AB2413" t="s">
        <v>0</v>
      </c>
      <c r="AC2413" t="s">
        <v>6433</v>
      </c>
    </row>
    <row r="2414" spans="1:29">
      <c r="A2414" t="s">
        <v>6434</v>
      </c>
      <c r="B2414" s="11" t="str">
        <f>IF(ISNUMBER(SEARCH(E2414,A2414)),A2414,IF(OR(E2414="",E2414=""),A2414,A2414&amp;" - "&amp;E2414))</f>
        <v>31/1 Amici HS - High Society</v>
      </c>
      <c r="C2414" t="s">
        <v>996</v>
      </c>
      <c r="D2414" t="s">
        <v>997</v>
      </c>
      <c r="E2414" s="9" t="s">
        <v>6249</v>
      </c>
      <c r="F2414" s="1" t="s">
        <v>177</v>
      </c>
      <c r="G2414" t="s">
        <v>4488</v>
      </c>
      <c r="H2414" t="s">
        <v>65</v>
      </c>
      <c r="K2414" t="s">
        <v>52</v>
      </c>
      <c r="L2414" t="s">
        <v>53</v>
      </c>
      <c r="M2414" t="s">
        <v>121</v>
      </c>
      <c r="N2414" t="s">
        <v>72</v>
      </c>
      <c r="O2414" t="s">
        <v>88</v>
      </c>
      <c r="P2414" t="s">
        <v>74</v>
      </c>
      <c r="Q2414" t="s">
        <v>75</v>
      </c>
      <c r="R2414" t="s">
        <v>104</v>
      </c>
      <c r="S2414" t="s">
        <v>106</v>
      </c>
      <c r="T2414" t="s">
        <v>123</v>
      </c>
      <c r="U2414" t="s">
        <v>147</v>
      </c>
      <c r="V2414" t="s">
        <v>116</v>
      </c>
      <c r="W2414" t="s">
        <v>77</v>
      </c>
      <c r="X2414" t="s">
        <v>173</v>
      </c>
      <c r="Y2414" t="s">
        <v>0</v>
      </c>
      <c r="Z2414" t="s">
        <v>64</v>
      </c>
      <c r="AA2414" t="s">
        <v>997</v>
      </c>
      <c r="AB2414" t="s">
        <v>0</v>
      </c>
      <c r="AC2414" t="s">
        <v>6435</v>
      </c>
    </row>
    <row r="2415" spans="1:29">
      <c r="A2415" t="s">
        <v>6436</v>
      </c>
      <c r="B2415" s="11" t="str">
        <f>IF(ISNUMBER(SEARCH(E2415,A2415)),A2415,IF(OR(E2415="",E2415=""),A2415,A2415&amp;" - "&amp;E2415))</f>
        <v>31/1 Amici SUN - Sweet Unicorn Nugz</v>
      </c>
      <c r="C2415" t="s">
        <v>996</v>
      </c>
      <c r="D2415" t="s">
        <v>997</v>
      </c>
      <c r="E2415" s="9" t="s">
        <v>6437</v>
      </c>
      <c r="F2415" s="1" t="s">
        <v>177</v>
      </c>
      <c r="G2415" t="s">
        <v>4488</v>
      </c>
      <c r="H2415" t="s">
        <v>65</v>
      </c>
      <c r="K2415" t="s">
        <v>52</v>
      </c>
      <c r="L2415" t="s">
        <v>53</v>
      </c>
      <c r="M2415" t="s">
        <v>72</v>
      </c>
      <c r="N2415" t="s">
        <v>54</v>
      </c>
      <c r="O2415" t="s">
        <v>111</v>
      </c>
      <c r="P2415" t="s">
        <v>146</v>
      </c>
      <c r="Q2415" t="s">
        <v>74</v>
      </c>
      <c r="R2415" t="s">
        <v>59</v>
      </c>
      <c r="S2415" t="s">
        <v>106</v>
      </c>
      <c r="T2415" t="s">
        <v>62</v>
      </c>
      <c r="U2415" t="s">
        <v>147</v>
      </c>
      <c r="V2415" t="s">
        <v>79</v>
      </c>
      <c r="W2415" t="s">
        <v>77</v>
      </c>
      <c r="X2415" t="s">
        <v>0</v>
      </c>
      <c r="Y2415" t="s">
        <v>0</v>
      </c>
      <c r="Z2415" t="s">
        <v>64</v>
      </c>
      <c r="AA2415" t="s">
        <v>997</v>
      </c>
      <c r="AB2415" t="s">
        <v>0</v>
      </c>
      <c r="AC2415" t="s">
        <v>6438</v>
      </c>
    </row>
    <row r="2416" spans="1:29">
      <c r="A2416" t="s">
        <v>6439</v>
      </c>
      <c r="B2416" s="11" t="str">
        <f>IF(ISNUMBER(SEARCH(E2416,A2416)),A2416,IF(OR(E2416="",E2416=""),A2416,A2416&amp;" - "&amp;E2416))</f>
        <v>Peace Naturals 31/1 SL - Sonic Lemon Fuel</v>
      </c>
      <c r="C2416" t="s">
        <v>996</v>
      </c>
      <c r="D2416" t="s">
        <v>997</v>
      </c>
      <c r="E2416" s="79" t="s">
        <v>6440</v>
      </c>
      <c r="F2416" s="81" t="s">
        <v>69</v>
      </c>
      <c r="G2416" t="s">
        <v>4488</v>
      </c>
      <c r="H2416" t="s">
        <v>65</v>
      </c>
      <c r="K2416" t="s">
        <v>52</v>
      </c>
      <c r="L2416" t="s">
        <v>53</v>
      </c>
      <c r="M2416" t="s">
        <v>111</v>
      </c>
      <c r="N2416" t="s">
        <v>55</v>
      </c>
      <c r="O2416" t="s">
        <v>54</v>
      </c>
      <c r="P2416" t="s">
        <v>74</v>
      </c>
      <c r="Q2416" t="s">
        <v>157</v>
      </c>
      <c r="R2416" t="s">
        <v>59</v>
      </c>
      <c r="S2416" t="s">
        <v>106</v>
      </c>
      <c r="T2416" t="s">
        <v>62</v>
      </c>
      <c r="U2416" t="s">
        <v>493</v>
      </c>
      <c r="V2416" t="s">
        <v>165</v>
      </c>
      <c r="W2416" t="s">
        <v>79</v>
      </c>
      <c r="X2416" t="s">
        <v>0</v>
      </c>
      <c r="Y2416" t="s">
        <v>0</v>
      </c>
      <c r="Z2416" t="s">
        <v>64</v>
      </c>
      <c r="AA2416" t="s">
        <v>997</v>
      </c>
      <c r="AB2416" t="s">
        <v>0</v>
      </c>
      <c r="AC2416" t="s">
        <v>6441</v>
      </c>
    </row>
    <row r="2417" spans="1:29">
      <c r="A2417" t="s">
        <v>6442</v>
      </c>
      <c r="B2417" s="11" t="str">
        <f>IF(ISNUMBER(SEARCH(E2417,A2417)),A2417,IF(OR(E2417="",E2417=""),A2417,A2417&amp;" - "&amp;E2417))</f>
        <v>NOC SE 25 - Scoop of Chem x Early Orange</v>
      </c>
      <c r="C2417" t="s">
        <v>2841</v>
      </c>
      <c r="D2417" t="s">
        <v>2842</v>
      </c>
      <c r="E2417" s="79" t="s">
        <v>5591</v>
      </c>
      <c r="F2417" s="81" t="s">
        <v>177</v>
      </c>
      <c r="G2417" t="s">
        <v>26</v>
      </c>
      <c r="H2417" t="s">
        <v>65</v>
      </c>
      <c r="K2417" t="s">
        <v>52</v>
      </c>
      <c r="L2417" t="s">
        <v>3739</v>
      </c>
      <c r="M2417" t="s">
        <v>111</v>
      </c>
      <c r="N2417" t="s">
        <v>178</v>
      </c>
      <c r="O2417" t="s">
        <v>54</v>
      </c>
      <c r="P2417" t="s">
        <v>157</v>
      </c>
      <c r="Q2417" t="s">
        <v>104</v>
      </c>
      <c r="R2417" t="s">
        <v>75</v>
      </c>
      <c r="S2417" t="s">
        <v>90</v>
      </c>
      <c r="T2417" t="s">
        <v>128</v>
      </c>
      <c r="U2417" t="s">
        <v>179</v>
      </c>
      <c r="V2417" t="s">
        <v>93</v>
      </c>
      <c r="W2417" t="s">
        <v>107</v>
      </c>
      <c r="X2417" t="s">
        <v>711</v>
      </c>
      <c r="Y2417" t="s">
        <v>0</v>
      </c>
      <c r="Z2417" t="s">
        <v>64</v>
      </c>
      <c r="AA2417" t="s">
        <v>2842</v>
      </c>
      <c r="AB2417" t="s">
        <v>0</v>
      </c>
      <c r="AC2417" t="s">
        <v>6443</v>
      </c>
    </row>
    <row r="2418" spans="1:29">
      <c r="A2418" t="s">
        <v>6444</v>
      </c>
      <c r="B2418" s="11" t="str">
        <f>IF(ISNUMBER(SEARCH(E2418,A2418)),A2418,IF(OR(E2418="",E2418=""),A2418,A2418&amp;" - "&amp;E2418))</f>
        <v>Pharmaleaves Hybrid High Forte 23 - Baklava</v>
      </c>
      <c r="C2418" t="s">
        <v>5133</v>
      </c>
      <c r="D2418" t="s">
        <v>5134</v>
      </c>
      <c r="E2418" s="79" t="s">
        <v>6445</v>
      </c>
      <c r="F2418" s="81" t="s">
        <v>177</v>
      </c>
      <c r="G2418" t="s">
        <v>436</v>
      </c>
      <c r="H2418" t="s">
        <v>65</v>
      </c>
      <c r="K2418" t="s">
        <v>52</v>
      </c>
      <c r="L2418" t="s">
        <v>145</v>
      </c>
      <c r="M2418" t="s">
        <v>88</v>
      </c>
      <c r="N2418" t="s">
        <v>72</v>
      </c>
      <c r="O2418" t="s">
        <v>54</v>
      </c>
      <c r="P2418" t="s">
        <v>75</v>
      </c>
      <c r="Q2418" t="s">
        <v>146</v>
      </c>
      <c r="R2418" t="s">
        <v>57</v>
      </c>
      <c r="S2418" t="s">
        <v>106</v>
      </c>
      <c r="T2418" t="s">
        <v>62</v>
      </c>
      <c r="U2418" t="s">
        <v>147</v>
      </c>
      <c r="V2418" t="s">
        <v>93</v>
      </c>
      <c r="W2418" t="s">
        <v>79</v>
      </c>
      <c r="X2418" t="s">
        <v>77</v>
      </c>
      <c r="Y2418" t="s">
        <v>0</v>
      </c>
      <c r="Z2418" t="s">
        <v>64</v>
      </c>
      <c r="AA2418" t="s">
        <v>5134</v>
      </c>
      <c r="AB2418" t="s">
        <v>0</v>
      </c>
      <c r="AC2418" t="s">
        <v>6446</v>
      </c>
    </row>
    <row r="2419" spans="1:29">
      <c r="A2419" t="s">
        <v>6447</v>
      </c>
      <c r="B2419" s="11" t="str">
        <f>IF(ISNUMBER(SEARCH(E2419,A2419)),A2419,IF(OR(E2419="",E2419=""),A2419,A2419&amp;" - "&amp;E2419))</f>
        <v>Herbasana Salsa Lover 24:01 - Cosmic Soda</v>
      </c>
      <c r="C2419" t="s">
        <v>1509</v>
      </c>
      <c r="D2419" t="s">
        <v>1512</v>
      </c>
      <c r="E2419" s="79" t="s">
        <v>5509</v>
      </c>
      <c r="F2419" s="81" t="s">
        <v>86</v>
      </c>
      <c r="G2419" t="s">
        <v>448</v>
      </c>
      <c r="H2419" t="s">
        <v>65</v>
      </c>
      <c r="K2419" t="s">
        <v>52</v>
      </c>
      <c r="L2419" t="s">
        <v>202</v>
      </c>
      <c r="M2419" t="s">
        <v>54</v>
      </c>
      <c r="N2419" t="s">
        <v>72</v>
      </c>
      <c r="O2419" t="s">
        <v>88</v>
      </c>
      <c r="P2419" t="s">
        <v>74</v>
      </c>
      <c r="Q2419" t="s">
        <v>113</v>
      </c>
      <c r="R2419" t="s">
        <v>75</v>
      </c>
      <c r="S2419" t="s">
        <v>90</v>
      </c>
      <c r="T2419" t="s">
        <v>106</v>
      </c>
      <c r="U2419" t="s">
        <v>62</v>
      </c>
      <c r="V2419" t="s">
        <v>116</v>
      </c>
      <c r="W2419" t="s">
        <v>107</v>
      </c>
      <c r="X2419" t="s">
        <v>138</v>
      </c>
      <c r="Y2419" t="s">
        <v>0</v>
      </c>
      <c r="Z2419" t="s">
        <v>64</v>
      </c>
      <c r="AA2419" t="s">
        <v>1512</v>
      </c>
      <c r="AB2419" t="s">
        <v>0</v>
      </c>
      <c r="AC2419" t="s">
        <v>6448</v>
      </c>
    </row>
    <row r="2420" spans="1:29">
      <c r="A2420" t="s">
        <v>6449</v>
      </c>
      <c r="B2420" s="11" t="str">
        <f>IF(ISNUMBER(SEARCH(E2420,A2420)),A2420,IF(OR(E2420="",E2420=""),A2420,A2420&amp;" - "&amp;E2420))</f>
        <v>NOC OF 25 - KO x Sherbet Shocker</v>
      </c>
      <c r="C2420" t="s">
        <v>2841</v>
      </c>
      <c r="D2420" t="s">
        <v>2842</v>
      </c>
      <c r="E2420" s="79" t="s">
        <v>3738</v>
      </c>
      <c r="F2420" s="81" t="s">
        <v>86</v>
      </c>
      <c r="G2420" t="s">
        <v>26</v>
      </c>
      <c r="H2420" t="s">
        <v>65</v>
      </c>
      <c r="K2420" t="s">
        <v>52</v>
      </c>
      <c r="L2420" t="s">
        <v>3739</v>
      </c>
      <c r="M2420" t="s">
        <v>111</v>
      </c>
      <c r="N2420" t="s">
        <v>54</v>
      </c>
      <c r="O2420" t="s">
        <v>88</v>
      </c>
      <c r="P2420" t="s">
        <v>59</v>
      </c>
      <c r="Q2420" t="s">
        <v>57</v>
      </c>
      <c r="R2420" t="s">
        <v>75</v>
      </c>
      <c r="S2420" t="s">
        <v>90</v>
      </c>
      <c r="T2420" t="s">
        <v>61</v>
      </c>
      <c r="U2420" t="s">
        <v>62</v>
      </c>
      <c r="V2420" t="s">
        <v>116</v>
      </c>
      <c r="W2420" t="s">
        <v>93</v>
      </c>
      <c r="X2420" t="s">
        <v>107</v>
      </c>
      <c r="Y2420" t="s">
        <v>0</v>
      </c>
      <c r="Z2420" t="s">
        <v>64</v>
      </c>
      <c r="AA2420" t="s">
        <v>2842</v>
      </c>
      <c r="AB2420" t="s">
        <v>0</v>
      </c>
      <c r="AC2420" t="s">
        <v>6450</v>
      </c>
    </row>
    <row r="2421" spans="1:29">
      <c r="A2421" t="s">
        <v>6451</v>
      </c>
      <c r="B2421" s="11" t="str">
        <f>IF(ISNUMBER(SEARCH(E2421,A2421)),A2421,IF(OR(E2421="",E2421=""),A2421,A2421&amp;" - "&amp;E2421))</f>
        <v>NEDCANN DSD 25/01 - Original Blitz</v>
      </c>
      <c r="C2421" t="s">
        <v>5237</v>
      </c>
      <c r="D2421" t="s">
        <v>6452</v>
      </c>
      <c r="E2421" s="79" t="s">
        <v>4188</v>
      </c>
      <c r="F2421" s="81" t="s">
        <v>177</v>
      </c>
      <c r="G2421" t="s">
        <v>26</v>
      </c>
      <c r="H2421" t="s">
        <v>65</v>
      </c>
      <c r="K2421" t="s">
        <v>52</v>
      </c>
      <c r="L2421" t="s">
        <v>145</v>
      </c>
      <c r="M2421" t="s">
        <v>54</v>
      </c>
      <c r="N2421" t="s">
        <v>72</v>
      </c>
      <c r="O2421" t="s">
        <v>88</v>
      </c>
      <c r="P2421" t="s">
        <v>57</v>
      </c>
      <c r="Q2421" t="s">
        <v>75</v>
      </c>
      <c r="R2421" t="s">
        <v>59</v>
      </c>
      <c r="S2421" t="s">
        <v>179</v>
      </c>
      <c r="T2421" t="s">
        <v>76</v>
      </c>
      <c r="U2421" t="s">
        <v>62</v>
      </c>
      <c r="V2421" t="s">
        <v>93</v>
      </c>
      <c r="W2421" t="s">
        <v>79</v>
      </c>
      <c r="X2421" t="s">
        <v>107</v>
      </c>
      <c r="Y2421" t="s">
        <v>0</v>
      </c>
      <c r="Z2421" t="s">
        <v>64</v>
      </c>
      <c r="AA2421" t="s">
        <v>6452</v>
      </c>
      <c r="AB2421" t="s">
        <v>0</v>
      </c>
      <c r="AC2421" t="s">
        <v>6453</v>
      </c>
    </row>
    <row r="2422" spans="1:29">
      <c r="A2422" t="s">
        <v>6454</v>
      </c>
      <c r="B2422" s="11" t="str">
        <f>IF(ISNUMBER(SEARCH(E2422,A2422)),A2422,IF(OR(E2422="",E2422=""),A2422,A2422&amp;" - "&amp;E2422))</f>
        <v>Canify Cannabis Flos 25/1 PRT KU. Smalls - Paradiso</v>
      </c>
      <c r="C2422" t="s">
        <v>99</v>
      </c>
      <c r="D2422" t="s">
        <v>100</v>
      </c>
      <c r="E2422" s="79" t="s">
        <v>435</v>
      </c>
      <c r="F2422" s="81" t="s">
        <v>144</v>
      </c>
      <c r="G2422" t="s">
        <v>26</v>
      </c>
      <c r="H2422" t="s">
        <v>65</v>
      </c>
      <c r="K2422" t="s">
        <v>52</v>
      </c>
      <c r="L2422" t="s">
        <v>102</v>
      </c>
      <c r="M2422" t="s">
        <v>54</v>
      </c>
      <c r="N2422" t="s">
        <v>178</v>
      </c>
      <c r="O2422" t="s">
        <v>72</v>
      </c>
      <c r="P2422" t="s">
        <v>58</v>
      </c>
      <c r="Q2422" t="s">
        <v>74</v>
      </c>
      <c r="R2422" t="s">
        <v>73</v>
      </c>
      <c r="S2422" t="s">
        <v>106</v>
      </c>
      <c r="T2422" t="s">
        <v>62</v>
      </c>
      <c r="U2422" t="s">
        <v>60</v>
      </c>
      <c r="V2422" t="s">
        <v>79</v>
      </c>
      <c r="W2422" t="s">
        <v>180</v>
      </c>
      <c r="X2422" t="s">
        <v>0</v>
      </c>
      <c r="Y2422" t="s">
        <v>0</v>
      </c>
      <c r="Z2422" t="s">
        <v>64</v>
      </c>
      <c r="AA2422" t="s">
        <v>100</v>
      </c>
      <c r="AB2422" t="s">
        <v>0</v>
      </c>
      <c r="AC2422" t="s">
        <v>6455</v>
      </c>
    </row>
    <row r="2423" spans="1:29">
      <c r="A2423" t="s">
        <v>6456</v>
      </c>
      <c r="B2423" s="11" t="str">
        <f>IF(ISNUMBER(SEARCH(E2423,A2423)),A2423,IF(OR(E2423="",E2423=""),A2423,A2423&amp;" - "&amp;E2423))</f>
        <v>Nedcann KIKU 25/01 - Nori Cake</v>
      </c>
      <c r="C2423" t="s">
        <v>5133</v>
      </c>
      <c r="D2423" t="s">
        <v>5176</v>
      </c>
      <c r="E2423" s="79" t="s">
        <v>6457</v>
      </c>
      <c r="F2423" s="81" t="s">
        <v>177</v>
      </c>
      <c r="G2423" t="s">
        <v>26</v>
      </c>
      <c r="H2423" t="s">
        <v>65</v>
      </c>
      <c r="K2423" t="s">
        <v>52</v>
      </c>
      <c r="L2423" t="s">
        <v>145</v>
      </c>
      <c r="M2423" t="s">
        <v>0</v>
      </c>
      <c r="N2423" t="s">
        <v>0</v>
      </c>
      <c r="O2423" t="s">
        <v>0</v>
      </c>
      <c r="P2423" t="s">
        <v>58</v>
      </c>
      <c r="Q2423" t="s">
        <v>59</v>
      </c>
      <c r="R2423" t="s">
        <v>74</v>
      </c>
      <c r="S2423" t="s">
        <v>106</v>
      </c>
      <c r="T2423" t="s">
        <v>62</v>
      </c>
      <c r="U2423" t="s">
        <v>164</v>
      </c>
      <c r="V2423" t="s">
        <v>107</v>
      </c>
      <c r="W2423" t="s">
        <v>173</v>
      </c>
      <c r="X2423" t="s">
        <v>116</v>
      </c>
      <c r="Y2423" t="s">
        <v>0</v>
      </c>
      <c r="Z2423" t="s">
        <v>64</v>
      </c>
      <c r="AA2423" t="s">
        <v>5176</v>
      </c>
      <c r="AB2423" t="s">
        <v>0</v>
      </c>
      <c r="AC2423" t="s">
        <v>6458</v>
      </c>
    </row>
    <row r="2424" spans="1:29">
      <c r="A2424" t="s">
        <v>6459</v>
      </c>
      <c r="B2424" s="11" t="str">
        <f>IF(ISNUMBER(SEARCH(E2424,A2424)),A2424,IF(OR(E2424="",E2424=""),A2424,A2424&amp;" - "&amp;E2424))</f>
        <v>Nedcann ML 23/01 Milky Dreams #10</v>
      </c>
      <c r="C2424" t="s">
        <v>5133</v>
      </c>
      <c r="D2424" t="s">
        <v>5176</v>
      </c>
      <c r="E2424" s="79" t="s">
        <v>6460</v>
      </c>
      <c r="F2424" s="81" t="s">
        <v>86</v>
      </c>
      <c r="G2424" t="s">
        <v>436</v>
      </c>
      <c r="H2424" t="s">
        <v>65</v>
      </c>
      <c r="K2424" t="s">
        <v>52</v>
      </c>
      <c r="L2424" t="s">
        <v>145</v>
      </c>
      <c r="M2424" t="s">
        <v>103</v>
      </c>
      <c r="N2424" t="s">
        <v>0</v>
      </c>
      <c r="O2424" t="s">
        <v>0</v>
      </c>
      <c r="P2424" t="s">
        <v>104</v>
      </c>
      <c r="Q2424" t="s">
        <v>59</v>
      </c>
      <c r="R2424" t="s">
        <v>75</v>
      </c>
      <c r="S2424" t="s">
        <v>106</v>
      </c>
      <c r="T2424" t="s">
        <v>62</v>
      </c>
      <c r="U2424" t="s">
        <v>123</v>
      </c>
      <c r="V2424" t="s">
        <v>116</v>
      </c>
      <c r="W2424" t="s">
        <v>93</v>
      </c>
      <c r="X2424" t="s">
        <v>173</v>
      </c>
      <c r="Y2424" t="s">
        <v>0</v>
      </c>
      <c r="Z2424" t="s">
        <v>64</v>
      </c>
      <c r="AA2424" t="s">
        <v>5176</v>
      </c>
      <c r="AB2424" t="s">
        <v>0</v>
      </c>
      <c r="AC2424" t="s">
        <v>6461</v>
      </c>
    </row>
    <row r="2425" spans="1:29">
      <c r="A2425" t="s">
        <v>6462</v>
      </c>
      <c r="B2425" s="11" t="str">
        <f>IF(ISNUMBER(SEARCH(E2425,A2425)),A2425,IF(OR(E2425="",E2425=""),A2425,A2425&amp;" - "&amp;E2425))</f>
        <v>Nedcann SC 19/01 Green House Cheese #21</v>
      </c>
      <c r="C2425" t="s">
        <v>5133</v>
      </c>
      <c r="D2425" t="s">
        <v>5176</v>
      </c>
      <c r="E2425" s="79" t="s">
        <v>6463</v>
      </c>
      <c r="F2425" s="81" t="s">
        <v>177</v>
      </c>
      <c r="G2425" t="s">
        <v>4160</v>
      </c>
      <c r="H2425" t="s">
        <v>65</v>
      </c>
      <c r="K2425" t="s">
        <v>52</v>
      </c>
      <c r="L2425" t="s">
        <v>145</v>
      </c>
      <c r="M2425" t="s">
        <v>121</v>
      </c>
      <c r="N2425" t="s">
        <v>0</v>
      </c>
      <c r="O2425" t="s">
        <v>0</v>
      </c>
      <c r="P2425" t="s">
        <v>0</v>
      </c>
      <c r="Q2425" t="s">
        <v>0</v>
      </c>
      <c r="R2425" t="s">
        <v>0</v>
      </c>
      <c r="S2425" t="s">
        <v>106</v>
      </c>
      <c r="T2425" t="s">
        <v>62</v>
      </c>
      <c r="U2425" t="s">
        <v>164</v>
      </c>
      <c r="V2425" t="s">
        <v>107</v>
      </c>
      <c r="W2425" t="s">
        <v>77</v>
      </c>
      <c r="X2425" t="s">
        <v>173</v>
      </c>
      <c r="Y2425" t="s">
        <v>0</v>
      </c>
      <c r="Z2425" t="s">
        <v>64</v>
      </c>
      <c r="AA2425" t="s">
        <v>5176</v>
      </c>
      <c r="AB2425" t="s">
        <v>0</v>
      </c>
      <c r="AC2425" t="s">
        <v>6464</v>
      </c>
    </row>
    <row r="2426" spans="1:29">
      <c r="A2426" t="s">
        <v>6465</v>
      </c>
      <c r="B2426" s="11" t="str">
        <f>IF(ISNUMBER(SEARCH(E2426,A2426)),A2426,IF(OR(E2426="",E2426=""),A2426,A2426&amp;" - "&amp;E2426))</f>
        <v>RUA AIO 25/1 - 8 Ball Kush</v>
      </c>
      <c r="C2426" t="s">
        <v>141</v>
      </c>
      <c r="D2426" t="s">
        <v>149</v>
      </c>
      <c r="E2426" s="79" t="s">
        <v>1802</v>
      </c>
      <c r="F2426" s="81" t="s">
        <v>86</v>
      </c>
      <c r="G2426" t="s">
        <v>26</v>
      </c>
      <c r="H2426" t="s">
        <v>65</v>
      </c>
      <c r="K2426" t="s">
        <v>52</v>
      </c>
      <c r="L2426" t="s">
        <v>53</v>
      </c>
      <c r="M2426" t="s">
        <v>178</v>
      </c>
      <c r="N2426" t="s">
        <v>72</v>
      </c>
      <c r="O2426" t="s">
        <v>103</v>
      </c>
      <c r="P2426" t="s">
        <v>112</v>
      </c>
      <c r="Q2426" t="s">
        <v>146</v>
      </c>
      <c r="R2426" t="s">
        <v>59</v>
      </c>
      <c r="S2426" t="s">
        <v>106</v>
      </c>
      <c r="T2426" t="s">
        <v>62</v>
      </c>
      <c r="U2426" t="s">
        <v>123</v>
      </c>
      <c r="V2426" t="s">
        <v>77</v>
      </c>
      <c r="W2426" t="s">
        <v>0</v>
      </c>
      <c r="X2426" t="s">
        <v>0</v>
      </c>
      <c r="Y2426" t="s">
        <v>0</v>
      </c>
      <c r="Z2426" t="s">
        <v>64</v>
      </c>
      <c r="AA2426" t="s">
        <v>149</v>
      </c>
      <c r="AB2426" t="s">
        <v>0</v>
      </c>
      <c r="AC2426" t="s">
        <v>6466</v>
      </c>
    </row>
    <row r="2427" spans="1:29">
      <c r="A2427" t="s">
        <v>6467</v>
      </c>
      <c r="B2427" s="11" t="str">
        <f>IF(ISNUMBER(SEARCH(E2427,A2427)),A2427,IF(OR(E2427="",E2427=""),A2427,A2427&amp;" - "&amp;E2427))</f>
        <v>RUA AIO 27/1 - 8 Ball Kush</v>
      </c>
      <c r="C2427" t="s">
        <v>141</v>
      </c>
      <c r="D2427" t="s">
        <v>149</v>
      </c>
      <c r="E2427" s="79" t="s">
        <v>1802</v>
      </c>
      <c r="F2427" s="81" t="s">
        <v>86</v>
      </c>
      <c r="G2427" t="s">
        <v>33</v>
      </c>
      <c r="H2427" t="s">
        <v>65</v>
      </c>
      <c r="K2427" t="s">
        <v>52</v>
      </c>
      <c r="L2427" t="s">
        <v>53</v>
      </c>
      <c r="M2427" t="s">
        <v>178</v>
      </c>
      <c r="N2427" t="s">
        <v>72</v>
      </c>
      <c r="O2427" t="s">
        <v>103</v>
      </c>
      <c r="P2427" t="s">
        <v>112</v>
      </c>
      <c r="Q2427" t="s">
        <v>146</v>
      </c>
      <c r="R2427" t="s">
        <v>59</v>
      </c>
      <c r="S2427" t="s">
        <v>106</v>
      </c>
      <c r="T2427" t="s">
        <v>62</v>
      </c>
      <c r="U2427" t="s">
        <v>123</v>
      </c>
      <c r="V2427" t="s">
        <v>77</v>
      </c>
      <c r="W2427" t="s">
        <v>0</v>
      </c>
      <c r="X2427" t="s">
        <v>0</v>
      </c>
      <c r="Y2427" t="s">
        <v>0</v>
      </c>
      <c r="Z2427" t="s">
        <v>64</v>
      </c>
      <c r="AA2427" t="s">
        <v>149</v>
      </c>
      <c r="AB2427" t="s">
        <v>0</v>
      </c>
      <c r="AC2427" t="s">
        <v>6468</v>
      </c>
    </row>
    <row r="2428" spans="1:29">
      <c r="A2428" t="s">
        <v>6469</v>
      </c>
      <c r="B2428" s="11" t="str">
        <f>IF(ISNUMBER(SEARCH(E2428,A2428)),A2428,IF(OR(E2428="",E2428=""),A2428,A2428&amp;" - "&amp;E2428))</f>
        <v>420 Sungrown 20/1 CA LLY - Legendary Larry</v>
      </c>
      <c r="C2428" t="s">
        <v>463</v>
      </c>
      <c r="D2428" t="s">
        <v>468</v>
      </c>
      <c r="E2428" s="9" t="s">
        <v>746</v>
      </c>
      <c r="F2428" s="1" t="s">
        <v>177</v>
      </c>
      <c r="G2428" t="s">
        <v>460</v>
      </c>
      <c r="H2428" t="s">
        <v>65</v>
      </c>
      <c r="K2428" t="s">
        <v>52</v>
      </c>
      <c r="L2428" t="s">
        <v>53</v>
      </c>
      <c r="M2428" t="s">
        <v>72</v>
      </c>
      <c r="N2428" t="s">
        <v>0</v>
      </c>
      <c r="O2428" t="s">
        <v>0</v>
      </c>
      <c r="P2428" t="s">
        <v>59</v>
      </c>
      <c r="Q2428" t="s">
        <v>75</v>
      </c>
      <c r="R2428" t="s">
        <v>74</v>
      </c>
      <c r="S2428" t="s">
        <v>128</v>
      </c>
      <c r="T2428" t="s">
        <v>61</v>
      </c>
      <c r="U2428" t="s">
        <v>164</v>
      </c>
      <c r="V2428" t="s">
        <v>165</v>
      </c>
      <c r="W2428" t="s">
        <v>107</v>
      </c>
      <c r="X2428" t="s">
        <v>116</v>
      </c>
      <c r="Y2428" t="s">
        <v>0</v>
      </c>
      <c r="Z2428" t="s">
        <v>64</v>
      </c>
      <c r="AA2428" t="s">
        <v>468</v>
      </c>
      <c r="AB2428" t="s">
        <v>0</v>
      </c>
      <c r="AC2428" t="s">
        <v>6470</v>
      </c>
    </row>
    <row r="2429" spans="1:29">
      <c r="A2429" t="s">
        <v>140</v>
      </c>
      <c r="B2429" s="11" t="str">
        <f>IF(ISNUMBER(SEARCH(E2429,A2429)),A2429,IF(OR(E2429="",E2429=""),A2429,A2429&amp;" - "&amp;E2429))</f>
        <v>TYSON 2.0 30/1 - NYC Diesel</v>
      </c>
      <c r="C2429" t="s">
        <v>141</v>
      </c>
      <c r="D2429" t="s">
        <v>149</v>
      </c>
      <c r="E2429" s="79" t="s">
        <v>399</v>
      </c>
      <c r="F2429" s="81" t="s">
        <v>144</v>
      </c>
      <c r="G2429" t="s">
        <v>4057</v>
      </c>
      <c r="H2429" t="s">
        <v>65</v>
      </c>
      <c r="K2429" t="s">
        <v>52</v>
      </c>
      <c r="L2429" t="s">
        <v>145</v>
      </c>
      <c r="M2429" t="s">
        <v>72</v>
      </c>
      <c r="N2429" t="s">
        <v>111</v>
      </c>
      <c r="O2429" t="s">
        <v>178</v>
      </c>
      <c r="P2429" t="s">
        <v>58</v>
      </c>
      <c r="Q2429" t="s">
        <v>75</v>
      </c>
      <c r="R2429" t="s">
        <v>0</v>
      </c>
      <c r="S2429" t="s">
        <v>62</v>
      </c>
      <c r="T2429" t="s">
        <v>147</v>
      </c>
      <c r="U2429" t="s">
        <v>192</v>
      </c>
      <c r="V2429" t="s">
        <v>292</v>
      </c>
      <c r="W2429" t="s">
        <v>173</v>
      </c>
      <c r="X2429" t="s">
        <v>77</v>
      </c>
      <c r="Y2429" t="s">
        <v>0</v>
      </c>
      <c r="Z2429" t="s">
        <v>64</v>
      </c>
      <c r="AA2429" t="s">
        <v>149</v>
      </c>
      <c r="AB2429" t="s">
        <v>150</v>
      </c>
      <c r="AC2429" t="s">
        <v>6471</v>
      </c>
    </row>
    <row r="2430" spans="1:29">
      <c r="A2430" t="s">
        <v>398</v>
      </c>
      <c r="B2430" s="11" t="str">
        <f>IF(ISNUMBER(SEARCH(E2430,A2430)),A2430,IF(OR(E2430="",E2430=""),A2430,A2430&amp;" - "&amp;E2430))</f>
        <v>TYSON 2.0 26/1 - Haymaker Haze</v>
      </c>
      <c r="C2430" t="s">
        <v>141</v>
      </c>
      <c r="D2430" t="s">
        <v>149</v>
      </c>
      <c r="E2430" s="79" t="s">
        <v>143</v>
      </c>
      <c r="F2430" s="81" t="s">
        <v>144</v>
      </c>
      <c r="G2430" t="s">
        <v>4086</v>
      </c>
      <c r="H2430" t="s">
        <v>65</v>
      </c>
      <c r="K2430" t="s">
        <v>52</v>
      </c>
      <c r="L2430" t="s">
        <v>145</v>
      </c>
      <c r="M2430" t="s">
        <v>111</v>
      </c>
      <c r="N2430" t="s">
        <v>72</v>
      </c>
      <c r="O2430" t="s">
        <v>88</v>
      </c>
      <c r="P2430" t="s">
        <v>146</v>
      </c>
      <c r="Q2430" t="s">
        <v>74</v>
      </c>
      <c r="R2430" t="s">
        <v>59</v>
      </c>
      <c r="S2430" t="s">
        <v>90</v>
      </c>
      <c r="T2430" t="s">
        <v>105</v>
      </c>
      <c r="U2430" t="s">
        <v>147</v>
      </c>
      <c r="V2430" t="s">
        <v>77</v>
      </c>
      <c r="W2430" t="s">
        <v>129</v>
      </c>
      <c r="X2430" t="s">
        <v>107</v>
      </c>
      <c r="Y2430" t="s">
        <v>0</v>
      </c>
      <c r="Z2430" t="s">
        <v>64</v>
      </c>
      <c r="AA2430" t="s">
        <v>149</v>
      </c>
      <c r="AB2430" t="s">
        <v>150</v>
      </c>
      <c r="AC2430" t="s">
        <v>6472</v>
      </c>
    </row>
    <row r="2431" spans="1:29">
      <c r="A2431" t="s">
        <v>6473</v>
      </c>
      <c r="B2431" s="11" t="str">
        <f>IF(ISNUMBER(SEARCH(E2431,A2431)),A2431,IF(OR(E2431="",E2431=""),A2431,A2431&amp;" - "&amp;E2431))</f>
        <v>Rua Hihiko 29/1 - Grape Haze</v>
      </c>
      <c r="C2431" t="s">
        <v>141</v>
      </c>
      <c r="D2431" t="s">
        <v>149</v>
      </c>
      <c r="E2431" s="79" t="s">
        <v>1417</v>
      </c>
      <c r="F2431" s="81" t="s">
        <v>144</v>
      </c>
      <c r="G2431" t="s">
        <v>443</v>
      </c>
      <c r="H2431" t="s">
        <v>65</v>
      </c>
      <c r="K2431" t="s">
        <v>52</v>
      </c>
      <c r="L2431" t="s">
        <v>1418</v>
      </c>
      <c r="M2431" t="s">
        <v>71</v>
      </c>
      <c r="N2431" t="s">
        <v>88</v>
      </c>
      <c r="O2431" t="s">
        <v>55</v>
      </c>
      <c r="P2431" t="s">
        <v>75</v>
      </c>
      <c r="Q2431" t="s">
        <v>157</v>
      </c>
      <c r="R2431" t="s">
        <v>74</v>
      </c>
      <c r="S2431" t="s">
        <v>90</v>
      </c>
      <c r="T2431" t="s">
        <v>147</v>
      </c>
      <c r="U2431" t="s">
        <v>493</v>
      </c>
      <c r="V2431" t="s">
        <v>77</v>
      </c>
      <c r="W2431" t="s">
        <v>79</v>
      </c>
      <c r="X2431" t="s">
        <v>107</v>
      </c>
      <c r="Y2431" t="s">
        <v>0</v>
      </c>
      <c r="Z2431" t="s">
        <v>64</v>
      </c>
      <c r="AA2431" t="s">
        <v>149</v>
      </c>
      <c r="AB2431" t="s">
        <v>0</v>
      </c>
      <c r="AC2431" t="s">
        <v>6474</v>
      </c>
    </row>
    <row r="2432" spans="1:29">
      <c r="A2432" t="s">
        <v>6475</v>
      </c>
      <c r="B2432" s="11" t="str">
        <f>IF(ISNUMBER(SEARCH(E2432,A2432)),A2432,IF(OR(E2432="",E2432=""),A2432,A2432&amp;" - "&amp;E2432))</f>
        <v>Nedcann HS 22/01 White Runtz #55</v>
      </c>
      <c r="C2432" t="s">
        <v>5133</v>
      </c>
      <c r="D2432" t="s">
        <v>5176</v>
      </c>
      <c r="E2432" s="79" t="s">
        <v>445</v>
      </c>
      <c r="F2432" s="81" t="s">
        <v>86</v>
      </c>
      <c r="G2432" t="s">
        <v>4126</v>
      </c>
      <c r="H2432" t="s">
        <v>65</v>
      </c>
      <c r="K2432" t="s">
        <v>52</v>
      </c>
      <c r="L2432" t="s">
        <v>145</v>
      </c>
      <c r="M2432" t="s">
        <v>156</v>
      </c>
      <c r="N2432" t="s">
        <v>88</v>
      </c>
      <c r="O2432" t="s">
        <v>72</v>
      </c>
      <c r="P2432" t="s">
        <v>89</v>
      </c>
      <c r="Q2432" t="s">
        <v>58</v>
      </c>
      <c r="R2432" t="s">
        <v>75</v>
      </c>
      <c r="S2432" t="s">
        <v>106</v>
      </c>
      <c r="T2432" t="s">
        <v>62</v>
      </c>
      <c r="U2432" t="s">
        <v>123</v>
      </c>
      <c r="V2432" t="s">
        <v>77</v>
      </c>
      <c r="W2432" t="s">
        <v>79</v>
      </c>
      <c r="X2432" t="s">
        <v>173</v>
      </c>
      <c r="Y2432" t="s">
        <v>0</v>
      </c>
      <c r="Z2432" t="s">
        <v>64</v>
      </c>
      <c r="AA2432" t="s">
        <v>5176</v>
      </c>
      <c r="AB2432" t="s">
        <v>0</v>
      </c>
      <c r="AC2432" t="s">
        <v>6476</v>
      </c>
    </row>
    <row r="2433" spans="1:29">
      <c r="A2433" t="s">
        <v>6477</v>
      </c>
      <c r="B2433" s="11" t="str">
        <f>IF(ISNUMBER(SEARCH(E2433,A2433)),A2433,IF(OR(E2433="",E2433=""),A2433,A2433&amp;" - "&amp;E2433))</f>
        <v>Nedcann HS 20/01 White Runtz #55</v>
      </c>
      <c r="C2433" t="s">
        <v>5133</v>
      </c>
      <c r="D2433" t="s">
        <v>5176</v>
      </c>
      <c r="E2433" s="79" t="s">
        <v>445</v>
      </c>
      <c r="F2433" s="81" t="s">
        <v>86</v>
      </c>
      <c r="G2433" t="s">
        <v>460</v>
      </c>
      <c r="H2433" t="s">
        <v>65</v>
      </c>
      <c r="K2433" t="s">
        <v>52</v>
      </c>
      <c r="L2433" t="s">
        <v>145</v>
      </c>
      <c r="M2433" t="s">
        <v>156</v>
      </c>
      <c r="N2433" t="s">
        <v>88</v>
      </c>
      <c r="O2433" t="s">
        <v>72</v>
      </c>
      <c r="P2433" t="s">
        <v>89</v>
      </c>
      <c r="Q2433" t="s">
        <v>58</v>
      </c>
      <c r="R2433" t="s">
        <v>75</v>
      </c>
      <c r="S2433" t="s">
        <v>106</v>
      </c>
      <c r="T2433" t="s">
        <v>62</v>
      </c>
      <c r="U2433" t="s">
        <v>123</v>
      </c>
      <c r="V2433" t="s">
        <v>77</v>
      </c>
      <c r="W2433" t="s">
        <v>79</v>
      </c>
      <c r="X2433" t="s">
        <v>173</v>
      </c>
      <c r="Y2433" t="s">
        <v>0</v>
      </c>
      <c r="Z2433" t="s">
        <v>64</v>
      </c>
      <c r="AA2433" t="s">
        <v>5176</v>
      </c>
      <c r="AB2433" t="s">
        <v>0</v>
      </c>
      <c r="AC2433" t="s">
        <v>6478</v>
      </c>
    </row>
    <row r="2434" spans="1:29">
      <c r="A2434" t="s">
        <v>6479</v>
      </c>
      <c r="B2434" s="11" t="str">
        <f>IF(ISNUMBER(SEARCH(E2434,A2434)),A2434,IF(OR(E2434="",E2434=""),A2434,A2434&amp;" - "&amp;E2434))</f>
        <v>Nedcann CB 18/01 Honolulu Haze #1</v>
      </c>
      <c r="C2434" t="s">
        <v>5133</v>
      </c>
      <c r="D2434" t="s">
        <v>5176</v>
      </c>
      <c r="E2434" s="79" t="s">
        <v>6480</v>
      </c>
      <c r="F2434" s="81" t="s">
        <v>86</v>
      </c>
      <c r="G2434" t="s">
        <v>8</v>
      </c>
      <c r="H2434" t="s">
        <v>65</v>
      </c>
      <c r="K2434" t="s">
        <v>52</v>
      </c>
      <c r="L2434" t="s">
        <v>145</v>
      </c>
      <c r="M2434" t="s">
        <v>178</v>
      </c>
      <c r="N2434" t="s">
        <v>54</v>
      </c>
      <c r="O2434" t="s">
        <v>88</v>
      </c>
      <c r="P2434" t="s">
        <v>74</v>
      </c>
      <c r="Q2434" t="s">
        <v>58</v>
      </c>
      <c r="R2434" t="s">
        <v>157</v>
      </c>
      <c r="S2434" t="s">
        <v>90</v>
      </c>
      <c r="T2434" t="s">
        <v>106</v>
      </c>
      <c r="U2434" t="s">
        <v>62</v>
      </c>
      <c r="V2434" t="s">
        <v>77</v>
      </c>
      <c r="W2434" t="s">
        <v>79</v>
      </c>
      <c r="X2434" t="s">
        <v>129</v>
      </c>
      <c r="Y2434" t="s">
        <v>0</v>
      </c>
      <c r="Z2434" t="s">
        <v>64</v>
      </c>
      <c r="AA2434" t="s">
        <v>5176</v>
      </c>
      <c r="AB2434" t="s">
        <v>0</v>
      </c>
      <c r="AC2434" t="s">
        <v>6481</v>
      </c>
    </row>
    <row r="2435" spans="1:29">
      <c r="A2435" t="s">
        <v>6482</v>
      </c>
      <c r="B2435" s="11" t="str">
        <f>IF(ISNUMBER(SEARCH(E2435,A2435)),A2435,IF(OR(E2435="",E2435=""),A2435,A2435&amp;" - "&amp;E2435))</f>
        <v>Nedcann MD 22/01 Cloud Walker #D18</v>
      </c>
      <c r="C2435" t="s">
        <v>5133</v>
      </c>
      <c r="D2435" t="s">
        <v>5176</v>
      </c>
      <c r="E2435" s="79" t="s">
        <v>6483</v>
      </c>
      <c r="F2435" s="81" t="s">
        <v>144</v>
      </c>
      <c r="G2435" t="s">
        <v>4126</v>
      </c>
      <c r="H2435" t="s">
        <v>65</v>
      </c>
      <c r="K2435" t="s">
        <v>52</v>
      </c>
      <c r="L2435" t="s">
        <v>145</v>
      </c>
      <c r="M2435" t="s">
        <v>55</v>
      </c>
      <c r="N2435" t="s">
        <v>54</v>
      </c>
      <c r="O2435" t="s">
        <v>0</v>
      </c>
      <c r="P2435" t="s">
        <v>89</v>
      </c>
      <c r="Q2435" t="s">
        <v>59</v>
      </c>
      <c r="R2435" t="s">
        <v>157</v>
      </c>
      <c r="S2435" t="s">
        <v>106</v>
      </c>
      <c r="T2435" t="s">
        <v>62</v>
      </c>
      <c r="U2435" t="s">
        <v>147</v>
      </c>
      <c r="V2435" t="s">
        <v>77</v>
      </c>
      <c r="W2435" t="s">
        <v>292</v>
      </c>
      <c r="X2435" t="s">
        <v>93</v>
      </c>
      <c r="Y2435" t="s">
        <v>0</v>
      </c>
      <c r="Z2435" t="s">
        <v>64</v>
      </c>
      <c r="AA2435" t="s">
        <v>5176</v>
      </c>
      <c r="AB2435" t="s">
        <v>0</v>
      </c>
      <c r="AC2435" t="s">
        <v>6484</v>
      </c>
    </row>
    <row r="2436" spans="1:29">
      <c r="A2436" t="s">
        <v>6485</v>
      </c>
      <c r="B2436" s="11" t="str">
        <f>IF(ISNUMBER(SEARCH(E2436,A2436)),A2436,IF(OR(E2436="",E2436=""),A2436,A2436&amp;" - "&amp;E2436))</f>
        <v>Nedcann AH 20/01 Mimosa #89</v>
      </c>
      <c r="C2436" t="s">
        <v>5133</v>
      </c>
      <c r="D2436" t="s">
        <v>5176</v>
      </c>
      <c r="E2436" s="79" t="s">
        <v>442</v>
      </c>
      <c r="F2436" s="81" t="s">
        <v>86</v>
      </c>
      <c r="G2436" t="s">
        <v>460</v>
      </c>
      <c r="H2436" t="s">
        <v>65</v>
      </c>
      <c r="K2436" t="s">
        <v>52</v>
      </c>
      <c r="L2436" t="s">
        <v>145</v>
      </c>
      <c r="M2436" t="s">
        <v>88</v>
      </c>
      <c r="N2436" t="s">
        <v>72</v>
      </c>
      <c r="O2436" t="s">
        <v>111</v>
      </c>
      <c r="P2436" t="s">
        <v>75</v>
      </c>
      <c r="Q2436" t="s">
        <v>58</v>
      </c>
      <c r="R2436" t="s">
        <v>89</v>
      </c>
      <c r="S2436" t="s">
        <v>62</v>
      </c>
      <c r="T2436" t="s">
        <v>147</v>
      </c>
      <c r="U2436" t="s">
        <v>192</v>
      </c>
      <c r="V2436" t="s">
        <v>79</v>
      </c>
      <c r="W2436" t="s">
        <v>173</v>
      </c>
      <c r="X2436" t="s">
        <v>93</v>
      </c>
      <c r="Y2436" t="s">
        <v>0</v>
      </c>
      <c r="Z2436" t="s">
        <v>64</v>
      </c>
      <c r="AA2436" t="s">
        <v>5176</v>
      </c>
      <c r="AB2436" t="s">
        <v>0</v>
      </c>
      <c r="AC2436" t="s">
        <v>6486</v>
      </c>
    </row>
    <row r="2437" spans="1:29">
      <c r="A2437" t="s">
        <v>6487</v>
      </c>
      <c r="B2437" s="11" t="str">
        <f>IF(ISNUMBER(SEARCH(E2437,A2437)),A2437,IF(OR(E2437="",E2437=""),A2437,A2437&amp;" - "&amp;E2437))</f>
        <v>Barongo 20/1 SG - Strawberry Guava</v>
      </c>
      <c r="C2437" t="s">
        <v>641</v>
      </c>
      <c r="D2437" t="s">
        <v>642</v>
      </c>
      <c r="E2437" s="9" t="s">
        <v>4837</v>
      </c>
      <c r="F2437" s="1" t="s">
        <v>177</v>
      </c>
      <c r="G2437" t="s">
        <v>460</v>
      </c>
      <c r="H2437" t="s">
        <v>65</v>
      </c>
      <c r="K2437" t="s">
        <v>52</v>
      </c>
      <c r="L2437" t="s">
        <v>53</v>
      </c>
      <c r="M2437" t="s">
        <v>88</v>
      </c>
      <c r="N2437" t="s">
        <v>54</v>
      </c>
      <c r="O2437" t="s">
        <v>0</v>
      </c>
      <c r="P2437" t="s">
        <v>74</v>
      </c>
      <c r="Q2437" t="s">
        <v>73</v>
      </c>
      <c r="R2437" t="s">
        <v>89</v>
      </c>
      <c r="S2437" t="s">
        <v>106</v>
      </c>
      <c r="T2437" t="s">
        <v>62</v>
      </c>
      <c r="U2437" t="s">
        <v>147</v>
      </c>
      <c r="V2437" t="s">
        <v>77</v>
      </c>
      <c r="W2437" t="s">
        <v>173</v>
      </c>
      <c r="X2437" t="s">
        <v>197</v>
      </c>
      <c r="Y2437" t="s">
        <v>0</v>
      </c>
      <c r="Z2437" t="s">
        <v>64</v>
      </c>
      <c r="AA2437" t="s">
        <v>642</v>
      </c>
      <c r="AB2437" t="s">
        <v>0</v>
      </c>
      <c r="AC2437" t="s">
        <v>6488</v>
      </c>
    </row>
    <row r="2438" spans="1:29">
      <c r="A2438" t="s">
        <v>6489</v>
      </c>
      <c r="B2438" s="11" t="str">
        <f>IF(ISNUMBER(SEARCH(E2438,A2438)),A2438,IF(OR(E2438="",E2438=""),A2438,A2438&amp;" - "&amp;E2438))</f>
        <v>Barongo 17/1 SG - Strawberry Guava</v>
      </c>
      <c r="C2438" t="s">
        <v>641</v>
      </c>
      <c r="D2438" t="s">
        <v>642</v>
      </c>
      <c r="E2438" s="9" t="s">
        <v>4837</v>
      </c>
      <c r="F2438" s="1" t="s">
        <v>177</v>
      </c>
      <c r="G2438" t="s">
        <v>4038</v>
      </c>
      <c r="H2438" t="s">
        <v>65</v>
      </c>
      <c r="K2438" t="s">
        <v>52</v>
      </c>
      <c r="L2438" t="s">
        <v>53</v>
      </c>
      <c r="M2438" t="s">
        <v>88</v>
      </c>
      <c r="N2438" t="s">
        <v>54</v>
      </c>
      <c r="O2438" t="s">
        <v>0</v>
      </c>
      <c r="P2438" t="s">
        <v>74</v>
      </c>
      <c r="Q2438" t="s">
        <v>73</v>
      </c>
      <c r="R2438" t="s">
        <v>89</v>
      </c>
      <c r="S2438" t="s">
        <v>106</v>
      </c>
      <c r="T2438" t="s">
        <v>62</v>
      </c>
      <c r="U2438" t="s">
        <v>147</v>
      </c>
      <c r="V2438" t="s">
        <v>77</v>
      </c>
      <c r="W2438" t="s">
        <v>173</v>
      </c>
      <c r="X2438" t="s">
        <v>197</v>
      </c>
      <c r="Y2438" t="s">
        <v>0</v>
      </c>
      <c r="Z2438" t="s">
        <v>64</v>
      </c>
      <c r="AA2438" t="s">
        <v>642</v>
      </c>
      <c r="AB2438" t="s">
        <v>0</v>
      </c>
      <c r="AC2438" t="s">
        <v>6490</v>
      </c>
    </row>
    <row r="2439" spans="1:29">
      <c r="A2439" t="s">
        <v>5046</v>
      </c>
      <c r="B2439" s="11" t="str">
        <f>IF(ISNUMBER(SEARCH(E2439,A2439)),A2439,IF(OR(E2439="",E2439=""),A2439,A2439&amp;" - "&amp;E2439))</f>
        <v>Barongo 24/1 UDC - Ultra Dosed Candy</v>
      </c>
      <c r="C2439" t="s">
        <v>641</v>
      </c>
      <c r="D2439" t="s">
        <v>642</v>
      </c>
      <c r="E2439" s="9" t="s">
        <v>5965</v>
      </c>
      <c r="F2439" s="1" t="s">
        <v>86</v>
      </c>
      <c r="G2439" t="s">
        <v>448</v>
      </c>
      <c r="H2439" t="s">
        <v>65</v>
      </c>
      <c r="K2439" t="s">
        <v>52</v>
      </c>
      <c r="L2439" t="s">
        <v>53</v>
      </c>
      <c r="M2439" t="s">
        <v>54</v>
      </c>
      <c r="N2439" t="s">
        <v>88</v>
      </c>
      <c r="O2439" t="s">
        <v>103</v>
      </c>
      <c r="P2439" t="s">
        <v>74</v>
      </c>
      <c r="Q2439" t="s">
        <v>186</v>
      </c>
      <c r="R2439" t="s">
        <v>59</v>
      </c>
      <c r="S2439" t="s">
        <v>106</v>
      </c>
      <c r="T2439" t="s">
        <v>62</v>
      </c>
      <c r="U2439" t="s">
        <v>123</v>
      </c>
      <c r="V2439" t="s">
        <v>93</v>
      </c>
      <c r="W2439" t="s">
        <v>116</v>
      </c>
      <c r="X2439" t="s">
        <v>79</v>
      </c>
      <c r="Y2439" t="s">
        <v>0</v>
      </c>
      <c r="Z2439" t="s">
        <v>64</v>
      </c>
      <c r="AA2439" t="s">
        <v>642</v>
      </c>
      <c r="AB2439" t="s">
        <v>0</v>
      </c>
      <c r="AC2439" t="s">
        <v>6491</v>
      </c>
    </row>
    <row r="2440" spans="1:29">
      <c r="A2440" t="s">
        <v>6492</v>
      </c>
      <c r="B2440" s="11" t="str">
        <f>IF(ISNUMBER(SEARCH(E2440,A2440)),A2440,IF(OR(E2440="",E2440=""),A2440,A2440&amp;" - "&amp;E2440))</f>
        <v>Barongo 26/1 BT - Black Triangle</v>
      </c>
      <c r="C2440" t="s">
        <v>641</v>
      </c>
      <c r="D2440" t="s">
        <v>642</v>
      </c>
      <c r="E2440" s="9" t="s">
        <v>688</v>
      </c>
      <c r="F2440" s="1" t="s">
        <v>177</v>
      </c>
      <c r="G2440" t="s">
        <v>4086</v>
      </c>
      <c r="H2440" t="s">
        <v>65</v>
      </c>
      <c r="K2440" t="s">
        <v>52</v>
      </c>
      <c r="L2440" t="s">
        <v>53</v>
      </c>
      <c r="M2440" t="s">
        <v>121</v>
      </c>
      <c r="N2440" t="s">
        <v>88</v>
      </c>
      <c r="O2440" t="s">
        <v>72</v>
      </c>
      <c r="P2440" t="s">
        <v>146</v>
      </c>
      <c r="Q2440" t="s">
        <v>74</v>
      </c>
      <c r="R2440" t="s">
        <v>59</v>
      </c>
      <c r="S2440" t="s">
        <v>106</v>
      </c>
      <c r="T2440" t="s">
        <v>62</v>
      </c>
      <c r="U2440" t="s">
        <v>147</v>
      </c>
      <c r="V2440" t="s">
        <v>173</v>
      </c>
      <c r="W2440" t="s">
        <v>77</v>
      </c>
      <c r="X2440" t="s">
        <v>79</v>
      </c>
      <c r="Y2440" t="s">
        <v>0</v>
      </c>
      <c r="Z2440" t="s">
        <v>64</v>
      </c>
      <c r="AA2440" t="s">
        <v>642</v>
      </c>
      <c r="AB2440" t="s">
        <v>0</v>
      </c>
      <c r="AC2440" t="s">
        <v>6493</v>
      </c>
    </row>
    <row r="2441" spans="1:29">
      <c r="A2441" t="s">
        <v>6494</v>
      </c>
      <c r="B2441" s="11" t="str">
        <f>IF(ISNUMBER(SEARCH(E2441,A2441)),A2441,IF(OR(E2441="",E2441=""),A2441,A2441&amp;" - "&amp;E2441))</f>
        <v>Barongo 28/1 ZP - Zesty Parm</v>
      </c>
      <c r="C2441" t="s">
        <v>641</v>
      </c>
      <c r="D2441" t="s">
        <v>642</v>
      </c>
      <c r="E2441" s="9" t="s">
        <v>6495</v>
      </c>
      <c r="F2441" s="1" t="s">
        <v>144</v>
      </c>
      <c r="G2441" t="s">
        <v>4164</v>
      </c>
      <c r="H2441" t="s">
        <v>65</v>
      </c>
      <c r="K2441" t="s">
        <v>52</v>
      </c>
      <c r="L2441" t="s">
        <v>53</v>
      </c>
      <c r="M2441" t="s">
        <v>72</v>
      </c>
      <c r="N2441" t="s">
        <v>111</v>
      </c>
      <c r="O2441" t="s">
        <v>54</v>
      </c>
      <c r="P2441" t="s">
        <v>58</v>
      </c>
      <c r="Q2441" t="s">
        <v>75</v>
      </c>
      <c r="R2441" t="s">
        <v>59</v>
      </c>
      <c r="S2441" t="s">
        <v>106</v>
      </c>
      <c r="T2441" t="s">
        <v>62</v>
      </c>
      <c r="U2441" t="s">
        <v>147</v>
      </c>
      <c r="V2441" t="s">
        <v>79</v>
      </c>
      <c r="W2441" t="s">
        <v>93</v>
      </c>
      <c r="X2441" t="s">
        <v>77</v>
      </c>
      <c r="Y2441" t="s">
        <v>0</v>
      </c>
      <c r="Z2441" t="s">
        <v>64</v>
      </c>
      <c r="AA2441" t="s">
        <v>642</v>
      </c>
      <c r="AB2441" t="s">
        <v>0</v>
      </c>
      <c r="AC2441" t="s">
        <v>6496</v>
      </c>
    </row>
    <row r="2442" spans="1:29">
      <c r="A2442" t="s">
        <v>6497</v>
      </c>
      <c r="B2442" s="11" t="str">
        <f>IF(ISNUMBER(SEARCH(E2442,A2442)),A2442,IF(OR(E2442="",E2442=""),A2442,A2442&amp;" - "&amp;E2442))</f>
        <v>Barongo 26/1 LAK LA KUSH</v>
      </c>
      <c r="C2442" t="s">
        <v>641</v>
      </c>
      <c r="D2442" t="s">
        <v>642</v>
      </c>
      <c r="E2442" s="9" t="s">
        <v>6498</v>
      </c>
      <c r="F2442" s="1" t="s">
        <v>177</v>
      </c>
      <c r="G2442" t="s">
        <v>4086</v>
      </c>
      <c r="H2442" t="s">
        <v>65</v>
      </c>
      <c r="K2442" t="s">
        <v>52</v>
      </c>
      <c r="L2442" t="s">
        <v>53</v>
      </c>
      <c r="M2442" t="s">
        <v>54</v>
      </c>
      <c r="N2442" t="s">
        <v>72</v>
      </c>
      <c r="O2442" t="s">
        <v>0</v>
      </c>
      <c r="P2442" t="s">
        <v>113</v>
      </c>
      <c r="Q2442" t="s">
        <v>157</v>
      </c>
      <c r="R2442" t="s">
        <v>73</v>
      </c>
      <c r="S2442" t="s">
        <v>106</v>
      </c>
      <c r="T2442" t="s">
        <v>62</v>
      </c>
      <c r="U2442" t="s">
        <v>123</v>
      </c>
      <c r="V2442" t="s">
        <v>79</v>
      </c>
      <c r="W2442" t="s">
        <v>93</v>
      </c>
      <c r="X2442" t="s">
        <v>116</v>
      </c>
      <c r="Y2442" t="s">
        <v>0</v>
      </c>
      <c r="Z2442" t="s">
        <v>64</v>
      </c>
      <c r="AA2442" t="s">
        <v>642</v>
      </c>
      <c r="AB2442" t="s">
        <v>0</v>
      </c>
      <c r="AC2442" t="s">
        <v>6499</v>
      </c>
    </row>
    <row r="2443" spans="1:29">
      <c r="A2443" t="s">
        <v>6500</v>
      </c>
      <c r="B2443" s="11" t="str">
        <f>IF(ISNUMBER(SEARCH(E2443,A2443)),A2443,IF(OR(E2443="",E2443=""),A2443,A2443&amp;" - "&amp;E2443))</f>
        <v>Barongo 28/1 LPJ Legacy Pheno - Jean Guy</v>
      </c>
      <c r="C2443" t="s">
        <v>641</v>
      </c>
      <c r="D2443" t="s">
        <v>642</v>
      </c>
      <c r="E2443" s="79" t="s">
        <v>394</v>
      </c>
      <c r="F2443" s="81" t="s">
        <v>144</v>
      </c>
      <c r="G2443" t="s">
        <v>4164</v>
      </c>
      <c r="H2443" t="s">
        <v>65</v>
      </c>
      <c r="K2443" t="s">
        <v>52</v>
      </c>
      <c r="L2443" t="s">
        <v>53</v>
      </c>
      <c r="M2443" t="s">
        <v>54</v>
      </c>
      <c r="N2443" t="s">
        <v>88</v>
      </c>
      <c r="O2443" t="s">
        <v>55</v>
      </c>
      <c r="P2443" t="s">
        <v>75</v>
      </c>
      <c r="Q2443" t="s">
        <v>74</v>
      </c>
      <c r="R2443" t="s">
        <v>0</v>
      </c>
      <c r="S2443" t="s">
        <v>106</v>
      </c>
      <c r="T2443" t="s">
        <v>62</v>
      </c>
      <c r="U2443" t="s">
        <v>123</v>
      </c>
      <c r="V2443" t="s">
        <v>77</v>
      </c>
      <c r="W2443" t="s">
        <v>78</v>
      </c>
      <c r="X2443" t="s">
        <v>395</v>
      </c>
      <c r="Y2443" t="s">
        <v>0</v>
      </c>
      <c r="Z2443" t="s">
        <v>64</v>
      </c>
      <c r="AA2443" t="s">
        <v>642</v>
      </c>
      <c r="AB2443" t="s">
        <v>0</v>
      </c>
      <c r="AC2443" t="s">
        <v>6501</v>
      </c>
    </row>
    <row r="2444" spans="1:29">
      <c r="A2444" t="s">
        <v>6502</v>
      </c>
      <c r="B2444" s="11" t="str">
        <f>IF(ISNUMBER(SEARCH(E2444,A2444)),A2444,IF(OR(E2444="",E2444=""),A2444,A2444&amp;" - "&amp;E2444))</f>
        <v>NICE 30/1 LC - Lemon Cookies</v>
      </c>
      <c r="C2444" t="s">
        <v>996</v>
      </c>
      <c r="D2444" t="s">
        <v>997</v>
      </c>
      <c r="E2444" s="79" t="s">
        <v>3656</v>
      </c>
      <c r="F2444" s="81" t="s">
        <v>86</v>
      </c>
      <c r="G2444" t="s">
        <v>4057</v>
      </c>
      <c r="H2444" t="s">
        <v>65</v>
      </c>
      <c r="K2444" t="s">
        <v>52</v>
      </c>
      <c r="L2444" t="s">
        <v>102</v>
      </c>
      <c r="M2444" t="s">
        <v>111</v>
      </c>
      <c r="N2444" t="s">
        <v>55</v>
      </c>
      <c r="O2444" t="s">
        <v>88</v>
      </c>
      <c r="P2444" t="s">
        <v>57</v>
      </c>
      <c r="Q2444" t="s">
        <v>58</v>
      </c>
      <c r="R2444" t="s">
        <v>59</v>
      </c>
      <c r="S2444" t="s">
        <v>62</v>
      </c>
      <c r="T2444" t="s">
        <v>91</v>
      </c>
      <c r="U2444" t="s">
        <v>147</v>
      </c>
      <c r="V2444" t="s">
        <v>107</v>
      </c>
      <c r="W2444" t="s">
        <v>93</v>
      </c>
      <c r="X2444" t="s">
        <v>77</v>
      </c>
      <c r="Y2444" t="s">
        <v>0</v>
      </c>
      <c r="Z2444" t="s">
        <v>64</v>
      </c>
      <c r="AA2444" t="s">
        <v>997</v>
      </c>
      <c r="AB2444" t="s">
        <v>0</v>
      </c>
      <c r="AC2444" t="s">
        <v>6503</v>
      </c>
    </row>
    <row r="2445" spans="1:29">
      <c r="A2445" t="s">
        <v>6504</v>
      </c>
      <c r="B2445" s="11" t="str">
        <f>IF(ISNUMBER(SEARCH(E2445,A2445)),A2445,IF(OR(E2445="",E2445=""),A2445,A2445&amp;" - "&amp;E2445))</f>
        <v>420 Compound 25/1 CA BBW - Bling Blaow</v>
      </c>
      <c r="C2445" t="s">
        <v>463</v>
      </c>
      <c r="D2445" t="s">
        <v>468</v>
      </c>
      <c r="E2445" s="9" t="s">
        <v>4658</v>
      </c>
      <c r="F2445" s="1" t="s">
        <v>177</v>
      </c>
      <c r="G2445" t="s">
        <v>26</v>
      </c>
      <c r="H2445" t="s">
        <v>65</v>
      </c>
      <c r="K2445" t="s">
        <v>52</v>
      </c>
      <c r="L2445" t="s">
        <v>53</v>
      </c>
      <c r="M2445" t="s">
        <v>111</v>
      </c>
      <c r="N2445" t="s">
        <v>54</v>
      </c>
      <c r="O2445" t="s">
        <v>72</v>
      </c>
      <c r="P2445" t="s">
        <v>73</v>
      </c>
      <c r="Q2445" t="s">
        <v>58</v>
      </c>
      <c r="R2445" t="s">
        <v>89</v>
      </c>
      <c r="S2445" t="s">
        <v>128</v>
      </c>
      <c r="T2445" t="s">
        <v>106</v>
      </c>
      <c r="U2445" t="s">
        <v>62</v>
      </c>
      <c r="V2445" t="s">
        <v>116</v>
      </c>
      <c r="W2445" t="s">
        <v>93</v>
      </c>
      <c r="X2445" t="s">
        <v>77</v>
      </c>
      <c r="Y2445" t="s">
        <v>0</v>
      </c>
      <c r="Z2445" t="s">
        <v>64</v>
      </c>
      <c r="AA2445" t="s">
        <v>468</v>
      </c>
      <c r="AB2445" t="s">
        <v>0</v>
      </c>
      <c r="AC2445" t="s">
        <v>6505</v>
      </c>
    </row>
    <row r="2446" spans="1:29">
      <c r="A2446" t="s">
        <v>6506</v>
      </c>
      <c r="B2446" s="11" t="str">
        <f>IF(ISNUMBER(SEARCH(E2446,A2446)),A2446,IF(OR(E2446="",E2446=""),A2446,A2446&amp;" - "&amp;E2446))</f>
        <v>Sumo MDLX 30/1 - MAC Deluxe</v>
      </c>
      <c r="C2446" t="s">
        <v>564</v>
      </c>
      <c r="D2446" t="s">
        <v>565</v>
      </c>
      <c r="E2446" s="79" t="s">
        <v>3362</v>
      </c>
      <c r="F2446" s="81" t="s">
        <v>177</v>
      </c>
      <c r="G2446" t="s">
        <v>4057</v>
      </c>
      <c r="H2446" t="s">
        <v>65</v>
      </c>
      <c r="K2446" t="s">
        <v>52</v>
      </c>
      <c r="L2446" t="s">
        <v>53</v>
      </c>
      <c r="M2446" t="s">
        <v>54</v>
      </c>
      <c r="N2446" t="s">
        <v>111</v>
      </c>
      <c r="O2446" t="s">
        <v>88</v>
      </c>
      <c r="P2446" t="s">
        <v>89</v>
      </c>
      <c r="Q2446" t="s">
        <v>75</v>
      </c>
      <c r="R2446" t="s">
        <v>57</v>
      </c>
      <c r="S2446" t="s">
        <v>90</v>
      </c>
      <c r="T2446" t="s">
        <v>106</v>
      </c>
      <c r="U2446" t="s">
        <v>62</v>
      </c>
      <c r="V2446" t="s">
        <v>116</v>
      </c>
      <c r="W2446" t="s">
        <v>107</v>
      </c>
      <c r="X2446" t="s">
        <v>173</v>
      </c>
      <c r="Y2446" t="s">
        <v>0</v>
      </c>
      <c r="Z2446" t="s">
        <v>64</v>
      </c>
      <c r="AA2446" t="s">
        <v>565</v>
      </c>
      <c r="AB2446" t="s">
        <v>0</v>
      </c>
      <c r="AC2446" t="s">
        <v>6507</v>
      </c>
    </row>
    <row r="2447" spans="1:29">
      <c r="A2447" t="s">
        <v>6508</v>
      </c>
      <c r="B2447" s="11" t="str">
        <f>IF(ISNUMBER(SEARCH(E2447,A2447)),A2447,IF(OR(E2447="",E2447=""),A2447,A2447&amp;" - "&amp;E2447))</f>
        <v>Cookies 25/1 RAM - Rainbow Amnesia</v>
      </c>
      <c r="C2447" t="s">
        <v>996</v>
      </c>
      <c r="D2447" t="s">
        <v>997</v>
      </c>
      <c r="E2447" s="79" t="s">
        <v>4450</v>
      </c>
      <c r="F2447" s="81" t="s">
        <v>144</v>
      </c>
      <c r="G2447" t="s">
        <v>26</v>
      </c>
      <c r="H2447" t="s">
        <v>65</v>
      </c>
      <c r="K2447" t="s">
        <v>52</v>
      </c>
      <c r="L2447" t="s">
        <v>102</v>
      </c>
      <c r="M2447" t="s">
        <v>54</v>
      </c>
      <c r="N2447" t="s">
        <v>88</v>
      </c>
      <c r="O2447" t="s">
        <v>72</v>
      </c>
      <c r="P2447" t="s">
        <v>74</v>
      </c>
      <c r="Q2447" t="s">
        <v>75</v>
      </c>
      <c r="R2447" t="s">
        <v>89</v>
      </c>
      <c r="S2447" t="s">
        <v>106</v>
      </c>
      <c r="T2447" t="s">
        <v>62</v>
      </c>
      <c r="U2447" t="s">
        <v>147</v>
      </c>
      <c r="V2447" t="s">
        <v>77</v>
      </c>
      <c r="W2447" t="s">
        <v>107</v>
      </c>
      <c r="X2447" t="s">
        <v>79</v>
      </c>
      <c r="Y2447" t="s">
        <v>0</v>
      </c>
      <c r="Z2447" t="s">
        <v>64</v>
      </c>
      <c r="AA2447" t="s">
        <v>997</v>
      </c>
      <c r="AB2447" t="s">
        <v>0</v>
      </c>
      <c r="AC2447" t="s">
        <v>6509</v>
      </c>
    </row>
    <row r="2448" spans="1:29">
      <c r="A2448" t="s">
        <v>6510</v>
      </c>
      <c r="B2448" s="11" t="str">
        <f>IF(ISNUMBER(SEARCH(E2448,A2448)),A2448,IF(OR(E2448="",E2448=""),A2448,A2448&amp;" - "&amp;E2448))</f>
        <v>NOC SE 19 Essence - Scoop of Chem x Early Orange</v>
      </c>
      <c r="C2448" t="s">
        <v>2841</v>
      </c>
      <c r="D2448" t="s">
        <v>2842</v>
      </c>
      <c r="E2448" s="79" t="s">
        <v>5591</v>
      </c>
      <c r="F2448" s="81" t="s">
        <v>177</v>
      </c>
      <c r="G2448" t="s">
        <v>8</v>
      </c>
      <c r="H2448" t="s">
        <v>65</v>
      </c>
      <c r="K2448" t="s">
        <v>52</v>
      </c>
      <c r="L2448" t="s">
        <v>3739</v>
      </c>
      <c r="M2448" t="s">
        <v>111</v>
      </c>
      <c r="N2448" t="s">
        <v>178</v>
      </c>
      <c r="O2448" t="s">
        <v>54</v>
      </c>
      <c r="P2448" t="s">
        <v>157</v>
      </c>
      <c r="Q2448" t="s">
        <v>104</v>
      </c>
      <c r="R2448" t="s">
        <v>75</v>
      </c>
      <c r="S2448" t="s">
        <v>90</v>
      </c>
      <c r="T2448" t="s">
        <v>128</v>
      </c>
      <c r="U2448" t="s">
        <v>179</v>
      </c>
      <c r="V2448" t="s">
        <v>93</v>
      </c>
      <c r="W2448" t="s">
        <v>107</v>
      </c>
      <c r="X2448" t="s">
        <v>711</v>
      </c>
      <c r="Y2448" t="s">
        <v>0</v>
      </c>
      <c r="Z2448" t="s">
        <v>64</v>
      </c>
      <c r="AA2448" t="s">
        <v>2842</v>
      </c>
      <c r="AB2448" t="s">
        <v>0</v>
      </c>
      <c r="AC2448" t="s">
        <v>6511</v>
      </c>
    </row>
    <row r="2449" spans="1:29">
      <c r="A2449" t="s">
        <v>6512</v>
      </c>
      <c r="B2449" s="11" t="str">
        <f>IF(ISNUMBER(SEARCH(E2449,A2449)),A2449,IF(OR(E2449="",E2449=""),A2449,A2449&amp;" - "&amp;E2449))</f>
        <v>enua 27/1 J31 Jokers #31 - Jokerz #31</v>
      </c>
      <c r="C2449" t="s">
        <v>650</v>
      </c>
      <c r="D2449" t="s">
        <v>653</v>
      </c>
      <c r="E2449" s="79" t="s">
        <v>4494</v>
      </c>
      <c r="F2449" s="81" t="s">
        <v>177</v>
      </c>
      <c r="G2449" t="s">
        <v>33</v>
      </c>
      <c r="H2449" t="s">
        <v>65</v>
      </c>
      <c r="K2449" t="s">
        <v>52</v>
      </c>
      <c r="L2449" t="s">
        <v>102</v>
      </c>
      <c r="M2449" t="s">
        <v>72</v>
      </c>
      <c r="N2449" t="s">
        <v>54</v>
      </c>
      <c r="O2449" t="s">
        <v>88</v>
      </c>
      <c r="P2449" t="s">
        <v>59</v>
      </c>
      <c r="Q2449" t="s">
        <v>74</v>
      </c>
      <c r="R2449" t="s">
        <v>73</v>
      </c>
      <c r="S2449" t="s">
        <v>106</v>
      </c>
      <c r="T2449" t="s">
        <v>62</v>
      </c>
      <c r="U2449" t="s">
        <v>123</v>
      </c>
      <c r="V2449" t="s">
        <v>116</v>
      </c>
      <c r="W2449" t="s">
        <v>107</v>
      </c>
      <c r="X2449" t="s">
        <v>77</v>
      </c>
      <c r="Y2449" t="s">
        <v>0</v>
      </c>
      <c r="Z2449" t="s">
        <v>64</v>
      </c>
      <c r="AA2449" t="s">
        <v>653</v>
      </c>
      <c r="AB2449" t="s">
        <v>0</v>
      </c>
      <c r="AC2449" t="s">
        <v>6513</v>
      </c>
    </row>
    <row r="2450" spans="1:29">
      <c r="A2450" t="s">
        <v>6514</v>
      </c>
      <c r="B2450" s="11" t="str">
        <f>IF(ISNUMBER(SEARCH(E2450,A2450)),A2450,IF(OR(E2450="",E2450=""),A2450,A2450&amp;" - "&amp;E2450))</f>
        <v>Demecan Sunset 19:01 - Maui Wowie</v>
      </c>
      <c r="C2450" t="s">
        <v>484</v>
      </c>
      <c r="D2450" t="s">
        <v>485</v>
      </c>
      <c r="E2450" s="79" t="s">
        <v>4311</v>
      </c>
      <c r="F2450" s="81" t="s">
        <v>144</v>
      </c>
      <c r="G2450" t="s">
        <v>4160</v>
      </c>
      <c r="H2450" t="s">
        <v>65</v>
      </c>
      <c r="K2450" t="s">
        <v>52</v>
      </c>
      <c r="L2450" t="s">
        <v>965</v>
      </c>
      <c r="M2450" t="s">
        <v>55</v>
      </c>
      <c r="N2450" t="s">
        <v>88</v>
      </c>
      <c r="O2450" t="s">
        <v>54</v>
      </c>
      <c r="P2450" t="s">
        <v>75</v>
      </c>
      <c r="Q2450" t="s">
        <v>58</v>
      </c>
      <c r="R2450" t="s">
        <v>74</v>
      </c>
      <c r="S2450" t="s">
        <v>106</v>
      </c>
      <c r="T2450" t="s">
        <v>62</v>
      </c>
      <c r="U2450" t="s">
        <v>164</v>
      </c>
      <c r="V2450" t="s">
        <v>77</v>
      </c>
      <c r="W2450" t="s">
        <v>79</v>
      </c>
      <c r="X2450" t="s">
        <v>93</v>
      </c>
      <c r="Y2450" t="s">
        <v>0</v>
      </c>
      <c r="Z2450" t="s">
        <v>64</v>
      </c>
      <c r="AA2450" t="s">
        <v>485</v>
      </c>
      <c r="AB2450" t="s">
        <v>0</v>
      </c>
      <c r="AC2450" t="s">
        <v>6515</v>
      </c>
    </row>
    <row r="2451" spans="1:29">
      <c r="A2451" t="s">
        <v>6516</v>
      </c>
      <c r="B2451" s="11" t="str">
        <f>IF(ISNUMBER(SEARCH(E2451,A2451)),A2451,IF(OR(E2451="",E2451=""),A2451,A2451&amp;" - "&amp;E2451))</f>
        <v>Demecan Lean Drop 22:1 - Black Marker</v>
      </c>
      <c r="C2451" t="s">
        <v>484</v>
      </c>
      <c r="D2451" t="s">
        <v>485</v>
      </c>
      <c r="E2451" s="79" t="s">
        <v>4177</v>
      </c>
      <c r="F2451" s="81" t="s">
        <v>177</v>
      </c>
      <c r="G2451" t="s">
        <v>4126</v>
      </c>
      <c r="H2451" t="s">
        <v>65</v>
      </c>
      <c r="K2451" t="s">
        <v>52</v>
      </c>
      <c r="L2451" t="s">
        <v>53</v>
      </c>
      <c r="M2451" t="s">
        <v>178</v>
      </c>
      <c r="N2451" t="s">
        <v>72</v>
      </c>
      <c r="O2451" t="s">
        <v>54</v>
      </c>
      <c r="P2451" t="s">
        <v>57</v>
      </c>
      <c r="Q2451" t="s">
        <v>75</v>
      </c>
      <c r="R2451" t="s">
        <v>73</v>
      </c>
      <c r="S2451" t="s">
        <v>106</v>
      </c>
      <c r="T2451" t="s">
        <v>62</v>
      </c>
      <c r="U2451" t="s">
        <v>123</v>
      </c>
      <c r="V2451" t="s">
        <v>93</v>
      </c>
      <c r="W2451" t="s">
        <v>79</v>
      </c>
      <c r="X2451" t="s">
        <v>116</v>
      </c>
      <c r="Y2451" t="s">
        <v>0</v>
      </c>
      <c r="Z2451" t="s">
        <v>64</v>
      </c>
      <c r="AA2451" t="s">
        <v>485</v>
      </c>
      <c r="AB2451" t="s">
        <v>0</v>
      </c>
      <c r="AC2451" t="s">
        <v>6517</v>
      </c>
    </row>
    <row r="2452" spans="1:29">
      <c r="A2452" t="s">
        <v>6518</v>
      </c>
      <c r="B2452" s="11" t="str">
        <f>IF(ISNUMBER(SEARCH(E2452,A2452)),A2452,IF(OR(E2452="",E2452=""),A2452,A2452&amp;" - "&amp;E2452))</f>
        <v>All Nations AKM 21/1 - Alien Kush Mintz</v>
      </c>
      <c r="C2452" t="s">
        <v>564</v>
      </c>
      <c r="D2452" t="s">
        <v>565</v>
      </c>
      <c r="E2452" s="9" t="s">
        <v>4023</v>
      </c>
      <c r="F2452" s="1" t="s">
        <v>177</v>
      </c>
      <c r="G2452" t="s">
        <v>452</v>
      </c>
      <c r="H2452" t="s">
        <v>65</v>
      </c>
      <c r="K2452" t="s">
        <v>52</v>
      </c>
      <c r="L2452" t="s">
        <v>53</v>
      </c>
      <c r="M2452" t="s">
        <v>54</v>
      </c>
      <c r="N2452" t="s">
        <v>71</v>
      </c>
      <c r="O2452" t="s">
        <v>72</v>
      </c>
      <c r="P2452" t="s">
        <v>73</v>
      </c>
      <c r="Q2452" t="s">
        <v>59</v>
      </c>
      <c r="R2452" t="s">
        <v>112</v>
      </c>
      <c r="S2452" t="s">
        <v>90</v>
      </c>
      <c r="T2452" t="s">
        <v>106</v>
      </c>
      <c r="U2452" t="s">
        <v>105</v>
      </c>
      <c r="V2452" t="s">
        <v>180</v>
      </c>
      <c r="W2452" t="s">
        <v>173</v>
      </c>
      <c r="X2452" t="s">
        <v>77</v>
      </c>
      <c r="Y2452" t="s">
        <v>0</v>
      </c>
      <c r="Z2452" t="s">
        <v>64</v>
      </c>
      <c r="AA2452" t="s">
        <v>565</v>
      </c>
      <c r="AB2452" t="s">
        <v>1232</v>
      </c>
      <c r="AC2452" t="s">
        <v>6519</v>
      </c>
    </row>
    <row r="2453" spans="1:29">
      <c r="A2453" t="s">
        <v>6520</v>
      </c>
      <c r="B2453" s="11" t="str">
        <f>IF(ISNUMBER(SEARCH(E2453,A2453)),A2453,IF(OR(E2453="",E2453=""),A2453,A2453&amp;" - "&amp;E2453))</f>
        <v>Big Dreams 21/1 PSF DOB - Donny Burger</v>
      </c>
      <c r="C2453" t="s">
        <v>83</v>
      </c>
      <c r="D2453" t="s">
        <v>95</v>
      </c>
      <c r="E2453" s="9" t="s">
        <v>4120</v>
      </c>
      <c r="F2453" s="1" t="s">
        <v>120</v>
      </c>
      <c r="G2453" t="s">
        <v>452</v>
      </c>
      <c r="H2453" t="s">
        <v>65</v>
      </c>
      <c r="K2453" t="s">
        <v>52</v>
      </c>
      <c r="L2453" t="s">
        <v>102</v>
      </c>
      <c r="M2453" t="s">
        <v>72</v>
      </c>
      <c r="N2453" t="s">
        <v>178</v>
      </c>
      <c r="O2453" t="s">
        <v>54</v>
      </c>
      <c r="P2453" t="s">
        <v>186</v>
      </c>
      <c r="Q2453" t="s">
        <v>59</v>
      </c>
      <c r="R2453" t="s">
        <v>0</v>
      </c>
      <c r="S2453" t="s">
        <v>106</v>
      </c>
      <c r="T2453" t="s">
        <v>62</v>
      </c>
      <c r="U2453" t="s">
        <v>147</v>
      </c>
      <c r="V2453" t="s">
        <v>79</v>
      </c>
      <c r="W2453" t="s">
        <v>173</v>
      </c>
      <c r="X2453" t="s">
        <v>77</v>
      </c>
      <c r="Y2453" t="s">
        <v>0</v>
      </c>
      <c r="Z2453" t="s">
        <v>64</v>
      </c>
      <c r="AA2453" t="s">
        <v>95</v>
      </c>
      <c r="AB2453" t="s">
        <v>0</v>
      </c>
      <c r="AC2453" t="s">
        <v>6521</v>
      </c>
    </row>
    <row r="2454" spans="1:29">
      <c r="A2454" t="s">
        <v>228</v>
      </c>
      <c r="B2454" s="11" t="str">
        <f>IF(ISNUMBER(SEARCH(E2454,A2454)),A2454,IF(OR(E2454="",E2454=""),A2454,A2454&amp;" - "&amp;E2454))</f>
        <v>Tilray THC15 Spotlight Porto - Ocean Grown Cookies</v>
      </c>
      <c r="C2454" t="s">
        <v>133</v>
      </c>
      <c r="D2454" t="s">
        <v>134</v>
      </c>
      <c r="E2454" s="79" t="s">
        <v>1696</v>
      </c>
      <c r="F2454" s="81" t="s">
        <v>177</v>
      </c>
      <c r="G2454" t="s">
        <v>20</v>
      </c>
      <c r="H2454" t="s">
        <v>65</v>
      </c>
      <c r="K2454" t="s">
        <v>52</v>
      </c>
      <c r="L2454" t="s">
        <v>102</v>
      </c>
      <c r="M2454" t="s">
        <v>54</v>
      </c>
      <c r="N2454" t="s">
        <v>178</v>
      </c>
      <c r="O2454" t="s">
        <v>88</v>
      </c>
      <c r="P2454" t="s">
        <v>59</v>
      </c>
      <c r="Q2454" t="s">
        <v>75</v>
      </c>
      <c r="R2454" t="s">
        <v>89</v>
      </c>
      <c r="S2454" t="s">
        <v>106</v>
      </c>
      <c r="T2454" t="s">
        <v>62</v>
      </c>
      <c r="U2454" t="s">
        <v>123</v>
      </c>
      <c r="V2454" t="s">
        <v>116</v>
      </c>
      <c r="W2454" t="s">
        <v>93</v>
      </c>
      <c r="X2454" t="s">
        <v>107</v>
      </c>
      <c r="Y2454" t="s">
        <v>0</v>
      </c>
      <c r="Z2454" t="s">
        <v>64</v>
      </c>
      <c r="AA2454" t="s">
        <v>134</v>
      </c>
      <c r="AB2454" t="s">
        <v>0</v>
      </c>
      <c r="AC2454" t="s">
        <v>6522</v>
      </c>
    </row>
    <row r="2455" spans="1:29">
      <c r="A2455" t="s">
        <v>6523</v>
      </c>
      <c r="B2455" s="11" t="str">
        <f>IF(ISNUMBER(SEARCH(E2455,A2455)),A2455,IF(OR(E2455="",E2455=""),A2455,A2455&amp;" - "&amp;E2455))</f>
        <v>IMC Cannabisblüten AT THC25 - Apple Tartz</v>
      </c>
      <c r="C2455" t="s">
        <v>646</v>
      </c>
      <c r="D2455" t="s">
        <v>646</v>
      </c>
      <c r="E2455" t="s">
        <v>6524</v>
      </c>
      <c r="F2455" t="s">
        <v>86</v>
      </c>
      <c r="G2455" t="s">
        <v>26</v>
      </c>
      <c r="H2455" t="s">
        <v>65</v>
      </c>
      <c r="I2455" t="s">
        <v>0</v>
      </c>
      <c r="J2455" t="s">
        <v>0</v>
      </c>
      <c r="K2455" t="s">
        <v>52</v>
      </c>
      <c r="M2455" t="s">
        <v>103</v>
      </c>
      <c r="N2455" t="s">
        <v>72</v>
      </c>
      <c r="O2455" t="s">
        <v>0</v>
      </c>
      <c r="P2455" t="s">
        <v>57</v>
      </c>
      <c r="Q2455" t="s">
        <v>157</v>
      </c>
      <c r="R2455" t="s">
        <v>73</v>
      </c>
      <c r="S2455" t="s">
        <v>106</v>
      </c>
      <c r="T2455" t="s">
        <v>62</v>
      </c>
      <c r="U2455" t="s">
        <v>147</v>
      </c>
      <c r="V2455" t="s">
        <v>107</v>
      </c>
      <c r="W2455" t="s">
        <v>292</v>
      </c>
      <c r="X2455" t="s">
        <v>93</v>
      </c>
      <c r="Y2455" t="s">
        <v>0</v>
      </c>
      <c r="Z2455" t="s">
        <v>64</v>
      </c>
      <c r="AA2455" t="s">
        <v>646</v>
      </c>
      <c r="AB2455" t="s">
        <v>0</v>
      </c>
      <c r="AC2455" t="s">
        <v>6525</v>
      </c>
    </row>
    <row r="2456" spans="1:29">
      <c r="A2456" t="s">
        <v>6526</v>
      </c>
      <c r="B2456" s="11" t="str">
        <f>IF(ISNUMBER(SEARCH(E2456,A2456)),A2456,IF(OR(E2456="",E2456=""),A2456,A2456&amp;" - "&amp;E2456))</f>
        <v>IMC Cannabisblüten BCP1 THC25 - Grape Dosi</v>
      </c>
      <c r="C2456" t="s">
        <v>646</v>
      </c>
      <c r="D2456" t="s">
        <v>646</v>
      </c>
      <c r="E2456" s="79" t="s">
        <v>6527</v>
      </c>
      <c r="F2456" s="81" t="s">
        <v>86</v>
      </c>
      <c r="G2456" s="83" t="s">
        <v>26</v>
      </c>
      <c r="H2456" s="95" t="s">
        <v>65</v>
      </c>
      <c r="I2456" t="s">
        <v>0</v>
      </c>
      <c r="J2456" t="s">
        <v>0</v>
      </c>
      <c r="K2456" t="s">
        <v>52</v>
      </c>
      <c r="M2456" t="s">
        <v>121</v>
      </c>
      <c r="N2456" t="s">
        <v>72</v>
      </c>
      <c r="O2456" t="s">
        <v>111</v>
      </c>
      <c r="P2456" t="s">
        <v>59</v>
      </c>
      <c r="Q2456" t="s">
        <v>136</v>
      </c>
      <c r="R2456" t="s">
        <v>89</v>
      </c>
      <c r="S2456" t="s">
        <v>106</v>
      </c>
      <c r="T2456" t="s">
        <v>62</v>
      </c>
      <c r="U2456" t="s">
        <v>147</v>
      </c>
      <c r="V2456" t="s">
        <v>77</v>
      </c>
      <c r="W2456" t="s">
        <v>116</v>
      </c>
      <c r="X2456" t="s">
        <v>180</v>
      </c>
      <c r="Y2456" t="s">
        <v>1175</v>
      </c>
      <c r="Z2456" t="s">
        <v>64</v>
      </c>
      <c r="AA2456" t="s">
        <v>646</v>
      </c>
      <c r="AB2456" t="s">
        <v>0</v>
      </c>
      <c r="AC2456" t="s">
        <v>6528</v>
      </c>
    </row>
    <row r="2457" spans="1:29">
      <c r="A2457" t="s">
        <v>6529</v>
      </c>
      <c r="B2457" s="11" t="str">
        <f>IF(ISNUMBER(SEARCH(E2457,A2457)),A2457,IF(OR(E2457="",E2457=""),A2457,A2457&amp;" - "&amp;E2457))</f>
        <v>MGF Cali X Gazzy 26/1</v>
      </c>
      <c r="C2457" t="s">
        <v>3108</v>
      </c>
      <c r="D2457" t="s">
        <v>3109</v>
      </c>
      <c r="E2457" s="79" t="s">
        <v>6530</v>
      </c>
      <c r="F2457" s="81" t="s">
        <v>86</v>
      </c>
      <c r="G2457" s="83" t="s">
        <v>4086</v>
      </c>
      <c r="H2457" s="95" t="s">
        <v>65</v>
      </c>
      <c r="I2457" t="s">
        <v>0</v>
      </c>
      <c r="J2457" t="s">
        <v>0</v>
      </c>
      <c r="K2457" t="s">
        <v>52</v>
      </c>
      <c r="M2457" t="s">
        <v>121</v>
      </c>
      <c r="N2457" t="s">
        <v>72</v>
      </c>
      <c r="O2457" t="s">
        <v>71</v>
      </c>
      <c r="P2457" t="s">
        <v>75</v>
      </c>
      <c r="Q2457" t="s">
        <v>104</v>
      </c>
      <c r="R2457" t="s">
        <v>59</v>
      </c>
      <c r="S2457" t="s">
        <v>0</v>
      </c>
      <c r="T2457" t="s">
        <v>0</v>
      </c>
      <c r="U2457" t="s">
        <v>0</v>
      </c>
      <c r="V2457" t="s">
        <v>77</v>
      </c>
      <c r="W2457" t="s">
        <v>116</v>
      </c>
      <c r="X2457" t="s">
        <v>79</v>
      </c>
      <c r="Y2457" t="s">
        <v>311</v>
      </c>
      <c r="Z2457" t="s">
        <v>64</v>
      </c>
      <c r="AA2457" t="s">
        <v>3109</v>
      </c>
      <c r="AB2457" t="s">
        <v>0</v>
      </c>
      <c r="AC2457" t="s">
        <v>6531</v>
      </c>
    </row>
    <row r="2458" spans="1:29">
      <c r="A2458" t="s">
        <v>6532</v>
      </c>
      <c r="B2458" s="11" t="str">
        <f>IF(ISNUMBER(SEARCH(E2458,A2458)),A2458,IF(OR(E2458="",E2458=""),A2458,A2458&amp;" - "&amp;E2458))</f>
        <v>Wellford Peak 28-1 CA PPM - Purple Moon</v>
      </c>
      <c r="C2458" t="s">
        <v>741</v>
      </c>
      <c r="D2458" t="s">
        <v>0</v>
      </c>
      <c r="E2458" s="79" t="s">
        <v>6533</v>
      </c>
      <c r="F2458" s="81" t="s">
        <v>177</v>
      </c>
      <c r="G2458" s="83" t="s">
        <v>4164</v>
      </c>
      <c r="H2458" s="95" t="s">
        <v>65</v>
      </c>
      <c r="I2458" t="s">
        <v>0</v>
      </c>
      <c r="J2458" t="s">
        <v>0</v>
      </c>
      <c r="K2458" t="s">
        <v>52</v>
      </c>
      <c r="L2458" t="s">
        <v>53</v>
      </c>
      <c r="M2458" t="s">
        <v>121</v>
      </c>
      <c r="N2458" t="s">
        <v>72</v>
      </c>
      <c r="O2458" t="s">
        <v>0</v>
      </c>
      <c r="P2458" t="s">
        <v>58</v>
      </c>
      <c r="Q2458" t="s">
        <v>74</v>
      </c>
      <c r="R2458" t="s">
        <v>104</v>
      </c>
      <c r="S2458" t="s">
        <v>61</v>
      </c>
      <c r="T2458" t="s">
        <v>62</v>
      </c>
      <c r="U2458" t="s">
        <v>158</v>
      </c>
      <c r="V2458" t="s">
        <v>79</v>
      </c>
      <c r="W2458" t="s">
        <v>107</v>
      </c>
      <c r="X2458" t="s">
        <v>93</v>
      </c>
      <c r="Y2458" t="s">
        <v>523</v>
      </c>
      <c r="Z2458" t="s">
        <v>64</v>
      </c>
      <c r="AA2458" t="s">
        <v>0</v>
      </c>
      <c r="AB2458" t="s">
        <v>0</v>
      </c>
      <c r="AC2458" t="s">
        <v>6534</v>
      </c>
    </row>
    <row r="2459" spans="1:29">
      <c r="A2459" t="s">
        <v>6535</v>
      </c>
      <c r="B2459" s="11" t="str">
        <f>IF(ISNUMBER(SEARCH(E2459,A2459)),A2459,IF(OR(E2459="",E2459=""),A2459,A2459&amp;" - "&amp;E2459))</f>
        <v>Enua 30/1 EJZ CA - El Jefe Zoap</v>
      </c>
      <c r="C2459" t="s">
        <v>650</v>
      </c>
      <c r="D2459" t="s">
        <v>0</v>
      </c>
      <c r="E2459" s="79" t="s">
        <v>6536</v>
      </c>
      <c r="F2459" s="81" t="s">
        <v>86</v>
      </c>
      <c r="G2459" s="83" t="s">
        <v>4164</v>
      </c>
      <c r="H2459" s="95" t="s">
        <v>65</v>
      </c>
      <c r="I2459" t="s">
        <v>0</v>
      </c>
      <c r="J2459" t="s">
        <v>0</v>
      </c>
      <c r="K2459" t="s">
        <v>52</v>
      </c>
      <c r="L2459" t="s">
        <v>102</v>
      </c>
      <c r="M2459" t="s">
        <v>121</v>
      </c>
      <c r="N2459" t="s">
        <v>72</v>
      </c>
      <c r="O2459" t="s">
        <v>88</v>
      </c>
      <c r="P2459" t="s">
        <v>73</v>
      </c>
      <c r="Q2459" t="s">
        <v>112</v>
      </c>
      <c r="R2459" t="s">
        <v>186</v>
      </c>
      <c r="S2459" t="s">
        <v>0</v>
      </c>
      <c r="T2459" t="s">
        <v>0</v>
      </c>
      <c r="U2459" t="s">
        <v>0</v>
      </c>
      <c r="V2459" t="s">
        <v>77</v>
      </c>
      <c r="W2459" t="s">
        <v>116</v>
      </c>
      <c r="X2459" t="s">
        <v>180</v>
      </c>
      <c r="Y2459" t="s">
        <v>3436</v>
      </c>
      <c r="Z2459" t="s">
        <v>64</v>
      </c>
      <c r="AA2459" t="s">
        <v>0</v>
      </c>
      <c r="AB2459" t="s">
        <v>0</v>
      </c>
      <c r="AC2459" t="s">
        <v>6537</v>
      </c>
    </row>
    <row r="2460" spans="1:29">
      <c r="A2460" t="s">
        <v>6538</v>
      </c>
      <c r="B2460" s="11" t="str">
        <f>IF(ISNUMBER(SEARCH(E2460,A2460)),A2460,IF(OR(E2460="",E2460=""),A2460,A2460&amp;" - "&amp;E2460))</f>
        <v>Luana Extrakt THC10:CBD10</v>
      </c>
      <c r="C2460" t="s">
        <v>48</v>
      </c>
      <c r="D2460" t="s">
        <v>49</v>
      </c>
      <c r="E2460" s="79" t="s">
        <v>0</v>
      </c>
      <c r="F2460" s="81"/>
      <c r="G2460" s="83" t="s">
        <v>0</v>
      </c>
      <c r="H2460" s="95" t="s">
        <v>0</v>
      </c>
      <c r="I2460" t="s">
        <v>12</v>
      </c>
      <c r="J2460" t="s">
        <v>12</v>
      </c>
      <c r="L2460" t="s">
        <v>145</v>
      </c>
      <c r="M2460" t="s">
        <v>0</v>
      </c>
      <c r="N2460" t="s">
        <v>0</v>
      </c>
      <c r="O2460" t="s">
        <v>0</v>
      </c>
      <c r="P2460" t="s">
        <v>0</v>
      </c>
      <c r="Q2460" t="s">
        <v>0</v>
      </c>
      <c r="R2460" t="s">
        <v>0</v>
      </c>
      <c r="S2460" t="s">
        <v>106</v>
      </c>
      <c r="T2460" t="s">
        <v>91</v>
      </c>
      <c r="U2460" t="s">
        <v>147</v>
      </c>
      <c r="V2460" t="s">
        <v>0</v>
      </c>
      <c r="W2460" t="s">
        <v>0</v>
      </c>
      <c r="X2460" t="s">
        <v>0</v>
      </c>
      <c r="Y2460" t="s">
        <v>0</v>
      </c>
      <c r="Z2460" t="s">
        <v>1915</v>
      </c>
      <c r="AA2460" t="s">
        <v>49</v>
      </c>
      <c r="AB2460" t="s">
        <v>0</v>
      </c>
      <c r="AC2460" t="s">
        <v>6539</v>
      </c>
    </row>
    <row r="2461" spans="1:29">
      <c r="A2461" t="s">
        <v>6540</v>
      </c>
      <c r="B2461" s="11" t="str">
        <f>IF(ISNUMBER(SEARCH(E2461,A2461)),A2461,IF(OR(E2461="",E2461=""),A2461,A2461&amp;" - "&amp;E2461))</f>
        <v>Luana Extrakt THC25:CBD1</v>
      </c>
      <c r="C2461" t="s">
        <v>48</v>
      </c>
      <c r="D2461" t="s">
        <v>49</v>
      </c>
      <c r="E2461" s="79" t="s">
        <v>0</v>
      </c>
      <c r="F2461" s="81"/>
      <c r="G2461" s="83" t="s">
        <v>0</v>
      </c>
      <c r="H2461" s="95" t="s">
        <v>0</v>
      </c>
      <c r="I2461" t="s">
        <v>26</v>
      </c>
      <c r="J2461" t="s">
        <v>65</v>
      </c>
      <c r="L2461" t="s">
        <v>145</v>
      </c>
      <c r="M2461" t="s">
        <v>0</v>
      </c>
      <c r="N2461" t="s">
        <v>0</v>
      </c>
      <c r="O2461" t="s">
        <v>0</v>
      </c>
      <c r="P2461" t="s">
        <v>0</v>
      </c>
      <c r="Q2461" t="s">
        <v>0</v>
      </c>
      <c r="R2461" t="s">
        <v>0</v>
      </c>
      <c r="S2461" t="s">
        <v>128</v>
      </c>
      <c r="T2461" t="s">
        <v>179</v>
      </c>
      <c r="U2461" t="s">
        <v>76</v>
      </c>
      <c r="V2461" t="s">
        <v>0</v>
      </c>
      <c r="W2461" t="s">
        <v>0</v>
      </c>
      <c r="X2461" t="s">
        <v>0</v>
      </c>
      <c r="Y2461" t="s">
        <v>2287</v>
      </c>
      <c r="Z2461" t="s">
        <v>1915</v>
      </c>
      <c r="AA2461" t="s">
        <v>49</v>
      </c>
      <c r="AB2461" t="s">
        <v>0</v>
      </c>
      <c r="AC2461" t="s">
        <v>6541</v>
      </c>
    </row>
    <row r="2462" spans="1:29">
      <c r="A2462" t="s">
        <v>6542</v>
      </c>
      <c r="B2462" s="11" t="str">
        <f>IF(ISNUMBER(SEARCH(E2462,A2462)),A2462,IF(OR(E2462="",E2462=""),A2462,A2462&amp;" - "&amp;E2462))</f>
        <v>Luana Extrakt THC50:CBD50</v>
      </c>
      <c r="C2462" t="s">
        <v>48</v>
      </c>
      <c r="D2462" t="s">
        <v>49</v>
      </c>
      <c r="E2462" s="79" t="s">
        <v>0</v>
      </c>
      <c r="F2462" s="81"/>
      <c r="G2462" s="83" t="s">
        <v>0</v>
      </c>
      <c r="H2462" s="95" t="s">
        <v>0</v>
      </c>
      <c r="I2462" t="s">
        <v>45</v>
      </c>
      <c r="J2462" t="s">
        <v>45</v>
      </c>
      <c r="L2462" t="s">
        <v>145</v>
      </c>
      <c r="M2462" t="s">
        <v>0</v>
      </c>
      <c r="N2462" t="s">
        <v>0</v>
      </c>
      <c r="O2462" t="s">
        <v>0</v>
      </c>
      <c r="P2462" t="s">
        <v>0</v>
      </c>
      <c r="Q2462" t="s">
        <v>0</v>
      </c>
      <c r="R2462" t="s">
        <v>0</v>
      </c>
      <c r="S2462" t="s">
        <v>106</v>
      </c>
      <c r="T2462" t="s">
        <v>179</v>
      </c>
      <c r="U2462" t="s">
        <v>76</v>
      </c>
      <c r="V2462" t="s">
        <v>0</v>
      </c>
      <c r="W2462" t="s">
        <v>0</v>
      </c>
      <c r="X2462" t="s">
        <v>0</v>
      </c>
      <c r="Y2462" t="s">
        <v>6543</v>
      </c>
      <c r="Z2462" t="s">
        <v>1915</v>
      </c>
      <c r="AA2462" t="s">
        <v>49</v>
      </c>
      <c r="AB2462" t="s">
        <v>0</v>
      </c>
      <c r="AC2462" t="s">
        <v>6544</v>
      </c>
    </row>
    <row r="2463" spans="1:29">
      <c r="A2463" t="s">
        <v>6545</v>
      </c>
      <c r="B2463" s="11" t="str">
        <f>IF(ISNUMBER(SEARCH(E2463,A2463)),A2463,IF(OR(E2463="",E2463=""),A2463,A2463&amp;" - "&amp;E2463))</f>
        <v>Demecan 20:20 Oktonia (Cannabisextrakt) Typ 2</v>
      </c>
      <c r="C2463" t="s">
        <v>484</v>
      </c>
      <c r="D2463" t="s">
        <v>485</v>
      </c>
      <c r="E2463" s="79" t="s">
        <v>0</v>
      </c>
      <c r="F2463" s="81" t="s">
        <v>120</v>
      </c>
      <c r="G2463" s="83" t="s">
        <v>0</v>
      </c>
      <c r="H2463" s="95" t="s">
        <v>0</v>
      </c>
      <c r="I2463" t="s">
        <v>460</v>
      </c>
      <c r="J2463" t="s">
        <v>460</v>
      </c>
      <c r="K2463" t="s">
        <v>6026</v>
      </c>
      <c r="L2463" t="s">
        <v>70</v>
      </c>
      <c r="M2463" t="s">
        <v>88</v>
      </c>
      <c r="N2463" t="s">
        <v>111</v>
      </c>
      <c r="O2463" t="s">
        <v>54</v>
      </c>
      <c r="P2463" t="s">
        <v>0</v>
      </c>
      <c r="Q2463" t="s">
        <v>0</v>
      </c>
      <c r="R2463" t="s">
        <v>0</v>
      </c>
      <c r="S2463" t="s">
        <v>106</v>
      </c>
      <c r="T2463" t="s">
        <v>76</v>
      </c>
      <c r="U2463" t="s">
        <v>234</v>
      </c>
      <c r="V2463" t="s">
        <v>116</v>
      </c>
      <c r="W2463" t="s">
        <v>173</v>
      </c>
      <c r="X2463" t="s">
        <v>77</v>
      </c>
      <c r="Y2463" t="s">
        <v>0</v>
      </c>
      <c r="Z2463" t="s">
        <v>1915</v>
      </c>
      <c r="AA2463" t="s">
        <v>485</v>
      </c>
      <c r="AB2463" t="s">
        <v>0</v>
      </c>
      <c r="AC2463" t="s">
        <v>6546</v>
      </c>
    </row>
    <row r="2464" spans="1:29">
      <c r="A2464" s="93" t="s">
        <v>6547</v>
      </c>
      <c r="B2464" s="11" t="str">
        <f>IF(ISNUMBER(SEARCH(E2464,A2464)),A2464,IF(OR(E2464="",E2464=""),A2464,A2464&amp;" - "&amp;E2464))</f>
        <v>CNBS SPZ 31/1 - Spritzer</v>
      </c>
      <c r="C2464" s="14" t="s">
        <v>822</v>
      </c>
      <c r="D2464" s="92" t="s">
        <v>826</v>
      </c>
      <c r="E2464" s="78" t="s">
        <v>944</v>
      </c>
      <c r="F2464" s="80" t="s">
        <v>86</v>
      </c>
      <c r="G2464" s="82" t="s">
        <v>4488</v>
      </c>
      <c r="H2464" s="82">
        <v>1</v>
      </c>
      <c r="I2464" s="92" t="s">
        <v>0</v>
      </c>
      <c r="J2464" s="92" t="s">
        <v>0</v>
      </c>
      <c r="K2464" s="92" t="s">
        <v>52</v>
      </c>
      <c r="L2464" s="92" t="s">
        <v>53</v>
      </c>
      <c r="M2464" s="92" t="s">
        <v>88</v>
      </c>
      <c r="N2464" s="92" t="s">
        <v>71</v>
      </c>
      <c r="O2464" s="92" t="s">
        <v>111</v>
      </c>
      <c r="P2464" s="92" t="s">
        <v>59</v>
      </c>
      <c r="Q2464" s="92" t="s">
        <v>89</v>
      </c>
      <c r="R2464" s="92" t="s">
        <v>75</v>
      </c>
      <c r="S2464" s="92" t="s">
        <v>106</v>
      </c>
      <c r="T2464" s="92" t="s">
        <v>123</v>
      </c>
      <c r="U2464" s="92" t="s">
        <v>147</v>
      </c>
      <c r="V2464" s="92" t="s">
        <v>173</v>
      </c>
      <c r="W2464" s="92" t="s">
        <v>79</v>
      </c>
      <c r="X2464" s="92" t="s">
        <v>77</v>
      </c>
      <c r="Y2464" s="92" t="s">
        <v>555</v>
      </c>
      <c r="Z2464" s="92" t="s">
        <v>64</v>
      </c>
      <c r="AA2464" s="92" t="s">
        <v>826</v>
      </c>
      <c r="AB2464" s="92" t="s">
        <v>0</v>
      </c>
      <c r="AC2464" s="92" t="s">
        <v>6548</v>
      </c>
    </row>
    <row r="2465" spans="1:29">
      <c r="A2465" s="30" t="s">
        <v>6549</v>
      </c>
      <c r="B2465" s="11" t="s">
        <v>6550</v>
      </c>
      <c r="C2465" s="84" t="s">
        <v>99</v>
      </c>
      <c r="D2465" s="30" t="s">
        <v>100</v>
      </c>
      <c r="E2465" s="30" t="s">
        <v>2620</v>
      </c>
      <c r="F2465" s="30" t="s">
        <v>86</v>
      </c>
      <c r="G2465" s="30" t="s">
        <v>20</v>
      </c>
      <c r="H2465" s="30" t="s">
        <v>65</v>
      </c>
      <c r="I2465" s="30" t="s">
        <v>0</v>
      </c>
      <c r="J2465" s="30" t="s">
        <v>0</v>
      </c>
      <c r="K2465" s="30" t="s">
        <v>52</v>
      </c>
      <c r="L2465" s="30" t="s">
        <v>630</v>
      </c>
      <c r="M2465" s="30" t="s">
        <v>72</v>
      </c>
      <c r="N2465" s="30" t="s">
        <v>0</v>
      </c>
      <c r="O2465" s="30" t="s">
        <v>0</v>
      </c>
      <c r="P2465" s="30" t="s">
        <v>58</v>
      </c>
      <c r="Q2465" s="30" t="s">
        <v>59</v>
      </c>
      <c r="R2465" s="30" t="s">
        <v>74</v>
      </c>
      <c r="S2465" s="30" t="s">
        <v>106</v>
      </c>
      <c r="T2465" s="30" t="s">
        <v>179</v>
      </c>
      <c r="U2465" s="30" t="s">
        <v>76</v>
      </c>
      <c r="V2465" s="30" t="s">
        <v>116</v>
      </c>
      <c r="W2465" s="30" t="s">
        <v>107</v>
      </c>
      <c r="X2465" s="30" t="s">
        <v>173</v>
      </c>
      <c r="Y2465" s="30" t="s">
        <v>358</v>
      </c>
      <c r="Z2465" s="30" t="s">
        <v>64</v>
      </c>
      <c r="AA2465" s="30" t="s">
        <v>100</v>
      </c>
      <c r="AB2465" s="30" t="s">
        <v>0</v>
      </c>
      <c r="AC2465" s="30" t="s">
        <v>6551</v>
      </c>
    </row>
    <row r="2466" spans="1:29">
      <c r="B2466" s="76" t="s">
        <v>6552</v>
      </c>
      <c r="C2466" s="84"/>
      <c r="E2466" s="79"/>
      <c r="F2466" s="81"/>
      <c r="G2466" s="83"/>
      <c r="H2466" s="95"/>
    </row>
    <row r="2467" spans="1:29">
      <c r="A2467" t="s">
        <v>6553</v>
      </c>
      <c r="B2467" s="11" t="str">
        <f>IF(ISNUMBER(SEARCH(E2467,A2467)),A2467,IF(OR(E2467="",E2467=""),A2467,A2467&amp;" - "&amp;E2467))</f>
        <v>THC AKUT FB 28 KM - Kush Mintz</v>
      </c>
      <c r="C2467" s="13" t="s">
        <v>4625</v>
      </c>
      <c r="D2467" t="s">
        <v>160</v>
      </c>
      <c r="E2467" t="s">
        <v>5100</v>
      </c>
      <c r="F2467" t="s">
        <v>86</v>
      </c>
      <c r="G2467" t="s">
        <v>4164</v>
      </c>
      <c r="H2467" t="s">
        <v>65</v>
      </c>
      <c r="I2467" t="s">
        <v>0</v>
      </c>
      <c r="J2467" t="s">
        <v>0</v>
      </c>
      <c r="K2467" t="s">
        <v>52</v>
      </c>
      <c r="L2467" t="s">
        <v>497</v>
      </c>
      <c r="M2467" t="s">
        <v>55</v>
      </c>
      <c r="N2467" t="s">
        <v>88</v>
      </c>
      <c r="O2467" t="s">
        <v>72</v>
      </c>
      <c r="P2467" t="s">
        <v>146</v>
      </c>
      <c r="Q2467" t="s">
        <v>591</v>
      </c>
      <c r="R2467" t="s">
        <v>74</v>
      </c>
      <c r="S2467" t="s">
        <v>61</v>
      </c>
      <c r="T2467" t="s">
        <v>62</v>
      </c>
      <c r="U2467" t="s">
        <v>123</v>
      </c>
      <c r="V2467" t="s">
        <v>92</v>
      </c>
      <c r="W2467" t="s">
        <v>116</v>
      </c>
      <c r="X2467" t="s">
        <v>79</v>
      </c>
      <c r="Y2467" t="s">
        <v>6554</v>
      </c>
      <c r="Z2467" t="s">
        <v>64</v>
      </c>
      <c r="AA2467" t="s">
        <v>160</v>
      </c>
      <c r="AB2467" t="s">
        <v>0</v>
      </c>
      <c r="AC2467" t="s">
        <v>6555</v>
      </c>
    </row>
    <row r="2468" spans="1:29">
      <c r="A2468" t="s">
        <v>6556</v>
      </c>
      <c r="B2468" s="93" t="str">
        <f>IF(ISNUMBER(SEARCH(E2468,A2468)),A2468,IF(OR(E2468="",E2468=""),A2468,A2468&amp;" - "&amp;E2468))</f>
        <v>Cannamedical Indica Forte SM Sunset Serenity - Rainmaker</v>
      </c>
      <c r="C2468" t="s">
        <v>48</v>
      </c>
      <c r="D2468" t="s">
        <v>49</v>
      </c>
      <c r="E2468" t="s">
        <v>2770</v>
      </c>
      <c r="F2468" t="s">
        <v>177</v>
      </c>
      <c r="G2468" t="s">
        <v>26</v>
      </c>
      <c r="H2468" t="s">
        <v>65</v>
      </c>
      <c r="I2468" t="s">
        <v>0</v>
      </c>
      <c r="J2468" t="s">
        <v>0</v>
      </c>
      <c r="K2468" t="s">
        <v>17</v>
      </c>
      <c r="L2468" t="s">
        <v>87</v>
      </c>
      <c r="M2468" t="s">
        <v>72</v>
      </c>
      <c r="N2468" t="s">
        <v>71</v>
      </c>
      <c r="O2468" t="s">
        <v>0</v>
      </c>
      <c r="P2468" t="s">
        <v>89</v>
      </c>
      <c r="Q2468" t="s">
        <v>58</v>
      </c>
      <c r="R2468" t="s">
        <v>74</v>
      </c>
      <c r="S2468" t="s">
        <v>106</v>
      </c>
      <c r="T2468" t="s">
        <v>62</v>
      </c>
      <c r="U2468" t="s">
        <v>147</v>
      </c>
      <c r="V2468" t="s">
        <v>92</v>
      </c>
      <c r="W2468" t="s">
        <v>78</v>
      </c>
      <c r="X2468" t="s">
        <v>173</v>
      </c>
      <c r="Y2468" t="s">
        <v>0</v>
      </c>
      <c r="Z2468" t="s">
        <v>64</v>
      </c>
      <c r="AA2468" t="s">
        <v>49</v>
      </c>
      <c r="AB2468" t="s">
        <v>0</v>
      </c>
      <c r="AC2468" s="99" t="s">
        <v>6557</v>
      </c>
    </row>
    <row r="2469" spans="1:29">
      <c r="A2469" t="s">
        <v>6558</v>
      </c>
      <c r="B2469" s="11" t="str">
        <f>IF(ISNUMBER(SEARCH(E2469,A2469)),A2469,IF(OR(E2469="",E2469=""),A2469,A2469&amp;" - "&amp;E2469))</f>
        <v>avaay 36/1 SPC - Space Cake</v>
      </c>
      <c r="C2469" t="s">
        <v>4601</v>
      </c>
      <c r="D2469" t="s">
        <v>572</v>
      </c>
      <c r="E2469" t="s">
        <v>722</v>
      </c>
      <c r="F2469" t="s">
        <v>86</v>
      </c>
      <c r="G2469" t="s">
        <v>5365</v>
      </c>
      <c r="H2469" s="2">
        <v>1</v>
      </c>
      <c r="I2469" t="s">
        <v>0</v>
      </c>
      <c r="J2469" t="s">
        <v>0</v>
      </c>
      <c r="K2469" t="s">
        <v>52</v>
      </c>
      <c r="L2469" t="s">
        <v>53</v>
      </c>
      <c r="M2469" t="s">
        <v>54</v>
      </c>
      <c r="N2469" t="s">
        <v>212</v>
      </c>
      <c r="O2469" t="s">
        <v>55</v>
      </c>
      <c r="P2469" t="s">
        <v>59</v>
      </c>
      <c r="Q2469" t="s">
        <v>74</v>
      </c>
      <c r="R2469" t="s">
        <v>57</v>
      </c>
      <c r="S2469" t="s">
        <v>128</v>
      </c>
      <c r="T2469" t="s">
        <v>106</v>
      </c>
      <c r="U2469" t="s">
        <v>62</v>
      </c>
      <c r="V2469" t="s">
        <v>79</v>
      </c>
      <c r="W2469" t="s">
        <v>77</v>
      </c>
      <c r="X2469" t="s">
        <v>173</v>
      </c>
      <c r="Y2469" t="s">
        <v>0</v>
      </c>
      <c r="Z2469" t="s">
        <v>64</v>
      </c>
      <c r="AA2469" t="s">
        <v>572</v>
      </c>
      <c r="AB2469" t="s">
        <v>5088</v>
      </c>
      <c r="AC2469" t="s">
        <v>6559</v>
      </c>
    </row>
    <row r="2470" spans="1:29">
      <c r="A2470" t="s">
        <v>6560</v>
      </c>
      <c r="B2470" s="11" t="str">
        <f>IF(ISNUMBER(SEARCH(E2470,A2470)),A2470,IF(OR(E2470="",E2470=""),A2470,A2470&amp;" - "&amp;E2470))</f>
        <v>20/1 IUVO OC Afghani Bullrider</v>
      </c>
      <c r="D2470" t="s">
        <v>56</v>
      </c>
      <c r="E2470" t="s">
        <v>6561</v>
      </c>
      <c r="F2470" t="s">
        <v>120</v>
      </c>
      <c r="G2470" t="s">
        <v>460</v>
      </c>
      <c r="H2470" s="2" t="s">
        <v>65</v>
      </c>
      <c r="I2470" t="s">
        <v>0</v>
      </c>
      <c r="J2470" t="s">
        <v>0</v>
      </c>
      <c r="K2470" t="s">
        <v>52</v>
      </c>
      <c r="L2470" t="s">
        <v>53</v>
      </c>
      <c r="M2470" t="s">
        <v>121</v>
      </c>
      <c r="N2470" t="s">
        <v>72</v>
      </c>
      <c r="O2470" t="s">
        <v>88</v>
      </c>
      <c r="P2470" t="s">
        <v>146</v>
      </c>
      <c r="Q2470" t="s">
        <v>59</v>
      </c>
      <c r="R2470" t="s">
        <v>89</v>
      </c>
      <c r="S2470" t="s">
        <v>90</v>
      </c>
      <c r="T2470" t="s">
        <v>234</v>
      </c>
      <c r="U2470" t="s">
        <v>147</v>
      </c>
      <c r="V2470" t="s">
        <v>77</v>
      </c>
      <c r="W2470" t="s">
        <v>225</v>
      </c>
      <c r="X2470" t="s">
        <v>116</v>
      </c>
      <c r="Y2470" t="s">
        <v>0</v>
      </c>
      <c r="Z2470" t="s">
        <v>64</v>
      </c>
      <c r="AA2470" t="s">
        <v>5811</v>
      </c>
      <c r="AB2470" t="s">
        <v>0</v>
      </c>
      <c r="AC2470" t="s">
        <v>6562</v>
      </c>
    </row>
    <row r="2471" spans="1:29">
      <c r="A2471" t="s">
        <v>6563</v>
      </c>
      <c r="B2471" s="11" t="str">
        <f>IF(ISNUMBER(SEARCH(E2471,A2471)),A2471,IF(OR(E2471="",E2471=""),A2471,A2471&amp;" - "&amp;E2471))</f>
        <v>IMC FTY THC25 - Fruity Pebbles</v>
      </c>
      <c r="E2471" s="79" t="s">
        <v>6564</v>
      </c>
      <c r="F2471" s="81" t="s">
        <v>86</v>
      </c>
      <c r="G2471" s="83" t="s">
        <v>26</v>
      </c>
      <c r="H2471" s="83" t="s">
        <v>65</v>
      </c>
      <c r="I2471" t="s">
        <v>0</v>
      </c>
      <c r="J2471" t="s">
        <v>0</v>
      </c>
      <c r="K2471" t="s">
        <v>52</v>
      </c>
      <c r="L2471" t="s">
        <v>53</v>
      </c>
      <c r="M2471" t="s">
        <v>121</v>
      </c>
      <c r="N2471" t="s">
        <v>72</v>
      </c>
      <c r="O2471" t="s">
        <v>71</v>
      </c>
      <c r="P2471" t="s">
        <v>59</v>
      </c>
      <c r="Q2471" t="s">
        <v>58</v>
      </c>
      <c r="R2471" t="s">
        <v>74</v>
      </c>
      <c r="S2471" t="s">
        <v>90</v>
      </c>
      <c r="T2471" t="s">
        <v>147</v>
      </c>
      <c r="U2471" t="s">
        <v>192</v>
      </c>
      <c r="V2471" t="s">
        <v>77</v>
      </c>
      <c r="W2471" t="s">
        <v>116</v>
      </c>
      <c r="X2471" t="s">
        <v>180</v>
      </c>
      <c r="Y2471" t="s">
        <v>388</v>
      </c>
      <c r="Z2471" t="s">
        <v>64</v>
      </c>
      <c r="AA2471" t="s">
        <v>646</v>
      </c>
      <c r="AB2471" t="s">
        <v>0</v>
      </c>
      <c r="AC2471" t="s">
        <v>6565</v>
      </c>
    </row>
    <row r="2472" spans="1:29">
      <c r="A2472" t="s">
        <v>6566</v>
      </c>
      <c r="B2472" s="11" t="str">
        <f>IF(ISNUMBER(SEARCH(E2472,A2472)),A2472,IF(OR(E2472="",E2472=""),A2472,A2472&amp;" - "&amp;E2472))</f>
        <v>Remexian 30/1 TWE MAN - Minty Animal</v>
      </c>
      <c r="E2472" s="79" t="s">
        <v>6567</v>
      </c>
      <c r="F2472" s="81" t="s">
        <v>177</v>
      </c>
      <c r="G2472" s="83" t="s">
        <v>4057</v>
      </c>
      <c r="H2472" s="83" t="s">
        <v>65</v>
      </c>
      <c r="I2472" t="s">
        <v>0</v>
      </c>
      <c r="J2472" t="s">
        <v>0</v>
      </c>
      <c r="K2472" t="s">
        <v>52</v>
      </c>
      <c r="L2472" t="s">
        <v>102</v>
      </c>
      <c r="M2472" t="s">
        <v>103</v>
      </c>
      <c r="N2472" t="s">
        <v>121</v>
      </c>
      <c r="O2472" t="s">
        <v>72</v>
      </c>
      <c r="P2472" t="s">
        <v>59</v>
      </c>
      <c r="Q2472" t="s">
        <v>89</v>
      </c>
      <c r="R2472" t="s">
        <v>58</v>
      </c>
      <c r="S2472" t="s">
        <v>106</v>
      </c>
      <c r="T2472" t="s">
        <v>62</v>
      </c>
      <c r="U2472" t="s">
        <v>147</v>
      </c>
      <c r="V2472" t="s">
        <v>93</v>
      </c>
      <c r="W2472" t="s">
        <v>77</v>
      </c>
      <c r="X2472" t="s">
        <v>116</v>
      </c>
      <c r="Y2472" t="s">
        <v>4105</v>
      </c>
      <c r="Z2472" t="s">
        <v>64</v>
      </c>
      <c r="AA2472" t="s">
        <v>95</v>
      </c>
      <c r="AB2472" t="s">
        <v>0</v>
      </c>
      <c r="AC2472" t="s">
        <v>6568</v>
      </c>
    </row>
    <row r="2473" spans="1:29">
      <c r="A2473" t="s">
        <v>6569</v>
      </c>
      <c r="B2473" s="11" t="str">
        <f>IF(ISNUMBER(SEARCH(E2473,A2473)),A2473,IF(OR(E2473="",E2473=""),A2473,A2473&amp;" - "&amp;E2473))</f>
        <v>Remexian 33/1 MHI MYW - Mystic Wonder</v>
      </c>
      <c r="E2473" s="79" t="s">
        <v>3251</v>
      </c>
      <c r="F2473" s="81" t="s">
        <v>144</v>
      </c>
      <c r="G2473" s="83" t="s">
        <v>4169</v>
      </c>
      <c r="H2473" s="83">
        <v>1</v>
      </c>
      <c r="I2473" t="s">
        <v>0</v>
      </c>
      <c r="J2473" t="s">
        <v>0</v>
      </c>
      <c r="K2473" t="s">
        <v>52</v>
      </c>
      <c r="L2473" t="s">
        <v>102</v>
      </c>
      <c r="M2473" t="s">
        <v>121</v>
      </c>
      <c r="N2473" t="s">
        <v>72</v>
      </c>
      <c r="O2473" t="s">
        <v>0</v>
      </c>
      <c r="P2473" t="s">
        <v>59</v>
      </c>
      <c r="Q2473" t="s">
        <v>74</v>
      </c>
      <c r="R2473" t="s">
        <v>75</v>
      </c>
      <c r="S2473" t="s">
        <v>106</v>
      </c>
      <c r="T2473" t="s">
        <v>62</v>
      </c>
      <c r="U2473" t="s">
        <v>147</v>
      </c>
      <c r="V2473" t="s">
        <v>107</v>
      </c>
      <c r="W2473" t="s">
        <v>116</v>
      </c>
      <c r="X2473" t="s">
        <v>93</v>
      </c>
      <c r="Y2473" t="s">
        <v>314</v>
      </c>
      <c r="Z2473" t="s">
        <v>64</v>
      </c>
      <c r="AA2473" t="s">
        <v>95</v>
      </c>
      <c r="AB2473" t="s">
        <v>0</v>
      </c>
      <c r="AC2473" t="s">
        <v>6570</v>
      </c>
    </row>
    <row r="2474" spans="1:29">
      <c r="A2474" t="s">
        <v>6571</v>
      </c>
      <c r="B2474" s="11" t="str">
        <f>IF(ISNUMBER(SEARCH(E2474,A2474)),A2474,IF(OR(E2474="",E2474=""),A2474,A2474&amp;" - "&amp;E2474))</f>
        <v>Remexian 30/1 PGR MSH - Mint Smash</v>
      </c>
      <c r="E2474" s="79" t="s">
        <v>6572</v>
      </c>
      <c r="F2474" s="81" t="s">
        <v>120</v>
      </c>
      <c r="G2474" s="83" t="s">
        <v>4057</v>
      </c>
      <c r="H2474" s="83" t="s">
        <v>65</v>
      </c>
      <c r="I2474" t="s">
        <v>0</v>
      </c>
      <c r="J2474" t="s">
        <v>0</v>
      </c>
      <c r="K2474" t="s">
        <v>52</v>
      </c>
      <c r="L2474" t="s">
        <v>53</v>
      </c>
      <c r="M2474" t="s">
        <v>121</v>
      </c>
      <c r="N2474" t="s">
        <v>72</v>
      </c>
      <c r="O2474" t="s">
        <v>71</v>
      </c>
      <c r="P2474" t="s">
        <v>89</v>
      </c>
      <c r="Q2474" t="s">
        <v>58</v>
      </c>
      <c r="R2474" t="s">
        <v>75</v>
      </c>
      <c r="S2474" t="s">
        <v>128</v>
      </c>
      <c r="T2474" t="s">
        <v>62</v>
      </c>
      <c r="U2474" t="s">
        <v>123</v>
      </c>
      <c r="V2474" t="s">
        <v>116</v>
      </c>
      <c r="W2474" t="s">
        <v>180</v>
      </c>
      <c r="X2474" t="s">
        <v>79</v>
      </c>
      <c r="Y2474" t="s">
        <v>355</v>
      </c>
      <c r="Z2474" t="s">
        <v>64</v>
      </c>
      <c r="AA2474" t="s">
        <v>95</v>
      </c>
      <c r="AB2474" t="s">
        <v>0</v>
      </c>
      <c r="AC2474" t="s">
        <v>6573</v>
      </c>
    </row>
    <row r="2475" spans="1:29">
      <c r="A2475" t="s">
        <v>6574</v>
      </c>
      <c r="B2475" s="11" t="str">
        <f>IF(ISNUMBER(SEARCH(E2475,A2475)),A2475,IF(OR(E2475="",E2475=""),A2475,A2475&amp;" - "&amp;E2475))</f>
        <v>Remexian 27/1 PGR LHI - Lemon Hill</v>
      </c>
      <c r="E2475" s="79" t="s">
        <v>6575</v>
      </c>
      <c r="F2475" s="81" t="s">
        <v>177</v>
      </c>
      <c r="G2475" s="83" t="s">
        <v>33</v>
      </c>
      <c r="H2475" s="83" t="s">
        <v>65</v>
      </c>
      <c r="I2475" t="s">
        <v>0</v>
      </c>
      <c r="J2475" t="s">
        <v>0</v>
      </c>
      <c r="K2475" t="s">
        <v>52</v>
      </c>
      <c r="L2475" t="s">
        <v>53</v>
      </c>
      <c r="M2475" t="s">
        <v>121</v>
      </c>
      <c r="N2475" t="s">
        <v>72</v>
      </c>
      <c r="O2475" t="s">
        <v>111</v>
      </c>
      <c r="P2475" t="s">
        <v>75</v>
      </c>
      <c r="Q2475" t="s">
        <v>59</v>
      </c>
      <c r="R2475" t="s">
        <v>89</v>
      </c>
      <c r="S2475" t="s">
        <v>106</v>
      </c>
      <c r="T2475" t="s">
        <v>62</v>
      </c>
      <c r="U2475" t="s">
        <v>147</v>
      </c>
      <c r="V2475" t="s">
        <v>116</v>
      </c>
      <c r="W2475" t="s">
        <v>77</v>
      </c>
      <c r="X2475" t="s">
        <v>79</v>
      </c>
      <c r="Y2475" t="s">
        <v>358</v>
      </c>
      <c r="Z2475" t="s">
        <v>64</v>
      </c>
      <c r="AA2475" t="s">
        <v>95</v>
      </c>
      <c r="AB2475" t="s">
        <v>0</v>
      </c>
      <c r="AC2475" t="s">
        <v>6576</v>
      </c>
    </row>
    <row r="2476" spans="1:29">
      <c r="A2476" t="s">
        <v>6577</v>
      </c>
      <c r="B2476" s="11" t="str">
        <f>IF(ISNUMBER(SEARCH(E2476,A2476)),A2476,IF(OR(E2476="",E2476=""),A2476,A2476&amp;" - "&amp;E2476))</f>
        <v>Huala 25/1 CA GRF - Grape Face</v>
      </c>
      <c r="E2476" s="79" t="s">
        <v>3569</v>
      </c>
      <c r="F2476" s="81" t="s">
        <v>86</v>
      </c>
      <c r="G2476" s="83" t="s">
        <v>26</v>
      </c>
      <c r="H2476" s="83">
        <v>1</v>
      </c>
      <c r="I2476" t="s">
        <v>0</v>
      </c>
      <c r="J2476" t="s">
        <v>0</v>
      </c>
      <c r="K2476" t="s">
        <v>52</v>
      </c>
      <c r="L2476" t="s">
        <v>53</v>
      </c>
      <c r="M2476" t="s">
        <v>103</v>
      </c>
      <c r="N2476" t="s">
        <v>88</v>
      </c>
      <c r="O2476" t="s">
        <v>71</v>
      </c>
      <c r="P2476" t="s">
        <v>157</v>
      </c>
      <c r="Q2476" t="s">
        <v>146</v>
      </c>
      <c r="R2476" t="s">
        <v>58</v>
      </c>
      <c r="S2476" t="s">
        <v>128</v>
      </c>
      <c r="T2476" t="s">
        <v>106</v>
      </c>
      <c r="U2476" t="s">
        <v>62</v>
      </c>
      <c r="V2476" t="s">
        <v>93</v>
      </c>
      <c r="W2476" t="s">
        <v>107</v>
      </c>
      <c r="X2476" t="s">
        <v>77</v>
      </c>
      <c r="Y2476" t="s">
        <v>413</v>
      </c>
      <c r="Z2476" t="s">
        <v>64</v>
      </c>
      <c r="AA2476" t="s">
        <v>468</v>
      </c>
      <c r="AB2476" t="s">
        <v>0</v>
      </c>
      <c r="AC2476" t="s">
        <v>6578</v>
      </c>
    </row>
    <row r="2477" spans="1:29">
      <c r="A2477" t="s">
        <v>6579</v>
      </c>
      <c r="B2477" s="11" t="str">
        <f>IF(ISNUMBER(SEARCH(E2477,A2477)),A2477,IF(OR(E2477="",E2477=""),A2477,A2477&amp;" - "&amp;E2477))</f>
        <v>mediproCan Lunaris 23/1 - Legend OG</v>
      </c>
      <c r="E2477" s="79" t="s">
        <v>6580</v>
      </c>
      <c r="F2477" s="81" t="s">
        <v>120</v>
      </c>
      <c r="G2477" s="83" t="s">
        <v>436</v>
      </c>
      <c r="H2477" s="83" t="s">
        <v>65</v>
      </c>
      <c r="I2477" t="s">
        <v>0</v>
      </c>
      <c r="J2477" t="s">
        <v>0</v>
      </c>
      <c r="K2477" t="s">
        <v>52</v>
      </c>
      <c r="L2477" t="s">
        <v>102</v>
      </c>
      <c r="M2477" t="s">
        <v>121</v>
      </c>
      <c r="N2477" t="s">
        <v>72</v>
      </c>
      <c r="O2477" t="s">
        <v>88</v>
      </c>
      <c r="P2477" t="s">
        <v>59</v>
      </c>
      <c r="Q2477" t="s">
        <v>75</v>
      </c>
      <c r="R2477" t="s">
        <v>73</v>
      </c>
      <c r="S2477" t="s">
        <v>106</v>
      </c>
      <c r="T2477" t="s">
        <v>62</v>
      </c>
      <c r="U2477" t="s">
        <v>147</v>
      </c>
      <c r="V2477" t="s">
        <v>180</v>
      </c>
      <c r="W2477" t="s">
        <v>107</v>
      </c>
      <c r="X2477" t="s">
        <v>93</v>
      </c>
      <c r="Y2477" t="s">
        <v>5412</v>
      </c>
      <c r="Z2477" t="s">
        <v>64</v>
      </c>
      <c r="AA2477" t="s">
        <v>320</v>
      </c>
      <c r="AB2477" t="s">
        <v>0</v>
      </c>
      <c r="AC2477" t="s">
        <v>6581</v>
      </c>
    </row>
    <row r="2478" spans="1:29">
      <c r="A2478" t="s">
        <v>6582</v>
      </c>
      <c r="B2478" s="11" t="str">
        <f>IF(ISNUMBER(SEARCH(E2478,A2478)),A2478,IF(OR(E2478="",E2478=""),A2478,A2478&amp;" - "&amp;E2478))</f>
        <v>29/1 Amici AS - Atomic Sour Grapefruit</v>
      </c>
      <c r="E2478" s="9" t="s">
        <v>1029</v>
      </c>
      <c r="F2478" s="1" t="s">
        <v>120</v>
      </c>
      <c r="G2478" s="8" t="s">
        <v>443</v>
      </c>
      <c r="H2478" s="8" t="s">
        <v>65</v>
      </c>
      <c r="I2478" t="s">
        <v>0</v>
      </c>
      <c r="J2478" t="s">
        <v>0</v>
      </c>
      <c r="K2478" t="s">
        <v>52</v>
      </c>
      <c r="L2478" t="s">
        <v>53</v>
      </c>
      <c r="M2478" t="s">
        <v>72</v>
      </c>
      <c r="N2478" t="s">
        <v>71</v>
      </c>
      <c r="O2478" t="s">
        <v>88</v>
      </c>
      <c r="P2478" t="s">
        <v>74</v>
      </c>
      <c r="Q2478" t="s">
        <v>59</v>
      </c>
      <c r="R2478" t="s">
        <v>73</v>
      </c>
      <c r="S2478" t="s">
        <v>128</v>
      </c>
      <c r="T2478" t="s">
        <v>106</v>
      </c>
      <c r="U2478" t="s">
        <v>123</v>
      </c>
      <c r="V2478" t="s">
        <v>197</v>
      </c>
      <c r="W2478" t="s">
        <v>173</v>
      </c>
      <c r="X2478" t="s">
        <v>77</v>
      </c>
      <c r="Y2478" t="s">
        <v>338</v>
      </c>
      <c r="Z2478" t="s">
        <v>64</v>
      </c>
      <c r="AA2478" t="s">
        <v>997</v>
      </c>
      <c r="AB2478" t="s">
        <v>812</v>
      </c>
      <c r="AC2478" t="s">
        <v>6583</v>
      </c>
    </row>
    <row r="2479" spans="1:29">
      <c r="A2479" t="s">
        <v>6584</v>
      </c>
      <c r="B2479" s="11" t="str">
        <f>IF(ISNUMBER(SEARCH(E2479,A2479)),A2479,IF(OR(E2479="",E2479=""),A2479,A2479&amp;" - "&amp;E2479))</f>
        <v>420 Evolution 30/1 CA FRG - Frosted Gumbo</v>
      </c>
      <c r="C2479" t="s">
        <v>463</v>
      </c>
      <c r="D2479" t="s">
        <v>468</v>
      </c>
      <c r="E2479" s="9" t="s">
        <v>5406</v>
      </c>
      <c r="F2479" s="1" t="s">
        <v>177</v>
      </c>
      <c r="G2479" s="8" t="s">
        <v>4057</v>
      </c>
      <c r="H2479" s="8">
        <v>1</v>
      </c>
      <c r="I2479" t="s">
        <v>0</v>
      </c>
      <c r="J2479" t="s">
        <v>0</v>
      </c>
      <c r="K2479" t="s">
        <v>52</v>
      </c>
      <c r="L2479" t="s">
        <v>53</v>
      </c>
      <c r="M2479" t="s">
        <v>54</v>
      </c>
      <c r="N2479" t="s">
        <v>121</v>
      </c>
      <c r="O2479" t="s">
        <v>103</v>
      </c>
      <c r="P2479" t="s">
        <v>58</v>
      </c>
      <c r="Q2479" t="s">
        <v>57</v>
      </c>
      <c r="R2479" t="s">
        <v>89</v>
      </c>
      <c r="S2479" t="s">
        <v>106</v>
      </c>
      <c r="T2479" t="s">
        <v>62</v>
      </c>
      <c r="U2479" t="s">
        <v>147</v>
      </c>
      <c r="V2479" t="s">
        <v>77</v>
      </c>
      <c r="W2479" t="s">
        <v>116</v>
      </c>
      <c r="X2479" t="s">
        <v>93</v>
      </c>
      <c r="Y2479" t="s">
        <v>307</v>
      </c>
      <c r="Z2479" t="s">
        <v>64</v>
      </c>
      <c r="AA2479" t="s">
        <v>468</v>
      </c>
      <c r="AB2479" t="s">
        <v>0</v>
      </c>
      <c r="AC2479" t="s">
        <v>6585</v>
      </c>
    </row>
    <row r="2480" spans="1:29">
      <c r="A2480" t="s">
        <v>6586</v>
      </c>
      <c r="B2480" s="11" t="str">
        <f>IF(ISNUMBER(SEARCH(E2480,A2480)),A2480,IF(OR(E2480="",E2480=""),A2480,A2480&amp;" - "&amp;E2480))</f>
        <v>Peace Naturals 33/1 SL - Sonic Lemon Fuel</v>
      </c>
      <c r="C2480" t="s">
        <v>996</v>
      </c>
      <c r="D2480" t="s">
        <v>997</v>
      </c>
      <c r="E2480" s="79" t="s">
        <v>6440</v>
      </c>
      <c r="F2480" s="81" t="s">
        <v>69</v>
      </c>
      <c r="G2480" s="83" t="s">
        <v>4169</v>
      </c>
      <c r="H2480" s="83">
        <v>1</v>
      </c>
      <c r="I2480" t="s">
        <v>0</v>
      </c>
      <c r="J2480" t="s">
        <v>0</v>
      </c>
      <c r="K2480" t="s">
        <v>52</v>
      </c>
      <c r="L2480" t="s">
        <v>53</v>
      </c>
      <c r="M2480" t="s">
        <v>111</v>
      </c>
      <c r="N2480" t="s">
        <v>55</v>
      </c>
      <c r="O2480" t="s">
        <v>54</v>
      </c>
      <c r="P2480" t="s">
        <v>74</v>
      </c>
      <c r="Q2480" t="s">
        <v>157</v>
      </c>
      <c r="R2480" t="s">
        <v>59</v>
      </c>
      <c r="S2480" t="s">
        <v>106</v>
      </c>
      <c r="T2480" t="s">
        <v>62</v>
      </c>
      <c r="U2480" t="s">
        <v>493</v>
      </c>
      <c r="V2480" t="s">
        <v>165</v>
      </c>
      <c r="W2480" t="s">
        <v>79</v>
      </c>
      <c r="X2480" t="s">
        <v>0</v>
      </c>
      <c r="Y2480" t="s">
        <v>1687</v>
      </c>
      <c r="Z2480" t="s">
        <v>64</v>
      </c>
      <c r="AA2480" t="s">
        <v>997</v>
      </c>
      <c r="AB2480" t="s">
        <v>0</v>
      </c>
      <c r="AC2480" t="s">
        <v>6587</v>
      </c>
    </row>
    <row r="2481" spans="1:29">
      <c r="A2481" t="s">
        <v>6588</v>
      </c>
      <c r="B2481" s="11" t="str">
        <f>IF(ISNUMBER(SEARCH(E2481,A2481)),A2481,IF(OR(E2481="",E2481=""),A2481,A2481&amp;" - "&amp;E2481))</f>
        <v>ADREX 26 CKD CAN - Cookie Dough</v>
      </c>
      <c r="C2481" t="s">
        <v>911</v>
      </c>
      <c r="D2481" t="s">
        <v>912</v>
      </c>
      <c r="E2481" s="9" t="s">
        <v>5186</v>
      </c>
      <c r="F2481" s="1" t="s">
        <v>86</v>
      </c>
      <c r="G2481" s="8" t="s">
        <v>4086</v>
      </c>
      <c r="H2481" s="8">
        <v>1</v>
      </c>
      <c r="I2481" t="s">
        <v>0</v>
      </c>
      <c r="J2481" t="s">
        <v>0</v>
      </c>
      <c r="K2481" t="s">
        <v>52</v>
      </c>
      <c r="L2481" t="s">
        <v>53</v>
      </c>
      <c r="M2481" t="s">
        <v>88</v>
      </c>
      <c r="N2481" t="s">
        <v>54</v>
      </c>
      <c r="O2481" t="s">
        <v>72</v>
      </c>
      <c r="P2481" t="s">
        <v>104</v>
      </c>
      <c r="Q2481" t="s">
        <v>75</v>
      </c>
      <c r="R2481" t="s">
        <v>59</v>
      </c>
      <c r="S2481" t="s">
        <v>106</v>
      </c>
      <c r="T2481" t="s">
        <v>62</v>
      </c>
      <c r="U2481" t="s">
        <v>91</v>
      </c>
      <c r="V2481" t="s">
        <v>93</v>
      </c>
      <c r="W2481" t="s">
        <v>116</v>
      </c>
      <c r="X2481" t="s">
        <v>165</v>
      </c>
      <c r="Y2481" t="s">
        <v>1464</v>
      </c>
      <c r="Z2481" t="s">
        <v>64</v>
      </c>
      <c r="AA2481" t="s">
        <v>912</v>
      </c>
      <c r="AB2481" t="s">
        <v>0</v>
      </c>
      <c r="AC2481" t="s">
        <v>6589</v>
      </c>
    </row>
    <row r="2482" spans="1:29">
      <c r="A2482" t="s">
        <v>6590</v>
      </c>
      <c r="B2482" s="11" t="str">
        <f>IF(ISNUMBER(SEARCH(E2482,A2482)),A2482,IF(OR(E2482="",E2482=""),A2482,A2482&amp;" - "&amp;E2482))</f>
        <v>Cannamedical Indica Classic DK 22/1 - Gelat Skyfloater</v>
      </c>
      <c r="C2482" t="s">
        <v>48</v>
      </c>
      <c r="D2482" t="s">
        <v>49</v>
      </c>
      <c r="E2482" s="79" t="s">
        <v>1745</v>
      </c>
      <c r="F2482" s="81" t="s">
        <v>177</v>
      </c>
      <c r="G2482" s="83" t="s">
        <v>452</v>
      </c>
      <c r="H2482" s="83" t="s">
        <v>65</v>
      </c>
      <c r="I2482" t="s">
        <v>0</v>
      </c>
      <c r="J2482" t="s">
        <v>0</v>
      </c>
      <c r="K2482" t="s">
        <v>17</v>
      </c>
      <c r="L2482" t="s">
        <v>87</v>
      </c>
      <c r="M2482" t="s">
        <v>55</v>
      </c>
      <c r="N2482" t="s">
        <v>72</v>
      </c>
      <c r="O2482" t="s">
        <v>54</v>
      </c>
      <c r="P2482" t="s">
        <v>75</v>
      </c>
      <c r="Q2482" t="s">
        <v>89</v>
      </c>
      <c r="R2482" t="s">
        <v>74</v>
      </c>
      <c r="S2482" t="s">
        <v>128</v>
      </c>
      <c r="T2482" t="s">
        <v>106</v>
      </c>
      <c r="U2482" t="s">
        <v>62</v>
      </c>
      <c r="V2482" t="s">
        <v>77</v>
      </c>
      <c r="W2482" t="s">
        <v>0</v>
      </c>
      <c r="X2482" t="s">
        <v>0</v>
      </c>
      <c r="Y2482" t="s">
        <v>130</v>
      </c>
      <c r="Z2482" t="s">
        <v>64</v>
      </c>
      <c r="AA2482" t="s">
        <v>49</v>
      </c>
      <c r="AB2482" t="s">
        <v>0</v>
      </c>
      <c r="AC2482" t="s">
        <v>6591</v>
      </c>
    </row>
    <row r="2483" spans="1:29">
      <c r="A2483" t="s">
        <v>309</v>
      </c>
      <c r="B2483" s="11" t="str">
        <f>IF(ISNUMBER(SEARCH(E2483,A2483)),A2483,IF(OR(E2483="",E2483=""),A2483,A2483&amp;" - "&amp;E2483))</f>
        <v>Cannamedical Indica Forte DK - Lemon Krash</v>
      </c>
      <c r="C2483" t="s">
        <v>48</v>
      </c>
      <c r="D2483" t="s">
        <v>49</v>
      </c>
      <c r="E2483" s="79" t="s">
        <v>4477</v>
      </c>
      <c r="F2483" s="81" t="s">
        <v>120</v>
      </c>
      <c r="G2483" s="83" t="s">
        <v>4126</v>
      </c>
      <c r="H2483" s="83" t="s">
        <v>65</v>
      </c>
      <c r="I2483" t="s">
        <v>0</v>
      </c>
      <c r="J2483" t="s">
        <v>0</v>
      </c>
      <c r="K2483" t="s">
        <v>52</v>
      </c>
      <c r="L2483" t="s">
        <v>87</v>
      </c>
      <c r="M2483" t="s">
        <v>88</v>
      </c>
      <c r="N2483" t="s">
        <v>72</v>
      </c>
      <c r="O2483" t="s">
        <v>0</v>
      </c>
      <c r="P2483" t="s">
        <v>104</v>
      </c>
      <c r="Q2483" t="s">
        <v>75</v>
      </c>
      <c r="R2483" t="s">
        <v>113</v>
      </c>
      <c r="S2483" t="s">
        <v>106</v>
      </c>
      <c r="T2483" t="s">
        <v>62</v>
      </c>
      <c r="U2483" t="s">
        <v>147</v>
      </c>
      <c r="V2483" t="s">
        <v>107</v>
      </c>
      <c r="W2483" t="s">
        <v>173</v>
      </c>
      <c r="X2483" t="s">
        <v>77</v>
      </c>
      <c r="Y2483" t="s">
        <v>1357</v>
      </c>
      <c r="Z2483" t="s">
        <v>64</v>
      </c>
      <c r="AA2483" t="s">
        <v>49</v>
      </c>
      <c r="AB2483" t="s">
        <v>0</v>
      </c>
      <c r="AC2483" t="s">
        <v>6592</v>
      </c>
    </row>
    <row r="2484" spans="1:29">
      <c r="A2484" t="s">
        <v>6593</v>
      </c>
      <c r="B2484" s="11" t="str">
        <f>IF(ISNUMBER(SEARCH(E2484,A2484)),A2484,IF(OR(E2484="",E2484=""),A2484,A2484&amp;" - "&amp;E2484))</f>
        <v>avaay Signature 26/1 LEM - Lemon Loaf</v>
      </c>
      <c r="C2484" t="s">
        <v>4601</v>
      </c>
      <c r="D2484" t="s">
        <v>572</v>
      </c>
      <c r="E2484" s="9" t="s">
        <v>5465</v>
      </c>
      <c r="F2484" s="1" t="s">
        <v>144</v>
      </c>
      <c r="G2484" s="8" t="s">
        <v>4086</v>
      </c>
      <c r="H2484" s="8" t="s">
        <v>65</v>
      </c>
      <c r="I2484" t="s">
        <v>0</v>
      </c>
      <c r="J2484" t="s">
        <v>0</v>
      </c>
      <c r="K2484" t="s">
        <v>52</v>
      </c>
      <c r="L2484" t="s">
        <v>53</v>
      </c>
      <c r="M2484" t="s">
        <v>72</v>
      </c>
      <c r="N2484" t="s">
        <v>54</v>
      </c>
      <c r="O2484" t="s">
        <v>71</v>
      </c>
      <c r="P2484" t="s">
        <v>59</v>
      </c>
      <c r="Q2484" t="s">
        <v>89</v>
      </c>
      <c r="R2484" t="s">
        <v>58</v>
      </c>
      <c r="S2484" t="s">
        <v>106</v>
      </c>
      <c r="T2484" t="s">
        <v>62</v>
      </c>
      <c r="U2484" t="s">
        <v>4480</v>
      </c>
      <c r="V2484" t="s">
        <v>77</v>
      </c>
      <c r="W2484" t="s">
        <v>165</v>
      </c>
      <c r="X2484" t="s">
        <v>129</v>
      </c>
      <c r="Y2484" t="s">
        <v>6594</v>
      </c>
      <c r="Z2484" t="s">
        <v>64</v>
      </c>
      <c r="AA2484" t="s">
        <v>572</v>
      </c>
      <c r="AB2484" t="s">
        <v>0</v>
      </c>
      <c r="AC2484" t="s">
        <v>6595</v>
      </c>
    </row>
    <row r="2485" spans="1:29">
      <c r="A2485" t="s">
        <v>6596</v>
      </c>
      <c r="B2485" s="11" t="str">
        <f>IF(ISNUMBER(SEARCH(E2485,A2485)),A2485,IF(OR(E2485="",E2485=""),A2485,A2485&amp;" - "&amp;E2485))</f>
        <v>30/1 Amici CM - Cereal Milk</v>
      </c>
      <c r="C2485" t="s">
        <v>996</v>
      </c>
      <c r="D2485" t="s">
        <v>997</v>
      </c>
      <c r="E2485" s="9" t="s">
        <v>2586</v>
      </c>
      <c r="F2485" s="1" t="s">
        <v>177</v>
      </c>
      <c r="G2485" s="8" t="s">
        <v>4057</v>
      </c>
      <c r="H2485" s="8" t="s">
        <v>65</v>
      </c>
      <c r="I2485" t="s">
        <v>0</v>
      </c>
      <c r="J2485" t="s">
        <v>0</v>
      </c>
      <c r="K2485" t="s">
        <v>52</v>
      </c>
      <c r="L2485" t="s">
        <v>53</v>
      </c>
      <c r="M2485" t="s">
        <v>88</v>
      </c>
      <c r="N2485" t="s">
        <v>72</v>
      </c>
      <c r="O2485" t="s">
        <v>0</v>
      </c>
      <c r="P2485" t="s">
        <v>75</v>
      </c>
      <c r="Q2485" t="s">
        <v>58</v>
      </c>
      <c r="R2485" t="s">
        <v>89</v>
      </c>
      <c r="S2485" t="s">
        <v>128</v>
      </c>
      <c r="T2485" t="s">
        <v>106</v>
      </c>
      <c r="U2485" t="s">
        <v>224</v>
      </c>
      <c r="V2485" t="s">
        <v>107</v>
      </c>
      <c r="W2485" t="s">
        <v>116</v>
      </c>
      <c r="X2485" t="s">
        <v>93</v>
      </c>
      <c r="Y2485" t="s">
        <v>335</v>
      </c>
      <c r="Z2485" t="s">
        <v>64</v>
      </c>
      <c r="AA2485" t="s">
        <v>997</v>
      </c>
      <c r="AB2485" t="s">
        <v>812</v>
      </c>
      <c r="AC2485" t="s">
        <v>6597</v>
      </c>
    </row>
    <row r="2486" spans="1:29">
      <c r="A2486" t="s">
        <v>6598</v>
      </c>
      <c r="B2486" s="11" t="str">
        <f>IF(ISNUMBER(SEARCH(E2486,A2486)),A2486,IF(OR(E2486="",E2486=""),A2486,A2486&amp;" - "&amp;E2486))</f>
        <v>Demecan BH Epic Drop 30:1 - Wedding Cake x Triangle Kush</v>
      </c>
      <c r="C2486" t="s">
        <v>484</v>
      </c>
      <c r="D2486" t="s">
        <v>485</v>
      </c>
      <c r="E2486" s="79" t="s">
        <v>6255</v>
      </c>
      <c r="F2486" s="81" t="s">
        <v>86</v>
      </c>
      <c r="G2486" s="83" t="s">
        <v>4057</v>
      </c>
      <c r="H2486" s="83" t="s">
        <v>65</v>
      </c>
      <c r="I2486" t="s">
        <v>0</v>
      </c>
      <c r="J2486" t="s">
        <v>0</v>
      </c>
      <c r="K2486" t="s">
        <v>52</v>
      </c>
      <c r="L2486" t="s">
        <v>53</v>
      </c>
      <c r="M2486" t="s">
        <v>121</v>
      </c>
      <c r="N2486" t="s">
        <v>72</v>
      </c>
      <c r="O2486" t="s">
        <v>71</v>
      </c>
      <c r="P2486" t="s">
        <v>59</v>
      </c>
      <c r="Q2486" t="s">
        <v>57</v>
      </c>
      <c r="R2486" t="s">
        <v>89</v>
      </c>
      <c r="S2486" t="s">
        <v>106</v>
      </c>
      <c r="T2486" t="s">
        <v>62</v>
      </c>
      <c r="U2486" t="s">
        <v>147</v>
      </c>
      <c r="V2486" t="s">
        <v>77</v>
      </c>
      <c r="W2486" t="s">
        <v>225</v>
      </c>
      <c r="X2486" t="s">
        <v>116</v>
      </c>
      <c r="Y2486" t="s">
        <v>6599</v>
      </c>
      <c r="Z2486" t="s">
        <v>64</v>
      </c>
      <c r="AA2486" t="s">
        <v>485</v>
      </c>
      <c r="AB2486" t="s">
        <v>0</v>
      </c>
      <c r="AC2486" t="s">
        <v>6600</v>
      </c>
    </row>
    <row r="2487" spans="1:29">
      <c r="A2487" t="s">
        <v>6601</v>
      </c>
      <c r="B2487" s="11" t="str">
        <f>IF(ISNUMBER(SEARCH(E2487,A2487)),A2487,IF(OR(E2487="",E2487=""),A2487,A2487&amp;" - "&amp;E2487))</f>
        <v>Remexian 24/1 SSF - Moonjo</v>
      </c>
      <c r="C2487" t="s">
        <v>83</v>
      </c>
      <c r="D2487" t="s">
        <v>95</v>
      </c>
      <c r="E2487" s="79" t="s">
        <v>6602</v>
      </c>
      <c r="F2487" s="81" t="s">
        <v>144</v>
      </c>
      <c r="G2487" s="83" t="s">
        <v>448</v>
      </c>
      <c r="H2487" s="83" t="s">
        <v>65</v>
      </c>
      <c r="I2487" t="s">
        <v>0</v>
      </c>
      <c r="J2487" t="s">
        <v>0</v>
      </c>
      <c r="K2487" t="s">
        <v>52</v>
      </c>
      <c r="L2487" t="s">
        <v>53</v>
      </c>
      <c r="M2487" t="s">
        <v>72</v>
      </c>
      <c r="N2487" t="s">
        <v>121</v>
      </c>
      <c r="O2487" t="s">
        <v>103</v>
      </c>
      <c r="P2487" t="s">
        <v>73</v>
      </c>
      <c r="Q2487" t="s">
        <v>58</v>
      </c>
      <c r="R2487" t="s">
        <v>74</v>
      </c>
      <c r="S2487" t="s">
        <v>106</v>
      </c>
      <c r="T2487" t="s">
        <v>147</v>
      </c>
      <c r="U2487" t="s">
        <v>192</v>
      </c>
      <c r="V2487" t="s">
        <v>92</v>
      </c>
      <c r="W2487" t="s">
        <v>116</v>
      </c>
      <c r="X2487" t="s">
        <v>77</v>
      </c>
      <c r="Y2487" t="s">
        <v>6603</v>
      </c>
      <c r="Z2487" t="s">
        <v>64</v>
      </c>
      <c r="AA2487" t="s">
        <v>95</v>
      </c>
      <c r="AB2487" t="s">
        <v>0</v>
      </c>
      <c r="AC2487" t="s">
        <v>6604</v>
      </c>
    </row>
    <row r="2488" spans="1:29">
      <c r="A2488" t="s">
        <v>5902</v>
      </c>
      <c r="B2488" s="11" t="str">
        <f>IF(ISNUMBER(SEARCH(E2488,A2488)),A2488,IF(OR(E2488="",E2488=""),A2488,A2488&amp;" - "&amp;E2488))</f>
        <v>28/1 IUVO OC - Orange Z</v>
      </c>
      <c r="C2488" t="s">
        <v>5810</v>
      </c>
      <c r="D2488" t="s">
        <v>5811</v>
      </c>
      <c r="E2488" s="9" t="s">
        <v>4626</v>
      </c>
      <c r="F2488" s="1" t="s">
        <v>144</v>
      </c>
      <c r="G2488" s="8" t="s">
        <v>4164</v>
      </c>
      <c r="H2488" s="8" t="s">
        <v>65</v>
      </c>
      <c r="I2488" t="s">
        <v>0</v>
      </c>
      <c r="J2488" t="s">
        <v>0</v>
      </c>
      <c r="K2488" t="s">
        <v>52</v>
      </c>
      <c r="L2488" t="s">
        <v>53</v>
      </c>
      <c r="M2488" t="s">
        <v>178</v>
      </c>
      <c r="N2488" t="s">
        <v>111</v>
      </c>
      <c r="O2488" t="s">
        <v>72</v>
      </c>
      <c r="P2488" t="s">
        <v>58</v>
      </c>
      <c r="Q2488" t="s">
        <v>89</v>
      </c>
      <c r="R2488" t="s">
        <v>75</v>
      </c>
      <c r="S2488" t="s">
        <v>106</v>
      </c>
      <c r="T2488" t="s">
        <v>179</v>
      </c>
      <c r="U2488" t="s">
        <v>123</v>
      </c>
      <c r="V2488" t="s">
        <v>79</v>
      </c>
      <c r="W2488" t="s">
        <v>77</v>
      </c>
      <c r="X2488" t="s">
        <v>0</v>
      </c>
      <c r="Y2488" t="s">
        <v>286</v>
      </c>
      <c r="Z2488" t="s">
        <v>64</v>
      </c>
      <c r="AA2488" t="s">
        <v>5811</v>
      </c>
      <c r="AB2488" t="s">
        <v>6605</v>
      </c>
      <c r="AC2488" t="s">
        <v>6606</v>
      </c>
    </row>
    <row r="2489" spans="1:29">
      <c r="A2489" t="s">
        <v>6607</v>
      </c>
      <c r="B2489" s="11" t="str">
        <f>IF(ISNUMBER(SEARCH(E2489,A2489)),A2489,IF(OR(E2489="",E2489=""),A2489,A2489&amp;" - "&amp;E2489))</f>
        <v>420 Compound 30/1 CA BER - Berlin Berries</v>
      </c>
      <c r="C2489" t="s">
        <v>463</v>
      </c>
      <c r="D2489" t="s">
        <v>468</v>
      </c>
      <c r="E2489" s="9" t="s">
        <v>4504</v>
      </c>
      <c r="F2489" s="1" t="s">
        <v>120</v>
      </c>
      <c r="G2489" s="8" t="s">
        <v>4057</v>
      </c>
      <c r="H2489" s="8">
        <v>1</v>
      </c>
      <c r="I2489" t="s">
        <v>0</v>
      </c>
      <c r="J2489" t="s">
        <v>0</v>
      </c>
      <c r="K2489" t="s">
        <v>52</v>
      </c>
      <c r="L2489" t="s">
        <v>53</v>
      </c>
      <c r="M2489" t="s">
        <v>72</v>
      </c>
      <c r="N2489" t="s">
        <v>71</v>
      </c>
      <c r="O2489" t="s">
        <v>0</v>
      </c>
      <c r="P2489" t="s">
        <v>58</v>
      </c>
      <c r="Q2489" t="s">
        <v>74</v>
      </c>
      <c r="R2489" t="s">
        <v>0</v>
      </c>
      <c r="S2489" t="s">
        <v>106</v>
      </c>
      <c r="T2489" t="s">
        <v>62</v>
      </c>
      <c r="U2489" t="s">
        <v>123</v>
      </c>
      <c r="V2489" t="s">
        <v>77</v>
      </c>
      <c r="W2489" t="s">
        <v>138</v>
      </c>
      <c r="X2489" t="s">
        <v>180</v>
      </c>
      <c r="Y2489" t="s">
        <v>966</v>
      </c>
      <c r="Z2489" t="s">
        <v>64</v>
      </c>
      <c r="AA2489" t="s">
        <v>468</v>
      </c>
      <c r="AB2489" t="s">
        <v>0</v>
      </c>
      <c r="AC2489" t="s">
        <v>6608</v>
      </c>
    </row>
    <row r="2490" spans="1:29">
      <c r="A2490" t="s">
        <v>6609</v>
      </c>
      <c r="B2490" s="11" t="str">
        <f>IF(ISNUMBER(SEARCH(E2490,A2490)),A2490,IF(OR(E2490="",E2490=""),A2490,A2490&amp;" - "&amp;E2490))</f>
        <v>aleph red 30/1 - Hokuzai</v>
      </c>
      <c r="C2490" t="s">
        <v>725</v>
      </c>
      <c r="D2490" t="s">
        <v>726</v>
      </c>
      <c r="E2490" s="9" t="s">
        <v>3881</v>
      </c>
      <c r="F2490" s="1" t="s">
        <v>86</v>
      </c>
      <c r="G2490" s="8" t="s">
        <v>4057</v>
      </c>
      <c r="H2490" s="8">
        <v>1</v>
      </c>
      <c r="I2490" t="s">
        <v>0</v>
      </c>
      <c r="J2490" t="s">
        <v>0</v>
      </c>
      <c r="K2490" t="s">
        <v>52</v>
      </c>
      <c r="L2490" t="s">
        <v>102</v>
      </c>
      <c r="M2490" t="s">
        <v>178</v>
      </c>
      <c r="N2490" t="s">
        <v>71</v>
      </c>
      <c r="O2490" t="s">
        <v>54</v>
      </c>
      <c r="P2490" t="s">
        <v>73</v>
      </c>
      <c r="Q2490" t="s">
        <v>59</v>
      </c>
      <c r="R2490" t="s">
        <v>57</v>
      </c>
      <c r="S2490" t="s">
        <v>106</v>
      </c>
      <c r="T2490" t="s">
        <v>62</v>
      </c>
      <c r="U2490" t="s">
        <v>147</v>
      </c>
      <c r="V2490" t="s">
        <v>79</v>
      </c>
      <c r="W2490" t="s">
        <v>116</v>
      </c>
      <c r="X2490" t="s">
        <v>93</v>
      </c>
      <c r="Y2490" t="s">
        <v>539</v>
      </c>
      <c r="Z2490" t="s">
        <v>64</v>
      </c>
      <c r="AA2490" t="s">
        <v>726</v>
      </c>
      <c r="AB2490" t="s">
        <v>0</v>
      </c>
      <c r="AC2490" t="s">
        <v>6610</v>
      </c>
    </row>
    <row r="2491" spans="1:29">
      <c r="A2491" t="s">
        <v>6611</v>
      </c>
      <c r="B2491" s="11" t="str">
        <f>IF(ISNUMBER(SEARCH(E2491,A2491)),A2491,IF(OR(E2491="",E2491=""),A2491,A2491&amp;" - "&amp;E2491))</f>
        <v>Remexian 27/1 NXN SPZ - Spritzer</v>
      </c>
      <c r="C2491" t="s">
        <v>83</v>
      </c>
      <c r="D2491" t="s">
        <v>95</v>
      </c>
      <c r="E2491" s="79" t="s">
        <v>944</v>
      </c>
      <c r="F2491" s="81" t="s">
        <v>86</v>
      </c>
      <c r="G2491" s="83" t="s">
        <v>33</v>
      </c>
      <c r="H2491" s="83" t="s">
        <v>65</v>
      </c>
      <c r="I2491" t="s">
        <v>0</v>
      </c>
      <c r="J2491" t="s">
        <v>0</v>
      </c>
      <c r="K2491" t="s">
        <v>52</v>
      </c>
      <c r="L2491" t="s">
        <v>102</v>
      </c>
      <c r="M2491" t="s">
        <v>88</v>
      </c>
      <c r="N2491" t="s">
        <v>71</v>
      </c>
      <c r="O2491" t="s">
        <v>111</v>
      </c>
      <c r="P2491" t="s">
        <v>59</v>
      </c>
      <c r="Q2491" t="s">
        <v>89</v>
      </c>
      <c r="R2491" t="s">
        <v>75</v>
      </c>
      <c r="S2491" t="s">
        <v>106</v>
      </c>
      <c r="T2491" t="s">
        <v>123</v>
      </c>
      <c r="U2491" t="s">
        <v>147</v>
      </c>
      <c r="V2491" t="s">
        <v>173</v>
      </c>
      <c r="W2491" t="s">
        <v>79</v>
      </c>
      <c r="X2491" t="s">
        <v>77</v>
      </c>
      <c r="Y2491" t="s">
        <v>413</v>
      </c>
      <c r="Z2491" t="s">
        <v>64</v>
      </c>
      <c r="AA2491" t="s">
        <v>95</v>
      </c>
      <c r="AB2491" t="s">
        <v>0</v>
      </c>
      <c r="AC2491" t="s">
        <v>6612</v>
      </c>
    </row>
    <row r="2492" spans="1:29">
      <c r="A2492" t="s">
        <v>6613</v>
      </c>
      <c r="B2492" s="11" t="str">
        <f>IF(ISNUMBER(SEARCH(E2492,A2492)),A2492,IF(OR(E2492="",E2492=""),A2492,A2492&amp;" - "&amp;E2492))</f>
        <v>Remexian 27/1 KAN VAP - Void Apex</v>
      </c>
      <c r="C2492" t="s">
        <v>83</v>
      </c>
      <c r="D2492" t="s">
        <v>95</v>
      </c>
      <c r="E2492" s="79" t="s">
        <v>6614</v>
      </c>
      <c r="F2492" s="81" t="s">
        <v>120</v>
      </c>
      <c r="G2492" s="83" t="s">
        <v>33</v>
      </c>
      <c r="H2492" s="83" t="s">
        <v>65</v>
      </c>
      <c r="I2492" t="s">
        <v>0</v>
      </c>
      <c r="J2492" t="s">
        <v>0</v>
      </c>
      <c r="K2492" t="s">
        <v>52</v>
      </c>
      <c r="L2492" t="s">
        <v>53</v>
      </c>
      <c r="M2492" t="s">
        <v>72</v>
      </c>
      <c r="N2492" t="s">
        <v>0</v>
      </c>
      <c r="O2492" t="s">
        <v>0</v>
      </c>
      <c r="P2492" t="s">
        <v>58</v>
      </c>
      <c r="Q2492" t="s">
        <v>89</v>
      </c>
      <c r="R2492" t="s">
        <v>0</v>
      </c>
      <c r="S2492" t="s">
        <v>128</v>
      </c>
      <c r="T2492" t="s">
        <v>62</v>
      </c>
      <c r="U2492" t="s">
        <v>493</v>
      </c>
      <c r="V2492" t="s">
        <v>77</v>
      </c>
      <c r="W2492" t="s">
        <v>129</v>
      </c>
      <c r="X2492" t="s">
        <v>107</v>
      </c>
      <c r="Y2492" t="s">
        <v>413</v>
      </c>
      <c r="Z2492" t="s">
        <v>64</v>
      </c>
      <c r="AA2492" t="s">
        <v>95</v>
      </c>
      <c r="AB2492" t="s">
        <v>6615</v>
      </c>
      <c r="AC2492" t="s">
        <v>6616</v>
      </c>
    </row>
    <row r="2493" spans="1:29">
      <c r="A2493" t="s">
        <v>6617</v>
      </c>
      <c r="B2493" s="11" t="str">
        <f>IF(ISNUMBER(SEARCH(E2493,A2493)),A2493,IF(OR(E2493="",E2493=""),A2493,A2493&amp;" - "&amp;E2493))</f>
        <v>Remexian 30/1 BBR NTC - Nitro Chem</v>
      </c>
      <c r="C2493" t="s">
        <v>83</v>
      </c>
      <c r="D2493" t="s">
        <v>95</v>
      </c>
      <c r="E2493" s="79" t="s">
        <v>6618</v>
      </c>
      <c r="F2493" s="81" t="s">
        <v>69</v>
      </c>
      <c r="G2493" s="83" t="s">
        <v>4057</v>
      </c>
      <c r="H2493" s="83" t="s">
        <v>65</v>
      </c>
      <c r="I2493" t="s">
        <v>0</v>
      </c>
      <c r="J2493" t="s">
        <v>0</v>
      </c>
      <c r="K2493" t="s">
        <v>52</v>
      </c>
      <c r="L2493" t="s">
        <v>53</v>
      </c>
      <c r="M2493" t="s">
        <v>71</v>
      </c>
      <c r="N2493" t="s">
        <v>54</v>
      </c>
      <c r="O2493" t="s">
        <v>88</v>
      </c>
      <c r="P2493" t="s">
        <v>89</v>
      </c>
      <c r="Q2493" t="s">
        <v>73</v>
      </c>
      <c r="R2493" t="s">
        <v>0</v>
      </c>
      <c r="S2493" t="s">
        <v>179</v>
      </c>
      <c r="T2493" t="s">
        <v>61</v>
      </c>
      <c r="U2493" t="s">
        <v>62</v>
      </c>
      <c r="V2493" t="s">
        <v>208</v>
      </c>
      <c r="W2493" t="s">
        <v>116</v>
      </c>
      <c r="X2493" t="s">
        <v>77</v>
      </c>
      <c r="Y2493" t="s">
        <v>5136</v>
      </c>
      <c r="Z2493" t="s">
        <v>64</v>
      </c>
      <c r="AA2493" t="s">
        <v>95</v>
      </c>
      <c r="AB2493" t="s">
        <v>6619</v>
      </c>
      <c r="AC2493" t="s">
        <v>6620</v>
      </c>
    </row>
    <row r="2494" spans="1:29">
      <c r="A2494" t="s">
        <v>6621</v>
      </c>
      <c r="B2494" s="11" t="str">
        <f>IF(ISNUMBER(SEARCH(E2494,A2494)),A2494,IF(OR(E2494="",E2494=""),A2494,A2494&amp;" - "&amp;E2494))</f>
        <v>TRUU GT 25:01 - Crumbled Lime</v>
      </c>
      <c r="C2494" t="s">
        <v>484</v>
      </c>
      <c r="D2494" t="s">
        <v>485</v>
      </c>
      <c r="E2494" s="79" t="s">
        <v>5908</v>
      </c>
      <c r="F2494" s="81" t="s">
        <v>69</v>
      </c>
      <c r="G2494" s="83" t="s">
        <v>26</v>
      </c>
      <c r="H2494" s="83" t="s">
        <v>65</v>
      </c>
      <c r="I2494" t="s">
        <v>0</v>
      </c>
      <c r="J2494" t="s">
        <v>0</v>
      </c>
      <c r="K2494" t="s">
        <v>52</v>
      </c>
      <c r="L2494" t="s">
        <v>53</v>
      </c>
      <c r="M2494" t="s">
        <v>121</v>
      </c>
      <c r="N2494" t="s">
        <v>72</v>
      </c>
      <c r="O2494" t="s">
        <v>54</v>
      </c>
      <c r="P2494" t="s">
        <v>59</v>
      </c>
      <c r="Q2494" t="s">
        <v>89</v>
      </c>
      <c r="R2494" t="s">
        <v>58</v>
      </c>
      <c r="S2494" t="s">
        <v>106</v>
      </c>
      <c r="T2494" t="s">
        <v>62</v>
      </c>
      <c r="U2494" t="s">
        <v>147</v>
      </c>
      <c r="V2494" t="s">
        <v>77</v>
      </c>
      <c r="W2494" t="s">
        <v>116</v>
      </c>
      <c r="X2494" t="s">
        <v>180</v>
      </c>
      <c r="Y2494" t="s">
        <v>6105</v>
      </c>
      <c r="Z2494" t="s">
        <v>64</v>
      </c>
      <c r="AA2494" t="s">
        <v>485</v>
      </c>
      <c r="AB2494" t="s">
        <v>0</v>
      </c>
      <c r="AC2494" t="s">
        <v>6622</v>
      </c>
    </row>
    <row r="2495" spans="1:29">
      <c r="A2495" t="s">
        <v>6623</v>
      </c>
      <c r="B2495" s="11" t="str">
        <f>IF(ISNUMBER(SEARCH(E2495,A2495)),A2495,IF(OR(E2495="",E2495=""),A2495,A2495&amp;" - "&amp;E2495))</f>
        <v>Bedrolite Cannabis Flos 1/7.5 - Rensina</v>
      </c>
      <c r="C2495" t="s">
        <v>880</v>
      </c>
      <c r="D2495" t="s">
        <v>881</v>
      </c>
      <c r="E2495" t="s">
        <v>2553</v>
      </c>
      <c r="F2495" t="s">
        <v>69</v>
      </c>
      <c r="G2495" t="s">
        <v>65</v>
      </c>
      <c r="H2495" s="2" t="s">
        <v>4034</v>
      </c>
      <c r="I2495" t="s">
        <v>0</v>
      </c>
      <c r="J2495" t="s">
        <v>0</v>
      </c>
      <c r="K2495" t="s">
        <v>17</v>
      </c>
      <c r="L2495" t="s">
        <v>883</v>
      </c>
      <c r="M2495" t="s">
        <v>72</v>
      </c>
      <c r="N2495" t="s">
        <v>111</v>
      </c>
      <c r="O2495" t="s">
        <v>0</v>
      </c>
      <c r="P2495" t="s">
        <v>74</v>
      </c>
      <c r="Q2495" t="s">
        <v>59</v>
      </c>
      <c r="R2495" t="s">
        <v>58</v>
      </c>
      <c r="S2495" t="s">
        <v>90</v>
      </c>
      <c r="T2495" t="s">
        <v>62</v>
      </c>
      <c r="U2495" t="s">
        <v>91</v>
      </c>
      <c r="V2495" t="s">
        <v>107</v>
      </c>
      <c r="W2495" t="s">
        <v>173</v>
      </c>
      <c r="X2495" t="s">
        <v>77</v>
      </c>
      <c r="Y2495" t="s">
        <v>0</v>
      </c>
      <c r="Z2495" t="s">
        <v>64</v>
      </c>
      <c r="AA2495" t="s">
        <v>881</v>
      </c>
      <c r="AB2495" t="s">
        <v>0</v>
      </c>
      <c r="AC2495" t="s">
        <v>6624</v>
      </c>
    </row>
    <row r="2496" spans="1:29">
      <c r="A2496" t="s">
        <v>6625</v>
      </c>
      <c r="B2496" s="11" t="str">
        <f>IF(ISNUMBER(SEARCH(E2496,A2496)),A2496,IF(OR(E2496="",E2496=""),A2496,A2496&amp;" - "&amp;E2496))</f>
        <v>NICE 28/1 LC - Lemon Cookies</v>
      </c>
      <c r="C2496" t="s">
        <v>996</v>
      </c>
      <c r="D2496" t="s">
        <v>997</v>
      </c>
      <c r="E2496" s="79" t="s">
        <v>3656</v>
      </c>
      <c r="F2496" s="81" t="s">
        <v>86</v>
      </c>
      <c r="G2496" s="83" t="s">
        <v>4164</v>
      </c>
      <c r="H2496" s="83">
        <v>1</v>
      </c>
      <c r="I2496" t="s">
        <v>0</v>
      </c>
      <c r="J2496" t="s">
        <v>0</v>
      </c>
      <c r="K2496" t="s">
        <v>52</v>
      </c>
      <c r="L2496" t="s">
        <v>102</v>
      </c>
      <c r="M2496" t="s">
        <v>111</v>
      </c>
      <c r="N2496" t="s">
        <v>55</v>
      </c>
      <c r="O2496" t="s">
        <v>88</v>
      </c>
      <c r="P2496" t="s">
        <v>57</v>
      </c>
      <c r="Q2496" t="s">
        <v>58</v>
      </c>
      <c r="R2496" t="s">
        <v>59</v>
      </c>
      <c r="S2496" t="s">
        <v>62</v>
      </c>
      <c r="T2496" t="s">
        <v>91</v>
      </c>
      <c r="U2496" t="s">
        <v>147</v>
      </c>
      <c r="V2496" t="s">
        <v>107</v>
      </c>
      <c r="W2496" t="s">
        <v>93</v>
      </c>
      <c r="X2496" t="s">
        <v>77</v>
      </c>
      <c r="Y2496" t="s">
        <v>268</v>
      </c>
      <c r="Z2496" t="s">
        <v>64</v>
      </c>
      <c r="AA2496" t="s">
        <v>997</v>
      </c>
      <c r="AB2496" t="s">
        <v>0</v>
      </c>
      <c r="AC2496" t="s">
        <v>6626</v>
      </c>
    </row>
    <row r="2497" spans="1:29">
      <c r="A2497" t="s">
        <v>6627</v>
      </c>
      <c r="B2497" s="11" t="str">
        <f>IF(ISNUMBER(SEARCH(E2497,A2497)),A2497,IF(OR(E2497="",E2497=""),A2497,A2497&amp;" - "&amp;E2497))</f>
        <v>Tilray CRAFT THC28 TRM - Triangle Mints</v>
      </c>
      <c r="C2497" t="s">
        <v>133</v>
      </c>
      <c r="D2497" t="s">
        <v>134</v>
      </c>
      <c r="E2497" s="79" t="s">
        <v>3846</v>
      </c>
      <c r="F2497" s="81" t="s">
        <v>86</v>
      </c>
      <c r="G2497" s="83" t="s">
        <v>4164</v>
      </c>
      <c r="H2497" s="83">
        <v>1</v>
      </c>
      <c r="I2497" t="s">
        <v>0</v>
      </c>
      <c r="J2497" t="s">
        <v>0</v>
      </c>
      <c r="K2497" t="s">
        <v>52</v>
      </c>
      <c r="L2497" t="s">
        <v>53</v>
      </c>
      <c r="M2497" t="s">
        <v>111</v>
      </c>
      <c r="N2497" t="s">
        <v>72</v>
      </c>
      <c r="O2497" t="s">
        <v>54</v>
      </c>
      <c r="P2497" t="s">
        <v>73</v>
      </c>
      <c r="Q2497" t="s">
        <v>57</v>
      </c>
      <c r="R2497" t="s">
        <v>112</v>
      </c>
      <c r="S2497" t="s">
        <v>106</v>
      </c>
      <c r="T2497" t="s">
        <v>62</v>
      </c>
      <c r="U2497" t="s">
        <v>123</v>
      </c>
      <c r="V2497" t="s">
        <v>107</v>
      </c>
      <c r="W2497" t="s">
        <v>129</v>
      </c>
      <c r="X2497" t="s">
        <v>165</v>
      </c>
      <c r="Y2497" t="s">
        <v>6628</v>
      </c>
      <c r="Z2497" t="s">
        <v>64</v>
      </c>
      <c r="AA2497" t="s">
        <v>134</v>
      </c>
      <c r="AB2497" t="s">
        <v>0</v>
      </c>
      <c r="AC2497" t="s">
        <v>6629</v>
      </c>
    </row>
    <row r="2498" spans="1:29">
      <c r="A2498" t="s">
        <v>6630</v>
      </c>
      <c r="B2498" s="11" t="str">
        <f>IF(ISNUMBER(SEARCH(E2498,A2498)),A2498,IF(OR(E2498="",E2498=""),A2498,A2498&amp;" - "&amp;E2498))</f>
        <v>Remexian 24/1 NEB PLG - Platinum Gushers</v>
      </c>
      <c r="C2498" t="s">
        <v>83</v>
      </c>
      <c r="D2498" t="s">
        <v>95</v>
      </c>
      <c r="E2498" s="79" t="s">
        <v>5580</v>
      </c>
      <c r="F2498" s="81" t="s">
        <v>120</v>
      </c>
      <c r="G2498" s="83" t="s">
        <v>448</v>
      </c>
      <c r="H2498" s="83">
        <v>1</v>
      </c>
      <c r="I2498" t="s">
        <v>0</v>
      </c>
      <c r="J2498" t="s">
        <v>0</v>
      </c>
      <c r="K2498" t="s">
        <v>52</v>
      </c>
      <c r="L2498" t="s">
        <v>53</v>
      </c>
      <c r="M2498" t="s">
        <v>121</v>
      </c>
      <c r="N2498" t="s">
        <v>72</v>
      </c>
      <c r="O2498" t="s">
        <v>54</v>
      </c>
      <c r="P2498" t="s">
        <v>89</v>
      </c>
      <c r="Q2498" t="s">
        <v>58</v>
      </c>
      <c r="R2498" t="s">
        <v>74</v>
      </c>
      <c r="S2498" t="s">
        <v>106</v>
      </c>
      <c r="T2498" t="s">
        <v>62</v>
      </c>
      <c r="U2498" t="s">
        <v>493</v>
      </c>
      <c r="V2498" t="s">
        <v>116</v>
      </c>
      <c r="W2498" t="s">
        <v>138</v>
      </c>
      <c r="X2498" t="s">
        <v>79</v>
      </c>
      <c r="Y2498" t="s">
        <v>6631</v>
      </c>
      <c r="Z2498" t="s">
        <v>64</v>
      </c>
      <c r="AA2498" t="s">
        <v>95</v>
      </c>
      <c r="AB2498" t="s">
        <v>0</v>
      </c>
      <c r="AC2498" t="s">
        <v>6632</v>
      </c>
    </row>
    <row r="2499" spans="1:29">
      <c r="A2499" t="s">
        <v>6633</v>
      </c>
      <c r="B2499" s="11" t="str">
        <f>IF(ISNUMBER(SEARCH(E2499,A2499)),A2499,IF(OR(E2499="",E2499=""),A2499,A2499&amp;" - "&amp;E2499))</f>
        <v>MediproCan LUNARIS 25/1 - Capri Haze</v>
      </c>
      <c r="C2499" t="s">
        <v>317</v>
      </c>
      <c r="D2499" t="s">
        <v>320</v>
      </c>
      <c r="E2499" s="79" t="s">
        <v>6634</v>
      </c>
      <c r="F2499" s="81" t="s">
        <v>86</v>
      </c>
      <c r="G2499" s="83" t="s">
        <v>26</v>
      </c>
      <c r="H2499" s="83" t="s">
        <v>65</v>
      </c>
      <c r="I2499" t="s">
        <v>0</v>
      </c>
      <c r="J2499" t="s">
        <v>0</v>
      </c>
      <c r="K2499" t="s">
        <v>52</v>
      </c>
      <c r="L2499" t="s">
        <v>102</v>
      </c>
      <c r="M2499" t="s">
        <v>88</v>
      </c>
      <c r="N2499" t="s">
        <v>156</v>
      </c>
      <c r="O2499" t="s">
        <v>111</v>
      </c>
      <c r="P2499" t="s">
        <v>75</v>
      </c>
      <c r="Q2499" t="s">
        <v>89</v>
      </c>
      <c r="R2499" t="s">
        <v>0</v>
      </c>
      <c r="S2499" t="s">
        <v>106</v>
      </c>
      <c r="T2499" t="s">
        <v>62</v>
      </c>
      <c r="U2499" t="s">
        <v>147</v>
      </c>
      <c r="V2499" t="s">
        <v>107</v>
      </c>
      <c r="W2499" t="s">
        <v>79</v>
      </c>
      <c r="X2499" t="s">
        <v>138</v>
      </c>
      <c r="Y2499" t="s">
        <v>4633</v>
      </c>
      <c r="Z2499" t="s">
        <v>64</v>
      </c>
      <c r="AA2499" t="s">
        <v>320</v>
      </c>
      <c r="AB2499" t="s">
        <v>0</v>
      </c>
      <c r="AC2499" t="s">
        <v>6635</v>
      </c>
    </row>
    <row r="2500" spans="1:29">
      <c r="A2500" t="s">
        <v>6636</v>
      </c>
      <c r="B2500" s="11" t="str">
        <f>IF(ISNUMBER(SEARCH(E2500,A2500)),A2500,IF(OR(E2500="",E2500=""),A2500,A2500&amp;" - "&amp;E2500))</f>
        <v>Luana 16/1 MAC Miracle Alien Cookies</v>
      </c>
      <c r="C2500" t="s">
        <v>56</v>
      </c>
      <c r="D2500" t="s">
        <v>56</v>
      </c>
      <c r="E2500" t="s">
        <v>2612</v>
      </c>
      <c r="F2500" t="s">
        <v>86</v>
      </c>
      <c r="G2500" t="s">
        <v>18</v>
      </c>
      <c r="H2500" s="2" t="s">
        <v>65</v>
      </c>
      <c r="I2500" t="s">
        <v>0</v>
      </c>
      <c r="J2500" t="s">
        <v>0</v>
      </c>
      <c r="K2500" t="s">
        <v>52</v>
      </c>
      <c r="L2500" t="s">
        <v>202</v>
      </c>
      <c r="M2500" t="s">
        <v>72</v>
      </c>
      <c r="N2500" t="s">
        <v>54</v>
      </c>
      <c r="O2500" t="s">
        <v>88</v>
      </c>
      <c r="P2500" t="s">
        <v>104</v>
      </c>
      <c r="Q2500" t="s">
        <v>59</v>
      </c>
      <c r="R2500" t="s">
        <v>74</v>
      </c>
      <c r="S2500" t="s">
        <v>106</v>
      </c>
      <c r="T2500" t="s">
        <v>62</v>
      </c>
      <c r="U2500" t="s">
        <v>192</v>
      </c>
      <c r="V2500" t="s">
        <v>107</v>
      </c>
      <c r="W2500" t="s">
        <v>77</v>
      </c>
      <c r="X2500" t="s">
        <v>0</v>
      </c>
      <c r="Y2500" t="s">
        <v>2084</v>
      </c>
      <c r="Z2500" t="s">
        <v>64</v>
      </c>
      <c r="AA2500" t="s">
        <v>49</v>
      </c>
      <c r="AB2500" t="s">
        <v>0</v>
      </c>
      <c r="AC2500" t="s">
        <v>6637</v>
      </c>
    </row>
    <row r="2501" spans="1:29">
      <c r="A2501" t="s">
        <v>6638</v>
      </c>
      <c r="B2501" s="11" t="str">
        <f>IF(ISNUMBER(SEARCH(E2501,A2501)),A2501,IF(OR(E2501="",E2501=""),A2501,A2501&amp;" - "&amp;E2501))</f>
        <v>Breezy Organics BB 28/1 - Bling Blaow</v>
      </c>
      <c r="C2501" t="s">
        <v>2114</v>
      </c>
      <c r="D2501" t="s">
        <v>2115</v>
      </c>
      <c r="E2501" s="9" t="s">
        <v>4658</v>
      </c>
      <c r="F2501" s="1" t="s">
        <v>86</v>
      </c>
      <c r="G2501" s="8" t="s">
        <v>4164</v>
      </c>
      <c r="H2501" s="8" t="s">
        <v>65</v>
      </c>
      <c r="I2501" t="s">
        <v>0</v>
      </c>
      <c r="J2501" t="s">
        <v>0</v>
      </c>
      <c r="K2501" t="s">
        <v>52</v>
      </c>
      <c r="L2501" t="s">
        <v>53</v>
      </c>
      <c r="M2501" t="s">
        <v>111</v>
      </c>
      <c r="N2501" t="s">
        <v>54</v>
      </c>
      <c r="O2501" t="s">
        <v>72</v>
      </c>
      <c r="P2501" t="s">
        <v>73</v>
      </c>
      <c r="Q2501" t="s">
        <v>58</v>
      </c>
      <c r="R2501" t="s">
        <v>89</v>
      </c>
      <c r="S2501" t="s">
        <v>128</v>
      </c>
      <c r="T2501" t="s">
        <v>106</v>
      </c>
      <c r="U2501" t="s">
        <v>62</v>
      </c>
      <c r="V2501" t="s">
        <v>116</v>
      </c>
      <c r="W2501" t="s">
        <v>93</v>
      </c>
      <c r="X2501" t="s">
        <v>77</v>
      </c>
      <c r="Y2501" t="s">
        <v>3098</v>
      </c>
      <c r="Z2501" t="s">
        <v>64</v>
      </c>
      <c r="AA2501" t="s">
        <v>2115</v>
      </c>
      <c r="AB2501" t="s">
        <v>0</v>
      </c>
      <c r="AC2501" t="s">
        <v>6639</v>
      </c>
    </row>
    <row r="2502" spans="1:29">
      <c r="A2502" t="s">
        <v>6640</v>
      </c>
      <c r="B2502" s="11" t="str">
        <f>IF(ISNUMBER(SEARCH(E2502,A2502)),A2502,IF(OR(E2502="",E2502=""),A2502,A2502&amp;" - "&amp;E2502))</f>
        <v>madrecan 21/1 GB9 - Garlic Budder</v>
      </c>
      <c r="C2502" t="s">
        <v>83</v>
      </c>
      <c r="D2502" t="s">
        <v>95</v>
      </c>
      <c r="E2502" s="79" t="s">
        <v>5308</v>
      </c>
      <c r="F2502" s="81" t="s">
        <v>86</v>
      </c>
      <c r="G2502" s="83" t="s">
        <v>452</v>
      </c>
      <c r="H2502" s="83">
        <v>1</v>
      </c>
      <c r="I2502" t="s">
        <v>0</v>
      </c>
      <c r="J2502" t="s">
        <v>0</v>
      </c>
      <c r="K2502" t="s">
        <v>17</v>
      </c>
      <c r="L2502" t="s">
        <v>102</v>
      </c>
      <c r="M2502" t="s">
        <v>72</v>
      </c>
      <c r="N2502" t="s">
        <v>88</v>
      </c>
      <c r="O2502" t="s">
        <v>0</v>
      </c>
      <c r="P2502" t="s">
        <v>157</v>
      </c>
      <c r="Q2502" t="s">
        <v>59</v>
      </c>
      <c r="R2502" t="s">
        <v>0</v>
      </c>
      <c r="S2502" t="s">
        <v>106</v>
      </c>
      <c r="T2502" t="s">
        <v>61</v>
      </c>
      <c r="U2502" t="s">
        <v>62</v>
      </c>
      <c r="V2502" t="s">
        <v>116</v>
      </c>
      <c r="W2502" t="s">
        <v>180</v>
      </c>
      <c r="X2502" t="s">
        <v>208</v>
      </c>
      <c r="Y2502" t="s">
        <v>6641</v>
      </c>
      <c r="Z2502" t="s">
        <v>64</v>
      </c>
      <c r="AA2502" t="s">
        <v>95</v>
      </c>
      <c r="AB2502" t="s">
        <v>0</v>
      </c>
      <c r="AC2502" t="s">
        <v>6642</v>
      </c>
    </row>
    <row r="2503" spans="1:29">
      <c r="A2503" t="s">
        <v>6643</v>
      </c>
      <c r="B2503" s="11" t="str">
        <f>IF(ISNUMBER(SEARCH(E2503,A2503)),A2503,IF(OR(E2503="",E2503=""),A2503,A2503&amp;" - "&amp;E2503))</f>
        <v>Beacon WP T24 - Blueberry Pancakes</v>
      </c>
      <c r="C2503" t="s">
        <v>911</v>
      </c>
      <c r="D2503" t="s">
        <v>912</v>
      </c>
      <c r="E2503" s="9" t="s">
        <v>6644</v>
      </c>
      <c r="F2503" s="1" t="s">
        <v>177</v>
      </c>
      <c r="G2503" s="8" t="s">
        <v>448</v>
      </c>
      <c r="H2503" s="8" t="s">
        <v>65</v>
      </c>
      <c r="I2503" t="s">
        <v>0</v>
      </c>
      <c r="J2503" t="s">
        <v>0</v>
      </c>
      <c r="K2503" t="s">
        <v>52</v>
      </c>
      <c r="L2503" t="s">
        <v>53</v>
      </c>
      <c r="M2503" t="s">
        <v>88</v>
      </c>
      <c r="N2503" t="s">
        <v>0</v>
      </c>
      <c r="O2503" t="s">
        <v>0</v>
      </c>
      <c r="P2503" t="s">
        <v>75</v>
      </c>
      <c r="Q2503" t="s">
        <v>58</v>
      </c>
      <c r="R2503" t="s">
        <v>59</v>
      </c>
      <c r="S2503" t="s">
        <v>106</v>
      </c>
      <c r="T2503" t="s">
        <v>179</v>
      </c>
      <c r="U2503" t="s">
        <v>123</v>
      </c>
      <c r="V2503" t="s">
        <v>79</v>
      </c>
      <c r="W2503" t="s">
        <v>77</v>
      </c>
      <c r="X2503" t="s">
        <v>116</v>
      </c>
      <c r="Y2503" t="s">
        <v>245</v>
      </c>
      <c r="Z2503" t="s">
        <v>64</v>
      </c>
      <c r="AA2503" t="s">
        <v>912</v>
      </c>
      <c r="AB2503" t="s">
        <v>0</v>
      </c>
      <c r="AC2503" t="s">
        <v>6645</v>
      </c>
    </row>
    <row r="2504" spans="1:29">
      <c r="A2504" t="s">
        <v>6646</v>
      </c>
      <c r="B2504" s="11" t="str">
        <f>IF(ISNUMBER(SEARCH(E2504,A2504)),A2504,IF(OR(E2504="",E2504=""),A2504,A2504&amp;" - "&amp;E2504))</f>
        <v>Craft Emerald 27:01 - Governmint Oasis</v>
      </c>
      <c r="C2504" t="s">
        <v>484</v>
      </c>
      <c r="D2504" t="s">
        <v>485</v>
      </c>
      <c r="E2504" s="79" t="s">
        <v>6647</v>
      </c>
      <c r="F2504" s="81" t="s">
        <v>177</v>
      </c>
      <c r="G2504" s="83" t="s">
        <v>33</v>
      </c>
      <c r="H2504" s="83" t="s">
        <v>65</v>
      </c>
      <c r="I2504" t="s">
        <v>0</v>
      </c>
      <c r="J2504" t="s">
        <v>0</v>
      </c>
      <c r="K2504" t="s">
        <v>52</v>
      </c>
      <c r="L2504" t="s">
        <v>53</v>
      </c>
      <c r="M2504" t="s">
        <v>54</v>
      </c>
      <c r="N2504" t="s">
        <v>0</v>
      </c>
      <c r="O2504" t="s">
        <v>0</v>
      </c>
      <c r="P2504" t="s">
        <v>112</v>
      </c>
      <c r="Q2504" t="s">
        <v>74</v>
      </c>
      <c r="R2504" t="s">
        <v>89</v>
      </c>
      <c r="S2504" t="s">
        <v>106</v>
      </c>
      <c r="T2504" t="s">
        <v>62</v>
      </c>
      <c r="U2504" t="s">
        <v>147</v>
      </c>
      <c r="V2504" t="s">
        <v>116</v>
      </c>
      <c r="W2504" t="s">
        <v>107</v>
      </c>
      <c r="X2504" t="s">
        <v>173</v>
      </c>
      <c r="Y2504" t="s">
        <v>331</v>
      </c>
      <c r="Z2504" t="s">
        <v>64</v>
      </c>
      <c r="AA2504" t="s">
        <v>485</v>
      </c>
      <c r="AB2504" t="s">
        <v>0</v>
      </c>
      <c r="AC2504" t="s">
        <v>6648</v>
      </c>
    </row>
    <row r="2505" spans="1:29">
      <c r="A2505" t="s">
        <v>6649</v>
      </c>
      <c r="B2505" s="11" t="str">
        <f>IF(ISNUMBER(SEARCH(E2505,A2505)),A2505,IF(OR(E2505="",E2505=""),A2505,A2505&amp;" - "&amp;E2505))</f>
        <v>Demecan CRAFT D-Jungle 28:01 - Purple Punch x Jungle Cake</v>
      </c>
      <c r="C2505" t="s">
        <v>484</v>
      </c>
      <c r="D2505" t="s">
        <v>485</v>
      </c>
      <c r="E2505" s="79" t="s">
        <v>1078</v>
      </c>
      <c r="F2505" s="81" t="s">
        <v>177</v>
      </c>
      <c r="G2505" s="83" t="s">
        <v>4164</v>
      </c>
      <c r="H2505" s="83" t="s">
        <v>65</v>
      </c>
      <c r="I2505" t="s">
        <v>0</v>
      </c>
      <c r="J2505" t="s">
        <v>0</v>
      </c>
      <c r="K2505" t="s">
        <v>52</v>
      </c>
      <c r="L2505" t="s">
        <v>53</v>
      </c>
      <c r="M2505" t="s">
        <v>121</v>
      </c>
      <c r="N2505" t="s">
        <v>88</v>
      </c>
      <c r="O2505" t="s">
        <v>72</v>
      </c>
      <c r="P2505" t="s">
        <v>74</v>
      </c>
      <c r="Q2505" t="s">
        <v>58</v>
      </c>
      <c r="R2505" t="s">
        <v>89</v>
      </c>
      <c r="S2505" t="s">
        <v>128</v>
      </c>
      <c r="T2505" t="s">
        <v>106</v>
      </c>
      <c r="U2505" t="s">
        <v>62</v>
      </c>
      <c r="V2505" t="s">
        <v>77</v>
      </c>
      <c r="W2505" t="s">
        <v>116</v>
      </c>
      <c r="X2505" t="s">
        <v>107</v>
      </c>
      <c r="Y2505" t="s">
        <v>6594</v>
      </c>
      <c r="Z2505" t="s">
        <v>64</v>
      </c>
      <c r="AA2505" t="s">
        <v>485</v>
      </c>
      <c r="AB2505" t="s">
        <v>0</v>
      </c>
      <c r="AC2505" t="s">
        <v>6650</v>
      </c>
    </row>
    <row r="2506" spans="1:29">
      <c r="A2506" t="s">
        <v>6651</v>
      </c>
      <c r="B2506" s="11" t="str">
        <f>IF(ISNUMBER(SEARCH(E2506,A2506)),A2506,IF(OR(E2506="",E2506=""),A2506,A2506&amp;" - "&amp;E2506))</f>
        <v>PG Strong Drop 27:01 - Gas Face</v>
      </c>
      <c r="C2506" t="s">
        <v>484</v>
      </c>
      <c r="D2506" t="s">
        <v>485</v>
      </c>
      <c r="E2506" s="79" t="s">
        <v>6652</v>
      </c>
      <c r="F2506" s="81" t="s">
        <v>86</v>
      </c>
      <c r="G2506" s="83" t="s">
        <v>33</v>
      </c>
      <c r="H2506" s="83" t="s">
        <v>65</v>
      </c>
      <c r="I2506" t="s">
        <v>0</v>
      </c>
      <c r="J2506" t="s">
        <v>0</v>
      </c>
      <c r="K2506" t="s">
        <v>52</v>
      </c>
      <c r="L2506" t="s">
        <v>53</v>
      </c>
      <c r="M2506" t="s">
        <v>55</v>
      </c>
      <c r="N2506" t="s">
        <v>54</v>
      </c>
      <c r="O2506" t="s">
        <v>212</v>
      </c>
      <c r="P2506" t="s">
        <v>59</v>
      </c>
      <c r="Q2506" t="s">
        <v>89</v>
      </c>
      <c r="R2506" t="s">
        <v>73</v>
      </c>
      <c r="S2506" t="s">
        <v>106</v>
      </c>
      <c r="T2506" t="s">
        <v>62</v>
      </c>
      <c r="U2506" t="s">
        <v>147</v>
      </c>
      <c r="V2506" t="s">
        <v>173</v>
      </c>
      <c r="W2506" t="s">
        <v>116</v>
      </c>
      <c r="X2506" t="s">
        <v>208</v>
      </c>
      <c r="Y2506" t="s">
        <v>314</v>
      </c>
      <c r="Z2506" t="s">
        <v>64</v>
      </c>
      <c r="AA2506" t="s">
        <v>485</v>
      </c>
      <c r="AB2506" t="s">
        <v>0</v>
      </c>
      <c r="AC2506" t="s">
        <v>6653</v>
      </c>
    </row>
    <row r="2507" spans="1:29">
      <c r="A2507" t="s">
        <v>721</v>
      </c>
      <c r="B2507" s="11" t="str">
        <f>IF(ISNUMBER(SEARCH(E2507,A2507)),A2507,IF(OR(E2507="",E2507=""),A2507,A2507&amp;" - "&amp;E2507))</f>
        <v>Demecan Epic Drop 30:01 - Tiger Eyez</v>
      </c>
      <c r="C2507" t="s">
        <v>484</v>
      </c>
      <c r="D2507" t="s">
        <v>485</v>
      </c>
      <c r="E2507" s="79" t="s">
        <v>6654</v>
      </c>
      <c r="F2507" s="81" t="s">
        <v>86</v>
      </c>
      <c r="G2507" s="83" t="s">
        <v>4057</v>
      </c>
      <c r="H2507" s="83">
        <v>1</v>
      </c>
      <c r="I2507" t="s">
        <v>0</v>
      </c>
      <c r="J2507" t="s">
        <v>0</v>
      </c>
      <c r="K2507" t="s">
        <v>52</v>
      </c>
      <c r="L2507" t="s">
        <v>53</v>
      </c>
      <c r="M2507" t="s">
        <v>54</v>
      </c>
      <c r="N2507" t="s">
        <v>111</v>
      </c>
      <c r="O2507" t="s">
        <v>121</v>
      </c>
      <c r="P2507" t="s">
        <v>0</v>
      </c>
      <c r="Q2507" t="s">
        <v>0</v>
      </c>
      <c r="R2507" t="s">
        <v>0</v>
      </c>
      <c r="S2507" t="s">
        <v>61</v>
      </c>
      <c r="T2507" t="s">
        <v>76</v>
      </c>
      <c r="U2507" t="s">
        <v>62</v>
      </c>
      <c r="V2507" t="s">
        <v>173</v>
      </c>
      <c r="W2507" t="s">
        <v>914</v>
      </c>
      <c r="X2507" t="s">
        <v>93</v>
      </c>
      <c r="Y2507" t="s">
        <v>6655</v>
      </c>
      <c r="Z2507" t="s">
        <v>64</v>
      </c>
      <c r="AA2507" t="s">
        <v>485</v>
      </c>
      <c r="AB2507" t="s">
        <v>2876</v>
      </c>
      <c r="AC2507" t="s">
        <v>6656</v>
      </c>
    </row>
    <row r="2508" spans="1:29">
      <c r="A2508" t="s">
        <v>6657</v>
      </c>
      <c r="B2508" s="11" t="str">
        <f>IF(ISNUMBER(SEARCH(E2508,A2508)),A2508,IF(OR(E2508="",E2508=""),A2508,A2508&amp;" - "&amp;E2508))</f>
        <v>Cannovum Natura PMK 26/1 - Permanent Marker</v>
      </c>
      <c r="C2508" t="s">
        <v>2145</v>
      </c>
      <c r="D2508" t="s">
        <v>2146</v>
      </c>
      <c r="E2508" t="s">
        <v>327</v>
      </c>
      <c r="F2508" t="s">
        <v>177</v>
      </c>
      <c r="G2508" t="s">
        <v>4086</v>
      </c>
      <c r="H2508" s="2" t="s">
        <v>65</v>
      </c>
      <c r="I2508" t="s">
        <v>0</v>
      </c>
      <c r="J2508" t="s">
        <v>0</v>
      </c>
      <c r="K2508" t="s">
        <v>52</v>
      </c>
      <c r="L2508" t="s">
        <v>102</v>
      </c>
      <c r="M2508" t="s">
        <v>54</v>
      </c>
      <c r="N2508" t="s">
        <v>111</v>
      </c>
      <c r="O2508" t="s">
        <v>71</v>
      </c>
      <c r="P2508" t="s">
        <v>104</v>
      </c>
      <c r="Q2508" t="s">
        <v>89</v>
      </c>
      <c r="R2508" t="s">
        <v>0</v>
      </c>
      <c r="S2508" t="s">
        <v>106</v>
      </c>
      <c r="T2508" t="s">
        <v>62</v>
      </c>
      <c r="U2508" t="s">
        <v>123</v>
      </c>
      <c r="V2508" t="s">
        <v>116</v>
      </c>
      <c r="W2508" t="s">
        <v>173</v>
      </c>
      <c r="X2508" t="s">
        <v>107</v>
      </c>
      <c r="Y2508" t="s">
        <v>0</v>
      </c>
      <c r="Z2508" t="s">
        <v>64</v>
      </c>
      <c r="AA2508" t="s">
        <v>2146</v>
      </c>
      <c r="AB2508" t="s">
        <v>0</v>
      </c>
      <c r="AC2508" t="s">
        <v>6658</v>
      </c>
    </row>
    <row r="2509" spans="1:29">
      <c r="A2509" t="s">
        <v>6659</v>
      </c>
      <c r="B2509" s="11" t="str">
        <f>IF(ISNUMBER(SEARCH(E2509,A2509)),A2509,IF(OR(E2509="",E2509=""),A2509,A2509&amp;" - "&amp;E2509))</f>
        <v>IMC DB THC20 - Junky Lemon</v>
      </c>
      <c r="C2509" t="s">
        <v>646</v>
      </c>
      <c r="D2509" t="s">
        <v>646</v>
      </c>
      <c r="E2509" s="79" t="s">
        <v>6660</v>
      </c>
      <c r="F2509" s="81" t="s">
        <v>86</v>
      </c>
      <c r="G2509" s="83" t="s">
        <v>460</v>
      </c>
      <c r="H2509" s="83" t="s">
        <v>65</v>
      </c>
      <c r="I2509" t="s">
        <v>0</v>
      </c>
      <c r="J2509" t="s">
        <v>0</v>
      </c>
      <c r="K2509" t="s">
        <v>52</v>
      </c>
      <c r="L2509" t="s">
        <v>53</v>
      </c>
      <c r="M2509" t="s">
        <v>111</v>
      </c>
      <c r="N2509" t="s">
        <v>54</v>
      </c>
      <c r="O2509" t="s">
        <v>55</v>
      </c>
      <c r="P2509" t="s">
        <v>75</v>
      </c>
      <c r="Q2509" t="s">
        <v>0</v>
      </c>
      <c r="R2509" t="s">
        <v>0</v>
      </c>
      <c r="S2509" t="s">
        <v>106</v>
      </c>
      <c r="T2509" t="s">
        <v>62</v>
      </c>
      <c r="U2509" t="s">
        <v>147</v>
      </c>
      <c r="V2509" t="s">
        <v>292</v>
      </c>
      <c r="W2509" t="s">
        <v>107</v>
      </c>
      <c r="X2509" t="s">
        <v>138</v>
      </c>
      <c r="Y2509" t="s">
        <v>2287</v>
      </c>
      <c r="Z2509" t="s">
        <v>64</v>
      </c>
      <c r="AA2509" t="s">
        <v>646</v>
      </c>
      <c r="AB2509" t="s">
        <v>0</v>
      </c>
      <c r="AC2509" t="s">
        <v>6661</v>
      </c>
    </row>
    <row r="2510" spans="1:29">
      <c r="A2510" t="s">
        <v>6662</v>
      </c>
      <c r="B2510" s="11" t="str">
        <f>IF(ISNUMBER(SEARCH(E2510,A2510)),A2510,IF(OR(E2510="",E2510=""),A2510,A2510&amp;" - "&amp;E2510))</f>
        <v>IMC E2 THC22 - Zkittlez Pie</v>
      </c>
      <c r="C2510" t="s">
        <v>646</v>
      </c>
      <c r="D2510" t="s">
        <v>646</v>
      </c>
      <c r="E2510" s="79" t="s">
        <v>6663</v>
      </c>
      <c r="F2510" s="81" t="s">
        <v>86</v>
      </c>
      <c r="G2510" s="83" t="s">
        <v>4126</v>
      </c>
      <c r="H2510" s="83" t="s">
        <v>65</v>
      </c>
      <c r="I2510" t="s">
        <v>0</v>
      </c>
      <c r="J2510" t="s">
        <v>0</v>
      </c>
      <c r="K2510" t="s">
        <v>52</v>
      </c>
      <c r="L2510" t="s">
        <v>53</v>
      </c>
      <c r="M2510" t="s">
        <v>178</v>
      </c>
      <c r="N2510" t="s">
        <v>0</v>
      </c>
      <c r="O2510" t="s">
        <v>0</v>
      </c>
      <c r="P2510" t="s">
        <v>59</v>
      </c>
      <c r="Q2510" t="s">
        <v>58</v>
      </c>
      <c r="R2510" t="s">
        <v>89</v>
      </c>
      <c r="S2510" t="s">
        <v>106</v>
      </c>
      <c r="T2510" t="s">
        <v>62</v>
      </c>
      <c r="U2510" t="s">
        <v>147</v>
      </c>
      <c r="V2510" t="s">
        <v>77</v>
      </c>
      <c r="W2510" t="s">
        <v>107</v>
      </c>
      <c r="X2510" t="s">
        <v>138</v>
      </c>
      <c r="Y2510" t="s">
        <v>6664</v>
      </c>
      <c r="Z2510" t="s">
        <v>64</v>
      </c>
      <c r="AA2510" t="s">
        <v>646</v>
      </c>
      <c r="AB2510" t="s">
        <v>0</v>
      </c>
      <c r="AC2510" t="s">
        <v>6665</v>
      </c>
    </row>
    <row r="2511" spans="1:29">
      <c r="A2511" t="s">
        <v>6666</v>
      </c>
      <c r="B2511" s="11" t="str">
        <f>IF(ISNUMBER(SEARCH(E2511,A2511)),A2511,IF(OR(E2511="",E2511=""),A2511,A2511&amp;" - "&amp;E2511))</f>
        <v>IMC RC6 THC20 - Tropic Smash</v>
      </c>
      <c r="C2511" t="s">
        <v>646</v>
      </c>
      <c r="D2511" t="s">
        <v>646</v>
      </c>
      <c r="E2511" s="79" t="s">
        <v>6667</v>
      </c>
      <c r="F2511" s="81" t="s">
        <v>86</v>
      </c>
      <c r="G2511" s="83" t="s">
        <v>460</v>
      </c>
      <c r="H2511" s="83" t="s">
        <v>65</v>
      </c>
      <c r="I2511" t="s">
        <v>0</v>
      </c>
      <c r="J2511" t="s">
        <v>0</v>
      </c>
      <c r="K2511" t="s">
        <v>52</v>
      </c>
      <c r="L2511" t="s">
        <v>53</v>
      </c>
      <c r="M2511" t="s">
        <v>103</v>
      </c>
      <c r="N2511" t="s">
        <v>88</v>
      </c>
      <c r="O2511" t="s">
        <v>54</v>
      </c>
      <c r="P2511" t="s">
        <v>59</v>
      </c>
      <c r="Q2511" t="s">
        <v>58</v>
      </c>
      <c r="R2511" t="s">
        <v>89</v>
      </c>
      <c r="S2511" t="s">
        <v>106</v>
      </c>
      <c r="T2511" t="s">
        <v>62</v>
      </c>
      <c r="U2511" t="s">
        <v>147</v>
      </c>
      <c r="V2511" t="s">
        <v>79</v>
      </c>
      <c r="W2511" t="s">
        <v>914</v>
      </c>
      <c r="X2511" t="s">
        <v>92</v>
      </c>
      <c r="Y2511" t="s">
        <v>2287</v>
      </c>
      <c r="Z2511" t="s">
        <v>64</v>
      </c>
      <c r="AA2511" t="s">
        <v>646</v>
      </c>
      <c r="AB2511" t="s">
        <v>0</v>
      </c>
      <c r="AC2511" t="s">
        <v>6668</v>
      </c>
    </row>
    <row r="2512" spans="1:29">
      <c r="A2512" t="s">
        <v>6669</v>
      </c>
      <c r="B2512" s="11" t="str">
        <f>IF(ISNUMBER(SEARCH(E2512,A2512)),A2512,IF(OR(E2512="",E2512=""),A2512,A2512&amp;" - "&amp;E2512))</f>
        <v>Cannabis flos 27/1 CDA Ku. Flapjacks - Flap Jacks</v>
      </c>
      <c r="C2512" t="s">
        <v>99</v>
      </c>
      <c r="D2512" t="s">
        <v>100</v>
      </c>
      <c r="E2512" s="79" t="s">
        <v>1709</v>
      </c>
      <c r="F2512" s="81" t="s">
        <v>177</v>
      </c>
      <c r="G2512" s="83" t="s">
        <v>33</v>
      </c>
      <c r="H2512" s="83" t="s">
        <v>65</v>
      </c>
      <c r="I2512" t="s">
        <v>0</v>
      </c>
      <c r="J2512" t="s">
        <v>0</v>
      </c>
      <c r="K2512" t="s">
        <v>52</v>
      </c>
      <c r="L2512" t="s">
        <v>53</v>
      </c>
      <c r="M2512" t="s">
        <v>54</v>
      </c>
      <c r="N2512" t="s">
        <v>178</v>
      </c>
      <c r="O2512" t="s">
        <v>88</v>
      </c>
      <c r="P2512" t="s">
        <v>59</v>
      </c>
      <c r="Q2512" t="s">
        <v>74</v>
      </c>
      <c r="R2512" t="s">
        <v>146</v>
      </c>
      <c r="S2512" t="s">
        <v>106</v>
      </c>
      <c r="T2512" t="s">
        <v>62</v>
      </c>
      <c r="U2512" t="s">
        <v>123</v>
      </c>
      <c r="V2512" t="s">
        <v>77</v>
      </c>
      <c r="W2512" t="s">
        <v>107</v>
      </c>
      <c r="X2512" t="s">
        <v>116</v>
      </c>
      <c r="Y2512" t="s">
        <v>413</v>
      </c>
      <c r="Z2512" t="s">
        <v>64</v>
      </c>
      <c r="AA2512" t="s">
        <v>100</v>
      </c>
      <c r="AB2512" t="s">
        <v>0</v>
      </c>
      <c r="AC2512" t="s">
        <v>6670</v>
      </c>
    </row>
    <row r="2513" spans="1:29">
      <c r="A2513" t="s">
        <v>6671</v>
      </c>
      <c r="B2513" s="11" t="str">
        <f>IF(ISNUMBER(SEARCH(E2513,A2513)),A2513,IF(OR(E2513="",E2513=""),A2513,A2513&amp;" - "&amp;E2513))</f>
        <v>Demecan Core Purple Twist 23:01 RS11 - Rainbow Sherbert 11</v>
      </c>
      <c r="C2513" t="s">
        <v>484</v>
      </c>
      <c r="D2513" t="s">
        <v>485</v>
      </c>
      <c r="E2513" s="79" t="s">
        <v>4445</v>
      </c>
      <c r="F2513" s="81" t="s">
        <v>86</v>
      </c>
      <c r="G2513" s="83" t="s">
        <v>436</v>
      </c>
      <c r="H2513" s="83">
        <v>1</v>
      </c>
      <c r="I2513" t="s">
        <v>0</v>
      </c>
      <c r="J2513" t="s">
        <v>0</v>
      </c>
      <c r="K2513" t="s">
        <v>52</v>
      </c>
      <c r="L2513" t="s">
        <v>53</v>
      </c>
      <c r="M2513" t="s">
        <v>111</v>
      </c>
      <c r="N2513" t="s">
        <v>71</v>
      </c>
      <c r="O2513" t="s">
        <v>54</v>
      </c>
      <c r="P2513" t="s">
        <v>75</v>
      </c>
      <c r="Q2513" t="s">
        <v>104</v>
      </c>
      <c r="R2513" t="s">
        <v>73</v>
      </c>
      <c r="S2513" t="s">
        <v>106</v>
      </c>
      <c r="T2513" t="s">
        <v>62</v>
      </c>
      <c r="U2513" t="s">
        <v>123</v>
      </c>
      <c r="V2513" t="s">
        <v>93</v>
      </c>
      <c r="W2513" t="s">
        <v>79</v>
      </c>
      <c r="X2513" t="s">
        <v>77</v>
      </c>
      <c r="Y2513" t="s">
        <v>220</v>
      </c>
      <c r="Z2513" t="s">
        <v>64</v>
      </c>
      <c r="AA2513" t="s">
        <v>485</v>
      </c>
      <c r="AB2513" t="s">
        <v>0</v>
      </c>
      <c r="AC2513" t="s">
        <v>6672</v>
      </c>
    </row>
    <row r="2514" spans="1:29">
      <c r="A2514" t="s">
        <v>6673</v>
      </c>
      <c r="B2514" s="11" t="str">
        <f>IF(ISNUMBER(SEARCH(E2514,A2514)),A2514,IF(OR(E2514="",E2514=""),A2514,A2514&amp;" - "&amp;E2514))</f>
        <v>Cannabis flos 30/1 CNDA Ku. - Purple Churro</v>
      </c>
      <c r="C2514" t="s">
        <v>99</v>
      </c>
      <c r="D2514" t="s">
        <v>100</v>
      </c>
      <c r="E2514" s="79" t="s">
        <v>6674</v>
      </c>
      <c r="F2514" s="81" t="s">
        <v>86</v>
      </c>
      <c r="G2514" s="83" t="s">
        <v>4057</v>
      </c>
      <c r="H2514" s="83" t="s">
        <v>65</v>
      </c>
      <c r="I2514" t="s">
        <v>0</v>
      </c>
      <c r="J2514" t="s">
        <v>0</v>
      </c>
      <c r="K2514" t="s">
        <v>52</v>
      </c>
      <c r="L2514" t="s">
        <v>53</v>
      </c>
      <c r="M2514" t="s">
        <v>54</v>
      </c>
      <c r="N2514" t="s">
        <v>0</v>
      </c>
      <c r="O2514" t="s">
        <v>0</v>
      </c>
      <c r="P2514" t="s">
        <v>58</v>
      </c>
      <c r="Q2514" t="s">
        <v>59</v>
      </c>
      <c r="R2514" t="s">
        <v>0</v>
      </c>
      <c r="S2514" t="s">
        <v>106</v>
      </c>
      <c r="T2514" t="s">
        <v>62</v>
      </c>
      <c r="U2514" t="s">
        <v>234</v>
      </c>
      <c r="V2514" t="s">
        <v>208</v>
      </c>
      <c r="W2514" t="s">
        <v>138</v>
      </c>
      <c r="X2514" t="s">
        <v>173</v>
      </c>
      <c r="Y2514" t="s">
        <v>314</v>
      </c>
      <c r="Z2514" t="s">
        <v>64</v>
      </c>
      <c r="AA2514" t="s">
        <v>100</v>
      </c>
      <c r="AB2514" t="s">
        <v>0</v>
      </c>
      <c r="AC2514" t="s">
        <v>6675</v>
      </c>
    </row>
    <row r="2515" spans="1:29">
      <c r="A2515" t="s">
        <v>6676</v>
      </c>
      <c r="B2515" s="11" t="str">
        <f>IF(ISNUMBER(SEARCH(E2515,A2515)),A2515,IF(OR(E2515="",E2515=""),A2515,A2515&amp;" - "&amp;E2515))</f>
        <v>Beacon LI T26 - Liquid Imagination</v>
      </c>
      <c r="C2515" t="s">
        <v>911</v>
      </c>
      <c r="D2515" t="s">
        <v>912</v>
      </c>
      <c r="E2515" s="9" t="s">
        <v>6036</v>
      </c>
      <c r="F2515" s="1" t="s">
        <v>86</v>
      </c>
      <c r="G2515" s="8" t="s">
        <v>4086</v>
      </c>
      <c r="H2515" s="8" t="s">
        <v>65</v>
      </c>
      <c r="I2515" t="s">
        <v>0</v>
      </c>
      <c r="J2515" t="s">
        <v>0</v>
      </c>
      <c r="K2515" t="s">
        <v>52</v>
      </c>
      <c r="L2515" t="s">
        <v>53</v>
      </c>
      <c r="M2515" t="s">
        <v>72</v>
      </c>
      <c r="N2515" t="s">
        <v>54</v>
      </c>
      <c r="O2515" t="s">
        <v>71</v>
      </c>
      <c r="P2515" t="s">
        <v>89</v>
      </c>
      <c r="Q2515" t="s">
        <v>58</v>
      </c>
      <c r="R2515" t="s">
        <v>74</v>
      </c>
      <c r="S2515" t="s">
        <v>90</v>
      </c>
      <c r="T2515" t="s">
        <v>128</v>
      </c>
      <c r="U2515" t="s">
        <v>106</v>
      </c>
      <c r="V2515" t="s">
        <v>77</v>
      </c>
      <c r="W2515" t="s">
        <v>292</v>
      </c>
      <c r="X2515" t="s">
        <v>79</v>
      </c>
      <c r="Y2515" t="s">
        <v>377</v>
      </c>
      <c r="Z2515" t="s">
        <v>64</v>
      </c>
      <c r="AA2515" t="s">
        <v>912</v>
      </c>
      <c r="AB2515" t="s">
        <v>0</v>
      </c>
      <c r="AC2515" t="s">
        <v>6677</v>
      </c>
    </row>
    <row r="2516" spans="1:29">
      <c r="A2516" t="s">
        <v>6678</v>
      </c>
      <c r="B2516" s="11" t="str">
        <f>IF(ISNUMBER(SEARCH(E2516,A2516)),A2516,IF(OR(E2516="",E2516=""),A2516,A2516&amp;" - "&amp;E2516))</f>
        <v>enua 25/1 EJZ CA - El Jefe Zoap</v>
      </c>
      <c r="C2516" t="s">
        <v>650</v>
      </c>
      <c r="D2516" t="s">
        <v>653</v>
      </c>
      <c r="E2516" s="79" t="s">
        <v>6536</v>
      </c>
      <c r="F2516" s="81" t="s">
        <v>86</v>
      </c>
      <c r="G2516" s="83" t="s">
        <v>26</v>
      </c>
      <c r="H2516" s="83" t="s">
        <v>65</v>
      </c>
      <c r="I2516" t="s">
        <v>0</v>
      </c>
      <c r="J2516" t="s">
        <v>0</v>
      </c>
      <c r="K2516" t="s">
        <v>52</v>
      </c>
      <c r="L2516" t="s">
        <v>102</v>
      </c>
      <c r="M2516" t="s">
        <v>121</v>
      </c>
      <c r="N2516" t="s">
        <v>72</v>
      </c>
      <c r="O2516" t="s">
        <v>88</v>
      </c>
      <c r="P2516" t="s">
        <v>73</v>
      </c>
      <c r="Q2516" t="s">
        <v>112</v>
      </c>
      <c r="R2516" t="s">
        <v>186</v>
      </c>
      <c r="S2516" t="s">
        <v>106</v>
      </c>
      <c r="T2516" t="s">
        <v>62</v>
      </c>
      <c r="U2516" t="s">
        <v>123</v>
      </c>
      <c r="V2516" t="s">
        <v>77</v>
      </c>
      <c r="W2516" t="s">
        <v>116</v>
      </c>
      <c r="X2516" t="s">
        <v>180</v>
      </c>
      <c r="Y2516" t="s">
        <v>1687</v>
      </c>
      <c r="Z2516" t="s">
        <v>64</v>
      </c>
      <c r="AA2516" t="s">
        <v>653</v>
      </c>
      <c r="AB2516" t="s">
        <v>0</v>
      </c>
      <c r="AC2516" t="s">
        <v>6679</v>
      </c>
    </row>
    <row r="2517" spans="1:29">
      <c r="A2517" t="s">
        <v>6680</v>
      </c>
      <c r="B2517" s="11" t="str">
        <f>IF(ISNUMBER(SEARCH(E2517,A2517)),A2517,IF(OR(E2517="",E2517=""),A2517,A2517&amp;" - "&amp;E2517))</f>
        <v>Roxton Air FC 21/1 - Frosted Cookies</v>
      </c>
      <c r="C2517" t="s">
        <v>564</v>
      </c>
      <c r="D2517" t="s">
        <v>565</v>
      </c>
      <c r="E2517" s="79" t="s">
        <v>1414</v>
      </c>
      <c r="F2517" s="81" t="s">
        <v>86</v>
      </c>
      <c r="G2517" s="83" t="s">
        <v>452</v>
      </c>
      <c r="H2517" s="83">
        <v>1</v>
      </c>
      <c r="I2517" t="s">
        <v>0</v>
      </c>
      <c r="J2517" t="s">
        <v>0</v>
      </c>
      <c r="K2517" t="s">
        <v>52</v>
      </c>
      <c r="L2517" t="s">
        <v>53</v>
      </c>
      <c r="M2517" t="s">
        <v>71</v>
      </c>
      <c r="N2517" t="s">
        <v>121</v>
      </c>
      <c r="O2517" t="s">
        <v>72</v>
      </c>
      <c r="P2517" t="s">
        <v>75</v>
      </c>
      <c r="Q2517" t="s">
        <v>74</v>
      </c>
      <c r="R2517" t="s">
        <v>0</v>
      </c>
      <c r="S2517" t="s">
        <v>106</v>
      </c>
      <c r="T2517" t="s">
        <v>62</v>
      </c>
      <c r="U2517" t="s">
        <v>91</v>
      </c>
      <c r="V2517" t="s">
        <v>79</v>
      </c>
      <c r="W2517" t="s">
        <v>116</v>
      </c>
      <c r="X2517" t="s">
        <v>107</v>
      </c>
      <c r="Y2517" t="s">
        <v>1812</v>
      </c>
      <c r="Z2517" t="s">
        <v>64</v>
      </c>
      <c r="AA2517" t="s">
        <v>565</v>
      </c>
      <c r="AB2517" t="s">
        <v>1411</v>
      </c>
      <c r="AC2517" t="s">
        <v>6681</v>
      </c>
    </row>
    <row r="2518" spans="1:29">
      <c r="A2518" t="s">
        <v>6682</v>
      </c>
      <c r="B2518" s="11" t="str">
        <f>IF(ISNUMBER(SEARCH(E2518,A2518)),A2518,IF(OR(E2518="",E2518=""),A2518,A2518&amp;" - "&amp;E2518))</f>
        <v>Demecan Serenova 31/1 CJ - Cap Junky</v>
      </c>
      <c r="C2518" t="s">
        <v>484</v>
      </c>
      <c r="D2518" t="s">
        <v>485</v>
      </c>
      <c r="E2518" s="79" t="s">
        <v>1594</v>
      </c>
      <c r="F2518" s="81" t="s">
        <v>177</v>
      </c>
      <c r="G2518" s="83" t="s">
        <v>4453</v>
      </c>
      <c r="H2518" s="83" t="s">
        <v>65</v>
      </c>
      <c r="I2518" t="s">
        <v>0</v>
      </c>
      <c r="J2518" t="s">
        <v>0</v>
      </c>
      <c r="K2518" t="s">
        <v>52</v>
      </c>
      <c r="L2518" t="s">
        <v>53</v>
      </c>
      <c r="M2518" t="s">
        <v>111</v>
      </c>
      <c r="N2518" t="s">
        <v>54</v>
      </c>
      <c r="O2518" t="s">
        <v>178</v>
      </c>
      <c r="P2518" t="s">
        <v>74</v>
      </c>
      <c r="Q2518" t="s">
        <v>59</v>
      </c>
      <c r="R2518" t="s">
        <v>89</v>
      </c>
      <c r="S2518" t="s">
        <v>106</v>
      </c>
      <c r="T2518" t="s">
        <v>466</v>
      </c>
      <c r="U2518" t="s">
        <v>0</v>
      </c>
      <c r="V2518" t="s">
        <v>116</v>
      </c>
      <c r="W2518" t="s">
        <v>107</v>
      </c>
      <c r="X2518" t="s">
        <v>77</v>
      </c>
      <c r="Y2518" t="s">
        <v>555</v>
      </c>
      <c r="Z2518" t="s">
        <v>64</v>
      </c>
      <c r="AA2518" t="s">
        <v>485</v>
      </c>
      <c r="AB2518" t="s">
        <v>0</v>
      </c>
      <c r="AC2518" t="s">
        <v>6683</v>
      </c>
    </row>
    <row r="2519" spans="1:29">
      <c r="A2519" t="s">
        <v>6684</v>
      </c>
      <c r="B2519" s="11" t="str">
        <f>IF(ISNUMBER(SEARCH(E2519,A2519)),A2519,IF(OR(E2519="",E2519=""),A2519,A2519&amp;" - "&amp;E2519))</f>
        <v>Origine Nature GG 25/1 - Golden Gauth</v>
      </c>
      <c r="C2519" t="s">
        <v>564</v>
      </c>
      <c r="D2519" t="s">
        <v>565</v>
      </c>
      <c r="E2519" t="s">
        <v>5397</v>
      </c>
      <c r="F2519" t="s">
        <v>144</v>
      </c>
      <c r="G2519" t="s">
        <v>26</v>
      </c>
      <c r="H2519" s="2" t="s">
        <v>65</v>
      </c>
      <c r="I2519" t="s">
        <v>0</v>
      </c>
      <c r="J2519" t="s">
        <v>0</v>
      </c>
      <c r="K2519" t="s">
        <v>52</v>
      </c>
      <c r="L2519" t="s">
        <v>53</v>
      </c>
      <c r="M2519" t="s">
        <v>72</v>
      </c>
      <c r="N2519" t="s">
        <v>54</v>
      </c>
      <c r="O2519" t="s">
        <v>71</v>
      </c>
      <c r="P2519" t="s">
        <v>59</v>
      </c>
      <c r="Q2519" t="s">
        <v>136</v>
      </c>
      <c r="R2519" t="s">
        <v>74</v>
      </c>
      <c r="S2519" t="s">
        <v>106</v>
      </c>
      <c r="T2519" t="s">
        <v>62</v>
      </c>
      <c r="U2519" t="s">
        <v>192</v>
      </c>
      <c r="V2519" t="s">
        <v>165</v>
      </c>
      <c r="W2519" t="s">
        <v>129</v>
      </c>
      <c r="X2519" t="s">
        <v>138</v>
      </c>
      <c r="Y2519" t="s">
        <v>0</v>
      </c>
      <c r="Z2519" t="s">
        <v>64</v>
      </c>
      <c r="AA2519" t="s">
        <v>565</v>
      </c>
      <c r="AB2519" t="s">
        <v>0</v>
      </c>
      <c r="AC2519" t="s">
        <v>6685</v>
      </c>
    </row>
    <row r="2520" spans="1:29">
      <c r="A2520" t="s">
        <v>6686</v>
      </c>
      <c r="B2520" s="11" t="str">
        <f>IF(ISNUMBER(SEARCH(E2520,A2520)),A2520,IF(OR(E2520="",E2520=""),A2520,A2520&amp;" - "&amp;E2520))</f>
        <v>Organic Sweetgrass MCC 21/1 Mint Chocolate Chips</v>
      </c>
      <c r="C2520" t="s">
        <v>564</v>
      </c>
      <c r="D2520" t="s">
        <v>565</v>
      </c>
      <c r="E2520" s="9" t="s">
        <v>4684</v>
      </c>
      <c r="F2520" s="1" t="s">
        <v>86</v>
      </c>
      <c r="G2520" s="8" t="s">
        <v>452</v>
      </c>
      <c r="H2520" s="8">
        <v>1</v>
      </c>
      <c r="I2520" t="s">
        <v>0</v>
      </c>
      <c r="J2520" t="s">
        <v>0</v>
      </c>
      <c r="K2520" t="s">
        <v>52</v>
      </c>
      <c r="L2520" t="s">
        <v>53</v>
      </c>
      <c r="M2520" t="s">
        <v>54</v>
      </c>
      <c r="N2520" t="s">
        <v>72</v>
      </c>
      <c r="O2520" t="s">
        <v>0</v>
      </c>
      <c r="P2520" t="s">
        <v>157</v>
      </c>
      <c r="Q2520" t="s">
        <v>74</v>
      </c>
      <c r="R2520" t="s">
        <v>89</v>
      </c>
      <c r="S2520" t="s">
        <v>128</v>
      </c>
      <c r="T2520" t="s">
        <v>106</v>
      </c>
      <c r="U2520" t="s">
        <v>62</v>
      </c>
      <c r="V2520" t="s">
        <v>180</v>
      </c>
      <c r="W2520" t="s">
        <v>116</v>
      </c>
      <c r="X2520" t="s">
        <v>93</v>
      </c>
      <c r="Y2520" t="s">
        <v>453</v>
      </c>
      <c r="Z2520" t="s">
        <v>64</v>
      </c>
      <c r="AA2520" t="s">
        <v>565</v>
      </c>
      <c r="AB2520" t="s">
        <v>0</v>
      </c>
      <c r="AC2520" t="s">
        <v>6687</v>
      </c>
    </row>
    <row r="2521" spans="1:29">
      <c r="A2521" t="s">
        <v>6688</v>
      </c>
      <c r="B2521" s="11" t="str">
        <f>IF(ISNUMBER(SEARCH(E2521,A2521)),A2521,IF(OR(E2521="",E2521=""),A2521,A2521&amp;" - "&amp;E2521))</f>
        <v>Slouu 30/1 GLZ CA - Garlic Z</v>
      </c>
      <c r="C2521" t="s">
        <v>650</v>
      </c>
      <c r="D2521" t="s">
        <v>653</v>
      </c>
      <c r="E2521" s="9" t="s">
        <v>6689</v>
      </c>
      <c r="F2521" s="1" t="s">
        <v>86</v>
      </c>
      <c r="G2521" s="8" t="s">
        <v>4057</v>
      </c>
      <c r="H2521" s="8" t="s">
        <v>65</v>
      </c>
      <c r="I2521" t="s">
        <v>0</v>
      </c>
      <c r="J2521" t="s">
        <v>0</v>
      </c>
      <c r="K2521" t="s">
        <v>52</v>
      </c>
      <c r="M2521" t="s">
        <v>121</v>
      </c>
      <c r="N2521" t="s">
        <v>54</v>
      </c>
      <c r="O2521" t="s">
        <v>55</v>
      </c>
      <c r="P2521" t="s">
        <v>58</v>
      </c>
      <c r="Q2521" t="s">
        <v>73</v>
      </c>
      <c r="R2521" t="s">
        <v>0</v>
      </c>
      <c r="S2521" t="s">
        <v>0</v>
      </c>
      <c r="T2521" t="s">
        <v>0</v>
      </c>
      <c r="U2521" t="s">
        <v>0</v>
      </c>
      <c r="V2521" t="s">
        <v>116</v>
      </c>
      <c r="W2521" t="s">
        <v>79</v>
      </c>
      <c r="X2521" t="s">
        <v>173</v>
      </c>
      <c r="Y2521" t="s">
        <v>1542</v>
      </c>
      <c r="Z2521" t="s">
        <v>64</v>
      </c>
      <c r="AA2521" t="s">
        <v>653</v>
      </c>
      <c r="AB2521" t="s">
        <v>0</v>
      </c>
      <c r="AC2521" t="s">
        <v>6690</v>
      </c>
    </row>
    <row r="2522" spans="1:29">
      <c r="A2522" t="s">
        <v>6691</v>
      </c>
      <c r="B2522" s="11" t="str">
        <f>IF(ISNUMBER(SEARCH(E2522,A2522)),A2522,IF(OR(E2522="",E2522=""),A2522,A2522&amp;" - "&amp;E2522))</f>
        <v>Slouu 25/1 CRL CA - Crumbled Lime</v>
      </c>
      <c r="C2522" t="s">
        <v>650</v>
      </c>
      <c r="D2522" t="s">
        <v>653</v>
      </c>
      <c r="E2522" s="9" t="s">
        <v>5908</v>
      </c>
      <c r="F2522" s="1" t="s">
        <v>86</v>
      </c>
      <c r="G2522" s="8" t="s">
        <v>26</v>
      </c>
      <c r="H2522" s="8" t="s">
        <v>65</v>
      </c>
      <c r="I2522" t="s">
        <v>0</v>
      </c>
      <c r="J2522" t="s">
        <v>0</v>
      </c>
      <c r="K2522" t="s">
        <v>52</v>
      </c>
      <c r="M2522" t="s">
        <v>121</v>
      </c>
      <c r="N2522" t="s">
        <v>72</v>
      </c>
      <c r="O2522" t="s">
        <v>54</v>
      </c>
      <c r="P2522" t="s">
        <v>59</v>
      </c>
      <c r="Q2522" t="s">
        <v>89</v>
      </c>
      <c r="R2522" t="s">
        <v>58</v>
      </c>
      <c r="S2522" t="s">
        <v>0</v>
      </c>
      <c r="T2522" t="s">
        <v>0</v>
      </c>
      <c r="U2522" t="s">
        <v>0</v>
      </c>
      <c r="V2522" t="s">
        <v>77</v>
      </c>
      <c r="W2522" t="s">
        <v>116</v>
      </c>
      <c r="X2522" t="s">
        <v>180</v>
      </c>
      <c r="Y2522" t="s">
        <v>307</v>
      </c>
      <c r="Z2522" t="s">
        <v>64</v>
      </c>
      <c r="AA2522" t="s">
        <v>653</v>
      </c>
      <c r="AB2522" t="s">
        <v>0</v>
      </c>
      <c r="AC2522" t="s">
        <v>6692</v>
      </c>
    </row>
    <row r="2523" spans="1:29">
      <c r="A2523" t="s">
        <v>6693</v>
      </c>
      <c r="B2523" s="11" t="str">
        <f>IF(ISNUMBER(SEARCH(E2523,A2523)),A2523,IF(OR(E2523="",E2523=""),A2523,A2523&amp;" - "&amp;E2523))</f>
        <v>Demecan Core Illume 18:01 - Vanilla Ice</v>
      </c>
      <c r="C2523" t="s">
        <v>484</v>
      </c>
      <c r="D2523" t="s">
        <v>485</v>
      </c>
      <c r="E2523" s="9" t="s">
        <v>3578</v>
      </c>
      <c r="F2523" s="1" t="s">
        <v>120</v>
      </c>
      <c r="G2523" s="8" t="s">
        <v>8</v>
      </c>
      <c r="H2523" s="8">
        <v>1</v>
      </c>
      <c r="I2523" t="s">
        <v>0</v>
      </c>
      <c r="J2523" t="s">
        <v>0</v>
      </c>
      <c r="K2523" t="s">
        <v>52</v>
      </c>
      <c r="L2523" t="s">
        <v>497</v>
      </c>
      <c r="M2523" t="s">
        <v>88</v>
      </c>
      <c r="N2523" t="s">
        <v>72</v>
      </c>
      <c r="O2523" t="s">
        <v>0</v>
      </c>
      <c r="P2523" t="s">
        <v>59</v>
      </c>
      <c r="Q2523" t="s">
        <v>104</v>
      </c>
      <c r="R2523" t="s">
        <v>57</v>
      </c>
      <c r="S2523" t="s">
        <v>106</v>
      </c>
      <c r="T2523" t="s">
        <v>62</v>
      </c>
      <c r="U2523" t="s">
        <v>192</v>
      </c>
      <c r="V2523" t="s">
        <v>107</v>
      </c>
      <c r="W2523" t="s">
        <v>116</v>
      </c>
      <c r="X2523" t="s">
        <v>79</v>
      </c>
      <c r="Y2523" t="s">
        <v>1175</v>
      </c>
      <c r="Z2523" t="s">
        <v>64</v>
      </c>
      <c r="AA2523" t="s">
        <v>485</v>
      </c>
      <c r="AB2523" t="s">
        <v>0</v>
      </c>
      <c r="AC2523" t="s">
        <v>6694</v>
      </c>
    </row>
    <row r="2524" spans="1:29">
      <c r="A2524" t="s">
        <v>5898</v>
      </c>
      <c r="B2524" s="11" t="str">
        <f>IF(ISNUMBER(SEARCH(E2524,A2524)),A2524,IF(OR(E2524="",E2524=""),A2524,A2524&amp;" - "&amp;E2524))</f>
        <v>24/1 IUVO OC - Tropical Orange</v>
      </c>
      <c r="C2524" t="s">
        <v>5810</v>
      </c>
      <c r="D2524" t="s">
        <v>5811</v>
      </c>
      <c r="E2524" s="9" t="s">
        <v>6695</v>
      </c>
      <c r="F2524" s="1" t="s">
        <v>86</v>
      </c>
      <c r="G2524" s="8" t="s">
        <v>448</v>
      </c>
      <c r="H2524" s="8" t="s">
        <v>65</v>
      </c>
      <c r="I2524" t="s">
        <v>0</v>
      </c>
      <c r="J2524" t="s">
        <v>0</v>
      </c>
      <c r="K2524" t="s">
        <v>52</v>
      </c>
      <c r="L2524" t="s">
        <v>53</v>
      </c>
      <c r="M2524" t="s">
        <v>72</v>
      </c>
      <c r="N2524" t="s">
        <v>54</v>
      </c>
      <c r="O2524" t="s">
        <v>71</v>
      </c>
      <c r="P2524" t="s">
        <v>75</v>
      </c>
      <c r="Q2524" t="s">
        <v>59</v>
      </c>
      <c r="R2524" t="s">
        <v>136</v>
      </c>
      <c r="S2524" t="s">
        <v>106</v>
      </c>
      <c r="T2524" t="s">
        <v>179</v>
      </c>
      <c r="U2524" t="s">
        <v>76</v>
      </c>
      <c r="V2524" t="s">
        <v>77</v>
      </c>
      <c r="W2524" t="s">
        <v>914</v>
      </c>
      <c r="X2524" t="s">
        <v>129</v>
      </c>
      <c r="Y2524" t="s">
        <v>833</v>
      </c>
      <c r="Z2524" t="s">
        <v>64</v>
      </c>
      <c r="AA2524" t="s">
        <v>5811</v>
      </c>
      <c r="AB2524" t="s">
        <v>6605</v>
      </c>
      <c r="AC2524" t="s">
        <v>6696</v>
      </c>
    </row>
    <row r="2525" spans="1:29">
      <c r="A2525" t="s">
        <v>6697</v>
      </c>
      <c r="B2525" s="11" t="str">
        <f>IF(ISNUMBER(SEARCH(E2525,A2525)),A2525,IF(OR(E2525="",E2525=""),A2525,A2525&amp;" - "&amp;E2525))</f>
        <v>Truth Holdings LH 29/1 - Liberty Haze</v>
      </c>
      <c r="C2525" t="s">
        <v>564</v>
      </c>
      <c r="D2525" t="s">
        <v>565</v>
      </c>
      <c r="E2525" s="9" t="s">
        <v>2821</v>
      </c>
      <c r="F2525" s="1" t="s">
        <v>86</v>
      </c>
      <c r="G2525" s="8" t="s">
        <v>443</v>
      </c>
      <c r="H2525" s="8" t="s">
        <v>65</v>
      </c>
      <c r="I2525" t="s">
        <v>0</v>
      </c>
      <c r="J2525" t="s">
        <v>0</v>
      </c>
      <c r="K2525" t="s">
        <v>52</v>
      </c>
      <c r="L2525" t="s">
        <v>53</v>
      </c>
      <c r="M2525" t="s">
        <v>71</v>
      </c>
      <c r="N2525" t="s">
        <v>54</v>
      </c>
      <c r="O2525" t="s">
        <v>55</v>
      </c>
      <c r="P2525" t="s">
        <v>74</v>
      </c>
      <c r="Q2525" t="s">
        <v>104</v>
      </c>
      <c r="R2525" t="s">
        <v>75</v>
      </c>
      <c r="S2525" t="s">
        <v>106</v>
      </c>
      <c r="T2525" t="s">
        <v>147</v>
      </c>
      <c r="U2525" t="s">
        <v>192</v>
      </c>
      <c r="V2525" t="s">
        <v>173</v>
      </c>
      <c r="W2525" t="s">
        <v>79</v>
      </c>
      <c r="X2525" t="s">
        <v>77</v>
      </c>
      <c r="Y2525" t="s">
        <v>2135</v>
      </c>
      <c r="Z2525" t="s">
        <v>64</v>
      </c>
      <c r="AA2525" t="s">
        <v>565</v>
      </c>
      <c r="AB2525" t="s">
        <v>0</v>
      </c>
      <c r="AC2525" t="s">
        <v>6698</v>
      </c>
    </row>
    <row r="2526" spans="1:29">
      <c r="A2526" t="s">
        <v>6699</v>
      </c>
      <c r="B2526" s="11" t="str">
        <f>IF(ISNUMBER(SEARCH(E2526,A2526)),A2526,IF(OR(E2526="",E2526=""),A2526,A2526&amp;" - "&amp;E2526))</f>
        <v>HiSociety BZ 29/1 - Blue Zushi</v>
      </c>
      <c r="C2526" t="s">
        <v>564</v>
      </c>
      <c r="D2526" t="s">
        <v>565</v>
      </c>
      <c r="E2526" s="9" t="s">
        <v>4015</v>
      </c>
      <c r="F2526" s="1" t="s">
        <v>86</v>
      </c>
      <c r="G2526" s="8" t="s">
        <v>4057</v>
      </c>
      <c r="H2526" s="8">
        <v>1</v>
      </c>
      <c r="I2526" t="s">
        <v>0</v>
      </c>
      <c r="J2526" t="s">
        <v>0</v>
      </c>
      <c r="K2526" t="s">
        <v>52</v>
      </c>
      <c r="L2526" t="s">
        <v>527</v>
      </c>
      <c r="M2526" t="s">
        <v>71</v>
      </c>
      <c r="N2526" t="s">
        <v>178</v>
      </c>
      <c r="O2526" t="s">
        <v>103</v>
      </c>
      <c r="P2526" t="s">
        <v>104</v>
      </c>
      <c r="Q2526" t="s">
        <v>89</v>
      </c>
      <c r="R2526" t="s">
        <v>58</v>
      </c>
      <c r="S2526" t="s">
        <v>0</v>
      </c>
      <c r="T2526" t="s">
        <v>0</v>
      </c>
      <c r="U2526" t="s">
        <v>0</v>
      </c>
      <c r="V2526" t="s">
        <v>77</v>
      </c>
      <c r="W2526" t="s">
        <v>79</v>
      </c>
      <c r="X2526" t="s">
        <v>107</v>
      </c>
      <c r="Y2526" t="s">
        <v>1152</v>
      </c>
      <c r="Z2526" t="s">
        <v>64</v>
      </c>
      <c r="AA2526" t="s">
        <v>565</v>
      </c>
      <c r="AB2526" t="s">
        <v>0</v>
      </c>
      <c r="AC2526" t="s">
        <v>6700</v>
      </c>
    </row>
    <row r="2527" spans="1:29">
      <c r="B2527" s="77" t="s">
        <v>6701</v>
      </c>
      <c r="H2527" s="8"/>
    </row>
    <row r="2528" spans="1:29">
      <c r="A2528" t="s">
        <v>6702</v>
      </c>
      <c r="B2528" s="11" t="str">
        <f>IF(ISNUMBER(SEARCH(E2528,A2528)),A2528,IF(OR(E2528="",E2528=""),A2528,A2528&amp;" - "&amp;E2528))</f>
        <v>Lahoja ACSMC 25/1 Pink Sluuricane - Pink Slurricane</v>
      </c>
      <c r="C2528" t="s">
        <v>564</v>
      </c>
      <c r="D2528" t="s">
        <v>565</v>
      </c>
      <c r="E2528" t="s">
        <v>1894</v>
      </c>
      <c r="F2528" t="s">
        <v>177</v>
      </c>
      <c r="G2528" t="s">
        <v>26</v>
      </c>
      <c r="H2528" s="2">
        <v>1</v>
      </c>
      <c r="I2528" t="s">
        <v>0</v>
      </c>
      <c r="J2528" t="s">
        <v>0</v>
      </c>
      <c r="K2528" t="s">
        <v>52</v>
      </c>
      <c r="L2528" t="s">
        <v>527</v>
      </c>
      <c r="M2528" t="s">
        <v>72</v>
      </c>
      <c r="N2528" t="s">
        <v>88</v>
      </c>
      <c r="O2528" t="s">
        <v>0</v>
      </c>
      <c r="P2528" t="s">
        <v>75</v>
      </c>
      <c r="Q2528" t="s">
        <v>59</v>
      </c>
      <c r="R2528" t="s">
        <v>113</v>
      </c>
      <c r="S2528" t="s">
        <v>0</v>
      </c>
      <c r="T2528" t="s">
        <v>0</v>
      </c>
      <c r="U2528" t="s">
        <v>0</v>
      </c>
      <c r="V2528" t="s">
        <v>107</v>
      </c>
      <c r="W2528" t="s">
        <v>77</v>
      </c>
      <c r="X2528" t="s">
        <v>116</v>
      </c>
      <c r="Y2528" t="s">
        <v>0</v>
      </c>
      <c r="Z2528" t="s">
        <v>64</v>
      </c>
      <c r="AA2528" t="s">
        <v>565</v>
      </c>
      <c r="AB2528" t="s">
        <v>0</v>
      </c>
      <c r="AC2528" t="s">
        <v>6703</v>
      </c>
    </row>
    <row r="2529" spans="1:29">
      <c r="A2529" t="s">
        <v>6704</v>
      </c>
      <c r="B2529" s="11" t="str">
        <f>IF(ISNUMBER(SEARCH(E2529,A2529)),A2529,IF(OR(E2529="",E2529=""),A2529,A2529&amp;" - "&amp;E2529))</f>
        <v>Avaay Signature 27/1 ARC - Apple Rock Candy</v>
      </c>
      <c r="C2529" t="s">
        <v>4601</v>
      </c>
      <c r="D2529" t="s">
        <v>572</v>
      </c>
      <c r="E2529" s="9" t="s">
        <v>6705</v>
      </c>
      <c r="F2529" s="1" t="s">
        <v>177</v>
      </c>
      <c r="G2529" s="8" t="s">
        <v>33</v>
      </c>
      <c r="H2529" s="8" t="s">
        <v>65</v>
      </c>
      <c r="I2529" t="s">
        <v>0</v>
      </c>
      <c r="J2529" t="s">
        <v>0</v>
      </c>
      <c r="K2529" t="s">
        <v>52</v>
      </c>
      <c r="L2529" t="s">
        <v>53</v>
      </c>
      <c r="M2529" t="s">
        <v>72</v>
      </c>
      <c r="N2529" t="s">
        <v>71</v>
      </c>
      <c r="O2529" t="s">
        <v>111</v>
      </c>
      <c r="P2529" t="s">
        <v>59</v>
      </c>
      <c r="Q2529" t="s">
        <v>89</v>
      </c>
      <c r="R2529" t="s">
        <v>58</v>
      </c>
      <c r="S2529" t="s">
        <v>106</v>
      </c>
      <c r="T2529" t="s">
        <v>62</v>
      </c>
      <c r="U2529" t="s">
        <v>123</v>
      </c>
      <c r="V2529" t="s">
        <v>77</v>
      </c>
      <c r="W2529" t="s">
        <v>292</v>
      </c>
      <c r="X2529" t="s">
        <v>129</v>
      </c>
      <c r="Y2529" t="s">
        <v>293</v>
      </c>
      <c r="Z2529" t="s">
        <v>64</v>
      </c>
      <c r="AA2529" t="s">
        <v>572</v>
      </c>
      <c r="AB2529" t="s">
        <v>0</v>
      </c>
      <c r="AC2529" t="s">
        <v>6706</v>
      </c>
    </row>
    <row r="2530" spans="1:29">
      <c r="A2530" t="s">
        <v>6707</v>
      </c>
      <c r="B2530" s="11" t="str">
        <f>IF(ISNUMBER(SEARCH(E2530,A2530)),A2530,IF(OR(E2530="",E2530=""),A2530,A2530&amp;" - "&amp;E2530))</f>
        <v>IMC D2 THC24 - Pink Bubba</v>
      </c>
      <c r="C2530" t="s">
        <v>646</v>
      </c>
      <c r="D2530" t="s">
        <v>646</v>
      </c>
      <c r="E2530" s="9" t="s">
        <v>6708</v>
      </c>
      <c r="F2530" s="1" t="s">
        <v>177</v>
      </c>
      <c r="G2530" s="8" t="s">
        <v>448</v>
      </c>
      <c r="H2530" s="8" t="s">
        <v>65</v>
      </c>
      <c r="I2530" t="s">
        <v>0</v>
      </c>
      <c r="J2530" t="s">
        <v>0</v>
      </c>
      <c r="K2530" t="s">
        <v>52</v>
      </c>
      <c r="L2530" t="s">
        <v>53</v>
      </c>
      <c r="M2530" t="s">
        <v>121</v>
      </c>
      <c r="N2530" t="s">
        <v>72</v>
      </c>
      <c r="O2530" t="s">
        <v>54</v>
      </c>
      <c r="P2530" t="s">
        <v>104</v>
      </c>
      <c r="Q2530" t="s">
        <v>157</v>
      </c>
      <c r="R2530" t="s">
        <v>146</v>
      </c>
      <c r="S2530" t="s">
        <v>106</v>
      </c>
      <c r="T2530" t="s">
        <v>62</v>
      </c>
      <c r="U2530" t="s">
        <v>234</v>
      </c>
      <c r="V2530" t="s">
        <v>116</v>
      </c>
      <c r="W2530" t="s">
        <v>165</v>
      </c>
      <c r="X2530" t="s">
        <v>180</v>
      </c>
      <c r="Y2530" t="s">
        <v>453</v>
      </c>
      <c r="Z2530" t="s">
        <v>64</v>
      </c>
      <c r="AA2530" t="s">
        <v>646</v>
      </c>
      <c r="AB2530" t="s">
        <v>0</v>
      </c>
      <c r="AC2530" t="s">
        <v>6709</v>
      </c>
    </row>
    <row r="2531" spans="1:29">
      <c r="A2531" t="s">
        <v>6710</v>
      </c>
      <c r="B2531" s="11" t="str">
        <f>IF(ISNUMBER(SEARCH(E2531,A2531)),A2531,IF(OR(E2531="",E2531=""),A2531,A2531&amp;" - "&amp;E2531))</f>
        <v>enua 33/1 MMN CA - Marshmallow Man</v>
      </c>
      <c r="C2531" t="s">
        <v>650</v>
      </c>
      <c r="D2531" t="s">
        <v>653</v>
      </c>
      <c r="E2531" s="9" t="s">
        <v>5992</v>
      </c>
      <c r="F2531" s="1" t="s">
        <v>120</v>
      </c>
      <c r="G2531" s="8" t="s">
        <v>4169</v>
      </c>
      <c r="H2531" s="8" t="s">
        <v>65</v>
      </c>
      <c r="I2531" t="s">
        <v>0</v>
      </c>
      <c r="J2531" t="s">
        <v>0</v>
      </c>
      <c r="K2531" t="s">
        <v>52</v>
      </c>
      <c r="L2531" t="s">
        <v>53</v>
      </c>
      <c r="M2531" t="s">
        <v>156</v>
      </c>
      <c r="N2531" t="s">
        <v>54</v>
      </c>
      <c r="O2531" t="s">
        <v>178</v>
      </c>
      <c r="P2531" t="s">
        <v>157</v>
      </c>
      <c r="Q2531" t="s">
        <v>74</v>
      </c>
      <c r="R2531" t="s">
        <v>112</v>
      </c>
      <c r="S2531" t="s">
        <v>61</v>
      </c>
      <c r="T2531" t="s">
        <v>62</v>
      </c>
      <c r="U2531" t="s">
        <v>123</v>
      </c>
      <c r="V2531" t="s">
        <v>138</v>
      </c>
      <c r="W2531" t="s">
        <v>107</v>
      </c>
      <c r="X2531" t="s">
        <v>79</v>
      </c>
      <c r="Y2531" t="s">
        <v>391</v>
      </c>
      <c r="Z2531" t="s">
        <v>64</v>
      </c>
      <c r="AA2531" t="s">
        <v>653</v>
      </c>
      <c r="AB2531" t="s">
        <v>0</v>
      </c>
      <c r="AC2531" t="s">
        <v>6711</v>
      </c>
    </row>
    <row r="2532" spans="1:29">
      <c r="A2532" t="s">
        <v>6712</v>
      </c>
      <c r="B2532" s="11" t="str">
        <f>IF(ISNUMBER(SEARCH(E2532,A2532)),A2532,IF(OR(E2532="",E2532=""),A2532,A2532&amp;" - "&amp;E2532))</f>
        <v>AMP ZEN RBX THC25 White Wedding Cake RBX - Legendary Larry</v>
      </c>
      <c r="C2532" t="s">
        <v>702</v>
      </c>
      <c r="D2532" t="s">
        <v>702</v>
      </c>
      <c r="E2532" s="9" t="s">
        <v>746</v>
      </c>
      <c r="F2532" s="1" t="s">
        <v>177</v>
      </c>
      <c r="G2532" s="8" t="s">
        <v>448</v>
      </c>
      <c r="H2532" s="8">
        <v>1</v>
      </c>
      <c r="I2532" t="s">
        <v>0</v>
      </c>
      <c r="J2532" t="s">
        <v>0</v>
      </c>
      <c r="K2532" t="s">
        <v>52</v>
      </c>
      <c r="L2532" t="s">
        <v>4603</v>
      </c>
      <c r="M2532" t="s">
        <v>72</v>
      </c>
      <c r="N2532" t="s">
        <v>0</v>
      </c>
      <c r="O2532" t="s">
        <v>0</v>
      </c>
      <c r="P2532" t="s">
        <v>59</v>
      </c>
      <c r="Q2532" t="s">
        <v>75</v>
      </c>
      <c r="R2532" t="s">
        <v>74</v>
      </c>
      <c r="S2532" t="s">
        <v>128</v>
      </c>
      <c r="T2532" t="s">
        <v>106</v>
      </c>
      <c r="U2532" t="s">
        <v>179</v>
      </c>
      <c r="V2532" t="s">
        <v>165</v>
      </c>
      <c r="W2532" t="s">
        <v>107</v>
      </c>
      <c r="X2532" t="s">
        <v>116</v>
      </c>
      <c r="Y2532" t="s">
        <v>2671</v>
      </c>
      <c r="Z2532" t="s">
        <v>64</v>
      </c>
      <c r="AA2532" t="s">
        <v>702</v>
      </c>
      <c r="AB2532" t="s">
        <v>0</v>
      </c>
      <c r="AC2532" t="s">
        <v>6713</v>
      </c>
    </row>
    <row r="2533" spans="1:29">
      <c r="A2533" t="s">
        <v>210</v>
      </c>
      <c r="B2533" s="11" t="str">
        <f>IF(ISNUMBER(SEARCH(E2533,A2533)),A2533,IF(OR(E2533="",E2533=""),A2533,A2533&amp;" - "&amp;E2533))</f>
        <v>Nimbus easy 22/1 - Jealousy</v>
      </c>
      <c r="C2533" t="s">
        <v>141</v>
      </c>
      <c r="D2533" t="s">
        <v>149</v>
      </c>
      <c r="E2533" s="79" t="s">
        <v>941</v>
      </c>
      <c r="F2533" s="81" t="s">
        <v>177</v>
      </c>
      <c r="G2533" s="83" t="s">
        <v>4126</v>
      </c>
      <c r="H2533" s="83" t="s">
        <v>65</v>
      </c>
      <c r="I2533" t="s">
        <v>0</v>
      </c>
      <c r="J2533" t="s">
        <v>0</v>
      </c>
      <c r="K2533" t="s">
        <v>52</v>
      </c>
      <c r="L2533" t="s">
        <v>145</v>
      </c>
      <c r="M2533" t="s">
        <v>54</v>
      </c>
      <c r="N2533" t="s">
        <v>55</v>
      </c>
      <c r="O2533" t="s">
        <v>88</v>
      </c>
      <c r="P2533" t="s">
        <v>59</v>
      </c>
      <c r="Q2533" t="s">
        <v>74</v>
      </c>
      <c r="R2533" t="s">
        <v>0</v>
      </c>
      <c r="S2533" t="s">
        <v>123</v>
      </c>
      <c r="T2533" t="s">
        <v>147</v>
      </c>
      <c r="U2533" t="s">
        <v>192</v>
      </c>
      <c r="V2533" t="s">
        <v>173</v>
      </c>
      <c r="W2533" t="s">
        <v>79</v>
      </c>
      <c r="X2533" t="s">
        <v>77</v>
      </c>
      <c r="Y2533" t="s">
        <v>1464</v>
      </c>
      <c r="Z2533" t="s">
        <v>64</v>
      </c>
      <c r="AA2533" t="s">
        <v>149</v>
      </c>
      <c r="AB2533" t="s">
        <v>150</v>
      </c>
      <c r="AC2533" t="s">
        <v>6714</v>
      </c>
    </row>
    <row r="2534" spans="1:29">
      <c r="A2534" t="s">
        <v>6715</v>
      </c>
      <c r="B2534" s="88" t="str">
        <f>IF(ISNUMBER(SEARCH(E2534,A2534)),A2534,IF(OR(E2534="",E2534=""),A2534,A2534&amp;" - "&amp;E2534))</f>
        <v>Kann übernommen werden - Spritzer</v>
      </c>
      <c r="C2534" t="s">
        <v>996</v>
      </c>
      <c r="D2534" t="s">
        <v>997</v>
      </c>
      <c r="E2534" s="9" t="s">
        <v>944</v>
      </c>
      <c r="F2534" s="1" t="s">
        <v>86</v>
      </c>
      <c r="G2534" s="8" t="s">
        <v>4057</v>
      </c>
      <c r="H2534" s="8" t="s">
        <v>65</v>
      </c>
      <c r="I2534" t="s">
        <v>0</v>
      </c>
      <c r="J2534" t="s">
        <v>0</v>
      </c>
      <c r="K2534" t="s">
        <v>52</v>
      </c>
      <c r="L2534" t="s">
        <v>102</v>
      </c>
      <c r="M2534" t="s">
        <v>88</v>
      </c>
      <c r="N2534" t="s">
        <v>71</v>
      </c>
      <c r="O2534" t="s">
        <v>111</v>
      </c>
      <c r="P2534" t="s">
        <v>59</v>
      </c>
      <c r="Q2534" t="s">
        <v>89</v>
      </c>
      <c r="R2534" t="s">
        <v>75</v>
      </c>
      <c r="S2534" t="s">
        <v>106</v>
      </c>
      <c r="T2534" t="s">
        <v>62</v>
      </c>
      <c r="U2534" t="s">
        <v>123</v>
      </c>
      <c r="V2534" t="s">
        <v>173</v>
      </c>
      <c r="W2534" t="s">
        <v>79</v>
      </c>
      <c r="X2534" t="s">
        <v>77</v>
      </c>
      <c r="Y2534" t="s">
        <v>3942</v>
      </c>
      <c r="Z2534" t="s">
        <v>64</v>
      </c>
      <c r="AA2534" t="s">
        <v>997</v>
      </c>
      <c r="AB2534" t="s">
        <v>0</v>
      </c>
      <c r="AC2534" s="101" t="s">
        <v>6716</v>
      </c>
    </row>
    <row r="2535" spans="1:29">
      <c r="A2535" t="s">
        <v>6717</v>
      </c>
      <c r="B2535" s="88" t="str">
        <f>IF(ISNUMBER(SEARCH(E2535,A2535)),A2535,IF(OR(E2535="",E2535=""),A2535,A2535&amp;" - "&amp;E2535))</f>
        <v>Demecan Craft Rocket 28:01 Pave x Gastro Pop - Facetz</v>
      </c>
      <c r="C2535" t="s">
        <v>484</v>
      </c>
      <c r="D2535" t="s">
        <v>485</v>
      </c>
      <c r="E2535" s="9" t="s">
        <v>1148</v>
      </c>
      <c r="F2535" s="1" t="s">
        <v>86</v>
      </c>
      <c r="G2535" s="8" t="s">
        <v>4164</v>
      </c>
      <c r="H2535" s="8">
        <v>1</v>
      </c>
      <c r="I2535" t="s">
        <v>0</v>
      </c>
      <c r="J2535" t="s">
        <v>0</v>
      </c>
      <c r="K2535" t="s">
        <v>52</v>
      </c>
      <c r="L2535" t="s">
        <v>53</v>
      </c>
      <c r="M2535" t="s">
        <v>72</v>
      </c>
      <c r="N2535" t="s">
        <v>178</v>
      </c>
      <c r="O2535" t="s">
        <v>54</v>
      </c>
      <c r="P2535" t="s">
        <v>59</v>
      </c>
      <c r="Q2535" t="s">
        <v>74</v>
      </c>
      <c r="R2535" t="s">
        <v>58</v>
      </c>
      <c r="S2535" t="s">
        <v>128</v>
      </c>
      <c r="T2535" t="s">
        <v>106</v>
      </c>
      <c r="U2535" t="s">
        <v>123</v>
      </c>
      <c r="V2535" t="s">
        <v>77</v>
      </c>
      <c r="W2535" t="s">
        <v>79</v>
      </c>
      <c r="X2535" t="s">
        <v>107</v>
      </c>
      <c r="Y2535" t="s">
        <v>1699</v>
      </c>
      <c r="Z2535" t="s">
        <v>64</v>
      </c>
      <c r="AA2535" t="s">
        <v>485</v>
      </c>
      <c r="AB2535" t="s">
        <v>0</v>
      </c>
      <c r="AC2535" t="s">
        <v>6718</v>
      </c>
    </row>
    <row r="2536" spans="1:29">
      <c r="A2536" t="s">
        <v>6719</v>
      </c>
      <c r="B2536" s="88" t="str">
        <f>IF(ISNUMBER(SEARCH(E2536,A2536)),A2536,IF(OR(E2536="",E2536=""),A2536,A2536&amp;" - "&amp;E2536))</f>
        <v>Huala 22/1 CA - WOT</v>
      </c>
      <c r="C2536" t="s">
        <v>463</v>
      </c>
      <c r="D2536" t="s">
        <v>468</v>
      </c>
      <c r="E2536" t="s">
        <v>6720</v>
      </c>
      <c r="F2536" t="s">
        <v>144</v>
      </c>
      <c r="G2536" t="s">
        <v>4126</v>
      </c>
      <c r="H2536" s="2">
        <v>1</v>
      </c>
      <c r="I2536" t="s">
        <v>0</v>
      </c>
      <c r="J2536" t="s">
        <v>0</v>
      </c>
      <c r="K2536" t="s">
        <v>52</v>
      </c>
      <c r="L2536" t="s">
        <v>53</v>
      </c>
      <c r="M2536" t="s">
        <v>121</v>
      </c>
      <c r="N2536" t="s">
        <v>0</v>
      </c>
      <c r="O2536" t="s">
        <v>0</v>
      </c>
      <c r="P2536" t="s">
        <v>57</v>
      </c>
      <c r="Q2536" t="s">
        <v>112</v>
      </c>
      <c r="R2536" t="s">
        <v>75</v>
      </c>
      <c r="S2536" t="s">
        <v>106</v>
      </c>
      <c r="T2536" t="s">
        <v>234</v>
      </c>
      <c r="U2536" t="s">
        <v>91</v>
      </c>
      <c r="V2536" t="s">
        <v>4398</v>
      </c>
      <c r="W2536" t="s">
        <v>395</v>
      </c>
      <c r="X2536" t="s">
        <v>138</v>
      </c>
      <c r="Y2536" t="s">
        <v>0</v>
      </c>
      <c r="Z2536" t="s">
        <v>64</v>
      </c>
      <c r="AA2536" t="s">
        <v>468</v>
      </c>
      <c r="AB2536" t="s">
        <v>0</v>
      </c>
      <c r="AC2536" t="s">
        <v>6721</v>
      </c>
    </row>
    <row r="2537" spans="1:29">
      <c r="A2537" t="s">
        <v>6722</v>
      </c>
      <c r="B2537" s="88" t="str">
        <f>IF(ISNUMBER(SEARCH(E2537,A2537)),A2537,IF(OR(E2537="",E2537=""),A2537,A2537&amp;" - "&amp;E2537))</f>
        <v>Canopy JH 21/1 - Jack Haze</v>
      </c>
      <c r="C2537" t="s">
        <v>547</v>
      </c>
      <c r="D2537" t="s">
        <v>551</v>
      </c>
      <c r="E2537" s="9" t="s">
        <v>4498</v>
      </c>
      <c r="F2537" s="1" t="s">
        <v>86</v>
      </c>
      <c r="G2537" s="8" t="s">
        <v>452</v>
      </c>
      <c r="H2537" s="8">
        <v>1</v>
      </c>
      <c r="I2537" t="s">
        <v>0</v>
      </c>
      <c r="J2537" t="s">
        <v>0</v>
      </c>
      <c r="K2537" t="s">
        <v>52</v>
      </c>
      <c r="L2537" t="s">
        <v>53</v>
      </c>
      <c r="M2537" t="s">
        <v>88</v>
      </c>
      <c r="N2537" t="s">
        <v>178</v>
      </c>
      <c r="O2537" t="s">
        <v>55</v>
      </c>
      <c r="P2537" t="s">
        <v>59</v>
      </c>
      <c r="Q2537" t="s">
        <v>113</v>
      </c>
      <c r="R2537" t="s">
        <v>74</v>
      </c>
      <c r="S2537" t="s">
        <v>90</v>
      </c>
      <c r="T2537" t="s">
        <v>62</v>
      </c>
      <c r="U2537" t="s">
        <v>192</v>
      </c>
      <c r="V2537" t="s">
        <v>92</v>
      </c>
      <c r="W2537" t="s">
        <v>129</v>
      </c>
      <c r="X2537" t="s">
        <v>138</v>
      </c>
      <c r="Y2537" t="s">
        <v>174</v>
      </c>
      <c r="Z2537" t="s">
        <v>64</v>
      </c>
      <c r="AA2537" t="s">
        <v>551</v>
      </c>
      <c r="AB2537" t="s">
        <v>0</v>
      </c>
      <c r="AC2537" t="s">
        <v>6723</v>
      </c>
    </row>
    <row r="2538" spans="1:29">
      <c r="A2538" t="s">
        <v>6724</v>
      </c>
      <c r="B2538" s="88" t="str">
        <f>IF(ISNUMBER(SEARCH(E2538,A2538)),A2538,IF(OR(E2538="",E2538=""),A2538,A2538&amp;" - "&amp;E2538))</f>
        <v>Demecan CR Lean Drop 22/1 - White Fondant</v>
      </c>
      <c r="C2538" t="s">
        <v>484</v>
      </c>
      <c r="D2538" t="s">
        <v>485</v>
      </c>
      <c r="E2538" s="9" t="s">
        <v>6725</v>
      </c>
      <c r="F2538" s="1" t="s">
        <v>86</v>
      </c>
      <c r="G2538" s="8" t="s">
        <v>4126</v>
      </c>
      <c r="H2538" s="8" t="s">
        <v>65</v>
      </c>
      <c r="I2538" t="s">
        <v>0</v>
      </c>
      <c r="J2538" t="s">
        <v>0</v>
      </c>
      <c r="K2538" t="s">
        <v>52</v>
      </c>
      <c r="L2538" t="s">
        <v>53</v>
      </c>
      <c r="M2538" t="s">
        <v>121</v>
      </c>
      <c r="N2538" t="s">
        <v>178</v>
      </c>
      <c r="O2538" t="s">
        <v>54</v>
      </c>
      <c r="P2538" t="s">
        <v>89</v>
      </c>
      <c r="Q2538" t="s">
        <v>0</v>
      </c>
      <c r="R2538" t="s">
        <v>0</v>
      </c>
      <c r="S2538" t="s">
        <v>128</v>
      </c>
      <c r="T2538" t="s">
        <v>106</v>
      </c>
      <c r="U2538" t="s">
        <v>62</v>
      </c>
      <c r="V2538" t="s">
        <v>116</v>
      </c>
      <c r="W2538" t="s">
        <v>107</v>
      </c>
      <c r="X2538" t="s">
        <v>138</v>
      </c>
      <c r="Y2538" t="s">
        <v>220</v>
      </c>
      <c r="Z2538" t="s">
        <v>64</v>
      </c>
      <c r="AA2538" t="s">
        <v>485</v>
      </c>
      <c r="AB2538" t="s">
        <v>0</v>
      </c>
      <c r="AC2538" t="s">
        <v>6726</v>
      </c>
    </row>
    <row r="2539" spans="1:29">
      <c r="A2539" t="s">
        <v>6727</v>
      </c>
      <c r="B2539" s="11" t="str">
        <f>IF(ISNUMBER(SEARCH(E2539,A2539)),A2539,IF(OR(E2539="",E2539=""),A2539,A2539&amp;" - "&amp;E2539))</f>
        <v>Packs Jet Lag / 22</v>
      </c>
      <c r="C2539" t="s">
        <v>3108</v>
      </c>
      <c r="D2539" t="s">
        <v>3109</v>
      </c>
      <c r="E2539" s="9" t="s">
        <v>6728</v>
      </c>
      <c r="F2539" s="1" t="s">
        <v>144</v>
      </c>
      <c r="G2539" s="8" t="s">
        <v>4126</v>
      </c>
      <c r="H2539" s="8" t="s">
        <v>65</v>
      </c>
      <c r="I2539" t="s">
        <v>0</v>
      </c>
      <c r="J2539" t="s">
        <v>0</v>
      </c>
      <c r="K2539" t="s">
        <v>52</v>
      </c>
      <c r="L2539" t="s">
        <v>102</v>
      </c>
      <c r="M2539" t="s">
        <v>72</v>
      </c>
      <c r="N2539" t="s">
        <v>212</v>
      </c>
      <c r="O2539" t="s">
        <v>111</v>
      </c>
      <c r="P2539" t="s">
        <v>59</v>
      </c>
      <c r="Q2539" t="s">
        <v>75</v>
      </c>
      <c r="R2539" t="s">
        <v>136</v>
      </c>
      <c r="S2539" t="s">
        <v>106</v>
      </c>
      <c r="T2539" t="s">
        <v>62</v>
      </c>
      <c r="U2539" t="s">
        <v>147</v>
      </c>
      <c r="V2539" t="s">
        <v>77</v>
      </c>
      <c r="W2539" t="s">
        <v>165</v>
      </c>
      <c r="X2539" t="s">
        <v>79</v>
      </c>
      <c r="Y2539" t="s">
        <v>555</v>
      </c>
      <c r="Z2539" t="s">
        <v>64</v>
      </c>
      <c r="AA2539" t="s">
        <v>3109</v>
      </c>
      <c r="AB2539" t="s">
        <v>0</v>
      </c>
      <c r="AC2539" t="s">
        <v>6729</v>
      </c>
    </row>
    <row r="2540" spans="1:29">
      <c r="A2540" t="s">
        <v>6730</v>
      </c>
      <c r="B2540" s="11" t="str">
        <f>IF(ISNUMBER(SEARCH(E2540,A2540)),A2540,IF(OR(E2540="",E2540=""),A2540,A2540&amp;" - "&amp;E2540))</f>
        <v>Dirty Zprite / 24</v>
      </c>
      <c r="C2540" t="s">
        <v>3108</v>
      </c>
      <c r="D2540" t="s">
        <v>3109</v>
      </c>
      <c r="E2540" s="9" t="s">
        <v>6731</v>
      </c>
      <c r="F2540" s="1" t="s">
        <v>86</v>
      </c>
      <c r="G2540" s="8" t="s">
        <v>448</v>
      </c>
      <c r="H2540" s="8" t="s">
        <v>65</v>
      </c>
      <c r="I2540" t="s">
        <v>0</v>
      </c>
      <c r="J2540" t="s">
        <v>0</v>
      </c>
      <c r="K2540" t="s">
        <v>52</v>
      </c>
      <c r="L2540" t="s">
        <v>102</v>
      </c>
      <c r="M2540" t="s">
        <v>72</v>
      </c>
      <c r="N2540" t="s">
        <v>54</v>
      </c>
      <c r="O2540" t="s">
        <v>111</v>
      </c>
      <c r="P2540" t="s">
        <v>104</v>
      </c>
      <c r="Q2540" t="s">
        <v>59</v>
      </c>
      <c r="R2540" t="s">
        <v>75</v>
      </c>
      <c r="S2540" t="s">
        <v>106</v>
      </c>
      <c r="T2540" t="s">
        <v>62</v>
      </c>
      <c r="U2540" t="s">
        <v>147</v>
      </c>
      <c r="V2540" t="s">
        <v>77</v>
      </c>
      <c r="W2540" t="s">
        <v>79</v>
      </c>
      <c r="X2540" t="s">
        <v>0</v>
      </c>
      <c r="Y2540" t="s">
        <v>1876</v>
      </c>
      <c r="Z2540" t="s">
        <v>64</v>
      </c>
      <c r="AA2540" t="s">
        <v>3109</v>
      </c>
      <c r="AB2540" t="s">
        <v>0</v>
      </c>
      <c r="AC2540" t="s">
        <v>6732</v>
      </c>
    </row>
    <row r="2541" spans="1:29">
      <c r="A2541" t="s">
        <v>6733</v>
      </c>
      <c r="B2541" s="11" t="str">
        <f>IF(ISNUMBER(SEARCH(E2541,A2541)),A2541,IF(OR(E2541="",E2541=""),A2541,A2541&amp;" - "&amp;E2541))</f>
        <v>enua 36/1 JGF CA - Jungle Fumes</v>
      </c>
      <c r="C2541" t="s">
        <v>650</v>
      </c>
      <c r="D2541" t="s">
        <v>653</v>
      </c>
      <c r="E2541" s="9" t="s">
        <v>5534</v>
      </c>
      <c r="F2541" s="1" t="s">
        <v>144</v>
      </c>
      <c r="G2541" s="8" t="s">
        <v>5365</v>
      </c>
      <c r="H2541" s="8" t="s">
        <v>65</v>
      </c>
      <c r="I2541" t="s">
        <v>0</v>
      </c>
      <c r="J2541" t="s">
        <v>0</v>
      </c>
      <c r="K2541" t="s">
        <v>52</v>
      </c>
      <c r="L2541" t="s">
        <v>53</v>
      </c>
      <c r="M2541" t="s">
        <v>178</v>
      </c>
      <c r="N2541" t="s">
        <v>54</v>
      </c>
      <c r="O2541" t="s">
        <v>55</v>
      </c>
      <c r="P2541" t="s">
        <v>136</v>
      </c>
      <c r="Q2541" t="s">
        <v>59</v>
      </c>
      <c r="R2541" t="s">
        <v>104</v>
      </c>
      <c r="S2541" t="s">
        <v>106</v>
      </c>
      <c r="T2541" t="s">
        <v>62</v>
      </c>
      <c r="U2541" t="s">
        <v>147</v>
      </c>
      <c r="V2541" t="s">
        <v>77</v>
      </c>
      <c r="W2541" t="s">
        <v>292</v>
      </c>
      <c r="X2541" t="s">
        <v>711</v>
      </c>
      <c r="Y2541" t="s">
        <v>513</v>
      </c>
      <c r="Z2541" t="s">
        <v>64</v>
      </c>
      <c r="AA2541" t="s">
        <v>653</v>
      </c>
      <c r="AB2541" t="s">
        <v>0</v>
      </c>
      <c r="AC2541" t="s">
        <v>6734</v>
      </c>
    </row>
    <row r="2542" spans="1:29">
      <c r="A2542" t="s">
        <v>6735</v>
      </c>
      <c r="B2542" s="11" t="str">
        <f>IF(ISNUMBER(SEARCH(E2542,A2542)),A2542,IF(OR(E2542="",E2542=""),A2542,A2542&amp;" - "&amp;E2542))</f>
        <v>Remexian 21/1 CHR CIB - Citrus Bowl</v>
      </c>
      <c r="C2542" t="s">
        <v>83</v>
      </c>
      <c r="D2542" t="s">
        <v>95</v>
      </c>
      <c r="E2542" s="9" t="s">
        <v>6736</v>
      </c>
      <c r="F2542" s="1" t="s">
        <v>144</v>
      </c>
      <c r="G2542" s="8" t="s">
        <v>452</v>
      </c>
      <c r="H2542" s="8" t="s">
        <v>65</v>
      </c>
      <c r="I2542" t="s">
        <v>0</v>
      </c>
      <c r="J2542" t="s">
        <v>0</v>
      </c>
      <c r="K2542" t="s">
        <v>52</v>
      </c>
      <c r="L2542" t="s">
        <v>53</v>
      </c>
      <c r="M2542" t="s">
        <v>72</v>
      </c>
      <c r="N2542" t="s">
        <v>71</v>
      </c>
      <c r="O2542" t="s">
        <v>111</v>
      </c>
      <c r="P2542" t="s">
        <v>57</v>
      </c>
      <c r="Q2542" t="s">
        <v>136</v>
      </c>
      <c r="R2542" t="s">
        <v>104</v>
      </c>
      <c r="S2542" t="s">
        <v>106</v>
      </c>
      <c r="T2542" t="s">
        <v>62</v>
      </c>
      <c r="U2542" t="s">
        <v>147</v>
      </c>
      <c r="V2542" t="s">
        <v>77</v>
      </c>
      <c r="W2542" t="s">
        <v>79</v>
      </c>
      <c r="X2542" t="s">
        <v>107</v>
      </c>
      <c r="Y2542" t="s">
        <v>188</v>
      </c>
      <c r="Z2542" t="s">
        <v>64</v>
      </c>
      <c r="AA2542" t="s">
        <v>95</v>
      </c>
      <c r="AB2542" t="s">
        <v>0</v>
      </c>
      <c r="AC2542" t="s">
        <v>6737</v>
      </c>
    </row>
    <row r="2543" spans="1:29">
      <c r="A2543" t="s">
        <v>6738</v>
      </c>
      <c r="B2543" s="11" t="str">
        <f>IF(ISNUMBER(SEARCH(E2543,A2543)),A2543,IF(OR(E2543="",E2543=""),A2543,A2543&amp;" - "&amp;E2543))</f>
        <v>IMC C2 THC20 Mids - Sour Pulse</v>
      </c>
      <c r="C2543" t="s">
        <v>646</v>
      </c>
      <c r="D2543" t="s">
        <v>646</v>
      </c>
      <c r="E2543" t="s">
        <v>6739</v>
      </c>
      <c r="F2543" t="s">
        <v>69</v>
      </c>
      <c r="G2543" t="s">
        <v>460</v>
      </c>
      <c r="H2543" s="2" t="s">
        <v>65</v>
      </c>
      <c r="I2543" t="s">
        <v>0</v>
      </c>
      <c r="J2543" t="s">
        <v>0</v>
      </c>
      <c r="K2543" t="s">
        <v>52</v>
      </c>
      <c r="L2543" t="s">
        <v>53</v>
      </c>
      <c r="M2543" t="s">
        <v>72</v>
      </c>
      <c r="N2543" t="s">
        <v>71</v>
      </c>
      <c r="O2543" t="s">
        <v>111</v>
      </c>
      <c r="P2543" t="s">
        <v>75</v>
      </c>
      <c r="Q2543" t="s">
        <v>59</v>
      </c>
      <c r="R2543" t="s">
        <v>89</v>
      </c>
      <c r="S2543" t="s">
        <v>106</v>
      </c>
      <c r="T2543" t="s">
        <v>62</v>
      </c>
      <c r="U2543" t="s">
        <v>147</v>
      </c>
      <c r="V2543" t="s">
        <v>77</v>
      </c>
      <c r="W2543" t="s">
        <v>79</v>
      </c>
      <c r="X2543" t="s">
        <v>107</v>
      </c>
      <c r="Y2543" t="s">
        <v>0</v>
      </c>
      <c r="Z2543" t="s">
        <v>64</v>
      </c>
      <c r="AA2543" t="s">
        <v>646</v>
      </c>
      <c r="AB2543" t="s">
        <v>0</v>
      </c>
      <c r="AC2543" t="s">
        <v>6740</v>
      </c>
    </row>
    <row r="2544" spans="1:29">
      <c r="A2544" t="s">
        <v>6741</v>
      </c>
      <c r="B2544" s="11" t="str">
        <f>IF(ISNUMBER(SEARCH(E2544,A2544)),A2544,IF(OR(E2544="",E2544=""),A2544,A2544&amp;" - "&amp;E2544))</f>
        <v>IMC A2 THC20 Mids - Pillow Kush</v>
      </c>
      <c r="C2544" t="s">
        <v>646</v>
      </c>
      <c r="D2544" t="s">
        <v>646</v>
      </c>
      <c r="E2544" s="79" t="s">
        <v>6742</v>
      </c>
      <c r="F2544" s="81" t="s">
        <v>120</v>
      </c>
      <c r="G2544" s="83" t="s">
        <v>452</v>
      </c>
      <c r="H2544" s="83">
        <v>1</v>
      </c>
      <c r="I2544" t="s">
        <v>0</v>
      </c>
      <c r="J2544" t="s">
        <v>0</v>
      </c>
      <c r="K2544" t="s">
        <v>52</v>
      </c>
      <c r="L2544" t="s">
        <v>1506</v>
      </c>
      <c r="M2544" t="s">
        <v>121</v>
      </c>
      <c r="N2544" t="s">
        <v>72</v>
      </c>
      <c r="O2544" t="s">
        <v>71</v>
      </c>
      <c r="P2544" t="s">
        <v>58</v>
      </c>
      <c r="Q2544" t="s">
        <v>74</v>
      </c>
      <c r="R2544" t="s">
        <v>0</v>
      </c>
      <c r="S2544" t="s">
        <v>128</v>
      </c>
      <c r="T2544" t="s">
        <v>62</v>
      </c>
      <c r="U2544" t="s">
        <v>123</v>
      </c>
      <c r="V2544" t="s">
        <v>116</v>
      </c>
      <c r="W2544" t="s">
        <v>180</v>
      </c>
      <c r="X2544" t="s">
        <v>79</v>
      </c>
      <c r="Y2544" t="s">
        <v>413</v>
      </c>
      <c r="Z2544" t="s">
        <v>64</v>
      </c>
      <c r="AA2544" t="s">
        <v>646</v>
      </c>
      <c r="AB2544" t="s">
        <v>0</v>
      </c>
      <c r="AC2544" t="s">
        <v>6743</v>
      </c>
    </row>
    <row r="2545" spans="1:29">
      <c r="A2545" t="s">
        <v>6744</v>
      </c>
      <c r="B2545" s="11" t="str">
        <f>IF(ISNUMBER(SEARCH(E2545,A2545)),A2545,IF(OR(E2545="",E2545=""),A2545,A2545&amp;" - "&amp;E2545))</f>
        <v>IMC MK THC27 Token - Thai Kush</v>
      </c>
      <c r="C2545" t="s">
        <v>646</v>
      </c>
      <c r="D2545" t="s">
        <v>646</v>
      </c>
      <c r="E2545" s="9" t="s">
        <v>6745</v>
      </c>
      <c r="F2545" s="1" t="s">
        <v>86</v>
      </c>
      <c r="G2545" s="8" t="s">
        <v>33</v>
      </c>
      <c r="H2545" s="8" t="s">
        <v>65</v>
      </c>
      <c r="I2545" t="s">
        <v>0</v>
      </c>
      <c r="J2545" t="s">
        <v>0</v>
      </c>
      <c r="K2545" t="s">
        <v>52</v>
      </c>
      <c r="L2545" t="s">
        <v>53</v>
      </c>
      <c r="M2545" t="s">
        <v>54</v>
      </c>
      <c r="N2545" t="s">
        <v>72</v>
      </c>
      <c r="O2545" t="s">
        <v>71</v>
      </c>
      <c r="P2545" t="s">
        <v>146</v>
      </c>
      <c r="Q2545" t="s">
        <v>75</v>
      </c>
      <c r="R2545" t="s">
        <v>59</v>
      </c>
      <c r="S2545" t="s">
        <v>106</v>
      </c>
      <c r="T2545" t="s">
        <v>62</v>
      </c>
      <c r="U2545" t="s">
        <v>147</v>
      </c>
      <c r="V2545" t="s">
        <v>180</v>
      </c>
      <c r="W2545" t="s">
        <v>79</v>
      </c>
      <c r="X2545" t="s">
        <v>77</v>
      </c>
      <c r="Y2545" t="s">
        <v>1139</v>
      </c>
      <c r="Z2545" t="s">
        <v>64</v>
      </c>
      <c r="AA2545" t="s">
        <v>646</v>
      </c>
      <c r="AB2545" t="s">
        <v>0</v>
      </c>
      <c r="AC2545" t="s">
        <v>6746</v>
      </c>
    </row>
    <row r="2546" spans="1:29">
      <c r="A2546" t="s">
        <v>6747</v>
      </c>
      <c r="B2546" s="11" t="str">
        <f>IF(ISNUMBER(SEARCH(E2546,A2546)),A2546,IF(OR(E2546="",E2546=""),A2546,A2546&amp;" - "&amp;E2546))</f>
        <v>enua 27/1 Mac F CA - MacFlurry</v>
      </c>
      <c r="C2546" t="s">
        <v>650</v>
      </c>
      <c r="D2546" t="s">
        <v>653</v>
      </c>
      <c r="E2546" s="79" t="s">
        <v>927</v>
      </c>
      <c r="F2546" s="81" t="s">
        <v>86</v>
      </c>
      <c r="G2546" s="83" t="s">
        <v>33</v>
      </c>
      <c r="H2546" s="83">
        <v>1</v>
      </c>
      <c r="I2546" t="s">
        <v>0</v>
      </c>
      <c r="J2546" t="s">
        <v>0</v>
      </c>
      <c r="K2546" t="s">
        <v>52</v>
      </c>
      <c r="L2546" t="s">
        <v>53</v>
      </c>
      <c r="M2546" t="s">
        <v>121</v>
      </c>
      <c r="N2546" t="s">
        <v>72</v>
      </c>
      <c r="O2546" t="s">
        <v>88</v>
      </c>
      <c r="P2546" t="s">
        <v>104</v>
      </c>
      <c r="Q2546" t="s">
        <v>59</v>
      </c>
      <c r="R2546" t="s">
        <v>75</v>
      </c>
      <c r="S2546" t="s">
        <v>90</v>
      </c>
      <c r="T2546" t="s">
        <v>106</v>
      </c>
      <c r="U2546" t="s">
        <v>62</v>
      </c>
      <c r="V2546" t="s">
        <v>77</v>
      </c>
      <c r="W2546" t="s">
        <v>107</v>
      </c>
      <c r="X2546" t="s">
        <v>79</v>
      </c>
      <c r="Y2546" t="s">
        <v>555</v>
      </c>
      <c r="Z2546" t="s">
        <v>64</v>
      </c>
      <c r="AA2546" t="s">
        <v>653</v>
      </c>
      <c r="AB2546" t="s">
        <v>0</v>
      </c>
      <c r="AC2546" t="s">
        <v>6748</v>
      </c>
    </row>
    <row r="2547" spans="1:29">
      <c r="A2547" t="s">
        <v>6749</v>
      </c>
      <c r="B2547" s="11" t="str">
        <f>IF(ISNUMBER(SEARCH(E2547,A2547)),A2547,IF(OR(E2547="",E2547=""),A2547,A2547&amp;" - "&amp;E2547))</f>
        <v>Cannamedical Hybrid Forte SA - Blunicorn</v>
      </c>
      <c r="C2547" t="s">
        <v>48</v>
      </c>
      <c r="D2547" t="s">
        <v>49</v>
      </c>
      <c r="E2547" s="9" t="s">
        <v>5149</v>
      </c>
      <c r="F2547" s="1" t="s">
        <v>86</v>
      </c>
      <c r="G2547" s="8" t="s">
        <v>4126</v>
      </c>
      <c r="H2547" s="8" t="s">
        <v>65</v>
      </c>
      <c r="I2547" t="s">
        <v>0</v>
      </c>
      <c r="J2547" t="s">
        <v>0</v>
      </c>
      <c r="K2547" t="s">
        <v>52</v>
      </c>
      <c r="L2547" t="s">
        <v>497</v>
      </c>
      <c r="M2547" t="s">
        <v>54</v>
      </c>
      <c r="N2547" t="s">
        <v>88</v>
      </c>
      <c r="O2547" t="s">
        <v>72</v>
      </c>
      <c r="P2547" t="s">
        <v>104</v>
      </c>
      <c r="Q2547" t="s">
        <v>113</v>
      </c>
      <c r="R2547" t="s">
        <v>74</v>
      </c>
      <c r="S2547" t="s">
        <v>106</v>
      </c>
      <c r="T2547" t="s">
        <v>62</v>
      </c>
      <c r="U2547" t="s">
        <v>147</v>
      </c>
      <c r="V2547" t="s">
        <v>116</v>
      </c>
      <c r="W2547" t="s">
        <v>93</v>
      </c>
      <c r="X2547" t="s">
        <v>107</v>
      </c>
      <c r="Y2547" t="s">
        <v>2890</v>
      </c>
      <c r="Z2547" t="s">
        <v>64</v>
      </c>
      <c r="AA2547" t="s">
        <v>49</v>
      </c>
      <c r="AB2547" t="s">
        <v>0</v>
      </c>
      <c r="AC2547" t="s">
        <v>6750</v>
      </c>
    </row>
    <row r="2548" spans="1:29">
      <c r="A2548" t="s">
        <v>6751</v>
      </c>
      <c r="B2548" s="11" t="str">
        <f>IF(ISNUMBER(SEARCH(E2548,A2548)),A2548,IF(OR(E2548="",E2548=""),A2548,A2548&amp;" - "&amp;E2548))</f>
        <v>IMC ZZ Token Afghani Diamond 22/1 - Skunk x Afghani Kush</v>
      </c>
      <c r="C2548" t="s">
        <v>646</v>
      </c>
      <c r="D2548" t="s">
        <v>646</v>
      </c>
      <c r="E2548" s="9" t="s">
        <v>6752</v>
      </c>
      <c r="F2548" s="1" t="s">
        <v>120</v>
      </c>
      <c r="G2548" s="8" t="s">
        <v>4126</v>
      </c>
      <c r="H2548" s="8" t="s">
        <v>65</v>
      </c>
      <c r="I2548" t="s">
        <v>0</v>
      </c>
      <c r="J2548" t="s">
        <v>0</v>
      </c>
      <c r="K2548" t="s">
        <v>52</v>
      </c>
      <c r="L2548" t="s">
        <v>53</v>
      </c>
      <c r="M2548" t="s">
        <v>121</v>
      </c>
      <c r="N2548" t="s">
        <v>72</v>
      </c>
      <c r="O2548" t="s">
        <v>71</v>
      </c>
      <c r="P2548" t="s">
        <v>104</v>
      </c>
      <c r="Q2548" t="s">
        <v>112</v>
      </c>
      <c r="R2548" t="s">
        <v>59</v>
      </c>
      <c r="S2548" t="s">
        <v>234</v>
      </c>
      <c r="T2548" t="s">
        <v>91</v>
      </c>
      <c r="U2548" t="s">
        <v>147</v>
      </c>
      <c r="V2548" t="s">
        <v>116</v>
      </c>
      <c r="W2548" t="s">
        <v>180</v>
      </c>
      <c r="X2548" t="s">
        <v>79</v>
      </c>
      <c r="Y2548" t="s">
        <v>5610</v>
      </c>
      <c r="Z2548" t="s">
        <v>64</v>
      </c>
      <c r="AA2548" t="s">
        <v>646</v>
      </c>
      <c r="AB2548" t="s">
        <v>0</v>
      </c>
      <c r="AC2548" t="s">
        <v>6753</v>
      </c>
    </row>
    <row r="2549" spans="1:29">
      <c r="A2549" t="s">
        <v>6754</v>
      </c>
      <c r="B2549" s="11" t="str">
        <f>IF(ISNUMBER(SEARCH(E2549,A2549)),A2549,IF(OR(E2549="",E2549=""),A2549,A2549&amp;" - "&amp;E2549))</f>
        <v>Soma OG 20/1 CC - Black Cherry Punch</v>
      </c>
      <c r="C2549" t="s">
        <v>1957</v>
      </c>
      <c r="D2549" t="s">
        <v>1961</v>
      </c>
      <c r="E2549" s="9" t="s">
        <v>685</v>
      </c>
      <c r="F2549" s="1" t="s">
        <v>177</v>
      </c>
      <c r="G2549" s="8" t="s">
        <v>460</v>
      </c>
      <c r="H2549" s="8" t="s">
        <v>65</v>
      </c>
      <c r="I2549" t="s">
        <v>0</v>
      </c>
      <c r="J2549" t="s">
        <v>0</v>
      </c>
      <c r="K2549" t="s">
        <v>52</v>
      </c>
      <c r="L2549" t="s">
        <v>102</v>
      </c>
      <c r="M2549" t="s">
        <v>72</v>
      </c>
      <c r="N2549" t="s">
        <v>121</v>
      </c>
      <c r="O2549" t="s">
        <v>103</v>
      </c>
      <c r="P2549" t="s">
        <v>58</v>
      </c>
      <c r="Q2549" t="s">
        <v>104</v>
      </c>
      <c r="R2549" t="s">
        <v>89</v>
      </c>
      <c r="S2549" t="s">
        <v>128</v>
      </c>
      <c r="T2549" t="s">
        <v>61</v>
      </c>
      <c r="U2549" t="s">
        <v>62</v>
      </c>
      <c r="V2549" t="s">
        <v>77</v>
      </c>
      <c r="W2549" t="s">
        <v>116</v>
      </c>
      <c r="X2549" t="s">
        <v>79</v>
      </c>
      <c r="Y2549" t="s">
        <v>413</v>
      </c>
      <c r="Z2549" t="s">
        <v>64</v>
      </c>
      <c r="AA2549" t="s">
        <v>1961</v>
      </c>
      <c r="AB2549" t="s">
        <v>0</v>
      </c>
      <c r="AC2549" t="s">
        <v>6755</v>
      </c>
    </row>
    <row r="2550" spans="1:29">
      <c r="A2550" t="s">
        <v>6756</v>
      </c>
      <c r="B2550" s="11" t="str">
        <f>IF(ISNUMBER(SEARCH(E2550,A2550)),A2550,IF(OR(E2550="",E2550=""),A2550,A2550&amp;" - "&amp;E2550))</f>
        <v>Cookies 2.0 Cereal Milk 26/1 CAN CM</v>
      </c>
      <c r="C2550" t="s">
        <v>996</v>
      </c>
      <c r="D2550" t="s">
        <v>997</v>
      </c>
      <c r="E2550" s="9" t="s">
        <v>2586</v>
      </c>
      <c r="F2550" s="1" t="s">
        <v>86</v>
      </c>
      <c r="G2550" s="8" t="s">
        <v>4086</v>
      </c>
      <c r="H2550" s="8" t="s">
        <v>65</v>
      </c>
      <c r="I2550" t="s">
        <v>0</v>
      </c>
      <c r="J2550" t="s">
        <v>0</v>
      </c>
      <c r="K2550" t="s">
        <v>52</v>
      </c>
      <c r="L2550" t="s">
        <v>53</v>
      </c>
      <c r="M2550" t="s">
        <v>88</v>
      </c>
      <c r="N2550" t="s">
        <v>72</v>
      </c>
      <c r="O2550" t="s">
        <v>0</v>
      </c>
      <c r="P2550" t="s">
        <v>75</v>
      </c>
      <c r="Q2550" t="s">
        <v>58</v>
      </c>
      <c r="R2550" t="s">
        <v>89</v>
      </c>
      <c r="S2550" t="s">
        <v>106</v>
      </c>
      <c r="T2550" t="s">
        <v>62</v>
      </c>
      <c r="U2550" t="s">
        <v>123</v>
      </c>
      <c r="V2550" t="s">
        <v>107</v>
      </c>
      <c r="W2550" t="s">
        <v>116</v>
      </c>
      <c r="X2550" t="s">
        <v>93</v>
      </c>
      <c r="Y2550" t="s">
        <v>400</v>
      </c>
      <c r="Z2550" t="s">
        <v>64</v>
      </c>
      <c r="AA2550" t="s">
        <v>997</v>
      </c>
      <c r="AB2550" t="s">
        <v>0</v>
      </c>
      <c r="AC2550" t="s">
        <v>6757</v>
      </c>
    </row>
    <row r="2551" spans="1:29">
      <c r="A2551" t="s">
        <v>6758</v>
      </c>
      <c r="B2551" s="11" t="str">
        <f>IF(ISNUMBER(SEARCH(E2551,A2551)),A2551,IF(OR(E2551="",E2551=""),A2551,A2551&amp;" - "&amp;E2551))</f>
        <v>Weeco 26/1 - Big Purple Dragon</v>
      </c>
      <c r="C2551" t="s">
        <v>905</v>
      </c>
      <c r="D2551" t="s">
        <v>906</v>
      </c>
      <c r="E2551" s="9" t="s">
        <v>4072</v>
      </c>
      <c r="F2551" s="1" t="s">
        <v>86</v>
      </c>
      <c r="G2551" s="8" t="s">
        <v>4086</v>
      </c>
      <c r="H2551" s="8" t="s">
        <v>65</v>
      </c>
      <c r="I2551" t="s">
        <v>0</v>
      </c>
      <c r="J2551" t="s">
        <v>0</v>
      </c>
      <c r="K2551" t="s">
        <v>52</v>
      </c>
      <c r="L2551" t="s">
        <v>53</v>
      </c>
      <c r="M2551" t="s">
        <v>54</v>
      </c>
      <c r="N2551" t="s">
        <v>72</v>
      </c>
      <c r="O2551" t="s">
        <v>0</v>
      </c>
      <c r="P2551" t="s">
        <v>74</v>
      </c>
      <c r="Q2551" t="s">
        <v>59</v>
      </c>
      <c r="R2551" t="s">
        <v>0</v>
      </c>
      <c r="S2551" t="s">
        <v>106</v>
      </c>
      <c r="T2551" t="s">
        <v>234</v>
      </c>
      <c r="U2551" t="s">
        <v>114</v>
      </c>
      <c r="V2551" t="s">
        <v>129</v>
      </c>
      <c r="W2551" t="s">
        <v>107</v>
      </c>
      <c r="X2551" t="s">
        <v>77</v>
      </c>
      <c r="Y2551" t="s">
        <v>1002</v>
      </c>
      <c r="Z2551" t="s">
        <v>64</v>
      </c>
      <c r="AA2551" t="s">
        <v>906</v>
      </c>
      <c r="AB2551" t="s">
        <v>0</v>
      </c>
      <c r="AC2551" t="s">
        <v>6759</v>
      </c>
    </row>
    <row r="2552" spans="1:29">
      <c r="A2552" t="s">
        <v>6760</v>
      </c>
      <c r="B2552" s="11" t="str">
        <f>IF(ISNUMBER(SEARCH(E2552,A2552)),A2552,IF(OR(E2552="",E2552=""),A2552,A2552&amp;" - "&amp;E2552))</f>
        <v>enua 33/1 JGF - Jungle Fumes</v>
      </c>
      <c r="C2552" t="s">
        <v>650</v>
      </c>
      <c r="D2552" t="s">
        <v>653</v>
      </c>
      <c r="E2552" s="9" t="s">
        <v>5534</v>
      </c>
      <c r="F2552" s="1" t="s">
        <v>144</v>
      </c>
      <c r="G2552" s="8" t="s">
        <v>4169</v>
      </c>
      <c r="H2552" s="8">
        <v>1</v>
      </c>
      <c r="I2552" t="s">
        <v>0</v>
      </c>
      <c r="J2552" t="s">
        <v>0</v>
      </c>
      <c r="K2552" t="s">
        <v>52</v>
      </c>
      <c r="L2552" t="s">
        <v>53</v>
      </c>
      <c r="M2552" t="s">
        <v>178</v>
      </c>
      <c r="N2552" t="s">
        <v>54</v>
      </c>
      <c r="O2552" t="s">
        <v>55</v>
      </c>
      <c r="P2552" t="s">
        <v>136</v>
      </c>
      <c r="Q2552" t="s">
        <v>59</v>
      </c>
      <c r="R2552" t="s">
        <v>104</v>
      </c>
      <c r="S2552" t="s">
        <v>106</v>
      </c>
      <c r="T2552" t="s">
        <v>62</v>
      </c>
      <c r="U2552" t="s">
        <v>147</v>
      </c>
      <c r="V2552" t="s">
        <v>77</v>
      </c>
      <c r="W2552" t="s">
        <v>292</v>
      </c>
      <c r="X2552" t="s">
        <v>711</v>
      </c>
      <c r="Y2552" t="s">
        <v>4633</v>
      </c>
      <c r="Z2552" t="s">
        <v>64</v>
      </c>
      <c r="AA2552" t="s">
        <v>653</v>
      </c>
      <c r="AB2552" t="s">
        <v>0</v>
      </c>
      <c r="AC2552" t="s">
        <v>6761</v>
      </c>
    </row>
    <row r="2553" spans="1:29">
      <c r="A2553" t="s">
        <v>6762</v>
      </c>
      <c r="B2553" s="11" t="str">
        <f>IF(ISNUMBER(SEARCH(E2553,A2553)),A2553,IF(OR(E2553="",E2553=""),A2553,A2553&amp;" - "&amp;E2553))</f>
        <v>Slouu 20/1 CRL CA - Crumbled Lime</v>
      </c>
      <c r="C2553" t="s">
        <v>650</v>
      </c>
      <c r="D2553" t="s">
        <v>653</v>
      </c>
      <c r="E2553" s="9" t="s">
        <v>5908</v>
      </c>
      <c r="F2553" s="1" t="s">
        <v>86</v>
      </c>
      <c r="G2553" s="8" t="s">
        <v>460</v>
      </c>
      <c r="H2553" s="8" t="s">
        <v>65</v>
      </c>
      <c r="I2553" t="s">
        <v>0</v>
      </c>
      <c r="J2553" t="s">
        <v>0</v>
      </c>
      <c r="K2553" t="s">
        <v>52</v>
      </c>
      <c r="L2553" t="s">
        <v>53</v>
      </c>
      <c r="M2553" t="s">
        <v>121</v>
      </c>
      <c r="N2553" t="s">
        <v>72</v>
      </c>
      <c r="O2553" t="s">
        <v>54</v>
      </c>
      <c r="P2553" t="s">
        <v>59</v>
      </c>
      <c r="Q2553" t="s">
        <v>89</v>
      </c>
      <c r="R2553" t="s">
        <v>58</v>
      </c>
      <c r="S2553" t="s">
        <v>106</v>
      </c>
      <c r="T2553" t="s">
        <v>62</v>
      </c>
      <c r="U2553" t="s">
        <v>147</v>
      </c>
      <c r="V2553" t="s">
        <v>77</v>
      </c>
      <c r="W2553" t="s">
        <v>116</v>
      </c>
      <c r="X2553" t="s">
        <v>180</v>
      </c>
      <c r="Y2553" t="s">
        <v>413</v>
      </c>
      <c r="Z2553" t="s">
        <v>64</v>
      </c>
      <c r="AA2553" t="s">
        <v>653</v>
      </c>
      <c r="AB2553" t="s">
        <v>0</v>
      </c>
      <c r="AC2553" t="s">
        <v>6763</v>
      </c>
    </row>
    <row r="2554" spans="1:29">
      <c r="A2554" t="s">
        <v>6764</v>
      </c>
      <c r="B2554" s="11" t="str">
        <f>IF(ISNUMBER(SEARCH(E2554,A2554)),A2554,IF(OR(E2554="",E2554=""),A2554,A2554&amp;" - "&amp;E2554))</f>
        <v>Huala 27/1 CA ALM - Alien Mints</v>
      </c>
      <c r="C2554" t="s">
        <v>463</v>
      </c>
      <c r="D2554" t="s">
        <v>468</v>
      </c>
      <c r="E2554" s="9" t="s">
        <v>1845</v>
      </c>
      <c r="F2554" s="1" t="s">
        <v>177</v>
      </c>
      <c r="G2554" s="8" t="s">
        <v>33</v>
      </c>
      <c r="H2554" s="8" t="s">
        <v>65</v>
      </c>
      <c r="I2554" t="s">
        <v>0</v>
      </c>
      <c r="J2554" t="s">
        <v>0</v>
      </c>
      <c r="K2554" t="s">
        <v>52</v>
      </c>
      <c r="L2554" t="s">
        <v>53</v>
      </c>
      <c r="M2554" t="s">
        <v>111</v>
      </c>
      <c r="N2554" t="s">
        <v>88</v>
      </c>
      <c r="O2554" t="s">
        <v>72</v>
      </c>
      <c r="P2554" t="s">
        <v>146</v>
      </c>
      <c r="Q2554" t="s">
        <v>89</v>
      </c>
      <c r="R2554" t="s">
        <v>112</v>
      </c>
      <c r="S2554" t="s">
        <v>61</v>
      </c>
      <c r="T2554" t="s">
        <v>62</v>
      </c>
      <c r="U2554" t="s">
        <v>164</v>
      </c>
      <c r="V2554" t="s">
        <v>107</v>
      </c>
      <c r="W2554" t="s">
        <v>77</v>
      </c>
      <c r="X2554" t="s">
        <v>116</v>
      </c>
      <c r="Y2554" t="s">
        <v>3752</v>
      </c>
      <c r="Z2554" t="s">
        <v>64</v>
      </c>
      <c r="AA2554" t="s">
        <v>468</v>
      </c>
      <c r="AB2554" t="s">
        <v>0</v>
      </c>
      <c r="AC2554" t="s">
        <v>6765</v>
      </c>
    </row>
    <row r="2555" spans="1:29">
      <c r="A2555" t="s">
        <v>6766</v>
      </c>
      <c r="B2555" s="11" t="str">
        <f>IF(ISNUMBER(SEARCH(E2555,A2555)),A2555,IF(OR(E2555="",E2555=""),A2555,A2555&amp;" - "&amp;E2555))</f>
        <v>Tilray Craft Cannabisblüten THC28 PPV - Platinum Pave</v>
      </c>
      <c r="C2555" t="s">
        <v>133</v>
      </c>
      <c r="D2555" t="s">
        <v>134</v>
      </c>
      <c r="E2555" s="9" t="s">
        <v>5070</v>
      </c>
      <c r="F2555" s="1" t="s">
        <v>86</v>
      </c>
      <c r="G2555" s="8" t="s">
        <v>4164</v>
      </c>
      <c r="H2555" s="8">
        <v>1</v>
      </c>
      <c r="I2555" t="s">
        <v>0</v>
      </c>
      <c r="J2555" t="s">
        <v>0</v>
      </c>
      <c r="K2555" t="s">
        <v>52</v>
      </c>
      <c r="L2555" t="s">
        <v>527</v>
      </c>
      <c r="M2555" t="s">
        <v>54</v>
      </c>
      <c r="N2555" t="s">
        <v>88</v>
      </c>
      <c r="O2555" t="s">
        <v>0</v>
      </c>
      <c r="P2555" t="s">
        <v>75</v>
      </c>
      <c r="Q2555" t="s">
        <v>73</v>
      </c>
      <c r="R2555" t="s">
        <v>157</v>
      </c>
      <c r="S2555" t="s">
        <v>106</v>
      </c>
      <c r="T2555" t="s">
        <v>62</v>
      </c>
      <c r="U2555" t="s">
        <v>123</v>
      </c>
      <c r="V2555" t="s">
        <v>116</v>
      </c>
      <c r="W2555" t="s">
        <v>173</v>
      </c>
      <c r="X2555" t="s">
        <v>77</v>
      </c>
      <c r="Y2555" t="s">
        <v>1128</v>
      </c>
      <c r="Z2555" t="s">
        <v>64</v>
      </c>
      <c r="AA2555" t="s">
        <v>134</v>
      </c>
      <c r="AB2555" t="s">
        <v>0</v>
      </c>
      <c r="AC2555" t="s">
        <v>6767</v>
      </c>
    </row>
    <row r="2556" spans="1:29">
      <c r="A2556" t="s">
        <v>6768</v>
      </c>
      <c r="B2556" s="11" t="str">
        <f>IF(ISNUMBER(SEARCH(E2556,A2556)),A2556,IF(OR(E2556="",E2556=""),A2556,A2556&amp;" - "&amp;E2556))</f>
        <v>Cali X Zosa 28/1</v>
      </c>
      <c r="C2556" t="s">
        <v>3108</v>
      </c>
      <c r="D2556" t="s">
        <v>3109</v>
      </c>
      <c r="E2556" s="9" t="s">
        <v>6769</v>
      </c>
      <c r="F2556" s="1" t="s">
        <v>177</v>
      </c>
      <c r="G2556" s="8" t="s">
        <v>4164</v>
      </c>
      <c r="H2556" s="8" t="s">
        <v>65</v>
      </c>
      <c r="I2556" t="s">
        <v>0</v>
      </c>
      <c r="J2556" t="s">
        <v>0</v>
      </c>
      <c r="K2556" t="s">
        <v>52</v>
      </c>
      <c r="L2556" t="s">
        <v>102</v>
      </c>
      <c r="M2556" t="s">
        <v>178</v>
      </c>
      <c r="N2556" t="s">
        <v>54</v>
      </c>
      <c r="O2556" t="s">
        <v>88</v>
      </c>
      <c r="P2556" t="s">
        <v>59</v>
      </c>
      <c r="Q2556" t="s">
        <v>58</v>
      </c>
      <c r="R2556" t="s">
        <v>89</v>
      </c>
      <c r="S2556" t="s">
        <v>106</v>
      </c>
      <c r="T2556" t="s">
        <v>62</v>
      </c>
      <c r="U2556" t="s">
        <v>91</v>
      </c>
      <c r="V2556" t="s">
        <v>93</v>
      </c>
      <c r="W2556" t="s">
        <v>165</v>
      </c>
      <c r="X2556" t="s">
        <v>79</v>
      </c>
      <c r="Y2556" t="s">
        <v>335</v>
      </c>
      <c r="Z2556" t="s">
        <v>64</v>
      </c>
      <c r="AA2556" t="s">
        <v>3109</v>
      </c>
      <c r="AB2556" t="s">
        <v>0</v>
      </c>
      <c r="AC2556" t="s">
        <v>6770</v>
      </c>
    </row>
    <row r="2557" spans="1:29">
      <c r="A2557" t="s">
        <v>6771</v>
      </c>
      <c r="B2557" s="11" t="str">
        <f>IF(ISNUMBER(SEARCH(E2557,A2557)),A2557,IF(OR(E2557="",E2557=""),A2557,A2557&amp;" - "&amp;E2557))</f>
        <v>Huala 20/1 CA WOT - Whiteout</v>
      </c>
      <c r="C2557" t="s">
        <v>463</v>
      </c>
      <c r="D2557" t="s">
        <v>468</v>
      </c>
      <c r="E2557" s="9" t="s">
        <v>6772</v>
      </c>
      <c r="F2557" s="1" t="s">
        <v>144</v>
      </c>
      <c r="G2557" s="8" t="s">
        <v>460</v>
      </c>
      <c r="H2557" s="8" t="s">
        <v>65</v>
      </c>
      <c r="I2557" t="s">
        <v>0</v>
      </c>
      <c r="J2557" t="s">
        <v>0</v>
      </c>
      <c r="K2557" t="s">
        <v>52</v>
      </c>
      <c r="L2557" t="s">
        <v>527</v>
      </c>
      <c r="M2557" t="s">
        <v>121</v>
      </c>
      <c r="N2557" t="s">
        <v>0</v>
      </c>
      <c r="O2557" t="s">
        <v>0</v>
      </c>
      <c r="P2557" t="s">
        <v>57</v>
      </c>
      <c r="Q2557" t="s">
        <v>112</v>
      </c>
      <c r="R2557" t="s">
        <v>75</v>
      </c>
      <c r="S2557" t="s">
        <v>128</v>
      </c>
      <c r="T2557" t="s">
        <v>61</v>
      </c>
      <c r="U2557" t="s">
        <v>62</v>
      </c>
      <c r="V2557" t="s">
        <v>4398</v>
      </c>
      <c r="W2557" t="s">
        <v>395</v>
      </c>
      <c r="X2557" t="s">
        <v>138</v>
      </c>
      <c r="Y2557" t="s">
        <v>1090</v>
      </c>
      <c r="Z2557" t="s">
        <v>64</v>
      </c>
      <c r="AA2557" t="s">
        <v>468</v>
      </c>
      <c r="AB2557" t="s">
        <v>0</v>
      </c>
      <c r="AC2557" t="s">
        <v>6773</v>
      </c>
    </row>
    <row r="2558" spans="1:29">
      <c r="A2558" t="s">
        <v>6774</v>
      </c>
      <c r="B2558" s="11" t="str">
        <f>IF(ISNUMBER(SEARCH(E2558,A2558)),A2558,IF(OR(E2558="",E2558=""),A2558,A2558&amp;" - "&amp;E2558))</f>
        <v>Huala 22/1 UK WTR - Waffle Truffle</v>
      </c>
      <c r="C2558" t="s">
        <v>463</v>
      </c>
      <c r="D2558" t="s">
        <v>468</v>
      </c>
      <c r="E2558" s="79" t="s">
        <v>5325</v>
      </c>
      <c r="F2558" s="81" t="s">
        <v>177</v>
      </c>
      <c r="G2558" s="83" t="s">
        <v>4126</v>
      </c>
      <c r="H2558" s="83" t="s">
        <v>65</v>
      </c>
      <c r="I2558" t="s">
        <v>0</v>
      </c>
      <c r="J2558" t="s">
        <v>0</v>
      </c>
      <c r="K2558" t="s">
        <v>52</v>
      </c>
      <c r="L2558" t="s">
        <v>5326</v>
      </c>
      <c r="M2558" t="s">
        <v>72</v>
      </c>
      <c r="N2558" t="s">
        <v>88</v>
      </c>
      <c r="O2558" t="s">
        <v>0</v>
      </c>
      <c r="P2558" t="s">
        <v>59</v>
      </c>
      <c r="Q2558" t="s">
        <v>89</v>
      </c>
      <c r="R2558" t="s">
        <v>157</v>
      </c>
      <c r="S2558" t="s">
        <v>106</v>
      </c>
      <c r="T2558" t="s">
        <v>62</v>
      </c>
      <c r="U2558" t="s">
        <v>123</v>
      </c>
      <c r="V2558" t="s">
        <v>77</v>
      </c>
      <c r="W2558" t="s">
        <v>914</v>
      </c>
      <c r="X2558" t="s">
        <v>138</v>
      </c>
      <c r="Y2558" t="s">
        <v>413</v>
      </c>
      <c r="Z2558" t="s">
        <v>64</v>
      </c>
      <c r="AA2558" t="s">
        <v>468</v>
      </c>
      <c r="AB2558" t="s">
        <v>0</v>
      </c>
      <c r="AC2558" t="s">
        <v>6775</v>
      </c>
    </row>
    <row r="2559" spans="1:29">
      <c r="A2559" t="s">
        <v>6776</v>
      </c>
      <c r="B2559" s="11" t="str">
        <f>IF(ISNUMBER(SEARCH(E2559,A2559)),A2559,IF(OR(E2559="",E2559=""),A2559,A2559&amp;" - "&amp;E2559))</f>
        <v>HiSociety 27/1 - Deep Breath</v>
      </c>
      <c r="C2559" t="s">
        <v>564</v>
      </c>
      <c r="D2559" t="s">
        <v>565</v>
      </c>
      <c r="E2559" s="9" t="s">
        <v>6777</v>
      </c>
      <c r="F2559" s="1" t="s">
        <v>86</v>
      </c>
      <c r="G2559" s="8" t="s">
        <v>33</v>
      </c>
      <c r="H2559" s="8" t="s">
        <v>65</v>
      </c>
      <c r="I2559" t="s">
        <v>0</v>
      </c>
      <c r="J2559" t="s">
        <v>0</v>
      </c>
      <c r="K2559" t="s">
        <v>52</v>
      </c>
      <c r="L2559" t="s">
        <v>102</v>
      </c>
      <c r="M2559" t="s">
        <v>72</v>
      </c>
      <c r="N2559" t="s">
        <v>54</v>
      </c>
      <c r="O2559" t="s">
        <v>111</v>
      </c>
      <c r="P2559" t="s">
        <v>136</v>
      </c>
      <c r="Q2559" t="s">
        <v>75</v>
      </c>
      <c r="R2559" t="s">
        <v>59</v>
      </c>
      <c r="S2559" t="s">
        <v>106</v>
      </c>
      <c r="T2559" t="s">
        <v>62</v>
      </c>
      <c r="U2559" t="s">
        <v>147</v>
      </c>
      <c r="V2559" t="s">
        <v>79</v>
      </c>
      <c r="W2559" t="s">
        <v>107</v>
      </c>
      <c r="X2559" t="s">
        <v>93</v>
      </c>
      <c r="Y2559" t="s">
        <v>1464</v>
      </c>
      <c r="Z2559" t="s">
        <v>64</v>
      </c>
      <c r="AA2559" t="s">
        <v>565</v>
      </c>
      <c r="AB2559" t="s">
        <v>0</v>
      </c>
      <c r="AC2559" t="s">
        <v>6778</v>
      </c>
    </row>
    <row r="2560" spans="1:29">
      <c r="A2560" t="s">
        <v>6779</v>
      </c>
      <c r="B2560" s="11" t="str">
        <f>IF(ISNUMBER(SEARCH(E2560,A2560)),A2560,IF(OR(E2560="",E2560=""),A2560,A2560&amp;" - "&amp;E2560))</f>
        <v>Vasco WR 18/1 - White Runtz</v>
      </c>
      <c r="C2560" t="s">
        <v>564</v>
      </c>
      <c r="D2560" t="s">
        <v>565</v>
      </c>
      <c r="E2560" s="9" t="s">
        <v>445</v>
      </c>
      <c r="F2560" s="1" t="s">
        <v>86</v>
      </c>
      <c r="G2560" s="8" t="s">
        <v>8</v>
      </c>
      <c r="H2560" s="8" t="s">
        <v>65</v>
      </c>
      <c r="I2560" t="s">
        <v>0</v>
      </c>
      <c r="J2560" t="s">
        <v>0</v>
      </c>
      <c r="K2560" t="s">
        <v>52</v>
      </c>
      <c r="L2560" t="s">
        <v>53</v>
      </c>
      <c r="M2560" t="s">
        <v>156</v>
      </c>
      <c r="N2560" t="s">
        <v>88</v>
      </c>
      <c r="O2560" t="s">
        <v>72</v>
      </c>
      <c r="P2560" t="s">
        <v>89</v>
      </c>
      <c r="Q2560" t="s">
        <v>58</v>
      </c>
      <c r="R2560" t="s">
        <v>75</v>
      </c>
      <c r="S2560" t="s">
        <v>106</v>
      </c>
      <c r="T2560" t="s">
        <v>123</v>
      </c>
      <c r="U2560" t="s">
        <v>224</v>
      </c>
      <c r="V2560" t="s">
        <v>77</v>
      </c>
      <c r="W2560" t="s">
        <v>79</v>
      </c>
      <c r="X2560" t="s">
        <v>173</v>
      </c>
      <c r="Y2560" t="s">
        <v>314</v>
      </c>
      <c r="Z2560" t="s">
        <v>64</v>
      </c>
      <c r="AA2560" t="s">
        <v>565</v>
      </c>
      <c r="AB2560" t="s">
        <v>0</v>
      </c>
      <c r="AC2560" t="s">
        <v>6780</v>
      </c>
    </row>
    <row r="2561" spans="1:29">
      <c r="A2561" t="s">
        <v>6781</v>
      </c>
      <c r="B2561" s="11" t="str">
        <f>IF(ISNUMBER(SEARCH(E2561,A2561)),A2561,IF(OR(E2561="",E2561=""),A2561,A2561&amp;" - "&amp;E2561))</f>
        <v>Ceres No. 2 26/1 - Slurricane Mint</v>
      </c>
      <c r="C2561" t="s">
        <v>564</v>
      </c>
      <c r="D2561" t="s">
        <v>565</v>
      </c>
      <c r="E2561" s="9" t="s">
        <v>1306</v>
      </c>
      <c r="F2561" s="1" t="s">
        <v>86</v>
      </c>
      <c r="G2561" s="8" t="s">
        <v>4086</v>
      </c>
      <c r="H2561" s="8">
        <v>1</v>
      </c>
      <c r="I2561" t="s">
        <v>0</v>
      </c>
      <c r="J2561" t="s">
        <v>0</v>
      </c>
      <c r="K2561" t="s">
        <v>52</v>
      </c>
      <c r="L2561" t="s">
        <v>53</v>
      </c>
      <c r="M2561" t="s">
        <v>103</v>
      </c>
      <c r="N2561" t="s">
        <v>72</v>
      </c>
      <c r="O2561" t="s">
        <v>121</v>
      </c>
      <c r="P2561" t="s">
        <v>1100</v>
      </c>
      <c r="Q2561" t="s">
        <v>112</v>
      </c>
      <c r="R2561" t="s">
        <v>74</v>
      </c>
      <c r="S2561" t="s">
        <v>128</v>
      </c>
      <c r="T2561" t="s">
        <v>106</v>
      </c>
      <c r="U2561" t="s">
        <v>76</v>
      </c>
      <c r="V2561" t="s">
        <v>116</v>
      </c>
      <c r="W2561" t="s">
        <v>77</v>
      </c>
      <c r="X2561" t="s">
        <v>173</v>
      </c>
      <c r="Y2561" t="s">
        <v>268</v>
      </c>
      <c r="Z2561" t="s">
        <v>64</v>
      </c>
      <c r="AA2561" t="s">
        <v>565</v>
      </c>
      <c r="AB2561" t="s">
        <v>1307</v>
      </c>
      <c r="AC2561" t="s">
        <v>6782</v>
      </c>
    </row>
    <row r="2562" spans="1:29">
      <c r="A2562" t="s">
        <v>6783</v>
      </c>
      <c r="B2562" s="11" t="str">
        <f>IF(ISNUMBER(SEARCH(E2562,A2562)),A2562,IF(OR(E2562="",E2562=""),A2562,A2562&amp;" - "&amp;E2562))</f>
        <v>29/01 Calimed craft No. 8 - Apples &amp; Bananas x Jealousy</v>
      </c>
      <c r="C2562" t="s">
        <v>3537</v>
      </c>
      <c r="D2562" t="s">
        <v>3538</v>
      </c>
      <c r="E2562" s="9" t="s">
        <v>6784</v>
      </c>
      <c r="F2562" s="1" t="s">
        <v>177</v>
      </c>
      <c r="G2562" s="8" t="s">
        <v>443</v>
      </c>
      <c r="H2562" s="8" t="s">
        <v>65</v>
      </c>
      <c r="I2562" t="s">
        <v>0</v>
      </c>
      <c r="J2562" t="s">
        <v>0</v>
      </c>
      <c r="K2562" t="s">
        <v>52</v>
      </c>
      <c r="L2562" t="s">
        <v>53</v>
      </c>
      <c r="M2562" t="s">
        <v>88</v>
      </c>
      <c r="N2562" t="s">
        <v>0</v>
      </c>
      <c r="O2562" t="s">
        <v>0</v>
      </c>
      <c r="P2562" t="s">
        <v>58</v>
      </c>
      <c r="Q2562" t="s">
        <v>89</v>
      </c>
      <c r="R2562" t="s">
        <v>0</v>
      </c>
      <c r="S2562" t="s">
        <v>106</v>
      </c>
      <c r="T2562" t="s">
        <v>164</v>
      </c>
      <c r="U2562" t="s">
        <v>123</v>
      </c>
      <c r="V2562" t="s">
        <v>77</v>
      </c>
      <c r="W2562" t="s">
        <v>93</v>
      </c>
      <c r="X2562" t="s">
        <v>208</v>
      </c>
      <c r="Y2562" t="s">
        <v>555</v>
      </c>
      <c r="Z2562" t="s">
        <v>64</v>
      </c>
      <c r="AA2562" t="s">
        <v>3538</v>
      </c>
      <c r="AB2562" t="s">
        <v>0</v>
      </c>
      <c r="AC2562" t="s">
        <v>6785</v>
      </c>
    </row>
    <row r="2563" spans="1:29">
      <c r="A2563" t="s">
        <v>6786</v>
      </c>
      <c r="B2563" s="11" t="str">
        <f>IF(ISNUMBER(SEARCH(E2563,A2563)),A2563,IF(OR(E2563="",E2563=""),A2563,A2563&amp;" - "&amp;E2563))</f>
        <v>Drapalin 31/1 Da Fux - Gary Payton x Gushers</v>
      </c>
      <c r="C2563" t="s">
        <v>668</v>
      </c>
      <c r="D2563" t="s">
        <v>671</v>
      </c>
      <c r="E2563" s="9" t="s">
        <v>6787</v>
      </c>
      <c r="F2563" s="1" t="s">
        <v>177</v>
      </c>
      <c r="G2563" s="8" t="s">
        <v>4488</v>
      </c>
      <c r="H2563" s="8" t="s">
        <v>65</v>
      </c>
      <c r="I2563" t="s">
        <v>0</v>
      </c>
      <c r="J2563" t="s">
        <v>0</v>
      </c>
      <c r="K2563" t="s">
        <v>52</v>
      </c>
      <c r="L2563" t="s">
        <v>53</v>
      </c>
      <c r="M2563" t="s">
        <v>54</v>
      </c>
      <c r="N2563" t="s">
        <v>178</v>
      </c>
      <c r="O2563" t="s">
        <v>55</v>
      </c>
      <c r="P2563" t="s">
        <v>59</v>
      </c>
      <c r="Q2563" t="s">
        <v>89</v>
      </c>
      <c r="R2563" t="s">
        <v>58</v>
      </c>
      <c r="S2563" t="s">
        <v>128</v>
      </c>
      <c r="T2563" t="s">
        <v>61</v>
      </c>
      <c r="U2563" t="s">
        <v>62</v>
      </c>
      <c r="V2563" t="s">
        <v>93</v>
      </c>
      <c r="W2563" t="s">
        <v>77</v>
      </c>
      <c r="X2563" t="s">
        <v>79</v>
      </c>
      <c r="Y2563" t="s">
        <v>124</v>
      </c>
      <c r="Z2563" t="s">
        <v>64</v>
      </c>
      <c r="AA2563" t="s">
        <v>671</v>
      </c>
      <c r="AB2563" t="s">
        <v>0</v>
      </c>
      <c r="AC2563" t="s">
        <v>6788</v>
      </c>
    </row>
    <row r="2564" spans="1:29">
      <c r="A2564" t="s">
        <v>6789</v>
      </c>
      <c r="B2564" s="11" t="str">
        <f>IF(ISNUMBER(SEARCH(E2564,A2564)),A2564,IF(OR(E2564="",E2564=""),A2564,A2564&amp;" - "&amp;E2564))</f>
        <v>Medicus 21/1 BIZ GGE - Green Gelato</v>
      </c>
      <c r="C2564" t="s">
        <v>564</v>
      </c>
      <c r="D2564" t="s">
        <v>565</v>
      </c>
      <c r="E2564" s="9" t="s">
        <v>2598</v>
      </c>
      <c r="F2564" s="1" t="s">
        <v>177</v>
      </c>
      <c r="G2564" s="8" t="s">
        <v>452</v>
      </c>
      <c r="H2564" s="8" t="s">
        <v>65</v>
      </c>
      <c r="I2564" t="s">
        <v>0</v>
      </c>
      <c r="J2564" t="s">
        <v>0</v>
      </c>
      <c r="K2564" t="s">
        <v>52</v>
      </c>
      <c r="L2564" t="s">
        <v>53</v>
      </c>
      <c r="M2564" t="s">
        <v>121</v>
      </c>
      <c r="N2564" t="s">
        <v>178</v>
      </c>
      <c r="O2564" t="s">
        <v>88</v>
      </c>
      <c r="P2564" t="s">
        <v>58</v>
      </c>
      <c r="Q2564" t="s">
        <v>75</v>
      </c>
      <c r="R2564" t="s">
        <v>89</v>
      </c>
      <c r="S2564" t="s">
        <v>106</v>
      </c>
      <c r="T2564" t="s">
        <v>62</v>
      </c>
      <c r="U2564" t="s">
        <v>147</v>
      </c>
      <c r="V2564" t="s">
        <v>107</v>
      </c>
      <c r="W2564" t="s">
        <v>116</v>
      </c>
      <c r="X2564" t="s">
        <v>77</v>
      </c>
      <c r="Y2564" t="s">
        <v>6790</v>
      </c>
      <c r="Z2564" t="s">
        <v>64</v>
      </c>
      <c r="AA2564" t="s">
        <v>565</v>
      </c>
      <c r="AB2564" t="s">
        <v>0</v>
      </c>
      <c r="AC2564" t="s">
        <v>6791</v>
      </c>
    </row>
    <row r="2565" spans="1:29">
      <c r="A2565" t="s">
        <v>6792</v>
      </c>
      <c r="B2565" s="11" t="str">
        <f>IF(ISNUMBER(SEARCH(E2565,A2565)),A2565,IF(OR(E2565="",E2565=""),A2565,A2565&amp;" - "&amp;E2565))</f>
        <v>Medicus 24/1 BIZ GGE - Green Gelato</v>
      </c>
      <c r="C2565" t="s">
        <v>564</v>
      </c>
      <c r="D2565" t="s">
        <v>565</v>
      </c>
      <c r="E2565" s="9" t="s">
        <v>2598</v>
      </c>
      <c r="F2565" s="1" t="s">
        <v>177</v>
      </c>
      <c r="G2565" s="8" t="s">
        <v>448</v>
      </c>
      <c r="H2565" s="8" t="s">
        <v>65</v>
      </c>
      <c r="I2565" t="s">
        <v>0</v>
      </c>
      <c r="J2565" t="s">
        <v>0</v>
      </c>
      <c r="K2565" t="s">
        <v>52</v>
      </c>
      <c r="L2565" t="s">
        <v>53</v>
      </c>
      <c r="M2565" t="s">
        <v>121</v>
      </c>
      <c r="N2565" t="s">
        <v>178</v>
      </c>
      <c r="O2565" t="s">
        <v>88</v>
      </c>
      <c r="P2565" t="s">
        <v>58</v>
      </c>
      <c r="Q2565" t="s">
        <v>75</v>
      </c>
      <c r="R2565" t="s">
        <v>89</v>
      </c>
      <c r="S2565" t="s">
        <v>106</v>
      </c>
      <c r="T2565" t="s">
        <v>62</v>
      </c>
      <c r="U2565" t="s">
        <v>147</v>
      </c>
      <c r="V2565" t="s">
        <v>107</v>
      </c>
      <c r="W2565" t="s">
        <v>116</v>
      </c>
      <c r="X2565" t="s">
        <v>77</v>
      </c>
      <c r="Y2565" t="s">
        <v>6793</v>
      </c>
      <c r="Z2565" t="s">
        <v>64</v>
      </c>
      <c r="AA2565" t="s">
        <v>565</v>
      </c>
      <c r="AB2565" t="s">
        <v>0</v>
      </c>
      <c r="AC2565" t="s">
        <v>6794</v>
      </c>
    </row>
    <row r="2566" spans="1:29">
      <c r="A2566" t="s">
        <v>6795</v>
      </c>
      <c r="B2566" s="11" t="str">
        <f>IF(ISNUMBER(SEARCH(E2566,A2566)),A2566,IF(OR(E2566="",E2566=""),A2566,A2566&amp;" - "&amp;E2566))</f>
        <v>Beacon WP T22 - Blueberry Pancakes</v>
      </c>
      <c r="C2566" t="s">
        <v>911</v>
      </c>
      <c r="D2566" t="s">
        <v>912</v>
      </c>
      <c r="E2566" s="9" t="s">
        <v>6644</v>
      </c>
      <c r="F2566" s="1" t="s">
        <v>177</v>
      </c>
      <c r="G2566" s="8" t="s">
        <v>448</v>
      </c>
      <c r="H2566" s="8" t="s">
        <v>65</v>
      </c>
      <c r="I2566" t="s">
        <v>0</v>
      </c>
      <c r="J2566" t="s">
        <v>0</v>
      </c>
      <c r="K2566" t="s">
        <v>52</v>
      </c>
      <c r="L2566" t="s">
        <v>53</v>
      </c>
      <c r="M2566" t="s">
        <v>88</v>
      </c>
      <c r="N2566" t="s">
        <v>0</v>
      </c>
      <c r="O2566" t="s">
        <v>0</v>
      </c>
      <c r="P2566" t="s">
        <v>75</v>
      </c>
      <c r="Q2566" t="s">
        <v>58</v>
      </c>
      <c r="R2566" t="s">
        <v>59</v>
      </c>
      <c r="S2566" t="s">
        <v>106</v>
      </c>
      <c r="T2566" t="s">
        <v>179</v>
      </c>
      <c r="U2566" t="s">
        <v>123</v>
      </c>
      <c r="V2566" t="s">
        <v>79</v>
      </c>
      <c r="W2566" t="s">
        <v>77</v>
      </c>
      <c r="X2566" t="s">
        <v>116</v>
      </c>
      <c r="Y2566" t="s">
        <v>2020</v>
      </c>
      <c r="Z2566" t="s">
        <v>64</v>
      </c>
      <c r="AA2566" t="s">
        <v>912</v>
      </c>
      <c r="AB2566" t="s">
        <v>0</v>
      </c>
      <c r="AC2566" t="s">
        <v>6796</v>
      </c>
    </row>
    <row r="2567" spans="1:29">
      <c r="A2567" t="s">
        <v>6797</v>
      </c>
      <c r="B2567" s="11" t="str">
        <f>IF(ISNUMBER(SEARCH(E2567,A2567)),A2567,IF(OR(E2567="",E2567=""),A2567,A2567&amp;" - "&amp;E2567))</f>
        <v>420 Natural 14/1 CA TRP - Tropicana Cookies</v>
      </c>
      <c r="C2567" t="s">
        <v>463</v>
      </c>
      <c r="D2567" t="s">
        <v>468</v>
      </c>
      <c r="E2567" s="9" t="s">
        <v>624</v>
      </c>
      <c r="F2567" s="1" t="s">
        <v>86</v>
      </c>
      <c r="G2567" s="8" t="s">
        <v>40</v>
      </c>
      <c r="H2567" s="8">
        <v>1</v>
      </c>
      <c r="I2567" t="s">
        <v>0</v>
      </c>
      <c r="J2567" t="s">
        <v>0</v>
      </c>
      <c r="K2567" t="s">
        <v>52</v>
      </c>
      <c r="L2567" t="s">
        <v>53</v>
      </c>
      <c r="M2567" t="s">
        <v>55</v>
      </c>
      <c r="N2567" t="s">
        <v>111</v>
      </c>
      <c r="O2567" t="s">
        <v>178</v>
      </c>
      <c r="P2567" t="s">
        <v>136</v>
      </c>
      <c r="Q2567" t="s">
        <v>58</v>
      </c>
      <c r="R2567" t="s">
        <v>75</v>
      </c>
      <c r="S2567" t="s">
        <v>128</v>
      </c>
      <c r="T2567" t="s">
        <v>106</v>
      </c>
      <c r="U2567" t="s">
        <v>62</v>
      </c>
      <c r="V2567" t="s">
        <v>77</v>
      </c>
      <c r="W2567" t="s">
        <v>79</v>
      </c>
      <c r="X2567" t="s">
        <v>173</v>
      </c>
      <c r="Y2567" t="s">
        <v>3220</v>
      </c>
      <c r="Z2567" t="s">
        <v>64</v>
      </c>
      <c r="AA2567" t="s">
        <v>468</v>
      </c>
      <c r="AB2567" t="s">
        <v>0</v>
      </c>
      <c r="AC2567" t="s">
        <v>6798</v>
      </c>
    </row>
    <row r="2568" spans="1:29">
      <c r="A2568" t="s">
        <v>6799</v>
      </c>
      <c r="B2568" s="11" t="str">
        <f>IF(ISNUMBER(SEARCH(E2568,A2568)),A2568,IF(OR(E2568="",E2568=""),A2568,A2568&amp;" - "&amp;E2568))</f>
        <v>26/1 Amici GB - Godberry</v>
      </c>
      <c r="C2568" t="s">
        <v>996</v>
      </c>
      <c r="D2568" t="s">
        <v>997</v>
      </c>
      <c r="E2568" s="79" t="s">
        <v>4697</v>
      </c>
      <c r="F2568" s="81" t="s">
        <v>177</v>
      </c>
      <c r="G2568" s="83" t="s">
        <v>4086</v>
      </c>
      <c r="H2568" s="95" t="s">
        <v>65</v>
      </c>
      <c r="I2568" t="s">
        <v>0</v>
      </c>
      <c r="J2568" t="s">
        <v>0</v>
      </c>
      <c r="K2568" t="s">
        <v>52</v>
      </c>
      <c r="L2568" t="s">
        <v>102</v>
      </c>
      <c r="M2568" t="s">
        <v>72</v>
      </c>
      <c r="N2568" t="s">
        <v>88</v>
      </c>
      <c r="O2568" t="s">
        <v>121</v>
      </c>
      <c r="P2568" t="s">
        <v>104</v>
      </c>
      <c r="Q2568" t="s">
        <v>74</v>
      </c>
      <c r="R2568" t="s">
        <v>89</v>
      </c>
      <c r="S2568" t="s">
        <v>106</v>
      </c>
      <c r="T2568" t="s">
        <v>62</v>
      </c>
      <c r="U2568" t="s">
        <v>147</v>
      </c>
      <c r="V2568" t="s">
        <v>4698</v>
      </c>
      <c r="W2568" t="s">
        <v>137</v>
      </c>
      <c r="X2568" t="s">
        <v>79</v>
      </c>
      <c r="Y2568" t="s">
        <v>1036</v>
      </c>
      <c r="Z2568" t="s">
        <v>64</v>
      </c>
      <c r="AA2568" t="s">
        <v>997</v>
      </c>
      <c r="AB2568" t="s">
        <v>0</v>
      </c>
      <c r="AC2568" t="s">
        <v>6800</v>
      </c>
    </row>
    <row r="2569" spans="1:29">
      <c r="A2569" t="s">
        <v>5898</v>
      </c>
      <c r="B2569" s="11" t="str">
        <f>IF(ISNUMBER(SEARCH(E2569,A2569)),A2569,IF(OR(E2569="",E2569=""),A2569,A2569&amp;" - "&amp;E2569))</f>
        <v>24/1 IUVO OC - Rainbow Chip</v>
      </c>
      <c r="C2569" t="s">
        <v>5810</v>
      </c>
      <c r="D2569" t="s">
        <v>5811</v>
      </c>
      <c r="E2569" s="79" t="s">
        <v>5903</v>
      </c>
      <c r="F2569" s="81" t="s">
        <v>120</v>
      </c>
      <c r="G2569" s="83" t="s">
        <v>448</v>
      </c>
      <c r="H2569" s="95" t="s">
        <v>65</v>
      </c>
      <c r="I2569" t="s">
        <v>0</v>
      </c>
      <c r="J2569" t="s">
        <v>0</v>
      </c>
      <c r="K2569" t="s">
        <v>52</v>
      </c>
      <c r="L2569" t="s">
        <v>53</v>
      </c>
      <c r="M2569" t="s">
        <v>156</v>
      </c>
      <c r="N2569" t="s">
        <v>71</v>
      </c>
      <c r="O2569" t="s">
        <v>178</v>
      </c>
      <c r="P2569" t="s">
        <v>89</v>
      </c>
      <c r="Q2569" t="s">
        <v>58</v>
      </c>
      <c r="R2569" t="s">
        <v>75</v>
      </c>
      <c r="S2569" t="s">
        <v>106</v>
      </c>
      <c r="T2569" t="s">
        <v>62</v>
      </c>
      <c r="U2569" t="s">
        <v>801</v>
      </c>
      <c r="V2569" t="s">
        <v>138</v>
      </c>
      <c r="W2569" t="s">
        <v>208</v>
      </c>
      <c r="X2569" t="s">
        <v>107</v>
      </c>
      <c r="Y2569" t="s">
        <v>80</v>
      </c>
      <c r="Z2569" t="s">
        <v>64</v>
      </c>
      <c r="AA2569" t="s">
        <v>5811</v>
      </c>
      <c r="AB2569" t="s">
        <v>6605</v>
      </c>
      <c r="AC2569" t="s">
        <v>6801</v>
      </c>
    </row>
    <row r="2570" spans="1:29">
      <c r="A2570" t="s">
        <v>6802</v>
      </c>
      <c r="B2570" s="11" t="str">
        <f>IF(ISNUMBER(SEARCH(E2570,A2570)),A2570,IF(OR(E2570="",E2570=""),A2570,A2570&amp;" - "&amp;E2570))</f>
        <v>Social Choice! 18/1 SEN GTH - Ghost Train Haze</v>
      </c>
      <c r="C2570" t="s">
        <v>83</v>
      </c>
      <c r="D2570" t="s">
        <v>95</v>
      </c>
      <c r="E2570" s="9" t="s">
        <v>343</v>
      </c>
      <c r="F2570" s="1" t="s">
        <v>144</v>
      </c>
      <c r="G2570" s="8" t="s">
        <v>8</v>
      </c>
      <c r="H2570" s="7" t="s">
        <v>65</v>
      </c>
      <c r="I2570" t="s">
        <v>0</v>
      </c>
      <c r="J2570" t="s">
        <v>0</v>
      </c>
      <c r="K2570" t="s">
        <v>52</v>
      </c>
      <c r="L2570" t="s">
        <v>53</v>
      </c>
      <c r="M2570" t="s">
        <v>55</v>
      </c>
      <c r="N2570" t="s">
        <v>111</v>
      </c>
      <c r="O2570" t="s">
        <v>178</v>
      </c>
      <c r="P2570" t="s">
        <v>75</v>
      </c>
      <c r="Q2570" t="s">
        <v>59</v>
      </c>
      <c r="R2570" t="s">
        <v>146</v>
      </c>
      <c r="S2570" t="s">
        <v>90</v>
      </c>
      <c r="T2570" t="s">
        <v>106</v>
      </c>
      <c r="U2570" t="s">
        <v>147</v>
      </c>
      <c r="V2570" t="s">
        <v>107</v>
      </c>
      <c r="W2570" t="s">
        <v>77</v>
      </c>
      <c r="X2570" t="s">
        <v>79</v>
      </c>
      <c r="Y2570" t="s">
        <v>6803</v>
      </c>
      <c r="Z2570" t="s">
        <v>64</v>
      </c>
      <c r="AA2570" t="s">
        <v>95</v>
      </c>
      <c r="AB2570" t="s">
        <v>0</v>
      </c>
      <c r="AC2570" t="s">
        <v>6804</v>
      </c>
    </row>
    <row r="2571" spans="1:29">
      <c r="A2571" t="s">
        <v>6805</v>
      </c>
      <c r="B2571" s="11" t="str">
        <f>IF(ISNUMBER(SEARCH(E2571,A2571)),A2571,IF(OR(E2571="",E2571=""),A2571,A2571&amp;" - "&amp;E2571))</f>
        <v>Demecan Craft Emerald 27:01 - GMO X Gush Mints</v>
      </c>
      <c r="C2571" t="s">
        <v>484</v>
      </c>
      <c r="D2571" t="s">
        <v>485</v>
      </c>
      <c r="E2571" t="s">
        <v>6806</v>
      </c>
      <c r="F2571" t="s">
        <v>86</v>
      </c>
      <c r="G2571" t="s">
        <v>33</v>
      </c>
      <c r="H2571">
        <v>1</v>
      </c>
      <c r="I2571" t="s">
        <v>0</v>
      </c>
      <c r="J2571" t="s">
        <v>0</v>
      </c>
      <c r="K2571" t="s">
        <v>52</v>
      </c>
      <c r="L2571" t="s">
        <v>53</v>
      </c>
      <c r="M2571" t="s">
        <v>121</v>
      </c>
      <c r="N2571" t="s">
        <v>71</v>
      </c>
      <c r="O2571" t="s">
        <v>72</v>
      </c>
      <c r="P2571" t="s">
        <v>59</v>
      </c>
      <c r="Q2571" t="s">
        <v>75</v>
      </c>
      <c r="R2571" t="s">
        <v>112</v>
      </c>
      <c r="S2571" t="s">
        <v>106</v>
      </c>
      <c r="T2571" t="s">
        <v>62</v>
      </c>
      <c r="U2571" t="s">
        <v>147</v>
      </c>
      <c r="V2571" t="s">
        <v>116</v>
      </c>
      <c r="W2571" t="s">
        <v>79</v>
      </c>
      <c r="X2571" t="s">
        <v>107</v>
      </c>
      <c r="Y2571" t="s">
        <v>130</v>
      </c>
      <c r="Z2571" t="s">
        <v>64</v>
      </c>
      <c r="AA2571" t="s">
        <v>485</v>
      </c>
      <c r="AB2571" t="s">
        <v>0</v>
      </c>
      <c r="AC2571" t="s">
        <v>6807</v>
      </c>
    </row>
    <row r="2572" spans="1:29">
      <c r="A2572" t="s">
        <v>6808</v>
      </c>
      <c r="B2572" s="11" t="str">
        <f>IF(ISNUMBER(SEARCH(E2572,A2572)),A2572,IF(OR(E2572="",E2572=""),A2572,A2572&amp;" - "&amp;E2572))</f>
        <v>Remexian 24/1 CHR BCO - Blunicorn</v>
      </c>
      <c r="C2572" t="str">
        <f>_xlfn.XLOOKUP(D2572,$D$2:$D$2578,$C$2:$C$2578,"",0)</f>
        <v>REMEXIAN</v>
      </c>
      <c r="D2572" t="s">
        <v>95</v>
      </c>
      <c r="E2572" s="9" t="s">
        <v>5149</v>
      </c>
      <c r="F2572" s="1" t="s">
        <v>177</v>
      </c>
      <c r="G2572" s="8" t="s">
        <v>448</v>
      </c>
      <c r="H2572" s="7" t="s">
        <v>65</v>
      </c>
      <c r="I2572" t="s">
        <v>0</v>
      </c>
      <c r="J2572" t="s">
        <v>0</v>
      </c>
      <c r="K2572" t="s">
        <v>52</v>
      </c>
      <c r="L2572" t="s">
        <v>497</v>
      </c>
      <c r="M2572" t="s">
        <v>54</v>
      </c>
      <c r="N2572" t="s">
        <v>88</v>
      </c>
      <c r="O2572" t="s">
        <v>72</v>
      </c>
      <c r="P2572" t="s">
        <v>104</v>
      </c>
      <c r="Q2572" t="s">
        <v>113</v>
      </c>
      <c r="R2572" t="s">
        <v>74</v>
      </c>
      <c r="S2572" t="s">
        <v>106</v>
      </c>
      <c r="T2572" t="s">
        <v>234</v>
      </c>
      <c r="U2572" t="s">
        <v>147</v>
      </c>
      <c r="V2572" t="s">
        <v>116</v>
      </c>
      <c r="W2572" t="s">
        <v>93</v>
      </c>
      <c r="X2572" t="s">
        <v>107</v>
      </c>
      <c r="Y2572" t="s">
        <v>2890</v>
      </c>
      <c r="Z2572" t="s">
        <v>64</v>
      </c>
      <c r="AA2572" t="s">
        <v>95</v>
      </c>
      <c r="AB2572" t="s">
        <v>6809</v>
      </c>
      <c r="AC2572" t="s">
        <v>6810</v>
      </c>
    </row>
    <row r="2573" spans="1:29">
      <c r="A2573" t="s">
        <v>6811</v>
      </c>
      <c r="B2573" s="11" t="str">
        <f>IF(ISNUMBER(SEARCH(E2573,A2573)),A2573,IF(OR(E2573="",E2573=""),A2573,A2573&amp;" - "&amp;E2573))</f>
        <v>Grünhorn BC 14/1 A&amp;B Apple &amp; Bananas - Apples &amp; Bananas</v>
      </c>
      <c r="C2573" t="s">
        <v>99</v>
      </c>
      <c r="D2573" t="s">
        <v>100</v>
      </c>
      <c r="E2573" s="9" t="s">
        <v>1120</v>
      </c>
      <c r="F2573" s="1" t="s">
        <v>120</v>
      </c>
      <c r="G2573" s="8" t="s">
        <v>40</v>
      </c>
      <c r="H2573" s="7">
        <v>1</v>
      </c>
      <c r="I2573" t="s">
        <v>0</v>
      </c>
      <c r="J2573" t="s">
        <v>0</v>
      </c>
      <c r="K2573" t="s">
        <v>52</v>
      </c>
      <c r="L2573" t="s">
        <v>53</v>
      </c>
      <c r="M2573" t="s">
        <v>72</v>
      </c>
      <c r="N2573" t="s">
        <v>55</v>
      </c>
      <c r="O2573" t="s">
        <v>71</v>
      </c>
      <c r="P2573" t="s">
        <v>58</v>
      </c>
      <c r="Q2573" t="s">
        <v>0</v>
      </c>
      <c r="R2573" t="s">
        <v>0</v>
      </c>
      <c r="S2573" t="s">
        <v>105</v>
      </c>
      <c r="T2573" t="s">
        <v>147</v>
      </c>
      <c r="U2573" t="s">
        <v>192</v>
      </c>
      <c r="V2573" t="s">
        <v>92</v>
      </c>
      <c r="W2573" t="s">
        <v>93</v>
      </c>
      <c r="X2573" t="s">
        <v>77</v>
      </c>
      <c r="Y2573" t="s">
        <v>2129</v>
      </c>
      <c r="Z2573" t="s">
        <v>64</v>
      </c>
      <c r="AA2573" t="s">
        <v>100</v>
      </c>
      <c r="AB2573" t="s">
        <v>658</v>
      </c>
      <c r="AC2573" t="s">
        <v>6812</v>
      </c>
    </row>
    <row r="2574" spans="1:29">
      <c r="A2574" t="s">
        <v>6814</v>
      </c>
      <c r="B2574" s="11" t="str">
        <f>IF(ISNUMBER(SEARCH(E2574,A2574)),A2574,IF(OR(E2574="",E2574=""),A2574,A2574&amp;" - "&amp;E2574))</f>
        <v>Social Choice! 18/1 LUX AMA - Amsterdam Amnesia</v>
      </c>
      <c r="C2574" t="s">
        <v>83</v>
      </c>
      <c r="D2574" t="s">
        <v>95</v>
      </c>
      <c r="E2574" t="s">
        <v>2777</v>
      </c>
      <c r="F2574" t="s">
        <v>144</v>
      </c>
      <c r="G2574" t="s">
        <v>8</v>
      </c>
      <c r="H2574" t="s">
        <v>65</v>
      </c>
      <c r="I2574" t="s">
        <v>0</v>
      </c>
      <c r="J2574" t="s">
        <v>0</v>
      </c>
      <c r="K2574" t="s">
        <v>52</v>
      </c>
      <c r="L2574" t="s">
        <v>5212</v>
      </c>
      <c r="M2574" t="s">
        <v>54</v>
      </c>
      <c r="N2574" t="s">
        <v>55</v>
      </c>
      <c r="O2574" t="s">
        <v>72</v>
      </c>
      <c r="P2574" t="s">
        <v>59</v>
      </c>
      <c r="Q2574" t="s">
        <v>75</v>
      </c>
      <c r="R2574" t="s">
        <v>0</v>
      </c>
      <c r="S2574" t="s">
        <v>90</v>
      </c>
      <c r="T2574" t="s">
        <v>62</v>
      </c>
      <c r="U2574" t="s">
        <v>164</v>
      </c>
      <c r="V2574" t="s">
        <v>292</v>
      </c>
      <c r="W2574" t="s">
        <v>79</v>
      </c>
      <c r="X2574" t="s">
        <v>107</v>
      </c>
      <c r="Y2574" t="s">
        <v>0</v>
      </c>
      <c r="Z2574" t="s">
        <v>64</v>
      </c>
      <c r="AA2574" t="s">
        <v>95</v>
      </c>
      <c r="AB2574" t="s">
        <v>4117</v>
      </c>
      <c r="AC2574" t="s">
        <v>6815</v>
      </c>
    </row>
    <row r="2575" spans="1:29">
      <c r="A2575" t="s">
        <v>6816</v>
      </c>
      <c r="B2575" s="11" t="str">
        <f>IF(ISNUMBER(SEARCH(E2575,A2575)),A2575,IF(OR(E2575="",E2575=""),A2575,A2575&amp;" - "&amp;E2575))</f>
        <v>Social Choice! 18/1 MCP - GMO Cookies</v>
      </c>
      <c r="C2575" t="str">
        <f>_xlfn.XLOOKUP(D2575,$D$2:$D$2578,$C$2:$C$2578,"",0)</f>
        <v>REMEXIAN</v>
      </c>
      <c r="D2575" t="s">
        <v>95</v>
      </c>
      <c r="E2575" s="9" t="s">
        <v>816</v>
      </c>
      <c r="F2575" s="1" t="s">
        <v>177</v>
      </c>
      <c r="G2575" s="8" t="s">
        <v>8</v>
      </c>
      <c r="H2575" s="7" t="s">
        <v>65</v>
      </c>
      <c r="I2575" t="s">
        <v>0</v>
      </c>
      <c r="J2575" t="s">
        <v>0</v>
      </c>
      <c r="K2575" t="s">
        <v>52</v>
      </c>
      <c r="L2575" t="s">
        <v>3417</v>
      </c>
      <c r="M2575" t="s">
        <v>88</v>
      </c>
      <c r="N2575" t="s">
        <v>121</v>
      </c>
      <c r="O2575" t="s">
        <v>72</v>
      </c>
      <c r="P2575" t="s">
        <v>73</v>
      </c>
      <c r="Q2575" t="s">
        <v>0</v>
      </c>
      <c r="R2575" t="s">
        <v>0</v>
      </c>
      <c r="S2575" t="s">
        <v>106</v>
      </c>
      <c r="T2575" t="s">
        <v>62</v>
      </c>
      <c r="U2575" t="s">
        <v>147</v>
      </c>
      <c r="V2575" t="s">
        <v>116</v>
      </c>
      <c r="W2575" t="s">
        <v>92</v>
      </c>
      <c r="X2575" t="s">
        <v>79</v>
      </c>
      <c r="Y2575" t="s">
        <v>6817</v>
      </c>
      <c r="Z2575" t="s">
        <v>64</v>
      </c>
      <c r="AA2575" t="s">
        <v>95</v>
      </c>
      <c r="AB2575" t="s">
        <v>0</v>
      </c>
      <c r="AC2575" t="s">
        <v>6818</v>
      </c>
    </row>
    <row r="2576" spans="1:29">
      <c r="A2576" t="s">
        <v>6819</v>
      </c>
      <c r="B2576" s="11" t="str">
        <f>IF(ISNUMBER(SEARCH(E2576,A2576)),A2576,IF(OR(E2576="",E2576=""),A2576,A2576&amp;" - "&amp;E2576))</f>
        <v>Demecan Core Golden Horizon 31:01 - Golden Goat</v>
      </c>
      <c r="C2576" t="s">
        <v>484</v>
      </c>
      <c r="D2576" t="s">
        <v>485</v>
      </c>
      <c r="E2576" s="9" t="s">
        <v>6820</v>
      </c>
      <c r="F2576" s="1" t="s">
        <v>86</v>
      </c>
      <c r="G2576" s="8" t="s">
        <v>4488</v>
      </c>
      <c r="H2576" s="7" t="s">
        <v>65</v>
      </c>
      <c r="I2576" t="s">
        <v>0</v>
      </c>
      <c r="J2576" t="s">
        <v>0</v>
      </c>
      <c r="K2576" t="s">
        <v>52</v>
      </c>
      <c r="L2576" t="s">
        <v>53</v>
      </c>
      <c r="M2576" t="s">
        <v>72</v>
      </c>
      <c r="N2576" t="s">
        <v>71</v>
      </c>
      <c r="O2576" t="s">
        <v>111</v>
      </c>
      <c r="P2576" t="s">
        <v>104</v>
      </c>
      <c r="Q2576" t="s">
        <v>136</v>
      </c>
      <c r="R2576" t="s">
        <v>75</v>
      </c>
      <c r="S2576" t="s">
        <v>128</v>
      </c>
      <c r="T2576" t="s">
        <v>106</v>
      </c>
      <c r="U2576" t="s">
        <v>62</v>
      </c>
      <c r="V2576" t="s">
        <v>77</v>
      </c>
      <c r="W2576" t="s">
        <v>79</v>
      </c>
      <c r="X2576" t="s">
        <v>107</v>
      </c>
      <c r="Y2576" t="s">
        <v>2135</v>
      </c>
      <c r="Z2576" t="s">
        <v>64</v>
      </c>
      <c r="AA2576" t="s">
        <v>485</v>
      </c>
      <c r="AB2576" t="s">
        <v>0</v>
      </c>
      <c r="AC2576" t="s">
        <v>6821</v>
      </c>
    </row>
    <row r="2577" spans="1:29">
      <c r="A2577" t="s">
        <v>6822</v>
      </c>
      <c r="B2577" s="11" t="str">
        <f>IF(ISNUMBER(SEARCH(E2577,A2577)),A2577,IF(OR(E2577="",E2577=""),A2577,A2577&amp;" - "&amp;E2577))</f>
        <v>Demecan RF EPIC DROP 30:01 - 98 Aloha White Widow x Trainwreck</v>
      </c>
      <c r="C2577" t="s">
        <v>484</v>
      </c>
      <c r="D2577" t="s">
        <v>485</v>
      </c>
      <c r="E2577" s="9" t="s">
        <v>6823</v>
      </c>
      <c r="F2577" s="1" t="s">
        <v>86</v>
      </c>
      <c r="G2577" s="8" t="s">
        <v>4057</v>
      </c>
      <c r="H2577" s="7" t="s">
        <v>65</v>
      </c>
      <c r="I2577" t="s">
        <v>0</v>
      </c>
      <c r="J2577" t="s">
        <v>0</v>
      </c>
      <c r="K2577" t="s">
        <v>52</v>
      </c>
      <c r="L2577" t="s">
        <v>53</v>
      </c>
      <c r="M2577" t="s">
        <v>71</v>
      </c>
      <c r="N2577" t="s">
        <v>111</v>
      </c>
      <c r="O2577" t="s">
        <v>88</v>
      </c>
      <c r="P2577" t="s">
        <v>104</v>
      </c>
      <c r="Q2577" t="s">
        <v>89</v>
      </c>
      <c r="R2577" t="s">
        <v>146</v>
      </c>
      <c r="S2577" t="s">
        <v>106</v>
      </c>
      <c r="T2577" t="s">
        <v>62</v>
      </c>
      <c r="U2577" t="s">
        <v>147</v>
      </c>
      <c r="V2577" t="s">
        <v>914</v>
      </c>
      <c r="W2577" t="s">
        <v>77</v>
      </c>
      <c r="X2577" t="s">
        <v>129</v>
      </c>
      <c r="Y2577" t="s">
        <v>1454</v>
      </c>
      <c r="Z2577" t="s">
        <v>64</v>
      </c>
      <c r="AA2577" t="s">
        <v>485</v>
      </c>
      <c r="AB2577" t="s">
        <v>0</v>
      </c>
      <c r="AC2577" t="s">
        <v>6824</v>
      </c>
    </row>
    <row r="2578" spans="1:29">
      <c r="A2578" t="s">
        <v>6825</v>
      </c>
      <c r="B2578" s="11" t="str">
        <f>IF(ISNUMBER(SEARCH(E2578,A2578)),A2578,IF(OR(E2578="",E2578=""),A2578,A2578&amp;" - "&amp;E2578))</f>
        <v>Remexian 30/1 RAS GRT - Green Thunder</v>
      </c>
      <c r="C2578" t="str">
        <f>_xlfn.XLOOKUP(D2578,$D$2:$D$2578,$C$2:$C$2578,"",0)</f>
        <v>REMEXIAN</v>
      </c>
      <c r="D2578" t="s">
        <v>95</v>
      </c>
      <c r="E2578" s="9" t="s">
        <v>6826</v>
      </c>
      <c r="F2578" s="1" t="s">
        <v>177</v>
      </c>
      <c r="G2578" s="8" t="s">
        <v>4057</v>
      </c>
      <c r="H2578" s="7" t="s">
        <v>65</v>
      </c>
      <c r="I2578" t="s">
        <v>0</v>
      </c>
      <c r="J2578" t="s">
        <v>0</v>
      </c>
      <c r="K2578" t="s">
        <v>52</v>
      </c>
      <c r="L2578" t="s">
        <v>497</v>
      </c>
      <c r="M2578" t="s">
        <v>72</v>
      </c>
      <c r="N2578" t="s">
        <v>71</v>
      </c>
      <c r="O2578" t="s">
        <v>111</v>
      </c>
      <c r="P2578" t="s">
        <v>75</v>
      </c>
      <c r="Q2578" t="s">
        <v>59</v>
      </c>
      <c r="R2578" t="s">
        <v>89</v>
      </c>
      <c r="S2578" t="s">
        <v>62</v>
      </c>
      <c r="T2578" t="s">
        <v>147</v>
      </c>
      <c r="U2578" t="s">
        <v>192</v>
      </c>
      <c r="V2578" t="s">
        <v>77</v>
      </c>
      <c r="W2578" t="s">
        <v>165</v>
      </c>
      <c r="X2578" t="s">
        <v>79</v>
      </c>
      <c r="Y2578" t="s">
        <v>413</v>
      </c>
      <c r="Z2578" t="s">
        <v>64</v>
      </c>
      <c r="AA2578" t="s">
        <v>95</v>
      </c>
      <c r="AB2578" t="s">
        <v>0</v>
      </c>
      <c r="AC2578" t="s">
        <v>6827</v>
      </c>
    </row>
    <row r="2579" spans="1:29">
      <c r="A2579" t="s">
        <v>6828</v>
      </c>
      <c r="B2579" s="11" t="str">
        <f>IF(ISNUMBER(SEARCH(E2579,A2579)),A2579,IF(OR(E2579="",E2579=""),A2579,A2579&amp;" - "&amp;E2579))</f>
        <v>Remexian 27/1 PGF WRZ - White Runtz</v>
      </c>
      <c r="C2579" t="str">
        <f>_xlfn.XLOOKUP(D2579,$D$2:$D$2578,$C$2:$C$2578,"",0)</f>
        <v>REMEXIAN</v>
      </c>
      <c r="D2579" t="s">
        <v>95</v>
      </c>
      <c r="E2579" s="9" t="s">
        <v>445</v>
      </c>
      <c r="F2579" s="1" t="s">
        <v>86</v>
      </c>
      <c r="G2579" s="8" t="s">
        <v>33</v>
      </c>
      <c r="H2579" s="7" t="s">
        <v>65</v>
      </c>
      <c r="I2579" t="s">
        <v>0</v>
      </c>
      <c r="J2579" t="s">
        <v>0</v>
      </c>
      <c r="K2579" t="s">
        <v>52</v>
      </c>
      <c r="L2579" t="s">
        <v>53</v>
      </c>
      <c r="M2579" t="s">
        <v>156</v>
      </c>
      <c r="N2579" t="s">
        <v>88</v>
      </c>
      <c r="O2579" t="s">
        <v>72</v>
      </c>
      <c r="P2579" t="s">
        <v>89</v>
      </c>
      <c r="Q2579" t="s">
        <v>58</v>
      </c>
      <c r="R2579" t="s">
        <v>75</v>
      </c>
      <c r="S2579" t="s">
        <v>106</v>
      </c>
      <c r="T2579" t="s">
        <v>62</v>
      </c>
      <c r="U2579" t="s">
        <v>123</v>
      </c>
      <c r="V2579" t="s">
        <v>77</v>
      </c>
      <c r="W2579" t="s">
        <v>79</v>
      </c>
      <c r="X2579" t="s">
        <v>173</v>
      </c>
      <c r="Y2579" t="s">
        <v>307</v>
      </c>
      <c r="Z2579" t="s">
        <v>64</v>
      </c>
      <c r="AA2579" t="s">
        <v>95</v>
      </c>
      <c r="AB2579" t="s">
        <v>6829</v>
      </c>
      <c r="AC2579" t="s">
        <v>6830</v>
      </c>
    </row>
    <row r="2580" spans="1:29">
      <c r="A2580" t="s">
        <v>6831</v>
      </c>
      <c r="B2580" s="11" t="str">
        <f>IF(ISNUMBER(SEARCH(E2580,A2580)),A2580,IF(OR(E2580="",E2580=""),A2580,A2580&amp;" - "&amp;E2580))</f>
        <v>Luana Electric 20/1 - Bashengo</v>
      </c>
      <c r="C2580" t="s">
        <v>48</v>
      </c>
      <c r="D2580" t="s">
        <v>49</v>
      </c>
      <c r="E2580" s="9" t="s">
        <v>5514</v>
      </c>
      <c r="F2580" s="1" t="s">
        <v>120</v>
      </c>
      <c r="G2580" s="8" t="s">
        <v>460</v>
      </c>
      <c r="H2580" s="7" t="s">
        <v>65</v>
      </c>
      <c r="I2580" t="s">
        <v>0</v>
      </c>
      <c r="J2580" t="s">
        <v>0</v>
      </c>
      <c r="K2580" t="s">
        <v>52</v>
      </c>
      <c r="L2580" t="s">
        <v>53</v>
      </c>
      <c r="M2580" t="s">
        <v>121</v>
      </c>
      <c r="N2580" t="s">
        <v>72</v>
      </c>
      <c r="O2580" t="s">
        <v>71</v>
      </c>
      <c r="P2580" t="s">
        <v>59</v>
      </c>
      <c r="Q2580" t="s">
        <v>89</v>
      </c>
      <c r="R2580" t="s">
        <v>74</v>
      </c>
      <c r="S2580" t="s">
        <v>106</v>
      </c>
      <c r="T2580" t="s">
        <v>62</v>
      </c>
      <c r="U2580" t="s">
        <v>147</v>
      </c>
      <c r="V2580" t="s">
        <v>77</v>
      </c>
      <c r="W2580" t="s">
        <v>225</v>
      </c>
      <c r="X2580" t="s">
        <v>116</v>
      </c>
      <c r="Y2580" t="s">
        <v>453</v>
      </c>
      <c r="Z2580" t="s">
        <v>64</v>
      </c>
      <c r="AA2580" t="s">
        <v>49</v>
      </c>
      <c r="AB2580" t="s">
        <v>0</v>
      </c>
      <c r="AC2580" t="s">
        <v>6832</v>
      </c>
    </row>
    <row r="2581" spans="1:29">
      <c r="A2581" t="s">
        <v>6833</v>
      </c>
      <c r="B2581" s="11" t="str">
        <f>IF(ISNUMBER(SEARCH(E2581,A2581)),A2581,IF(OR(E2581="",E2581=""),A2581,A2581&amp;" - "&amp;E2581))</f>
        <v>IMC LM THC20 Mids - Lemon Fizz</v>
      </c>
      <c r="C2581" t="s">
        <v>646</v>
      </c>
      <c r="D2581" t="s">
        <v>646</v>
      </c>
      <c r="E2581" s="9" t="s">
        <v>6834</v>
      </c>
      <c r="F2581" s="1" t="s">
        <v>69</v>
      </c>
      <c r="G2581" s="8" t="s">
        <v>460</v>
      </c>
      <c r="H2581" s="7" t="s">
        <v>65</v>
      </c>
      <c r="I2581" t="s">
        <v>0</v>
      </c>
      <c r="J2581" t="s">
        <v>0</v>
      </c>
      <c r="K2581" t="s">
        <v>52</v>
      </c>
      <c r="L2581" t="s">
        <v>53</v>
      </c>
      <c r="M2581" t="s">
        <v>121</v>
      </c>
      <c r="N2581" t="s">
        <v>72</v>
      </c>
      <c r="O2581" t="s">
        <v>71</v>
      </c>
      <c r="P2581" t="s">
        <v>75</v>
      </c>
      <c r="Q2581" t="s">
        <v>59</v>
      </c>
      <c r="R2581" t="s">
        <v>89</v>
      </c>
      <c r="S2581" t="s">
        <v>106</v>
      </c>
      <c r="T2581" t="s">
        <v>62</v>
      </c>
      <c r="U2581" t="s">
        <v>147</v>
      </c>
      <c r="V2581" t="s">
        <v>77</v>
      </c>
      <c r="W2581" t="s">
        <v>116</v>
      </c>
      <c r="X2581" t="s">
        <v>129</v>
      </c>
      <c r="Y2581" t="s">
        <v>5412</v>
      </c>
      <c r="Z2581" t="s">
        <v>64</v>
      </c>
      <c r="AA2581" t="s">
        <v>646</v>
      </c>
      <c r="AB2581" t="s">
        <v>0</v>
      </c>
      <c r="AC2581" t="s">
        <v>6835</v>
      </c>
    </row>
    <row r="2582" spans="1:29">
      <c r="A2582" t="s">
        <v>5898</v>
      </c>
      <c r="B2582" s="11" t="str">
        <f>IF(ISNUMBER(SEARCH(E2582,A2582)),A2582,IF(OR(E2582="",E2582=""),A2582,A2582&amp;" - "&amp;E2582))</f>
        <v>24/1 IUVO OC - Triangle Queen</v>
      </c>
      <c r="C2582" t="s">
        <v>5810</v>
      </c>
      <c r="D2582" t="s">
        <v>5811</v>
      </c>
      <c r="E2582" s="9" t="s">
        <v>6836</v>
      </c>
      <c r="F2582" s="1" t="s">
        <v>177</v>
      </c>
      <c r="G2582" s="8" t="s">
        <v>448</v>
      </c>
      <c r="H2582" s="7" t="s">
        <v>65</v>
      </c>
      <c r="I2582" t="s">
        <v>0</v>
      </c>
      <c r="J2582" t="s">
        <v>0</v>
      </c>
      <c r="K2582" t="s">
        <v>52</v>
      </c>
      <c r="L2582" t="s">
        <v>53</v>
      </c>
      <c r="M2582" t="s">
        <v>72</v>
      </c>
      <c r="N2582" t="s">
        <v>71</v>
      </c>
      <c r="O2582" t="s">
        <v>111</v>
      </c>
      <c r="P2582" t="s">
        <v>75</v>
      </c>
      <c r="Q2582" t="s">
        <v>59</v>
      </c>
      <c r="R2582" t="s">
        <v>89</v>
      </c>
      <c r="S2582" t="s">
        <v>106</v>
      </c>
      <c r="T2582" t="s">
        <v>123</v>
      </c>
      <c r="U2582" t="s">
        <v>147</v>
      </c>
      <c r="V2582" t="s">
        <v>77</v>
      </c>
      <c r="W2582" t="s">
        <v>180</v>
      </c>
      <c r="X2582" t="s">
        <v>129</v>
      </c>
      <c r="Y2582" t="s">
        <v>286</v>
      </c>
      <c r="Z2582" t="s">
        <v>64</v>
      </c>
      <c r="AA2582" t="s">
        <v>5811</v>
      </c>
      <c r="AB2582" t="s">
        <v>6605</v>
      </c>
      <c r="AC2582" t="s">
        <v>6837</v>
      </c>
    </row>
    <row r="2583" spans="1:29">
      <c r="A2583" t="s">
        <v>6838</v>
      </c>
      <c r="B2583" s="11" t="str">
        <f>IF(ISNUMBER(SEARCH(E2583,A2583)),A2583,IF(OR(E2583="",E2583=""),A2583,A2583&amp;" - "&amp;E2583))</f>
        <v>Barongo 30/1 ZP - Zesty Parm</v>
      </c>
      <c r="C2583" t="str">
        <f t="shared" ref="C2583:C2601" si="2">_xlfn.XLOOKUP(D2583,$D$2:$D$2578,$C$2:$C$2578,"",0)</f>
        <v>WMG</v>
      </c>
      <c r="D2583" t="s">
        <v>642</v>
      </c>
      <c r="E2583" s="9" t="s">
        <v>6495</v>
      </c>
      <c r="F2583" s="1" t="s">
        <v>144</v>
      </c>
      <c r="G2583" s="8" t="s">
        <v>4057</v>
      </c>
      <c r="H2583" s="7">
        <v>1</v>
      </c>
      <c r="I2583" t="s">
        <v>0</v>
      </c>
      <c r="J2583" t="s">
        <v>0</v>
      </c>
      <c r="K2583" t="s">
        <v>52</v>
      </c>
      <c r="L2583" t="s">
        <v>53</v>
      </c>
      <c r="M2583" t="s">
        <v>72</v>
      </c>
      <c r="N2583" t="s">
        <v>111</v>
      </c>
      <c r="O2583" t="s">
        <v>54</v>
      </c>
      <c r="P2583" t="s">
        <v>58</v>
      </c>
      <c r="Q2583" t="s">
        <v>75</v>
      </c>
      <c r="R2583" t="s">
        <v>59</v>
      </c>
      <c r="S2583" t="s">
        <v>106</v>
      </c>
      <c r="T2583" t="s">
        <v>62</v>
      </c>
      <c r="U2583" t="s">
        <v>147</v>
      </c>
      <c r="V2583" t="s">
        <v>79</v>
      </c>
      <c r="W2583" t="s">
        <v>93</v>
      </c>
      <c r="X2583" t="s">
        <v>77</v>
      </c>
      <c r="Y2583" t="s">
        <v>6182</v>
      </c>
      <c r="Z2583" t="s">
        <v>64</v>
      </c>
      <c r="AA2583" t="s">
        <v>642</v>
      </c>
      <c r="AB2583" t="s">
        <v>0</v>
      </c>
      <c r="AC2583" t="s">
        <v>6839</v>
      </c>
    </row>
    <row r="2584" spans="1:29">
      <c r="A2584" t="s">
        <v>6840</v>
      </c>
      <c r="B2584" s="11" t="str">
        <f>IF(ISNUMBER(SEARCH(E2584,A2584)),A2584,IF(OR(E2584="",E2584=""),A2584,A2584&amp;" - "&amp;E2584))</f>
        <v>30/1 AMICI SP Scotti´s Purps - Scotti‘s Purps</v>
      </c>
      <c r="C2584" t="str">
        <f t="shared" si="2"/>
        <v>CANSATIVA</v>
      </c>
      <c r="D2584" t="s">
        <v>997</v>
      </c>
      <c r="E2584" s="9" t="s">
        <v>6841</v>
      </c>
      <c r="F2584" s="1" t="s">
        <v>177</v>
      </c>
      <c r="G2584" s="8" t="s">
        <v>4057</v>
      </c>
      <c r="H2584" s="7" t="s">
        <v>65</v>
      </c>
      <c r="I2584" t="s">
        <v>0</v>
      </c>
      <c r="J2584" t="s">
        <v>0</v>
      </c>
      <c r="K2584" t="s">
        <v>52</v>
      </c>
      <c r="L2584" t="s">
        <v>53</v>
      </c>
      <c r="M2584" t="s">
        <v>121</v>
      </c>
      <c r="N2584" t="s">
        <v>71</v>
      </c>
      <c r="O2584" t="s">
        <v>88</v>
      </c>
      <c r="P2584" t="s">
        <v>157</v>
      </c>
      <c r="Q2584" t="s">
        <v>57</v>
      </c>
      <c r="R2584" t="s">
        <v>58</v>
      </c>
      <c r="S2584" t="s">
        <v>106</v>
      </c>
      <c r="T2584" t="s">
        <v>62</v>
      </c>
      <c r="U2584" t="s">
        <v>123</v>
      </c>
      <c r="V2584" t="s">
        <v>77</v>
      </c>
      <c r="W2584" t="s">
        <v>116</v>
      </c>
      <c r="X2584" t="s">
        <v>79</v>
      </c>
      <c r="Y2584" t="s">
        <v>3098</v>
      </c>
      <c r="Z2584" t="s">
        <v>64</v>
      </c>
      <c r="AA2584" t="s">
        <v>997</v>
      </c>
      <c r="AB2584" t="s">
        <v>0</v>
      </c>
      <c r="AC2584" t="s">
        <v>6842</v>
      </c>
    </row>
    <row r="2585" spans="1:29">
      <c r="A2585" t="s">
        <v>6843</v>
      </c>
      <c r="B2585" s="11" t="str">
        <f>IF(ISNUMBER(SEARCH(E2585,A2585)),A2585,IF(OR(E2585="",E2585=""),A2585,A2585&amp;" - "&amp;E2585))</f>
        <v>30/1 Amici CRL - Crystal Locomotive</v>
      </c>
      <c r="C2585" t="str">
        <f t="shared" si="2"/>
        <v>CANSATIVA</v>
      </c>
      <c r="D2585" t="s">
        <v>997</v>
      </c>
      <c r="E2585" s="9" t="s">
        <v>6844</v>
      </c>
      <c r="F2585" s="1" t="s">
        <v>144</v>
      </c>
      <c r="G2585" s="8" t="s">
        <v>4057</v>
      </c>
      <c r="H2585" s="7" t="s">
        <v>65</v>
      </c>
      <c r="I2585" t="s">
        <v>0</v>
      </c>
      <c r="J2585" t="s">
        <v>0</v>
      </c>
      <c r="K2585" t="s">
        <v>52</v>
      </c>
      <c r="L2585" t="s">
        <v>53</v>
      </c>
      <c r="M2585" t="s">
        <v>121</v>
      </c>
      <c r="N2585" t="s">
        <v>72</v>
      </c>
      <c r="O2585" t="s">
        <v>71</v>
      </c>
      <c r="P2585" t="s">
        <v>59</v>
      </c>
      <c r="Q2585" t="s">
        <v>89</v>
      </c>
      <c r="R2585" t="s">
        <v>157</v>
      </c>
      <c r="S2585" t="s">
        <v>106</v>
      </c>
      <c r="T2585" t="s">
        <v>62</v>
      </c>
      <c r="U2585" t="s">
        <v>147</v>
      </c>
      <c r="V2585" t="s">
        <v>116</v>
      </c>
      <c r="W2585" t="s">
        <v>165</v>
      </c>
      <c r="X2585" t="s">
        <v>180</v>
      </c>
      <c r="Y2585" t="s">
        <v>2603</v>
      </c>
      <c r="Z2585" t="s">
        <v>64</v>
      </c>
      <c r="AA2585" t="s">
        <v>997</v>
      </c>
      <c r="AB2585" t="s">
        <v>0</v>
      </c>
      <c r="AC2585" t="s">
        <v>6845</v>
      </c>
    </row>
    <row r="2586" spans="1:29">
      <c r="A2586" t="s">
        <v>6846</v>
      </c>
      <c r="B2586" s="11" t="str">
        <f>IF(ISNUMBER(SEARCH(E2586,A2586)),A2586,IF(OR(E2586="",E2586=""),A2586,A2586&amp;" - "&amp;E2586))</f>
        <v>Remexian 30/1 LIV DGR - Daily Grape</v>
      </c>
      <c r="C2586" t="str">
        <f t="shared" si="2"/>
        <v>REMEXIAN</v>
      </c>
      <c r="D2586" t="s">
        <v>95</v>
      </c>
      <c r="E2586" s="9" t="s">
        <v>6847</v>
      </c>
      <c r="F2586" s="1" t="s">
        <v>86</v>
      </c>
      <c r="G2586" s="8" t="s">
        <v>4057</v>
      </c>
      <c r="H2586" s="7" t="s">
        <v>65</v>
      </c>
      <c r="I2586" t="s">
        <v>0</v>
      </c>
      <c r="J2586" t="s">
        <v>0</v>
      </c>
      <c r="K2586" t="s">
        <v>52</v>
      </c>
      <c r="L2586" t="s">
        <v>102</v>
      </c>
      <c r="M2586" t="s">
        <v>121</v>
      </c>
      <c r="N2586" t="s">
        <v>72</v>
      </c>
      <c r="O2586" t="s">
        <v>71</v>
      </c>
      <c r="P2586" t="s">
        <v>75</v>
      </c>
      <c r="Q2586" t="s">
        <v>89</v>
      </c>
      <c r="R2586" t="s">
        <v>157</v>
      </c>
      <c r="S2586" t="s">
        <v>106</v>
      </c>
      <c r="T2586" t="s">
        <v>62</v>
      </c>
      <c r="U2586" t="s">
        <v>147</v>
      </c>
      <c r="V2586" t="s">
        <v>77</v>
      </c>
      <c r="W2586" t="s">
        <v>116</v>
      </c>
      <c r="X2586" t="s">
        <v>79</v>
      </c>
      <c r="Y2586" t="s">
        <v>413</v>
      </c>
      <c r="Z2586" t="s">
        <v>64</v>
      </c>
      <c r="AA2586" t="s">
        <v>95</v>
      </c>
      <c r="AB2586" t="s">
        <v>0</v>
      </c>
      <c r="AC2586" t="s">
        <v>6848</v>
      </c>
    </row>
    <row r="2587" spans="1:29">
      <c r="A2587" t="s">
        <v>6849</v>
      </c>
      <c r="B2587" s="11" t="str">
        <f>IF(ISNUMBER(SEARCH(E2587,A2587)),A2587,IF(OR(E2587="",E2587=""),A2587,A2587&amp;" - "&amp;E2587))</f>
        <v>Remexian 15/1 LUX AMA - Amsterdam Amnesia</v>
      </c>
      <c r="C2587" t="str">
        <f t="shared" si="2"/>
        <v>REMEXIAN</v>
      </c>
      <c r="D2587" t="s">
        <v>95</v>
      </c>
      <c r="E2587" s="9" t="s">
        <v>2777</v>
      </c>
      <c r="F2587" s="1" t="s">
        <v>144</v>
      </c>
      <c r="G2587" s="8" t="s">
        <v>20</v>
      </c>
      <c r="H2587" s="7" t="s">
        <v>65</v>
      </c>
      <c r="I2587" t="s">
        <v>0</v>
      </c>
      <c r="J2587" t="s">
        <v>0</v>
      </c>
      <c r="K2587" t="s">
        <v>52</v>
      </c>
      <c r="L2587" t="s">
        <v>5212</v>
      </c>
      <c r="M2587" t="s">
        <v>54</v>
      </c>
      <c r="N2587" t="s">
        <v>55</v>
      </c>
      <c r="O2587" t="s">
        <v>72</v>
      </c>
      <c r="P2587" t="s">
        <v>59</v>
      </c>
      <c r="Q2587" t="s">
        <v>75</v>
      </c>
      <c r="R2587" t="s">
        <v>0</v>
      </c>
      <c r="S2587" t="s">
        <v>90</v>
      </c>
      <c r="T2587" t="s">
        <v>62</v>
      </c>
      <c r="U2587" t="s">
        <v>164</v>
      </c>
      <c r="V2587" t="s">
        <v>292</v>
      </c>
      <c r="W2587" t="s">
        <v>79</v>
      </c>
      <c r="X2587" t="s">
        <v>107</v>
      </c>
      <c r="Y2587" t="s">
        <v>5610</v>
      </c>
      <c r="Z2587" t="s">
        <v>64</v>
      </c>
      <c r="AA2587" t="s">
        <v>95</v>
      </c>
      <c r="AB2587" t="s">
        <v>4117</v>
      </c>
      <c r="AC2587" t="s">
        <v>6850</v>
      </c>
    </row>
    <row r="2588" spans="1:29">
      <c r="A2588" t="s">
        <v>6851</v>
      </c>
      <c r="B2588" s="11" t="str">
        <f>IF(ISNUMBER(SEARCH(E2588,A2588)),A2588,IF(OR(E2588="",E2588=""),A2588,A2588&amp;" - "&amp;E2588))</f>
        <v>Barongo 30/1 ECC - Cheddar Cheese</v>
      </c>
      <c r="C2588" t="str">
        <f t="shared" si="2"/>
        <v>WMG</v>
      </c>
      <c r="D2588" t="s">
        <v>642</v>
      </c>
      <c r="E2588" s="9" t="s">
        <v>6852</v>
      </c>
      <c r="F2588" s="1" t="s">
        <v>177</v>
      </c>
      <c r="G2588" s="8" t="s">
        <v>4057</v>
      </c>
      <c r="H2588" s="7" t="s">
        <v>65</v>
      </c>
      <c r="I2588" t="s">
        <v>0</v>
      </c>
      <c r="J2588" t="s">
        <v>0</v>
      </c>
      <c r="K2588" t="s">
        <v>52</v>
      </c>
      <c r="L2588" t="s">
        <v>53</v>
      </c>
      <c r="M2588" t="s">
        <v>121</v>
      </c>
      <c r="N2588" t="s">
        <v>72</v>
      </c>
      <c r="O2588" t="s">
        <v>71</v>
      </c>
      <c r="P2588" t="s">
        <v>75</v>
      </c>
      <c r="Q2588" t="s">
        <v>59</v>
      </c>
      <c r="R2588" t="s">
        <v>89</v>
      </c>
      <c r="S2588" t="s">
        <v>128</v>
      </c>
      <c r="T2588" t="s">
        <v>106</v>
      </c>
      <c r="U2588" t="s">
        <v>0</v>
      </c>
      <c r="V2588" t="s">
        <v>77</v>
      </c>
      <c r="W2588" t="s">
        <v>116</v>
      </c>
      <c r="X2588" t="s">
        <v>180</v>
      </c>
      <c r="Y2588" t="s">
        <v>5060</v>
      </c>
      <c r="Z2588" t="s">
        <v>64</v>
      </c>
      <c r="AA2588" t="s">
        <v>642</v>
      </c>
      <c r="AB2588" t="s">
        <v>0</v>
      </c>
      <c r="AC2588" t="s">
        <v>6853</v>
      </c>
    </row>
    <row r="2589" spans="1:29">
      <c r="A2589" t="s">
        <v>4876</v>
      </c>
      <c r="B2589" s="11" t="str">
        <f>IF(ISNUMBER(SEARCH(E2589,A2589)),A2589,IF(OR(E2589="",E2589=""),A2589,A2589&amp;" - "&amp;E2589))</f>
        <v>Luana 20/1 - OG Watermelon</v>
      </c>
      <c r="C2589" t="str">
        <f t="shared" si="2"/>
        <v>CANNAMEDIC</v>
      </c>
      <c r="D2589" t="s">
        <v>49</v>
      </c>
      <c r="E2589" s="9" t="s">
        <v>6854</v>
      </c>
      <c r="F2589" s="1" t="s">
        <v>86</v>
      </c>
      <c r="G2589" s="8" t="s">
        <v>460</v>
      </c>
      <c r="H2589" s="7" t="s">
        <v>65</v>
      </c>
      <c r="I2589" t="s">
        <v>0</v>
      </c>
      <c r="J2589" t="s">
        <v>0</v>
      </c>
      <c r="K2589" t="s">
        <v>52</v>
      </c>
      <c r="L2589" t="s">
        <v>202</v>
      </c>
      <c r="M2589" t="s">
        <v>72</v>
      </c>
      <c r="N2589" t="s">
        <v>71</v>
      </c>
      <c r="O2589" t="s">
        <v>111</v>
      </c>
      <c r="P2589" t="s">
        <v>75</v>
      </c>
      <c r="Q2589" t="s">
        <v>89</v>
      </c>
      <c r="R2589" t="s">
        <v>146</v>
      </c>
      <c r="S2589" t="s">
        <v>106</v>
      </c>
      <c r="T2589" t="s">
        <v>62</v>
      </c>
      <c r="U2589" t="s">
        <v>147</v>
      </c>
      <c r="V2589" t="s">
        <v>77</v>
      </c>
      <c r="W2589" t="s">
        <v>79</v>
      </c>
      <c r="X2589" t="s">
        <v>4398</v>
      </c>
      <c r="Y2589" t="s">
        <v>6855</v>
      </c>
      <c r="Z2589" t="s">
        <v>64</v>
      </c>
      <c r="AA2589" t="s">
        <v>49</v>
      </c>
      <c r="AB2589" t="s">
        <v>0</v>
      </c>
      <c r="AC2589" t="s">
        <v>6856</v>
      </c>
    </row>
    <row r="2590" spans="1:29">
      <c r="A2590" t="s">
        <v>6857</v>
      </c>
      <c r="B2590" s="11" t="str">
        <f>IF(ISNUMBER(SEARCH(E2590,A2590)),A2590,IF(OR(E2590="",E2590=""),A2590,A2590&amp;" - "&amp;E2590))</f>
        <v>GROW 10/12 AM - Apricot Mints</v>
      </c>
      <c r="C2590" t="str">
        <f t="shared" si="2"/>
        <v>NIMBUS</v>
      </c>
      <c r="D2590" t="s">
        <v>149</v>
      </c>
      <c r="E2590" s="9" t="s">
        <v>5067</v>
      </c>
      <c r="F2590" s="1" t="s">
        <v>177</v>
      </c>
      <c r="G2590" s="8" t="s">
        <v>12</v>
      </c>
      <c r="H2590" s="7" t="s">
        <v>16</v>
      </c>
      <c r="I2590" t="s">
        <v>0</v>
      </c>
      <c r="J2590" t="s">
        <v>0</v>
      </c>
      <c r="K2590" t="s">
        <v>52</v>
      </c>
      <c r="L2590" t="s">
        <v>53</v>
      </c>
      <c r="M2590" t="s">
        <v>178</v>
      </c>
      <c r="N2590" t="s">
        <v>55</v>
      </c>
      <c r="O2590" t="s">
        <v>88</v>
      </c>
      <c r="P2590" t="s">
        <v>74</v>
      </c>
      <c r="Q2590" t="s">
        <v>112</v>
      </c>
      <c r="R2590" t="s">
        <v>157</v>
      </c>
      <c r="S2590" t="s">
        <v>62</v>
      </c>
      <c r="T2590" t="s">
        <v>91</v>
      </c>
      <c r="U2590" t="s">
        <v>147</v>
      </c>
      <c r="V2590" t="s">
        <v>92</v>
      </c>
      <c r="W2590" t="s">
        <v>93</v>
      </c>
      <c r="X2590" t="s">
        <v>253</v>
      </c>
      <c r="Y2590" t="s">
        <v>220</v>
      </c>
      <c r="Z2590" t="s">
        <v>64</v>
      </c>
      <c r="AA2590" t="s">
        <v>149</v>
      </c>
      <c r="AB2590" t="s">
        <v>0</v>
      </c>
      <c r="AC2590" t="s">
        <v>6858</v>
      </c>
    </row>
    <row r="2591" spans="1:29">
      <c r="A2591" t="s">
        <v>6859</v>
      </c>
      <c r="B2591" s="11" t="str">
        <f>IF(ISNUMBER(SEARCH(E2591,A2591)),A2591,IF(OR(E2591="",E2591=""),A2591,A2591&amp;" - "&amp;E2591))</f>
        <v>IMC C1 THC27 - Peach Pixels</v>
      </c>
      <c r="C2591" t="str">
        <f t="shared" si="2"/>
        <v>IMC</v>
      </c>
      <c r="D2591" t="s">
        <v>646</v>
      </c>
      <c r="E2591" s="9" t="s">
        <v>6860</v>
      </c>
      <c r="F2591" s="1" t="s">
        <v>69</v>
      </c>
      <c r="G2591" s="8" t="s">
        <v>33</v>
      </c>
      <c r="H2591" s="7" t="s">
        <v>65</v>
      </c>
      <c r="I2591" t="s">
        <v>0</v>
      </c>
      <c r="J2591" t="s">
        <v>0</v>
      </c>
      <c r="K2591" t="s">
        <v>52</v>
      </c>
      <c r="L2591" t="s">
        <v>1506</v>
      </c>
      <c r="M2591" t="s">
        <v>212</v>
      </c>
      <c r="N2591" t="s">
        <v>178</v>
      </c>
      <c r="O2591" t="s">
        <v>111</v>
      </c>
      <c r="P2591" t="s">
        <v>186</v>
      </c>
      <c r="Q2591" t="s">
        <v>74</v>
      </c>
      <c r="R2591" t="s">
        <v>57</v>
      </c>
      <c r="S2591" t="s">
        <v>90</v>
      </c>
      <c r="T2591" t="s">
        <v>106</v>
      </c>
      <c r="U2591" t="s">
        <v>147</v>
      </c>
      <c r="V2591" t="s">
        <v>6861</v>
      </c>
      <c r="W2591" t="s">
        <v>292</v>
      </c>
      <c r="X2591" t="s">
        <v>0</v>
      </c>
      <c r="Y2591" t="s">
        <v>1464</v>
      </c>
      <c r="Z2591" t="s">
        <v>64</v>
      </c>
      <c r="AA2591" t="s">
        <v>646</v>
      </c>
      <c r="AB2591" t="s">
        <v>0</v>
      </c>
      <c r="AC2591" t="s">
        <v>6862</v>
      </c>
    </row>
    <row r="2592" spans="1:29">
      <c r="A2592" t="s">
        <v>6863</v>
      </c>
      <c r="B2592" s="11" t="str">
        <f>IF(ISNUMBER(SEARCH(E2592,A2592)),A2592,IF(OR(E2592="",E2592=""),A2592,A2592&amp;" - "&amp;E2592))</f>
        <v>IMC GP5 THC28 - Icy Biscotti Pop</v>
      </c>
      <c r="C2592" t="str">
        <f t="shared" si="2"/>
        <v>IMC</v>
      </c>
      <c r="D2592" t="s">
        <v>646</v>
      </c>
      <c r="E2592" s="9" t="s">
        <v>6864</v>
      </c>
      <c r="F2592" s="1" t="s">
        <v>120</v>
      </c>
      <c r="G2592" s="8" t="s">
        <v>4164</v>
      </c>
      <c r="H2592" s="7" t="s">
        <v>65</v>
      </c>
      <c r="I2592" t="s">
        <v>0</v>
      </c>
      <c r="J2592" t="s">
        <v>0</v>
      </c>
      <c r="K2592" t="s">
        <v>52</v>
      </c>
      <c r="L2592" t="s">
        <v>1506</v>
      </c>
      <c r="M2592" t="s">
        <v>72</v>
      </c>
      <c r="N2592" t="s">
        <v>71</v>
      </c>
      <c r="O2592" t="s">
        <v>111</v>
      </c>
      <c r="P2592" t="s">
        <v>75</v>
      </c>
      <c r="Q2592" t="s">
        <v>89</v>
      </c>
      <c r="R2592" t="s">
        <v>157</v>
      </c>
      <c r="S2592" t="s">
        <v>62</v>
      </c>
      <c r="T2592" t="s">
        <v>123</v>
      </c>
      <c r="U2592" t="s">
        <v>786</v>
      </c>
      <c r="V2592" t="s">
        <v>79</v>
      </c>
      <c r="W2592" t="s">
        <v>107</v>
      </c>
      <c r="X2592" t="s">
        <v>93</v>
      </c>
      <c r="Y2592" t="s">
        <v>1464</v>
      </c>
      <c r="Z2592" t="s">
        <v>64</v>
      </c>
      <c r="AA2592" t="s">
        <v>646</v>
      </c>
      <c r="AB2592" t="s">
        <v>0</v>
      </c>
      <c r="AC2592" t="s">
        <v>6865</v>
      </c>
    </row>
    <row r="2593" spans="1:29">
      <c r="A2593" t="s">
        <v>6866</v>
      </c>
      <c r="B2593" s="11" t="str">
        <f>IF(ISNUMBER(SEARCH(E2593,A2593)),A2593,IF(OR(E2593="",E2593=""),A2593,A2593&amp;" - "&amp;E2593))</f>
        <v>IMC GC THC6 CBD11 - Green Crack</v>
      </c>
      <c r="C2593" t="str">
        <f t="shared" si="2"/>
        <v>IMC</v>
      </c>
      <c r="D2593" t="s">
        <v>646</v>
      </c>
      <c r="E2593" s="9" t="s">
        <v>6227</v>
      </c>
      <c r="F2593" s="1" t="s">
        <v>86</v>
      </c>
      <c r="G2593" s="8" t="s">
        <v>4702</v>
      </c>
      <c r="H2593" s="7" t="s">
        <v>14</v>
      </c>
      <c r="I2593" t="s">
        <v>0</v>
      </c>
      <c r="J2593" t="s">
        <v>0</v>
      </c>
      <c r="K2593" t="s">
        <v>52</v>
      </c>
      <c r="L2593" t="s">
        <v>1506</v>
      </c>
      <c r="M2593" t="s">
        <v>72</v>
      </c>
      <c r="N2593" t="s">
        <v>71</v>
      </c>
      <c r="O2593" t="s">
        <v>111</v>
      </c>
      <c r="P2593" t="s">
        <v>146</v>
      </c>
      <c r="Q2593" t="s">
        <v>136</v>
      </c>
      <c r="R2593" t="s">
        <v>58</v>
      </c>
      <c r="S2593" t="s">
        <v>106</v>
      </c>
      <c r="T2593" t="s">
        <v>62</v>
      </c>
      <c r="U2593" t="s">
        <v>147</v>
      </c>
      <c r="V2593" t="s">
        <v>129</v>
      </c>
      <c r="W2593" t="s">
        <v>79</v>
      </c>
      <c r="X2593" t="s">
        <v>93</v>
      </c>
      <c r="Y2593" t="s">
        <v>6867</v>
      </c>
      <c r="Z2593" t="s">
        <v>64</v>
      </c>
      <c r="AA2593" t="s">
        <v>646</v>
      </c>
      <c r="AB2593" t="s">
        <v>0</v>
      </c>
      <c r="AC2593" t="s">
        <v>6868</v>
      </c>
    </row>
    <row r="2594" spans="1:29">
      <c r="A2594" t="s">
        <v>6869</v>
      </c>
      <c r="B2594" s="11" t="str">
        <f>IF(ISNUMBER(SEARCH(E2594,A2594)),A2594,IF(OR(E2594="",E2594=""),A2594,A2594&amp;" - "&amp;E2594))</f>
        <v>Wellju DOSIDOS 25/1 - Do-Si-Dos</v>
      </c>
      <c r="C2594" t="str">
        <f t="shared" si="2"/>
        <v>HEYDAY</v>
      </c>
      <c r="D2594" t="s">
        <v>2298</v>
      </c>
      <c r="E2594" s="9" t="s">
        <v>638</v>
      </c>
      <c r="F2594" s="1" t="s">
        <v>86</v>
      </c>
      <c r="G2594" s="8" t="s">
        <v>26</v>
      </c>
      <c r="H2594" s="7" t="s">
        <v>65</v>
      </c>
      <c r="I2594" t="s">
        <v>0</v>
      </c>
      <c r="J2594" t="s">
        <v>0</v>
      </c>
      <c r="K2594" t="s">
        <v>52</v>
      </c>
      <c r="L2594" t="s">
        <v>53</v>
      </c>
      <c r="M2594" t="s">
        <v>103</v>
      </c>
      <c r="N2594" t="s">
        <v>72</v>
      </c>
      <c r="O2594" t="s">
        <v>121</v>
      </c>
      <c r="P2594" t="s">
        <v>104</v>
      </c>
      <c r="Q2594" t="s">
        <v>74</v>
      </c>
      <c r="R2594" t="s">
        <v>89</v>
      </c>
      <c r="S2594" t="s">
        <v>128</v>
      </c>
      <c r="T2594" t="s">
        <v>106</v>
      </c>
      <c r="U2594" t="s">
        <v>62</v>
      </c>
      <c r="V2594" t="s">
        <v>107</v>
      </c>
      <c r="W2594" t="s">
        <v>77</v>
      </c>
      <c r="X2594" t="s">
        <v>173</v>
      </c>
      <c r="Y2594" t="s">
        <v>413</v>
      </c>
      <c r="Z2594" t="s">
        <v>64</v>
      </c>
      <c r="AA2594" t="s">
        <v>2298</v>
      </c>
      <c r="AB2594" t="s">
        <v>0</v>
      </c>
      <c r="AC2594" t="s">
        <v>6870</v>
      </c>
    </row>
    <row r="2595" spans="1:29">
      <c r="A2595" t="s">
        <v>6871</v>
      </c>
      <c r="B2595" s="11" t="str">
        <f>IF(ISNUMBER(SEARCH(E2595,A2595)),A2595,IF(OR(E2595="",E2595=""),A2595,A2595&amp;" - "&amp;E2595))</f>
        <v>Canify Cannabis flos 18/1 LS Ku. - Khanya Select</v>
      </c>
      <c r="C2595" t="str">
        <f t="shared" si="2"/>
        <v>CANIFY</v>
      </c>
      <c r="D2595" t="s">
        <v>100</v>
      </c>
      <c r="E2595" s="9" t="s">
        <v>2620</v>
      </c>
      <c r="F2595" s="1" t="s">
        <v>86</v>
      </c>
      <c r="G2595" s="8" t="s">
        <v>8</v>
      </c>
      <c r="H2595" s="7" t="s">
        <v>65</v>
      </c>
      <c r="I2595" t="s">
        <v>0</v>
      </c>
      <c r="J2595" t="s">
        <v>0</v>
      </c>
      <c r="K2595" t="s">
        <v>52</v>
      </c>
      <c r="L2595" t="s">
        <v>630</v>
      </c>
      <c r="M2595" t="s">
        <v>72</v>
      </c>
      <c r="N2595" t="s">
        <v>0</v>
      </c>
      <c r="O2595" t="s">
        <v>0</v>
      </c>
      <c r="P2595" t="s">
        <v>58</v>
      </c>
      <c r="Q2595" t="s">
        <v>59</v>
      </c>
      <c r="R2595" t="s">
        <v>74</v>
      </c>
      <c r="S2595" t="s">
        <v>106</v>
      </c>
      <c r="T2595" t="s">
        <v>179</v>
      </c>
      <c r="U2595" t="s">
        <v>76</v>
      </c>
      <c r="V2595" t="s">
        <v>116</v>
      </c>
      <c r="W2595" t="s">
        <v>107</v>
      </c>
      <c r="X2595" t="s">
        <v>173</v>
      </c>
      <c r="Y2595" t="s">
        <v>6867</v>
      </c>
      <c r="Z2595" t="s">
        <v>64</v>
      </c>
      <c r="AA2595" t="s">
        <v>100</v>
      </c>
      <c r="AB2595" t="s">
        <v>0</v>
      </c>
      <c r="AC2595" t="s">
        <v>6872</v>
      </c>
    </row>
    <row r="2596" spans="1:29">
      <c r="A2596" t="s">
        <v>6873</v>
      </c>
      <c r="B2596" s="11" t="str">
        <f>IF(ISNUMBER(SEARCH(E2596,A2596)),A2596,IF(OR(E2596="",E2596=""),A2596,A2596&amp;" - "&amp;E2596))</f>
        <v>IMC CF THC22 - Pine Peak</v>
      </c>
      <c r="C2596" t="str">
        <f t="shared" si="2"/>
        <v>IMC</v>
      </c>
      <c r="D2596" t="s">
        <v>646</v>
      </c>
      <c r="E2596" s="9" t="s">
        <v>6874</v>
      </c>
      <c r="F2596" s="1" t="s">
        <v>86</v>
      </c>
      <c r="G2596" s="8" t="s">
        <v>4126</v>
      </c>
      <c r="H2596" s="7">
        <v>1</v>
      </c>
      <c r="I2596" t="s">
        <v>0</v>
      </c>
      <c r="J2596" t="s">
        <v>0</v>
      </c>
      <c r="K2596" t="s">
        <v>52</v>
      </c>
      <c r="L2596" t="s">
        <v>53</v>
      </c>
      <c r="M2596" t="s">
        <v>72</v>
      </c>
      <c r="N2596" t="s">
        <v>71</v>
      </c>
      <c r="O2596" t="s">
        <v>111</v>
      </c>
      <c r="P2596" t="s">
        <v>73</v>
      </c>
      <c r="Q2596" t="s">
        <v>59</v>
      </c>
      <c r="R2596" t="s">
        <v>89</v>
      </c>
      <c r="S2596" t="s">
        <v>106</v>
      </c>
      <c r="T2596" t="s">
        <v>234</v>
      </c>
      <c r="U2596" t="s">
        <v>192</v>
      </c>
      <c r="V2596" t="s">
        <v>77</v>
      </c>
      <c r="W2596" t="s">
        <v>79</v>
      </c>
      <c r="X2596" t="s">
        <v>107</v>
      </c>
      <c r="Y2596" t="s">
        <v>413</v>
      </c>
      <c r="Z2596" t="s">
        <v>64</v>
      </c>
      <c r="AA2596" t="s">
        <v>646</v>
      </c>
      <c r="AB2596" t="s">
        <v>0</v>
      </c>
      <c r="AC2596" t="s">
        <v>6875</v>
      </c>
    </row>
    <row r="2597" spans="1:29">
      <c r="A2597" t="s">
        <v>6876</v>
      </c>
      <c r="B2597" s="11" t="str">
        <f>IF(ISNUMBER(SEARCH(E2597,A2597)),A2597,IF(OR(E2597="",E2597=""),A2597,A2597&amp;" - "&amp;E2597))</f>
        <v>GROW LCC 27/1 - Lemon Cream Cake</v>
      </c>
      <c r="C2597" t="str">
        <f t="shared" si="2"/>
        <v>NIMBUS</v>
      </c>
      <c r="D2597" t="s">
        <v>149</v>
      </c>
      <c r="E2597" s="9" t="s">
        <v>6877</v>
      </c>
      <c r="F2597" s="1" t="s">
        <v>177</v>
      </c>
      <c r="G2597" s="8" t="s">
        <v>33</v>
      </c>
      <c r="H2597" s="7" t="s">
        <v>65</v>
      </c>
      <c r="I2597" t="s">
        <v>0</v>
      </c>
      <c r="J2597" t="s">
        <v>0</v>
      </c>
      <c r="K2597" t="s">
        <v>52</v>
      </c>
      <c r="L2597" t="s">
        <v>53</v>
      </c>
      <c r="M2597" t="s">
        <v>121</v>
      </c>
      <c r="N2597" t="s">
        <v>72</v>
      </c>
      <c r="O2597" t="s">
        <v>71</v>
      </c>
      <c r="P2597" t="s">
        <v>136</v>
      </c>
      <c r="Q2597" t="s">
        <v>75</v>
      </c>
      <c r="R2597" t="s">
        <v>59</v>
      </c>
      <c r="S2597" t="s">
        <v>90</v>
      </c>
      <c r="T2597" t="s">
        <v>106</v>
      </c>
      <c r="U2597" t="s">
        <v>105</v>
      </c>
      <c r="V2597" t="s">
        <v>116</v>
      </c>
      <c r="W2597" t="s">
        <v>79</v>
      </c>
      <c r="X2597" t="s">
        <v>0</v>
      </c>
      <c r="Y2597" t="s">
        <v>1036</v>
      </c>
      <c r="Z2597" t="s">
        <v>64</v>
      </c>
      <c r="AA2597" t="s">
        <v>149</v>
      </c>
      <c r="AB2597" t="s">
        <v>0</v>
      </c>
      <c r="AC2597" t="s">
        <v>6878</v>
      </c>
    </row>
    <row r="2598" spans="1:29">
      <c r="A2598" t="s">
        <v>6879</v>
      </c>
      <c r="B2598" s="11" t="str">
        <f>IF(ISNUMBER(SEARCH(E2598,A2598)),A2598,IF(OR(E2598="",E2598=""),A2598,A2598&amp;" - "&amp;E2598))</f>
        <v>Sumo Canada Craft No.3 18/1 - Garlic Chem</v>
      </c>
      <c r="C2598" t="str">
        <f t="shared" si="2"/>
        <v>CANTOURAGE</v>
      </c>
      <c r="D2598" t="s">
        <v>565</v>
      </c>
      <c r="E2598" s="9" t="s">
        <v>1422</v>
      </c>
      <c r="F2598" s="1" t="s">
        <v>177</v>
      </c>
      <c r="G2598" s="8" t="s">
        <v>8</v>
      </c>
      <c r="H2598" s="7" t="s">
        <v>65</v>
      </c>
      <c r="I2598" t="s">
        <v>0</v>
      </c>
      <c r="J2598" t="s">
        <v>0</v>
      </c>
      <c r="K2598" t="s">
        <v>52</v>
      </c>
      <c r="L2598" t="s">
        <v>53</v>
      </c>
      <c r="M2598" t="s">
        <v>72</v>
      </c>
      <c r="N2598" t="s">
        <v>88</v>
      </c>
      <c r="O2598" t="s">
        <v>71</v>
      </c>
      <c r="P2598" t="s">
        <v>59</v>
      </c>
      <c r="Q2598" t="s">
        <v>74</v>
      </c>
      <c r="R2598" t="s">
        <v>73</v>
      </c>
      <c r="S2598" t="s">
        <v>106</v>
      </c>
      <c r="T2598" t="s">
        <v>62</v>
      </c>
      <c r="U2598" t="s">
        <v>147</v>
      </c>
      <c r="V2598" t="s">
        <v>79</v>
      </c>
      <c r="W2598" t="s">
        <v>116</v>
      </c>
      <c r="X2598" t="s">
        <v>77</v>
      </c>
      <c r="Y2598" t="s">
        <v>453</v>
      </c>
      <c r="Z2598" t="s">
        <v>64</v>
      </c>
      <c r="AA2598" t="s">
        <v>565</v>
      </c>
      <c r="AB2598" t="s">
        <v>0</v>
      </c>
      <c r="AC2598" t="s">
        <v>6880</v>
      </c>
    </row>
    <row r="2599" spans="1:29">
      <c r="A2599" t="s">
        <v>6881</v>
      </c>
      <c r="B2599" s="11" t="str">
        <f>IF(ISNUMBER(SEARCH(E2599,A2599)),A2599,IF(OR(E2599="",E2599=""),A2599,A2599&amp;" - "&amp;E2599))</f>
        <v>Cannamedical Indica Classic ZAF - Strawberry Lemonade</v>
      </c>
      <c r="C2599" t="str">
        <f t="shared" si="2"/>
        <v>CANNAMEDIC</v>
      </c>
      <c r="D2599" t="s">
        <v>49</v>
      </c>
      <c r="E2599" s="9" t="s">
        <v>6882</v>
      </c>
      <c r="F2599" s="1" t="s">
        <v>177</v>
      </c>
      <c r="G2599" s="8" t="s">
        <v>4126</v>
      </c>
      <c r="H2599" s="7" t="s">
        <v>65</v>
      </c>
      <c r="I2599" t="s">
        <v>0</v>
      </c>
      <c r="J2599" t="s">
        <v>0</v>
      </c>
      <c r="K2599" t="s">
        <v>52</v>
      </c>
      <c r="L2599" t="s">
        <v>497</v>
      </c>
      <c r="M2599" t="s">
        <v>72</v>
      </c>
      <c r="N2599" t="s">
        <v>71</v>
      </c>
      <c r="O2599" t="s">
        <v>111</v>
      </c>
      <c r="P2599" t="s">
        <v>104</v>
      </c>
      <c r="Q2599" t="s">
        <v>75</v>
      </c>
      <c r="R2599" t="s">
        <v>59</v>
      </c>
      <c r="S2599" t="s">
        <v>106</v>
      </c>
      <c r="T2599" t="s">
        <v>62</v>
      </c>
      <c r="U2599" t="s">
        <v>147</v>
      </c>
      <c r="V2599" t="s">
        <v>79</v>
      </c>
      <c r="W2599" t="s">
        <v>77</v>
      </c>
      <c r="X2599" t="s">
        <v>180</v>
      </c>
      <c r="Y2599" t="s">
        <v>413</v>
      </c>
      <c r="Z2599" t="s">
        <v>64</v>
      </c>
      <c r="AA2599" t="s">
        <v>49</v>
      </c>
      <c r="AB2599" t="s">
        <v>498</v>
      </c>
      <c r="AC2599" t="s">
        <v>6883</v>
      </c>
    </row>
    <row r="2600" spans="1:29">
      <c r="A2600" t="s">
        <v>6884</v>
      </c>
      <c r="B2600" s="11" t="str">
        <f>IF(ISNUMBER(SEARCH(E2600,A2600)),A2600,IF(OR(E2600="",E2600=""),A2600,A2600&amp;" - "&amp;E2600))</f>
        <v>Herbasana Colombiana 18:01 - Apple Soda</v>
      </c>
      <c r="C2600" t="str">
        <f t="shared" si="2"/>
        <v>HERBSANA</v>
      </c>
      <c r="D2600" t="s">
        <v>1512</v>
      </c>
      <c r="E2600" s="9" t="s">
        <v>1511</v>
      </c>
      <c r="F2600" s="1" t="s">
        <v>86</v>
      </c>
      <c r="G2600" s="8" t="s">
        <v>8</v>
      </c>
      <c r="H2600" s="7">
        <v>1</v>
      </c>
      <c r="I2600" t="s">
        <v>0</v>
      </c>
      <c r="J2600" t="s">
        <v>0</v>
      </c>
      <c r="K2600" t="s">
        <v>52</v>
      </c>
      <c r="L2600" t="s">
        <v>202</v>
      </c>
      <c r="M2600" t="s">
        <v>71</v>
      </c>
      <c r="N2600" t="s">
        <v>72</v>
      </c>
      <c r="O2600" t="s">
        <v>178</v>
      </c>
      <c r="P2600" t="s">
        <v>75</v>
      </c>
      <c r="Q2600" t="s">
        <v>58</v>
      </c>
      <c r="R2600" t="s">
        <v>104</v>
      </c>
      <c r="S2600" t="s">
        <v>62</v>
      </c>
      <c r="T2600" t="s">
        <v>91</v>
      </c>
      <c r="U2600" t="s">
        <v>114</v>
      </c>
      <c r="V2600" t="s">
        <v>79</v>
      </c>
      <c r="W2600" t="s">
        <v>93</v>
      </c>
      <c r="X2600" t="s">
        <v>173</v>
      </c>
      <c r="Y2600" t="s">
        <v>453</v>
      </c>
      <c r="Z2600" t="s">
        <v>64</v>
      </c>
      <c r="AA2600" t="s">
        <v>1512</v>
      </c>
      <c r="AB2600" t="s">
        <v>0</v>
      </c>
      <c r="AC2600" t="s">
        <v>6885</v>
      </c>
    </row>
    <row r="2601" spans="1:29">
      <c r="A2601" t="s">
        <v>6886</v>
      </c>
      <c r="B2601" s="11" t="str">
        <f>IF(ISNUMBER(SEARCH(E2601,A2601)),A2601,IF(OR(E2601="",E2601=""),A2601,A2601&amp;" - "&amp;E2601))</f>
        <v>Pharma Leaves Indica Dominant Supreme 30/1 - Do-Si-Dos</v>
      </c>
      <c r="C2601" t="str">
        <f t="shared" si="2"/>
        <v>CALI-MED</v>
      </c>
      <c r="D2601" t="s">
        <v>3538</v>
      </c>
      <c r="E2601" s="9" t="s">
        <v>638</v>
      </c>
      <c r="F2601" s="1" t="s">
        <v>177</v>
      </c>
      <c r="G2601" s="8" t="s">
        <v>443</v>
      </c>
      <c r="H2601" s="7" t="s">
        <v>65</v>
      </c>
      <c r="I2601" t="s">
        <v>0</v>
      </c>
      <c r="J2601" t="s">
        <v>0</v>
      </c>
      <c r="K2601" t="s">
        <v>52</v>
      </c>
      <c r="L2601" t="s">
        <v>145</v>
      </c>
      <c r="M2601" t="s">
        <v>103</v>
      </c>
      <c r="N2601" t="s">
        <v>72</v>
      </c>
      <c r="O2601" t="s">
        <v>121</v>
      </c>
      <c r="P2601" t="s">
        <v>104</v>
      </c>
      <c r="Q2601" t="s">
        <v>74</v>
      </c>
      <c r="R2601" t="s">
        <v>89</v>
      </c>
      <c r="S2601" t="s">
        <v>106</v>
      </c>
      <c r="T2601" t="s">
        <v>234</v>
      </c>
      <c r="U2601" t="s">
        <v>123</v>
      </c>
      <c r="V2601" t="s">
        <v>107</v>
      </c>
      <c r="W2601" t="s">
        <v>77</v>
      </c>
      <c r="X2601" t="s">
        <v>173</v>
      </c>
      <c r="Y2601" t="s">
        <v>314</v>
      </c>
      <c r="Z2601" t="s">
        <v>64</v>
      </c>
      <c r="AA2601" t="s">
        <v>3538</v>
      </c>
      <c r="AB2601" t="s">
        <v>0</v>
      </c>
      <c r="AC2601" t="s">
        <v>6887</v>
      </c>
    </row>
    <row r="2602" spans="1:29">
      <c r="A2602" t="s">
        <v>6888</v>
      </c>
      <c r="B2602" s="11" t="str">
        <f>IF(ISNUMBER(SEARCH(E2602,A2602)),A2602,IF(OR(E2602="",E2602=""),A2602,A2602&amp;" - "&amp;E2602))</f>
        <v>A+ KINEO SPIRIT NO.1 25/1 - Muel Fuel</v>
      </c>
      <c r="C2602" t="s">
        <v>2053</v>
      </c>
      <c r="D2602" t="s">
        <v>6889</v>
      </c>
      <c r="E2602" s="9" t="s">
        <v>6890</v>
      </c>
      <c r="F2602" s="1" t="s">
        <v>86</v>
      </c>
      <c r="G2602" s="8" t="s">
        <v>26</v>
      </c>
      <c r="H2602" s="7" t="s">
        <v>65</v>
      </c>
      <c r="I2602" t="s">
        <v>0</v>
      </c>
      <c r="J2602" t="s">
        <v>0</v>
      </c>
      <c r="K2602" t="s">
        <v>52</v>
      </c>
      <c r="L2602" t="s">
        <v>102</v>
      </c>
      <c r="M2602" t="s">
        <v>121</v>
      </c>
      <c r="N2602" t="s">
        <v>72</v>
      </c>
      <c r="O2602" t="s">
        <v>71</v>
      </c>
      <c r="P2602" t="s">
        <v>89</v>
      </c>
      <c r="Q2602" t="s">
        <v>58</v>
      </c>
      <c r="R2602" t="s">
        <v>74</v>
      </c>
      <c r="S2602" t="s">
        <v>62</v>
      </c>
      <c r="T2602" t="s">
        <v>234</v>
      </c>
      <c r="U2602" t="s">
        <v>147</v>
      </c>
      <c r="V2602" t="s">
        <v>116</v>
      </c>
      <c r="W2602" t="s">
        <v>180</v>
      </c>
      <c r="X2602" t="s">
        <v>79</v>
      </c>
      <c r="Y2602" t="s">
        <v>307</v>
      </c>
      <c r="Z2602" t="s">
        <v>64</v>
      </c>
      <c r="AA2602" t="s">
        <v>6889</v>
      </c>
      <c r="AB2602" t="s">
        <v>0</v>
      </c>
      <c r="AC2602" t="s">
        <v>6891</v>
      </c>
    </row>
    <row r="2603" spans="1:29">
      <c r="A2603" t="s">
        <v>6892</v>
      </c>
      <c r="B2603" s="11" t="str">
        <f>IF(ISNUMBER(SEARCH(E2603,A2603)),A2603,IF(OR(E2603="",E2603=""),A2603,A2603&amp;" - "&amp;E2603))</f>
        <v>Demecan Lean Drop 22/1 RS 11 Rainbow Sherbert - Rainbow Sherbert 11</v>
      </c>
      <c r="C2603" t="s">
        <v>484</v>
      </c>
      <c r="D2603" t="s">
        <v>485</v>
      </c>
      <c r="E2603" t="s">
        <v>4445</v>
      </c>
      <c r="F2603" t="s">
        <v>177</v>
      </c>
      <c r="G2603" t="s">
        <v>4126</v>
      </c>
      <c r="H2603" t="s">
        <v>65</v>
      </c>
      <c r="I2603" t="s">
        <v>0</v>
      </c>
      <c r="J2603" t="s">
        <v>0</v>
      </c>
      <c r="K2603" t="s">
        <v>52</v>
      </c>
      <c r="L2603" t="s">
        <v>53</v>
      </c>
      <c r="M2603" t="s">
        <v>111</v>
      </c>
      <c r="N2603" t="s">
        <v>71</v>
      </c>
      <c r="O2603" t="s">
        <v>54</v>
      </c>
      <c r="P2603" t="s">
        <v>75</v>
      </c>
      <c r="Q2603" t="s">
        <v>104</v>
      </c>
      <c r="R2603" t="s">
        <v>73</v>
      </c>
      <c r="S2603" t="s">
        <v>106</v>
      </c>
      <c r="T2603" t="s">
        <v>123</v>
      </c>
      <c r="U2603" t="s">
        <v>466</v>
      </c>
      <c r="V2603" t="s">
        <v>93</v>
      </c>
      <c r="W2603" t="s">
        <v>79</v>
      </c>
      <c r="X2603" t="s">
        <v>77</v>
      </c>
      <c r="Y2603" t="s">
        <v>307</v>
      </c>
      <c r="Z2603" t="s">
        <v>64</v>
      </c>
      <c r="AA2603" t="s">
        <v>485</v>
      </c>
      <c r="AB2603" t="s">
        <v>0</v>
      </c>
      <c r="AC2603" t="s">
        <v>6893</v>
      </c>
    </row>
    <row r="2604" spans="1:29">
      <c r="A2604" t="s">
        <v>6894</v>
      </c>
      <c r="B2604" s="11" t="str">
        <f>IF(ISNUMBER(SEARCH(E2604,A2604)),A2604,IF(OR(E2604="",E2604=""),A2604,A2604&amp;" - "&amp;E2604))</f>
        <v>Barongo 26/1 LAK - Laker Kush</v>
      </c>
      <c r="C2604" t="s">
        <v>641</v>
      </c>
      <c r="D2604" t="s">
        <v>642</v>
      </c>
      <c r="E2604" s="9" t="s">
        <v>6895</v>
      </c>
      <c r="F2604" s="1" t="s">
        <v>120</v>
      </c>
      <c r="G2604" s="8" t="s">
        <v>4086</v>
      </c>
      <c r="H2604" s="7" t="s">
        <v>65</v>
      </c>
      <c r="I2604" t="s">
        <v>0</v>
      </c>
      <c r="J2604" t="s">
        <v>0</v>
      </c>
      <c r="K2604" t="s">
        <v>52</v>
      </c>
      <c r="L2604" t="s">
        <v>53</v>
      </c>
      <c r="M2604" t="s">
        <v>121</v>
      </c>
      <c r="N2604" t="s">
        <v>72</v>
      </c>
      <c r="O2604" t="s">
        <v>88</v>
      </c>
      <c r="P2604" t="s">
        <v>59</v>
      </c>
      <c r="Q2604" t="s">
        <v>74</v>
      </c>
      <c r="R2604" t="s">
        <v>73</v>
      </c>
      <c r="S2604" t="s">
        <v>128</v>
      </c>
      <c r="T2604" t="s">
        <v>106</v>
      </c>
      <c r="U2604" t="s">
        <v>123</v>
      </c>
      <c r="V2604" t="s">
        <v>93</v>
      </c>
      <c r="W2604" t="s">
        <v>138</v>
      </c>
      <c r="X2604" t="s">
        <v>107</v>
      </c>
      <c r="Y2604" t="s">
        <v>1036</v>
      </c>
      <c r="Z2604" t="s">
        <v>64</v>
      </c>
      <c r="AA2604" t="s">
        <v>642</v>
      </c>
      <c r="AB2604" t="s">
        <v>0</v>
      </c>
      <c r="AC2604" t="s">
        <v>6896</v>
      </c>
    </row>
    <row r="2605" spans="1:29">
      <c r="A2605" t="s">
        <v>6897</v>
      </c>
      <c r="B2605" t="s">
        <v>6897</v>
      </c>
      <c r="C2605" t="s">
        <v>133</v>
      </c>
      <c r="D2605" t="s">
        <v>134</v>
      </c>
      <c r="E2605" s="79" t="s">
        <v>5917</v>
      </c>
      <c r="F2605" s="81" t="s">
        <v>177</v>
      </c>
      <c r="G2605" s="83" t="s">
        <v>26</v>
      </c>
      <c r="H2605" s="95" t="s">
        <v>65</v>
      </c>
      <c r="I2605" t="s">
        <v>0</v>
      </c>
      <c r="J2605" t="s">
        <v>0</v>
      </c>
      <c r="K2605" t="s">
        <v>52</v>
      </c>
      <c r="L2605" t="s">
        <v>527</v>
      </c>
      <c r="M2605" t="s">
        <v>88</v>
      </c>
      <c r="N2605" t="s">
        <v>55</v>
      </c>
      <c r="O2605" t="s">
        <v>212</v>
      </c>
      <c r="P2605" t="s">
        <v>113</v>
      </c>
      <c r="Q2605" t="s">
        <v>74</v>
      </c>
      <c r="R2605" t="s">
        <v>73</v>
      </c>
      <c r="S2605" t="s">
        <v>62</v>
      </c>
      <c r="T2605" t="s">
        <v>105</v>
      </c>
      <c r="U2605" t="s">
        <v>192</v>
      </c>
      <c r="V2605" t="s">
        <v>138</v>
      </c>
      <c r="W2605" t="s">
        <v>79</v>
      </c>
      <c r="X2605" t="s">
        <v>711</v>
      </c>
      <c r="Y2605" t="s">
        <v>6641</v>
      </c>
      <c r="Z2605" t="s">
        <v>64</v>
      </c>
      <c r="AA2605" t="s">
        <v>134</v>
      </c>
      <c r="AB2605" t="s">
        <v>0</v>
      </c>
      <c r="AC2605" t="s">
        <v>6898</v>
      </c>
    </row>
    <row r="2606" spans="1:29">
      <c r="A2606" t="s">
        <v>6899</v>
      </c>
      <c r="B2606" s="11" t="str">
        <f>IF(ISNUMBER(SEARCH(E2606,A2606)),A2606,IF(OR(E2606="",E2606=""),A2606,A2606&amp;" - "&amp;E2606))</f>
        <v>Cannabis Flos 27/1 CAD KU. - Frosted Cookies</v>
      </c>
      <c r="C2606" t="s">
        <v>99</v>
      </c>
      <c r="D2606" t="s">
        <v>100</v>
      </c>
      <c r="E2606" s="9" t="s">
        <v>1414</v>
      </c>
      <c r="F2606" s="1" t="s">
        <v>86</v>
      </c>
      <c r="G2606" s="8" t="s">
        <v>33</v>
      </c>
      <c r="H2606" s="7">
        <v>1</v>
      </c>
      <c r="I2606" t="s">
        <v>0</v>
      </c>
      <c r="J2606" t="s">
        <v>0</v>
      </c>
      <c r="K2606" t="s">
        <v>52</v>
      </c>
      <c r="L2606" t="s">
        <v>53</v>
      </c>
      <c r="M2606" t="s">
        <v>71</v>
      </c>
      <c r="N2606" t="s">
        <v>121</v>
      </c>
      <c r="O2606" t="s">
        <v>72</v>
      </c>
      <c r="P2606" t="s">
        <v>75</v>
      </c>
      <c r="Q2606" t="s">
        <v>74</v>
      </c>
      <c r="R2606" t="s">
        <v>0</v>
      </c>
      <c r="S2606" t="s">
        <v>106</v>
      </c>
      <c r="T2606" t="s">
        <v>62</v>
      </c>
      <c r="U2606" t="s">
        <v>91</v>
      </c>
      <c r="V2606" t="s">
        <v>79</v>
      </c>
      <c r="W2606" t="s">
        <v>116</v>
      </c>
      <c r="X2606" t="s">
        <v>107</v>
      </c>
      <c r="Y2606" t="s">
        <v>431</v>
      </c>
      <c r="Z2606" t="s">
        <v>64</v>
      </c>
      <c r="AA2606" t="s">
        <v>100</v>
      </c>
      <c r="AB2606" t="s">
        <v>0</v>
      </c>
      <c r="AC2606" t="s">
        <v>6900</v>
      </c>
    </row>
    <row r="2607" spans="1:29">
      <c r="A2607" t="s">
        <v>6901</v>
      </c>
      <c r="B2607" s="11" t="str">
        <f>IF(ISNUMBER(SEARCH(E2607,A2607)),A2607,IF(OR(E2607="",E2607=""),A2607,A2607&amp;" - "&amp;E2607))</f>
        <v>Remexian 21/1 CHR BCO - Blunicorn</v>
      </c>
      <c r="C2607" t="s">
        <v>83</v>
      </c>
      <c r="D2607" t="s">
        <v>95</v>
      </c>
      <c r="E2607" t="s">
        <v>5149</v>
      </c>
      <c r="F2607" t="s">
        <v>177</v>
      </c>
      <c r="G2607" t="s">
        <v>452</v>
      </c>
      <c r="H2607" t="s">
        <v>65</v>
      </c>
      <c r="I2607" t="s">
        <v>0</v>
      </c>
      <c r="J2607" t="s">
        <v>0</v>
      </c>
      <c r="K2607" t="s">
        <v>52</v>
      </c>
      <c r="L2607" t="s">
        <v>497</v>
      </c>
      <c r="M2607" t="s">
        <v>54</v>
      </c>
      <c r="N2607" t="s">
        <v>88</v>
      </c>
      <c r="O2607" t="s">
        <v>72</v>
      </c>
      <c r="P2607" t="s">
        <v>104</v>
      </c>
      <c r="Q2607" t="s">
        <v>113</v>
      </c>
      <c r="R2607" t="s">
        <v>74</v>
      </c>
      <c r="S2607" t="s">
        <v>106</v>
      </c>
      <c r="T2607" t="s">
        <v>234</v>
      </c>
      <c r="U2607" t="s">
        <v>147</v>
      </c>
      <c r="V2607" t="s">
        <v>116</v>
      </c>
      <c r="W2607" t="s">
        <v>93</v>
      </c>
      <c r="X2607" t="s">
        <v>107</v>
      </c>
      <c r="Y2607" t="s">
        <v>1087</v>
      </c>
      <c r="Z2607" t="s">
        <v>64</v>
      </c>
      <c r="AA2607" t="s">
        <v>95</v>
      </c>
      <c r="AB2607" t="s">
        <v>6809</v>
      </c>
      <c r="AC2607" t="s">
        <v>6902</v>
      </c>
    </row>
    <row r="2608" spans="1:29">
      <c r="A2608" t="s">
        <v>6903</v>
      </c>
      <c r="B2608" s="11" t="str">
        <f>IF(ISNUMBER(SEARCH(E2608,A2608)),A2608,IF(OR(E2608="",E2608=""),A2608,A2608&amp;" - "&amp;E2608))</f>
        <v>Vayamed Night 19/1 PYC - Peyote Critical</v>
      </c>
      <c r="C2608" t="s">
        <v>569</v>
      </c>
      <c r="D2608" t="s">
        <v>570</v>
      </c>
      <c r="E2608" s="9" t="s">
        <v>1248</v>
      </c>
      <c r="F2608" s="1" t="s">
        <v>86</v>
      </c>
      <c r="G2608" s="8" t="s">
        <v>4160</v>
      </c>
      <c r="H2608" s="7" t="s">
        <v>65</v>
      </c>
      <c r="I2608" t="s">
        <v>0</v>
      </c>
      <c r="J2608" t="s">
        <v>0</v>
      </c>
      <c r="K2608" t="s">
        <v>52</v>
      </c>
      <c r="L2608" t="s">
        <v>102</v>
      </c>
      <c r="M2608" t="s">
        <v>55</v>
      </c>
      <c r="N2608" t="s">
        <v>121</v>
      </c>
      <c r="O2608" t="s">
        <v>72</v>
      </c>
      <c r="P2608" t="s">
        <v>591</v>
      </c>
      <c r="Q2608" t="s">
        <v>157</v>
      </c>
      <c r="R2608" t="s">
        <v>57</v>
      </c>
      <c r="S2608" t="s">
        <v>62</v>
      </c>
      <c r="T2608" t="s">
        <v>147</v>
      </c>
      <c r="U2608" t="s">
        <v>192</v>
      </c>
      <c r="V2608" t="s">
        <v>77</v>
      </c>
      <c r="W2608" t="s">
        <v>79</v>
      </c>
      <c r="X2608" t="s">
        <v>116</v>
      </c>
      <c r="Y2608" t="s">
        <v>130</v>
      </c>
      <c r="Z2608" t="s">
        <v>64</v>
      </c>
      <c r="AA2608" t="s">
        <v>570</v>
      </c>
      <c r="AB2608" t="s">
        <v>0</v>
      </c>
      <c r="AC2608" t="s">
        <v>6904</v>
      </c>
    </row>
    <row r="2609" spans="1:29">
      <c r="A2609" t="s">
        <v>6905</v>
      </c>
      <c r="B2609" s="42" t="str">
        <f>IF(ISNUMBER(SEARCH(E2609,A2609)),A2609,IF(OR(E2609="",E2609=""),A2609,A2609&amp;" - "&amp;E2609))</f>
        <v>Cannovum Natura KHZ 28/1 - Karel's Haze</v>
      </c>
      <c r="C2609" t="s">
        <v>2145</v>
      </c>
      <c r="D2609" t="s">
        <v>2146</v>
      </c>
      <c r="E2609" s="9" t="s">
        <v>501</v>
      </c>
      <c r="F2609" s="1" t="s">
        <v>144</v>
      </c>
      <c r="G2609" s="8" t="s">
        <v>4164</v>
      </c>
      <c r="H2609" s="7" t="s">
        <v>65</v>
      </c>
      <c r="I2609" t="s">
        <v>0</v>
      </c>
      <c r="J2609" t="s">
        <v>0</v>
      </c>
      <c r="K2609" t="s">
        <v>52</v>
      </c>
      <c r="L2609" t="s">
        <v>102</v>
      </c>
      <c r="M2609" t="s">
        <v>111</v>
      </c>
      <c r="N2609" t="s">
        <v>54</v>
      </c>
      <c r="O2609" t="s">
        <v>55</v>
      </c>
      <c r="P2609" t="s">
        <v>75</v>
      </c>
      <c r="Q2609" t="s">
        <v>59</v>
      </c>
      <c r="R2609" t="s">
        <v>89</v>
      </c>
      <c r="S2609" t="s">
        <v>106</v>
      </c>
      <c r="T2609" t="s">
        <v>62</v>
      </c>
      <c r="U2609" t="s">
        <v>91</v>
      </c>
      <c r="V2609" t="s">
        <v>77</v>
      </c>
      <c r="W2609" t="s">
        <v>173</v>
      </c>
      <c r="X2609" t="s">
        <v>79</v>
      </c>
      <c r="Y2609" t="s">
        <v>80</v>
      </c>
      <c r="Z2609" t="s">
        <v>64</v>
      </c>
      <c r="AA2609" t="s">
        <v>2146</v>
      </c>
      <c r="AB2609" t="s">
        <v>0</v>
      </c>
      <c r="AC2609" t="s">
        <v>6906</v>
      </c>
    </row>
    <row r="2610" spans="1:29">
      <c r="A2610" t="s">
        <v>6907</v>
      </c>
      <c r="B2610" s="11" t="str">
        <f>IF(ISNUMBER(SEARCH(E2610,A2610)),A2610,IF(OR(E2610="",E2610=""),A2610,A2610&amp;" - "&amp;E2610))</f>
        <v>Vayamed Day 19/1 TNG - Tangie</v>
      </c>
      <c r="C2610" t="s">
        <v>569</v>
      </c>
      <c r="D2610" t="s">
        <v>570</v>
      </c>
      <c r="E2610" s="9" t="s">
        <v>1240</v>
      </c>
      <c r="F2610" s="1" t="s">
        <v>86</v>
      </c>
      <c r="G2610" s="8" t="s">
        <v>4160</v>
      </c>
      <c r="H2610" s="7" t="s">
        <v>65</v>
      </c>
      <c r="I2610" t="s">
        <v>0</v>
      </c>
      <c r="J2610" t="s">
        <v>0</v>
      </c>
      <c r="K2610" t="s">
        <v>52</v>
      </c>
      <c r="L2610" t="s">
        <v>102</v>
      </c>
      <c r="M2610" t="s">
        <v>55</v>
      </c>
      <c r="N2610" t="s">
        <v>111</v>
      </c>
      <c r="O2610" t="s">
        <v>72</v>
      </c>
      <c r="P2610" t="s">
        <v>59</v>
      </c>
      <c r="Q2610" t="s">
        <v>74</v>
      </c>
      <c r="R2610" t="s">
        <v>75</v>
      </c>
      <c r="S2610" t="s">
        <v>106</v>
      </c>
      <c r="T2610" t="s">
        <v>147</v>
      </c>
      <c r="U2610" t="s">
        <v>192</v>
      </c>
      <c r="V2610" t="s">
        <v>292</v>
      </c>
      <c r="W2610" t="s">
        <v>1242</v>
      </c>
      <c r="X2610" t="s">
        <v>79</v>
      </c>
      <c r="Y2610" t="s">
        <v>130</v>
      </c>
      <c r="Z2610" t="s">
        <v>64</v>
      </c>
      <c r="AA2610" t="s">
        <v>570</v>
      </c>
      <c r="AB2610" t="s">
        <v>0</v>
      </c>
      <c r="AC2610" t="s">
        <v>6908</v>
      </c>
    </row>
    <row r="2611" spans="1:29">
      <c r="A2611" t="s">
        <v>6909</v>
      </c>
      <c r="B2611" s="11" t="str">
        <f>IF(ISNUMBER(SEARCH(E2611,A2611)),A2611,IF(OR(E2611="",E2611=""),A2611,A2611&amp;" - "&amp;E2611))</f>
        <v>Demecan Craft Electron 31:01 - Gelato OG Kush</v>
      </c>
      <c r="C2611" t="s">
        <v>484</v>
      </c>
      <c r="D2611" t="s">
        <v>485</v>
      </c>
      <c r="E2611" s="9" t="s">
        <v>6067</v>
      </c>
      <c r="F2611" s="1" t="s">
        <v>86</v>
      </c>
      <c r="G2611" s="8" t="s">
        <v>4488</v>
      </c>
      <c r="H2611" s="7" t="s">
        <v>65</v>
      </c>
      <c r="I2611" t="s">
        <v>0</v>
      </c>
      <c r="J2611" t="s">
        <v>0</v>
      </c>
      <c r="K2611" t="s">
        <v>52</v>
      </c>
      <c r="L2611" t="s">
        <v>53</v>
      </c>
      <c r="M2611" t="s">
        <v>71</v>
      </c>
      <c r="N2611" t="s">
        <v>178</v>
      </c>
      <c r="O2611" t="s">
        <v>88</v>
      </c>
      <c r="P2611" t="s">
        <v>89</v>
      </c>
      <c r="Q2611" t="s">
        <v>59</v>
      </c>
      <c r="R2611" t="s">
        <v>157</v>
      </c>
      <c r="S2611" t="s">
        <v>106</v>
      </c>
      <c r="T2611" t="s">
        <v>62</v>
      </c>
      <c r="U2611" t="s">
        <v>147</v>
      </c>
      <c r="V2611" t="s">
        <v>77</v>
      </c>
      <c r="W2611" t="s">
        <v>180</v>
      </c>
      <c r="X2611" t="s">
        <v>129</v>
      </c>
      <c r="Y2611" t="s">
        <v>268</v>
      </c>
      <c r="Z2611" t="s">
        <v>64</v>
      </c>
      <c r="AA2611" t="s">
        <v>485</v>
      </c>
      <c r="AB2611" t="s">
        <v>0</v>
      </c>
      <c r="AC2611" t="s">
        <v>6910</v>
      </c>
    </row>
    <row r="2612" spans="1:29">
      <c r="A2612" t="s">
        <v>6911</v>
      </c>
      <c r="B2612" s="11" t="str">
        <f>IF(ISNUMBER(SEARCH(E2612,A2612)),A2612,IF(OR(E2612="",E2612=""),A2612,A2612&amp;" - "&amp;E2612))</f>
        <v>Beacon PK T22 - Pink Kush</v>
      </c>
      <c r="C2612" t="s">
        <v>996</v>
      </c>
      <c r="D2612" t="s">
        <v>997</v>
      </c>
      <c r="E2612" s="9" t="s">
        <v>101</v>
      </c>
      <c r="F2612" s="1" t="s">
        <v>120</v>
      </c>
      <c r="G2612" s="8" t="s">
        <v>4126</v>
      </c>
      <c r="H2612" s="7" t="s">
        <v>65</v>
      </c>
      <c r="I2612" t="s">
        <v>0</v>
      </c>
      <c r="J2612" t="s">
        <v>0</v>
      </c>
      <c r="K2612" t="s">
        <v>52</v>
      </c>
      <c r="L2612" t="s">
        <v>53</v>
      </c>
      <c r="M2612" t="s">
        <v>88</v>
      </c>
      <c r="N2612" t="s">
        <v>71</v>
      </c>
      <c r="O2612" t="s">
        <v>121</v>
      </c>
      <c r="P2612" t="s">
        <v>89</v>
      </c>
      <c r="Q2612" t="s">
        <v>104</v>
      </c>
      <c r="R2612" t="s">
        <v>74</v>
      </c>
      <c r="S2612" t="s">
        <v>106</v>
      </c>
      <c r="T2612" t="s">
        <v>123</v>
      </c>
      <c r="U2612" t="s">
        <v>147</v>
      </c>
      <c r="V2612" t="s">
        <v>107</v>
      </c>
      <c r="W2612" t="s">
        <v>77</v>
      </c>
      <c r="X2612" t="s">
        <v>79</v>
      </c>
      <c r="Y2612" t="s">
        <v>2050</v>
      </c>
      <c r="Z2612" t="s">
        <v>64</v>
      </c>
      <c r="AA2612" t="s">
        <v>997</v>
      </c>
      <c r="AB2612" t="s">
        <v>0</v>
      </c>
      <c r="AC2612" t="s">
        <v>6912</v>
      </c>
    </row>
    <row r="2613" spans="1:29">
      <c r="A2613" t="s">
        <v>6915</v>
      </c>
      <c r="B2613" s="11" t="str">
        <f>IF(ISNUMBER(SEARCH(E2613,A2613)),A2613,IF(OR(E2613="",E2613=""),A2613,A2613&amp;" - "&amp;E2613))</f>
        <v>IMC CR7 THC20 - Animal Mints</v>
      </c>
      <c r="C2613" t="s">
        <v>646</v>
      </c>
      <c r="D2613" t="s">
        <v>646</v>
      </c>
      <c r="E2613" s="9" t="s">
        <v>3322</v>
      </c>
      <c r="F2613" s="1" t="s">
        <v>86</v>
      </c>
      <c r="G2613" s="8" t="s">
        <v>460</v>
      </c>
      <c r="H2613" s="7">
        <v>1</v>
      </c>
      <c r="I2613" t="s">
        <v>0</v>
      </c>
      <c r="J2613" t="s">
        <v>0</v>
      </c>
      <c r="K2613" t="s">
        <v>52</v>
      </c>
      <c r="L2613" t="s">
        <v>53</v>
      </c>
      <c r="M2613" t="s">
        <v>121</v>
      </c>
      <c r="N2613" t="s">
        <v>103</v>
      </c>
      <c r="O2613" t="s">
        <v>72</v>
      </c>
      <c r="P2613" t="s">
        <v>112</v>
      </c>
      <c r="Q2613" t="s">
        <v>89</v>
      </c>
      <c r="R2613" t="s">
        <v>0</v>
      </c>
      <c r="S2613" t="s">
        <v>106</v>
      </c>
      <c r="T2613" t="s">
        <v>62</v>
      </c>
      <c r="U2613" t="s">
        <v>147</v>
      </c>
      <c r="V2613" t="s">
        <v>79</v>
      </c>
      <c r="W2613" t="s">
        <v>116</v>
      </c>
      <c r="X2613" t="s">
        <v>77</v>
      </c>
      <c r="Y2613" t="s">
        <v>6916</v>
      </c>
      <c r="Z2613" t="s">
        <v>64</v>
      </c>
      <c r="AA2613" t="s">
        <v>646</v>
      </c>
      <c r="AB2613" t="s">
        <v>0</v>
      </c>
      <c r="AC2613" t="s">
        <v>6917</v>
      </c>
    </row>
    <row r="2614" spans="1:29">
      <c r="A2614" t="s">
        <v>6918</v>
      </c>
      <c r="B2614" s="11" t="str">
        <f>IF(ISNUMBER(SEARCH(E2614,A2614)),A2614,IF(OR(E2614="",E2614=""),A2614,A2614&amp;" - "&amp;E2614))</f>
        <v>IMC CCS THC25 Token Crescendo - Crescendo Cookies</v>
      </c>
      <c r="C2614" t="s">
        <v>646</v>
      </c>
      <c r="D2614" t="s">
        <v>646</v>
      </c>
      <c r="E2614" s="9" t="s">
        <v>893</v>
      </c>
      <c r="F2614" s="1" t="s">
        <v>144</v>
      </c>
      <c r="G2614" s="8" t="s">
        <v>26</v>
      </c>
      <c r="H2614" s="7" t="s">
        <v>65</v>
      </c>
      <c r="I2614" t="s">
        <v>0</v>
      </c>
      <c r="J2614" t="s">
        <v>0</v>
      </c>
      <c r="K2614" t="s">
        <v>52</v>
      </c>
      <c r="L2614" t="s">
        <v>53</v>
      </c>
      <c r="M2614" t="s">
        <v>72</v>
      </c>
      <c r="N2614" t="s">
        <v>212</v>
      </c>
      <c r="O2614" t="s">
        <v>88</v>
      </c>
      <c r="P2614" t="s">
        <v>113</v>
      </c>
      <c r="Q2614" t="s">
        <v>58</v>
      </c>
      <c r="R2614" t="s">
        <v>89</v>
      </c>
      <c r="S2614" t="s">
        <v>128</v>
      </c>
      <c r="T2614" t="s">
        <v>106</v>
      </c>
      <c r="U2614" t="s">
        <v>62</v>
      </c>
      <c r="V2614" t="s">
        <v>116</v>
      </c>
      <c r="W2614" t="s">
        <v>173</v>
      </c>
      <c r="X2614" t="s">
        <v>77</v>
      </c>
      <c r="Y2614" t="s">
        <v>413</v>
      </c>
      <c r="Z2614" t="s">
        <v>64</v>
      </c>
      <c r="AA2614" t="s">
        <v>646</v>
      </c>
      <c r="AB2614" t="s">
        <v>0</v>
      </c>
      <c r="AC2614" t="s">
        <v>6919</v>
      </c>
    </row>
    <row r="2615" spans="1:29">
      <c r="B2615" s="76" t="s">
        <v>6920</v>
      </c>
    </row>
    <row r="2616" spans="1:29">
      <c r="A2616" t="s">
        <v>6921</v>
      </c>
      <c r="B2616" s="11" t="str">
        <f>IF(ISNUMBER(SEARCH(E2616,A2616)),A2616,IF(OR(E2616="",E2616=""),A2616,A2616&amp;" - "&amp;E2616))</f>
        <v>madrecan 24/1 Minis - HiFi 4G</v>
      </c>
      <c r="C2616" t="s">
        <v>83</v>
      </c>
      <c r="D2616" t="s">
        <v>95</v>
      </c>
      <c r="E2616" s="9" t="s">
        <v>313</v>
      </c>
      <c r="F2616" s="1" t="s">
        <v>86</v>
      </c>
      <c r="G2616" s="8" t="s">
        <v>448</v>
      </c>
      <c r="H2616" s="7">
        <v>1</v>
      </c>
      <c r="I2616" t="s">
        <v>0</v>
      </c>
      <c r="J2616" t="s">
        <v>0</v>
      </c>
      <c r="K2616" t="s">
        <v>17</v>
      </c>
      <c r="L2616" t="s">
        <v>102</v>
      </c>
      <c r="M2616" t="s">
        <v>72</v>
      </c>
      <c r="N2616" t="s">
        <v>54</v>
      </c>
      <c r="O2616" t="s">
        <v>71</v>
      </c>
      <c r="P2616" t="s">
        <v>75</v>
      </c>
      <c r="Q2616" t="s">
        <v>74</v>
      </c>
      <c r="R2616" t="s">
        <v>59</v>
      </c>
      <c r="S2616" t="s">
        <v>106</v>
      </c>
      <c r="T2616" t="s">
        <v>179</v>
      </c>
      <c r="U2616" t="s">
        <v>76</v>
      </c>
      <c r="V2616" t="s">
        <v>107</v>
      </c>
      <c r="W2616" t="s">
        <v>77</v>
      </c>
      <c r="X2616" t="s">
        <v>79</v>
      </c>
      <c r="Y2616" t="s">
        <v>1090</v>
      </c>
      <c r="Z2616" t="s">
        <v>64</v>
      </c>
      <c r="AA2616" t="s">
        <v>95</v>
      </c>
      <c r="AB2616" t="s">
        <v>0</v>
      </c>
      <c r="AC2616" t="s">
        <v>6922</v>
      </c>
    </row>
    <row r="2617" spans="1:29">
      <c r="A2617" t="s">
        <v>6923</v>
      </c>
      <c r="B2617" s="11" t="str">
        <f>IF(ISNUMBER(SEARCH(E2617,A2617)),A2617,IF(OR(E2617="",E2617=""),A2617,A2617&amp;" - "&amp;E2617))</f>
        <v>Demecan FE 800 No. 2</v>
      </c>
      <c r="C2617" t="s">
        <v>484</v>
      </c>
      <c r="D2617" t="s">
        <v>485</v>
      </c>
      <c r="E2617" s="9" t="s">
        <v>0</v>
      </c>
      <c r="G2617" s="8" t="s">
        <v>0</v>
      </c>
      <c r="H2617" s="7" t="s">
        <v>0</v>
      </c>
      <c r="I2617" t="s">
        <v>5457</v>
      </c>
      <c r="J2617" t="s">
        <v>5458</v>
      </c>
      <c r="M2617" t="s">
        <v>111</v>
      </c>
      <c r="N2617" t="s">
        <v>54</v>
      </c>
      <c r="O2617" t="s">
        <v>178</v>
      </c>
      <c r="P2617" t="s">
        <v>0</v>
      </c>
      <c r="Q2617" t="s">
        <v>0</v>
      </c>
      <c r="R2617" t="s">
        <v>0</v>
      </c>
      <c r="S2617" t="s">
        <v>106</v>
      </c>
      <c r="T2617" t="s">
        <v>123</v>
      </c>
      <c r="U2617" t="s">
        <v>466</v>
      </c>
      <c r="V2617" t="s">
        <v>116</v>
      </c>
      <c r="W2617" t="s">
        <v>107</v>
      </c>
      <c r="X2617" t="s">
        <v>77</v>
      </c>
      <c r="Y2617" t="s">
        <v>6924</v>
      </c>
      <c r="Z2617" t="s">
        <v>1915</v>
      </c>
      <c r="AA2617" t="s">
        <v>485</v>
      </c>
      <c r="AB2617" t="s">
        <v>0</v>
      </c>
      <c r="AC2617" t="s">
        <v>6925</v>
      </c>
    </row>
    <row r="2618" spans="1:29">
      <c r="A2618" t="s">
        <v>6926</v>
      </c>
      <c r="B2618" s="11" t="str">
        <f>IF(ISNUMBER(SEARCH(E2618,A2618)),A2618,IF(OR(E2618="",E2618=""),A2618,A2618&amp;" - "&amp;E2618))</f>
        <v>Demecan Core Sunshine Pure 27:01 - Tropicana Cookies</v>
      </c>
      <c r="C2618" t="s">
        <v>484</v>
      </c>
      <c r="D2618" t="s">
        <v>485</v>
      </c>
      <c r="E2618" t="s">
        <v>624</v>
      </c>
      <c r="F2618" t="s">
        <v>144</v>
      </c>
      <c r="G2618" t="s">
        <v>33</v>
      </c>
      <c r="H2618" t="s">
        <v>65</v>
      </c>
      <c r="I2618" t="s">
        <v>0</v>
      </c>
      <c r="J2618" t="s">
        <v>0</v>
      </c>
      <c r="K2618" t="s">
        <v>52</v>
      </c>
      <c r="L2618" t="s">
        <v>53</v>
      </c>
      <c r="M2618" t="s">
        <v>55</v>
      </c>
      <c r="N2618" t="s">
        <v>111</v>
      </c>
      <c r="O2618" t="s">
        <v>178</v>
      </c>
      <c r="P2618" t="s">
        <v>136</v>
      </c>
      <c r="Q2618" t="s">
        <v>58</v>
      </c>
      <c r="R2618" t="s">
        <v>75</v>
      </c>
      <c r="S2618" t="s">
        <v>90</v>
      </c>
      <c r="T2618" t="s">
        <v>128</v>
      </c>
      <c r="U2618" t="s">
        <v>62</v>
      </c>
      <c r="V2618" t="s">
        <v>77</v>
      </c>
      <c r="W2618" t="s">
        <v>79</v>
      </c>
      <c r="X2618" t="s">
        <v>173</v>
      </c>
      <c r="Y2618" t="s">
        <v>1762</v>
      </c>
      <c r="Z2618" t="s">
        <v>64</v>
      </c>
      <c r="AA2618" t="s">
        <v>485</v>
      </c>
      <c r="AB2618" t="s">
        <v>0</v>
      </c>
      <c r="AC2618" t="s">
        <v>6927</v>
      </c>
    </row>
    <row r="2619" spans="1:29">
      <c r="A2619" t="s">
        <v>6928</v>
      </c>
      <c r="B2619" s="11" t="str">
        <f>IF(ISNUMBER(SEARCH(E2619,A2619)),A2619,IF(OR(E2619="",E2619=""),A2619,A2619&amp;" - "&amp;E2619))</f>
        <v>NICE 19/1 RAM - Rainbow Amnesia</v>
      </c>
      <c r="C2619" t="s">
        <v>996</v>
      </c>
      <c r="D2619" t="s">
        <v>997</v>
      </c>
      <c r="E2619" s="9" t="s">
        <v>4450</v>
      </c>
      <c r="F2619" s="1" t="s">
        <v>144</v>
      </c>
      <c r="G2619" s="8" t="s">
        <v>4160</v>
      </c>
      <c r="H2619" s="7">
        <v>1</v>
      </c>
      <c r="I2619" t="s">
        <v>0</v>
      </c>
      <c r="J2619" t="s">
        <v>0</v>
      </c>
      <c r="K2619" t="s">
        <v>52</v>
      </c>
      <c r="L2619" t="s">
        <v>102</v>
      </c>
      <c r="M2619" t="s">
        <v>54</v>
      </c>
      <c r="N2619" t="s">
        <v>88</v>
      </c>
      <c r="O2619" t="s">
        <v>72</v>
      </c>
      <c r="P2619" t="s">
        <v>74</v>
      </c>
      <c r="Q2619" t="s">
        <v>75</v>
      </c>
      <c r="R2619" t="s">
        <v>89</v>
      </c>
      <c r="S2619" t="s">
        <v>106</v>
      </c>
      <c r="T2619" t="s">
        <v>123</v>
      </c>
      <c r="U2619" t="s">
        <v>147</v>
      </c>
      <c r="V2619" t="s">
        <v>77</v>
      </c>
      <c r="W2619" t="s">
        <v>107</v>
      </c>
      <c r="X2619" t="s">
        <v>79</v>
      </c>
      <c r="Y2619" t="s">
        <v>1090</v>
      </c>
      <c r="Z2619" t="s">
        <v>64</v>
      </c>
      <c r="AA2619" t="s">
        <v>997</v>
      </c>
      <c r="AB2619" t="s">
        <v>0</v>
      </c>
      <c r="AC2619" t="s">
        <v>6929</v>
      </c>
    </row>
    <row r="2620" spans="1:29">
      <c r="A2620" t="s">
        <v>6930</v>
      </c>
      <c r="B2620" s="11" t="str">
        <f>IF(ISNUMBER(SEARCH(E2620,A2620)),A2620,IF(OR(E2620="",E2620=""),A2620,A2620&amp;" - "&amp;E2620))</f>
        <v>Demecan BCP Lean Drop 22:01 Lemon Cherry Gelato - Sunset Sherbert x Girl Scout Cookies</v>
      </c>
      <c r="C2620" t="s">
        <v>484</v>
      </c>
      <c r="D2620" t="s">
        <v>485</v>
      </c>
      <c r="E2620" s="9" t="s">
        <v>5684</v>
      </c>
      <c r="F2620" s="1" t="s">
        <v>120</v>
      </c>
      <c r="G2620" s="8" t="s">
        <v>4126</v>
      </c>
      <c r="H2620" s="7" t="s">
        <v>65</v>
      </c>
      <c r="I2620" t="s">
        <v>0</v>
      </c>
      <c r="J2620" t="s">
        <v>0</v>
      </c>
      <c r="K2620" t="s">
        <v>52</v>
      </c>
      <c r="L2620" t="s">
        <v>53</v>
      </c>
      <c r="M2620" t="s">
        <v>121</v>
      </c>
      <c r="N2620" t="s">
        <v>72</v>
      </c>
      <c r="O2620" t="s">
        <v>54</v>
      </c>
      <c r="P2620" t="s">
        <v>74</v>
      </c>
      <c r="Q2620" t="s">
        <v>75</v>
      </c>
      <c r="R2620" t="s">
        <v>57</v>
      </c>
      <c r="S2620" t="s">
        <v>106</v>
      </c>
      <c r="T2620" t="s">
        <v>164</v>
      </c>
      <c r="U2620" t="s">
        <v>123</v>
      </c>
      <c r="V2620" t="s">
        <v>77</v>
      </c>
      <c r="W2620" t="s">
        <v>116</v>
      </c>
      <c r="X2620" t="s">
        <v>180</v>
      </c>
      <c r="Y2620" t="s">
        <v>314</v>
      </c>
      <c r="Z2620" t="s">
        <v>64</v>
      </c>
      <c r="AA2620" t="s">
        <v>485</v>
      </c>
      <c r="AB2620" t="s">
        <v>0</v>
      </c>
      <c r="AC2620" t="s">
        <v>6931</v>
      </c>
    </row>
    <row r="2621" spans="1:29">
      <c r="A2621" t="s">
        <v>6932</v>
      </c>
      <c r="B2621" s="11" t="str">
        <f>IF(ISNUMBER(SEARCH(E2621,A2621)),A2621,IF(OR(E2621="",E2621=""),A2621,A2621&amp;" - "&amp;E2621))</f>
        <v>Africann GG 25/1 - Gorilla Glue</v>
      </c>
      <c r="C2621" t="s">
        <v>564</v>
      </c>
      <c r="D2621" t="s">
        <v>565</v>
      </c>
      <c r="E2621" s="9" t="s">
        <v>363</v>
      </c>
      <c r="F2621" s="1" t="s">
        <v>120</v>
      </c>
      <c r="G2621" s="8" t="s">
        <v>26</v>
      </c>
      <c r="H2621" s="7">
        <v>1</v>
      </c>
      <c r="I2621" t="s">
        <v>0</v>
      </c>
      <c r="J2621" t="s">
        <v>0</v>
      </c>
      <c r="K2621" t="s">
        <v>52</v>
      </c>
      <c r="L2621" t="s">
        <v>497</v>
      </c>
      <c r="M2621" t="s">
        <v>121</v>
      </c>
      <c r="N2621" t="s">
        <v>72</v>
      </c>
      <c r="O2621" t="s">
        <v>103</v>
      </c>
      <c r="P2621" t="s">
        <v>59</v>
      </c>
      <c r="Q2621" t="s">
        <v>146</v>
      </c>
      <c r="R2621" t="s">
        <v>74</v>
      </c>
      <c r="S2621" t="s">
        <v>128</v>
      </c>
      <c r="T2621" t="s">
        <v>106</v>
      </c>
      <c r="U2621" t="s">
        <v>62</v>
      </c>
      <c r="V2621" t="s">
        <v>107</v>
      </c>
      <c r="W2621" t="s">
        <v>77</v>
      </c>
      <c r="X2621" t="s">
        <v>1242</v>
      </c>
      <c r="Y2621" t="s">
        <v>124</v>
      </c>
      <c r="Z2621" t="s">
        <v>64</v>
      </c>
      <c r="AA2621" t="s">
        <v>565</v>
      </c>
      <c r="AB2621" t="s">
        <v>0</v>
      </c>
      <c r="AC2621" t="s">
        <v>6933</v>
      </c>
    </row>
    <row r="2622" spans="1:29">
      <c r="A2622" t="s">
        <v>6934</v>
      </c>
      <c r="B2622" s="11" t="str">
        <f>IF(ISNUMBER(SEARCH(E2622,A2622)),A2622,IF(OR(E2622="",E2622=""),A2622,A2622&amp;" - "&amp;E2622))</f>
        <v>avaay 25/1 CRE Creamy Kees No.5 - Creamy Kee's No.5</v>
      </c>
      <c r="C2622" t="s">
        <v>4601</v>
      </c>
      <c r="D2622" t="s">
        <v>572</v>
      </c>
      <c r="E2622" s="9" t="s">
        <v>2490</v>
      </c>
      <c r="F2622" s="1" t="s">
        <v>177</v>
      </c>
      <c r="G2622" s="8" t="s">
        <v>26</v>
      </c>
      <c r="H2622" s="7" t="s">
        <v>65</v>
      </c>
      <c r="I2622" t="s">
        <v>0</v>
      </c>
      <c r="J2622" t="s">
        <v>0</v>
      </c>
      <c r="K2622" t="s">
        <v>52</v>
      </c>
      <c r="L2622" t="s">
        <v>497</v>
      </c>
      <c r="M2622" t="s">
        <v>121</v>
      </c>
      <c r="N2622" t="s">
        <v>72</v>
      </c>
      <c r="O2622" t="s">
        <v>0</v>
      </c>
      <c r="P2622" t="s">
        <v>89</v>
      </c>
      <c r="Q2622" t="s">
        <v>59</v>
      </c>
      <c r="R2622" t="s">
        <v>113</v>
      </c>
      <c r="S2622" t="s">
        <v>62</v>
      </c>
      <c r="T2622" t="s">
        <v>147</v>
      </c>
      <c r="U2622" t="s">
        <v>60</v>
      </c>
      <c r="V2622" t="s">
        <v>165</v>
      </c>
      <c r="W2622" t="s">
        <v>107</v>
      </c>
      <c r="X2622" t="s">
        <v>116</v>
      </c>
      <c r="Y2622" t="s">
        <v>625</v>
      </c>
      <c r="Z2622" t="s">
        <v>64</v>
      </c>
      <c r="AA2622" t="s">
        <v>572</v>
      </c>
      <c r="AB2622" t="s">
        <v>498</v>
      </c>
      <c r="AC2622" t="s">
        <v>6935</v>
      </c>
    </row>
    <row r="2623" spans="1:29">
      <c r="A2623" t="s">
        <v>6967</v>
      </c>
      <c r="B2623" s="42" t="str">
        <f>IF(ISNUMBER(SEARCH(E2623,A2623)),A2623,IF(OR(E2623="",E2623=""),A2623,A2623&amp;" - "&amp;E2623))</f>
        <v>BC Green 20/1 T7 - Tribute 7</v>
      </c>
      <c r="C2623" t="s">
        <v>2522</v>
      </c>
      <c r="D2623" t="s">
        <v>2523</v>
      </c>
      <c r="E2623" s="79" t="s">
        <v>6968</v>
      </c>
      <c r="F2623" s="81" t="s">
        <v>177</v>
      </c>
      <c r="G2623" s="83" t="s">
        <v>460</v>
      </c>
      <c r="H2623" s="95" t="s">
        <v>65</v>
      </c>
      <c r="I2623" t="s">
        <v>0</v>
      </c>
      <c r="J2623" t="s">
        <v>0</v>
      </c>
      <c r="K2623" t="s">
        <v>52</v>
      </c>
      <c r="L2623" t="s">
        <v>53</v>
      </c>
      <c r="M2623" t="s">
        <v>121</v>
      </c>
      <c r="N2623" t="s">
        <v>72</v>
      </c>
      <c r="O2623" t="s">
        <v>71</v>
      </c>
      <c r="P2623" t="s">
        <v>104</v>
      </c>
      <c r="Q2623" t="s">
        <v>59</v>
      </c>
      <c r="R2623" t="s">
        <v>89</v>
      </c>
      <c r="S2623" t="s">
        <v>106</v>
      </c>
      <c r="T2623" t="s">
        <v>62</v>
      </c>
      <c r="U2623" t="s">
        <v>147</v>
      </c>
      <c r="V2623" t="s">
        <v>93</v>
      </c>
      <c r="W2623" t="s">
        <v>208</v>
      </c>
      <c r="X2623" t="s">
        <v>107</v>
      </c>
      <c r="Y2623" t="s">
        <v>1090</v>
      </c>
      <c r="Z2623" t="s">
        <v>64</v>
      </c>
      <c r="AA2623" t="s">
        <v>2523</v>
      </c>
      <c r="AB2623" t="s">
        <v>0</v>
      </c>
      <c r="AC2623" t="s">
        <v>6969</v>
      </c>
    </row>
    <row r="2624" spans="1:29">
      <c r="A2624" t="s">
        <v>6962</v>
      </c>
      <c r="B2624" s="42" t="str">
        <f>IF(ISNUMBER(SEARCH(E2624,A2624)),A2624,IF(OR(E2624="",E2624=""),A2624,A2624&amp;" - "&amp;E2624))</f>
        <v>BC Green 20/1 PG - Pink Grapes</v>
      </c>
      <c r="C2624" t="s">
        <v>1957</v>
      </c>
      <c r="D2624" t="s">
        <v>1961</v>
      </c>
      <c r="E2624" s="79" t="s">
        <v>6963</v>
      </c>
      <c r="F2624" s="81" t="s">
        <v>144</v>
      </c>
      <c r="G2624" s="83" t="s">
        <v>460</v>
      </c>
      <c r="H2624" s="95" t="s">
        <v>65</v>
      </c>
      <c r="I2624" t="s">
        <v>0</v>
      </c>
      <c r="J2624" t="s">
        <v>0</v>
      </c>
      <c r="K2624" t="s">
        <v>52</v>
      </c>
      <c r="L2624" t="s">
        <v>53</v>
      </c>
      <c r="M2624" t="s">
        <v>0</v>
      </c>
      <c r="N2624" t="s">
        <v>0</v>
      </c>
      <c r="O2624" t="s">
        <v>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t="s">
        <v>877</v>
      </c>
      <c r="Z2624" t="s">
        <v>64</v>
      </c>
      <c r="AA2624" t="s">
        <v>1961</v>
      </c>
      <c r="AB2624" t="s">
        <v>0</v>
      </c>
      <c r="AC2624" t="s">
        <v>6964</v>
      </c>
    </row>
    <row r="2625" spans="1:29">
      <c r="A2625" t="s">
        <v>6958</v>
      </c>
      <c r="B2625" s="42" t="str">
        <f>IF(ISNUMBER(SEARCH(E2625,A2625)),A2625,IF(OR(E2625="",E2625=""),A2625,A2625&amp;" - "&amp;E2625))</f>
        <v>Luana 24/1 Rainbow - Papaya Bomb</v>
      </c>
      <c r="C2625" t="s">
        <v>48</v>
      </c>
      <c r="D2625" t="s">
        <v>49</v>
      </c>
      <c r="E2625" s="9" t="s">
        <v>4429</v>
      </c>
      <c r="F2625" s="1" t="s">
        <v>177</v>
      </c>
      <c r="G2625" s="8" t="s">
        <v>448</v>
      </c>
      <c r="H2625" s="7" t="s">
        <v>65</v>
      </c>
      <c r="I2625" t="s">
        <v>0</v>
      </c>
      <c r="J2625" t="s">
        <v>0</v>
      </c>
      <c r="K2625" t="s">
        <v>52</v>
      </c>
      <c r="L2625" t="s">
        <v>202</v>
      </c>
      <c r="M2625" t="s">
        <v>72</v>
      </c>
      <c r="N2625" t="s">
        <v>0</v>
      </c>
      <c r="O2625" t="s">
        <v>0</v>
      </c>
      <c r="P2625" t="s">
        <v>75</v>
      </c>
      <c r="Q2625" t="s">
        <v>58</v>
      </c>
      <c r="R2625" t="s">
        <v>89</v>
      </c>
      <c r="S2625" t="s">
        <v>128</v>
      </c>
      <c r="T2625" t="s">
        <v>106</v>
      </c>
      <c r="U2625" t="s">
        <v>105</v>
      </c>
      <c r="V2625" t="s">
        <v>77</v>
      </c>
      <c r="W2625" t="s">
        <v>129</v>
      </c>
      <c r="X2625" t="s">
        <v>93</v>
      </c>
      <c r="Y2625" t="s">
        <v>245</v>
      </c>
      <c r="Z2625" t="s">
        <v>64</v>
      </c>
      <c r="AA2625" t="s">
        <v>49</v>
      </c>
      <c r="AB2625" t="s">
        <v>0</v>
      </c>
      <c r="AC2625" t="s">
        <v>6959</v>
      </c>
    </row>
    <row r="2626" spans="1:29">
      <c r="A2626" t="s">
        <v>6960</v>
      </c>
      <c r="B2626" s="42" t="str">
        <f>IF(ISNUMBER(SEARCH(E2626,A2626)),A2626,IF(OR(E2626="",E2626=""),A2626,A2626&amp;" - "&amp;E2626))</f>
        <v>Demecan Core Sunshine Pure 25:01 - Tropicana Cookies</v>
      </c>
      <c r="C2626" t="s">
        <v>484</v>
      </c>
      <c r="D2626" t="s">
        <v>485</v>
      </c>
      <c r="E2626" s="9" t="s">
        <v>624</v>
      </c>
      <c r="F2626" s="1" t="s">
        <v>144</v>
      </c>
      <c r="G2626" s="8" t="s">
        <v>26</v>
      </c>
      <c r="H2626" s="7" t="s">
        <v>65</v>
      </c>
      <c r="I2626" t="s">
        <v>0</v>
      </c>
      <c r="J2626" t="s">
        <v>0</v>
      </c>
      <c r="K2626" t="s">
        <v>52</v>
      </c>
      <c r="L2626" t="s">
        <v>53</v>
      </c>
      <c r="M2626" t="s">
        <v>55</v>
      </c>
      <c r="N2626" t="s">
        <v>111</v>
      </c>
      <c r="O2626" t="s">
        <v>178</v>
      </c>
      <c r="P2626" t="s">
        <v>136</v>
      </c>
      <c r="Q2626" t="s">
        <v>58</v>
      </c>
      <c r="R2626" t="s">
        <v>75</v>
      </c>
      <c r="S2626" t="s">
        <v>90</v>
      </c>
      <c r="T2626" t="s">
        <v>128</v>
      </c>
      <c r="U2626" t="s">
        <v>62</v>
      </c>
      <c r="V2626" t="s">
        <v>77</v>
      </c>
      <c r="W2626" t="s">
        <v>79</v>
      </c>
      <c r="X2626" t="s">
        <v>173</v>
      </c>
      <c r="Y2626" t="s">
        <v>322</v>
      </c>
      <c r="Z2626" t="s">
        <v>64</v>
      </c>
      <c r="AA2626" t="s">
        <v>485</v>
      </c>
      <c r="AB2626" t="s">
        <v>0</v>
      </c>
      <c r="AC2626" t="s">
        <v>6961</v>
      </c>
    </row>
    <row r="2627" spans="1:29">
      <c r="A2627" t="s">
        <v>6952</v>
      </c>
      <c r="B2627" s="42" t="str">
        <f>IF(ISNUMBER(SEARCH(E2627,A2627)),A2627,IF(OR(E2627="",E2627=""),A2627,A2627&amp;" - "&amp;E2627))</f>
        <v>NICE 28/1 LK - Lemon Kush</v>
      </c>
      <c r="C2627" t="s">
        <v>996</v>
      </c>
      <c r="D2627" t="s">
        <v>997</v>
      </c>
      <c r="E2627" s="9" t="s">
        <v>6953</v>
      </c>
      <c r="F2627" s="1" t="s">
        <v>144</v>
      </c>
      <c r="G2627" s="8" t="s">
        <v>4164</v>
      </c>
      <c r="H2627" s="7" t="s">
        <v>65</v>
      </c>
      <c r="I2627" t="s">
        <v>0</v>
      </c>
      <c r="J2627" t="s">
        <v>0</v>
      </c>
      <c r="K2627" t="s">
        <v>52</v>
      </c>
      <c r="L2627" t="s">
        <v>53</v>
      </c>
      <c r="M2627" t="s">
        <v>121</v>
      </c>
      <c r="N2627" t="s">
        <v>72</v>
      </c>
      <c r="O2627" t="s">
        <v>71</v>
      </c>
      <c r="P2627" t="s">
        <v>74</v>
      </c>
      <c r="Q2627" t="s">
        <v>104</v>
      </c>
      <c r="R2627" t="s">
        <v>59</v>
      </c>
      <c r="S2627" t="s">
        <v>90</v>
      </c>
      <c r="T2627" t="s">
        <v>106</v>
      </c>
      <c r="U2627" t="s">
        <v>62</v>
      </c>
      <c r="V2627" t="s">
        <v>107</v>
      </c>
      <c r="W2627" t="s">
        <v>116</v>
      </c>
      <c r="X2627" t="s">
        <v>0</v>
      </c>
      <c r="Y2627" t="s">
        <v>1192</v>
      </c>
      <c r="Z2627" t="s">
        <v>64</v>
      </c>
      <c r="AA2627" t="s">
        <v>997</v>
      </c>
      <c r="AB2627" t="s">
        <v>0</v>
      </c>
      <c r="AC2627" t="s">
        <v>6954</v>
      </c>
    </row>
    <row r="2628" spans="1:29">
      <c r="A2628" t="s">
        <v>6936</v>
      </c>
      <c r="B2628" s="11" t="str">
        <f>IF(ISNUMBER(SEARCH(E2628,A2628)),A2628,IF(OR(E2628="",E2628=""),A2628,A2628&amp;" - "&amp;E2628))</f>
        <v>BC Green 30/1 - Tiger Cake</v>
      </c>
      <c r="C2628" t="s">
        <v>2522</v>
      </c>
      <c r="D2628" t="s">
        <v>2523</v>
      </c>
      <c r="E2628" s="79" t="s">
        <v>1303</v>
      </c>
      <c r="F2628" s="81" t="s">
        <v>177</v>
      </c>
      <c r="G2628" s="83" t="s">
        <v>4057</v>
      </c>
      <c r="H2628" s="95">
        <v>1</v>
      </c>
      <c r="I2628" t="s">
        <v>0</v>
      </c>
      <c r="J2628" t="s">
        <v>0</v>
      </c>
      <c r="K2628" t="s">
        <v>52</v>
      </c>
      <c r="L2628" t="s">
        <v>102</v>
      </c>
      <c r="M2628" t="s">
        <v>71</v>
      </c>
      <c r="N2628" t="s">
        <v>72</v>
      </c>
      <c r="O2628" t="s">
        <v>103</v>
      </c>
      <c r="P2628" t="s">
        <v>57</v>
      </c>
      <c r="Q2628" t="s">
        <v>73</v>
      </c>
      <c r="R2628" t="s">
        <v>0</v>
      </c>
      <c r="S2628" t="s">
        <v>128</v>
      </c>
      <c r="T2628" t="s">
        <v>106</v>
      </c>
      <c r="U2628" t="s">
        <v>62</v>
      </c>
      <c r="V2628" t="s">
        <v>107</v>
      </c>
      <c r="W2628" t="s">
        <v>116</v>
      </c>
      <c r="X2628" t="s">
        <v>77</v>
      </c>
      <c r="Y2628" t="s">
        <v>4183</v>
      </c>
      <c r="Z2628" t="s">
        <v>64</v>
      </c>
      <c r="AA2628" t="s">
        <v>2523</v>
      </c>
      <c r="AB2628" t="s">
        <v>0</v>
      </c>
      <c r="AC2628" t="s">
        <v>6937</v>
      </c>
    </row>
    <row r="2629" spans="1:29">
      <c r="A2629" t="s">
        <v>6938</v>
      </c>
      <c r="B2629" s="11" t="str">
        <f>IF(ISNUMBER(SEARCH(E2629,A2629)),A2629,IF(OR(E2629="",E2629=""),A2629,A2629&amp;" - "&amp;E2629))</f>
        <v>Curaleaf Natural 25/1 CA GCT - Garlic Truffle</v>
      </c>
      <c r="C2629" t="s">
        <v>2065</v>
      </c>
      <c r="D2629" t="s">
        <v>2066</v>
      </c>
      <c r="E2629" s="79" t="s">
        <v>4510</v>
      </c>
      <c r="F2629" s="81" t="s">
        <v>177</v>
      </c>
      <c r="G2629" s="83" t="s">
        <v>26</v>
      </c>
      <c r="H2629" s="95" t="s">
        <v>65</v>
      </c>
      <c r="I2629" t="s">
        <v>0</v>
      </c>
      <c r="J2629" t="s">
        <v>0</v>
      </c>
      <c r="K2629" t="s">
        <v>52</v>
      </c>
      <c r="L2629" t="s">
        <v>53</v>
      </c>
      <c r="M2629" t="s">
        <v>121</v>
      </c>
      <c r="N2629" t="s">
        <v>72</v>
      </c>
      <c r="O2629" t="s">
        <v>0</v>
      </c>
      <c r="P2629" t="s">
        <v>75</v>
      </c>
      <c r="Q2629" t="s">
        <v>104</v>
      </c>
      <c r="R2629" t="s">
        <v>0</v>
      </c>
      <c r="S2629" t="s">
        <v>128</v>
      </c>
      <c r="T2629" t="s">
        <v>61</v>
      </c>
      <c r="U2629" t="s">
        <v>62</v>
      </c>
      <c r="V2629" t="s">
        <v>107</v>
      </c>
      <c r="W2629" t="s">
        <v>116</v>
      </c>
      <c r="X2629" t="s">
        <v>138</v>
      </c>
      <c r="Y2629" t="s">
        <v>1175</v>
      </c>
      <c r="Z2629" t="s">
        <v>64</v>
      </c>
      <c r="AA2629" t="s">
        <v>2066</v>
      </c>
      <c r="AB2629" t="s">
        <v>0</v>
      </c>
      <c r="AC2629" t="s">
        <v>6939</v>
      </c>
    </row>
    <row r="2630" spans="1:29">
      <c r="A2630" t="s">
        <v>6940</v>
      </c>
      <c r="B2630" s="11" t="str">
        <f>IF(ISNUMBER(SEARCH(E2630,A2630)),A2630,IF(OR(E2630="",E2630=""),A2630,A2630&amp;" - "&amp;E2630))</f>
        <v>HiSociety BZ 30/1 - Blue Zushi</v>
      </c>
      <c r="C2630" t="s">
        <v>564</v>
      </c>
      <c r="D2630" t="s">
        <v>565</v>
      </c>
      <c r="E2630" s="9" t="s">
        <v>4015</v>
      </c>
      <c r="F2630" s="1" t="s">
        <v>86</v>
      </c>
      <c r="G2630" s="8" t="s">
        <v>4057</v>
      </c>
      <c r="H2630" s="7">
        <v>1</v>
      </c>
      <c r="I2630" t="s">
        <v>0</v>
      </c>
      <c r="J2630" t="s">
        <v>0</v>
      </c>
      <c r="K2630" t="s">
        <v>52</v>
      </c>
      <c r="L2630" t="s">
        <v>53</v>
      </c>
      <c r="M2630" t="s">
        <v>71</v>
      </c>
      <c r="N2630" t="s">
        <v>178</v>
      </c>
      <c r="O2630" t="s">
        <v>103</v>
      </c>
      <c r="P2630" t="s">
        <v>104</v>
      </c>
      <c r="Q2630" t="s">
        <v>89</v>
      </c>
      <c r="R2630" t="s">
        <v>58</v>
      </c>
      <c r="S2630" t="s">
        <v>128</v>
      </c>
      <c r="T2630" t="s">
        <v>106</v>
      </c>
      <c r="U2630" t="s">
        <v>62</v>
      </c>
      <c r="V2630" t="s">
        <v>77</v>
      </c>
      <c r="W2630" t="s">
        <v>79</v>
      </c>
      <c r="X2630" t="s">
        <v>107</v>
      </c>
      <c r="Y2630" t="s">
        <v>6941</v>
      </c>
      <c r="Z2630" t="s">
        <v>64</v>
      </c>
      <c r="AA2630" t="s">
        <v>565</v>
      </c>
      <c r="AB2630" t="s">
        <v>0</v>
      </c>
      <c r="AC2630" t="s">
        <v>6942</v>
      </c>
    </row>
    <row r="2631" spans="1:29">
      <c r="A2631" t="s">
        <v>6943</v>
      </c>
      <c r="B2631" s="11" t="str">
        <f>IF(ISNUMBER(SEARCH(E2631,A2631)),A2631,IF(OR(E2631="",E2631=""),A2631,A2631&amp;" - "&amp;E2631))</f>
        <v>GrowMotion SBC24 - Super Buff Cherry</v>
      </c>
      <c r="C2631" t="s">
        <v>725</v>
      </c>
      <c r="D2631" t="s">
        <v>726</v>
      </c>
      <c r="E2631" s="79" t="s">
        <v>6944</v>
      </c>
      <c r="F2631" s="81" t="s">
        <v>177</v>
      </c>
      <c r="G2631" s="83" t="s">
        <v>448</v>
      </c>
      <c r="H2631" s="95" t="s">
        <v>65</v>
      </c>
      <c r="I2631" t="s">
        <v>0</v>
      </c>
      <c r="J2631" t="s">
        <v>0</v>
      </c>
      <c r="K2631" t="s">
        <v>52</v>
      </c>
      <c r="L2631" t="s">
        <v>4603</v>
      </c>
      <c r="M2631" t="s">
        <v>121</v>
      </c>
      <c r="N2631" t="s">
        <v>72</v>
      </c>
      <c r="O2631" t="s">
        <v>71</v>
      </c>
      <c r="P2631" t="s">
        <v>104</v>
      </c>
      <c r="Q2631" t="s">
        <v>59</v>
      </c>
      <c r="R2631" t="s">
        <v>89</v>
      </c>
      <c r="S2631" t="s">
        <v>128</v>
      </c>
      <c r="T2631" t="s">
        <v>106</v>
      </c>
      <c r="U2631" t="s">
        <v>76</v>
      </c>
      <c r="V2631" t="s">
        <v>77</v>
      </c>
      <c r="W2631" t="s">
        <v>116</v>
      </c>
      <c r="X2631" t="s">
        <v>79</v>
      </c>
      <c r="Y2631" t="s">
        <v>80</v>
      </c>
      <c r="Z2631" t="s">
        <v>64</v>
      </c>
      <c r="AA2631" t="s">
        <v>726</v>
      </c>
      <c r="AB2631" t="s">
        <v>0</v>
      </c>
      <c r="AC2631" t="s">
        <v>6945</v>
      </c>
    </row>
    <row r="2632" spans="1:29">
      <c r="A2632" t="s">
        <v>6946</v>
      </c>
      <c r="B2632" s="11" t="str">
        <f>IF(ISNUMBER(SEARCH(E2632,A2632)),A2632,IF(OR(E2632="",E2632=""),A2632,A2632&amp;" - "&amp;E2632))</f>
        <v>Pharma Leaves Indica dominant Strong 25/1 - Do-Si-Dos</v>
      </c>
      <c r="C2632" t="s">
        <v>3537</v>
      </c>
      <c r="D2632" t="s">
        <v>3538</v>
      </c>
      <c r="E2632" s="9" t="s">
        <v>638</v>
      </c>
      <c r="F2632" s="1" t="s">
        <v>177</v>
      </c>
      <c r="G2632" s="8" t="s">
        <v>26</v>
      </c>
      <c r="H2632" s="7">
        <v>1</v>
      </c>
      <c r="I2632" t="s">
        <v>0</v>
      </c>
      <c r="J2632" t="s">
        <v>0</v>
      </c>
      <c r="K2632" t="s">
        <v>52</v>
      </c>
      <c r="L2632" t="s">
        <v>145</v>
      </c>
      <c r="M2632" t="s">
        <v>103</v>
      </c>
      <c r="N2632" t="s">
        <v>72</v>
      </c>
      <c r="O2632" t="s">
        <v>121</v>
      </c>
      <c r="P2632" t="s">
        <v>104</v>
      </c>
      <c r="Q2632" t="s">
        <v>74</v>
      </c>
      <c r="R2632" t="s">
        <v>89</v>
      </c>
      <c r="S2632" t="s">
        <v>128</v>
      </c>
      <c r="T2632" t="s">
        <v>106</v>
      </c>
      <c r="U2632" t="s">
        <v>466</v>
      </c>
      <c r="V2632" t="s">
        <v>107</v>
      </c>
      <c r="W2632" t="s">
        <v>77</v>
      </c>
      <c r="X2632" t="s">
        <v>173</v>
      </c>
      <c r="Y2632" t="s">
        <v>427</v>
      </c>
      <c r="Z2632" t="s">
        <v>64</v>
      </c>
      <c r="AA2632" t="s">
        <v>3538</v>
      </c>
      <c r="AB2632" t="s">
        <v>4886</v>
      </c>
      <c r="AC2632" t="s">
        <v>6947</v>
      </c>
    </row>
    <row r="2633" spans="1:29" ht="14.5">
      <c r="A2633" t="s">
        <v>6948</v>
      </c>
      <c r="B2633" s="42" t="str">
        <f>IF(ISNUMBER(SEARCH(E2633,A2633)),A2633,IF(OR(E2633="",E2633=""),A2633,A2633&amp;" - "&amp;E2633))</f>
        <v>Cannovum Natura KHZ 31/1 - Karel's Haze</v>
      </c>
      <c r="C2633" t="s">
        <v>2145</v>
      </c>
      <c r="D2633" t="s">
        <v>2146</v>
      </c>
      <c r="E2633" s="79" t="s">
        <v>501</v>
      </c>
      <c r="F2633" s="81" t="s">
        <v>144</v>
      </c>
      <c r="G2633" s="83" t="s">
        <v>4164</v>
      </c>
      <c r="H2633" s="83" t="s">
        <v>65</v>
      </c>
      <c r="I2633" t="s">
        <v>0</v>
      </c>
      <c r="J2633" t="s">
        <v>0</v>
      </c>
      <c r="K2633" t="s">
        <v>52</v>
      </c>
      <c r="L2633" t="s">
        <v>102</v>
      </c>
      <c r="M2633" t="s">
        <v>111</v>
      </c>
      <c r="N2633" t="s">
        <v>54</v>
      </c>
      <c r="O2633" t="s">
        <v>55</v>
      </c>
      <c r="P2633" t="s">
        <v>75</v>
      </c>
      <c r="Q2633" t="s">
        <v>59</v>
      </c>
      <c r="R2633" t="s">
        <v>89</v>
      </c>
      <c r="S2633" t="s">
        <v>128</v>
      </c>
      <c r="T2633" t="s">
        <v>106</v>
      </c>
      <c r="U2633" t="s">
        <v>62</v>
      </c>
      <c r="V2633" t="s">
        <v>77</v>
      </c>
      <c r="W2633" t="s">
        <v>173</v>
      </c>
      <c r="X2633" t="s">
        <v>79</v>
      </c>
      <c r="Y2633" t="s">
        <v>80</v>
      </c>
      <c r="Z2633" t="s">
        <v>64</v>
      </c>
      <c r="AA2633" t="s">
        <v>2146</v>
      </c>
      <c r="AB2633" t="s">
        <v>0</v>
      </c>
      <c r="AC2633" s="101" t="s">
        <v>6949</v>
      </c>
    </row>
    <row r="2634" spans="1:29">
      <c r="A2634" t="s">
        <v>6950</v>
      </c>
      <c r="B2634" s="42" t="str">
        <f>IF(ISNUMBER(SEARCH(E2634,A2634)),A2634,IF(OR(E2634="",E2634=""),A2634,A2634&amp;" - "&amp;E2634))</f>
        <v>J.R. Strain GP SMALLS 25/1 - Gastro Pop</v>
      </c>
      <c r="C2634" t="s">
        <v>564</v>
      </c>
      <c r="D2634" t="s">
        <v>565</v>
      </c>
      <c r="E2634" t="s">
        <v>1564</v>
      </c>
      <c r="F2634" t="s">
        <v>177</v>
      </c>
      <c r="G2634" t="s">
        <v>26</v>
      </c>
      <c r="H2634" s="83" t="s">
        <v>65</v>
      </c>
      <c r="I2634" t="s">
        <v>0</v>
      </c>
      <c r="J2634" t="s">
        <v>0</v>
      </c>
      <c r="K2634" t="s">
        <v>52</v>
      </c>
      <c r="L2634" t="s">
        <v>53</v>
      </c>
      <c r="M2634" t="s">
        <v>156</v>
      </c>
      <c r="N2634" t="s">
        <v>103</v>
      </c>
      <c r="O2634" t="s">
        <v>0</v>
      </c>
      <c r="P2634" t="s">
        <v>58</v>
      </c>
      <c r="Q2634" t="s">
        <v>89</v>
      </c>
      <c r="R2634" t="s">
        <v>59</v>
      </c>
      <c r="S2634" t="s">
        <v>106</v>
      </c>
      <c r="T2634" t="s">
        <v>62</v>
      </c>
      <c r="U2634" t="s">
        <v>123</v>
      </c>
      <c r="V2634" t="s">
        <v>77</v>
      </c>
      <c r="W2634" t="s">
        <v>107</v>
      </c>
      <c r="X2634" t="s">
        <v>173</v>
      </c>
      <c r="Y2634" t="s">
        <v>1357</v>
      </c>
      <c r="Z2634" t="s">
        <v>64</v>
      </c>
      <c r="AA2634" t="s">
        <v>565</v>
      </c>
      <c r="AB2634" t="s">
        <v>5648</v>
      </c>
      <c r="AC2634" t="s">
        <v>6951</v>
      </c>
    </row>
    <row r="2635" spans="1:29">
      <c r="A2635" t="s">
        <v>6955</v>
      </c>
      <c r="B2635" s="42" t="str">
        <f>IF(ISNUMBER(SEARCH(E2635,A2635)),A2635,IF(OR(E2635="",E2635=""),A2635,A2635&amp;" - "&amp;E2635))</f>
        <v>Luana 20/1 Rainbow - Papaya Bomb</v>
      </c>
      <c r="C2635" t="s">
        <v>48</v>
      </c>
      <c r="D2635" t="s">
        <v>49</v>
      </c>
      <c r="E2635" s="9" t="s">
        <v>4429</v>
      </c>
      <c r="F2635" s="1" t="s">
        <v>177</v>
      </c>
      <c r="G2635" s="8" t="s">
        <v>460</v>
      </c>
      <c r="H2635" s="7" t="s">
        <v>65</v>
      </c>
      <c r="I2635" t="s">
        <v>0</v>
      </c>
      <c r="J2635" t="s">
        <v>0</v>
      </c>
      <c r="K2635" t="s">
        <v>52</v>
      </c>
      <c r="L2635" t="s">
        <v>202</v>
      </c>
      <c r="M2635" t="s">
        <v>72</v>
      </c>
      <c r="N2635" t="s">
        <v>0</v>
      </c>
      <c r="O2635" t="s">
        <v>0</v>
      </c>
      <c r="P2635" t="s">
        <v>75</v>
      </c>
      <c r="Q2635" t="s">
        <v>58</v>
      </c>
      <c r="R2635" t="s">
        <v>89</v>
      </c>
      <c r="S2635" t="s">
        <v>128</v>
      </c>
      <c r="T2635" t="s">
        <v>106</v>
      </c>
      <c r="U2635" t="s">
        <v>105</v>
      </c>
      <c r="V2635" t="s">
        <v>77</v>
      </c>
      <c r="W2635" t="s">
        <v>129</v>
      </c>
      <c r="X2635" t="s">
        <v>93</v>
      </c>
      <c r="Y2635" t="s">
        <v>6956</v>
      </c>
      <c r="Z2635" t="s">
        <v>64</v>
      </c>
      <c r="AA2635" t="s">
        <v>49</v>
      </c>
      <c r="AB2635" t="s">
        <v>0</v>
      </c>
      <c r="AC2635" t="s">
        <v>6957</v>
      </c>
    </row>
    <row r="2636" spans="1:29">
      <c r="A2636" t="s">
        <v>6965</v>
      </c>
      <c r="B2636" s="42" t="str">
        <f>IF(ISNUMBER(SEARCH(E2636,A2636)),A2636,IF(OR(E2636="",E2636=""),A2636,A2636&amp;" - "&amp;E2636))</f>
        <v>Cannamedical Sativa forte ES - Nova</v>
      </c>
      <c r="C2636" t="s">
        <v>48</v>
      </c>
      <c r="D2636" t="s">
        <v>49</v>
      </c>
      <c r="E2636" s="9" t="s">
        <v>5350</v>
      </c>
      <c r="F2636" s="1" t="s">
        <v>144</v>
      </c>
      <c r="G2636" s="8" t="s">
        <v>436</v>
      </c>
      <c r="H2636" s="7" t="s">
        <v>65</v>
      </c>
      <c r="I2636" t="s">
        <v>0</v>
      </c>
      <c r="J2636" t="s">
        <v>0</v>
      </c>
      <c r="K2636" t="s">
        <v>17</v>
      </c>
      <c r="L2636" t="s">
        <v>423</v>
      </c>
      <c r="M2636" t="s">
        <v>72</v>
      </c>
      <c r="N2636" t="s">
        <v>54</v>
      </c>
      <c r="O2636" t="s">
        <v>88</v>
      </c>
      <c r="P2636" t="s">
        <v>74</v>
      </c>
      <c r="Q2636" t="s">
        <v>186</v>
      </c>
      <c r="R2636" t="s">
        <v>113</v>
      </c>
      <c r="S2636" t="s">
        <v>128</v>
      </c>
      <c r="T2636" t="s">
        <v>106</v>
      </c>
      <c r="U2636" t="s">
        <v>62</v>
      </c>
      <c r="V2636" t="s">
        <v>138</v>
      </c>
      <c r="W2636" t="s">
        <v>116</v>
      </c>
      <c r="X2636" t="s">
        <v>165</v>
      </c>
      <c r="Y2636" t="s">
        <v>335</v>
      </c>
      <c r="Z2636" t="s">
        <v>64</v>
      </c>
      <c r="AA2636" t="s">
        <v>49</v>
      </c>
      <c r="AB2636" t="s">
        <v>298</v>
      </c>
      <c r="AC2636" t="s">
        <v>6966</v>
      </c>
    </row>
    <row r="2637" spans="1:29">
      <c r="A2637" t="s">
        <v>6970</v>
      </c>
      <c r="B2637" s="42" t="str">
        <f>IF(ISNUMBER(SEARCH(E2637,A2637)),A2637,IF(OR(E2637="",E2637=""),A2637,A2637&amp;" - "&amp;E2637))</f>
        <v>Curaleaf Natural 27/1 PT ZKS - Zookies</v>
      </c>
      <c r="C2637" t="s">
        <v>2065</v>
      </c>
      <c r="D2637" t="s">
        <v>2066</v>
      </c>
      <c r="E2637" s="9" t="s">
        <v>2838</v>
      </c>
      <c r="F2637" s="1" t="s">
        <v>177</v>
      </c>
      <c r="G2637" s="8" t="s">
        <v>33</v>
      </c>
      <c r="H2637" s="7" t="s">
        <v>65</v>
      </c>
      <c r="I2637" t="s">
        <v>0</v>
      </c>
      <c r="J2637" t="s">
        <v>0</v>
      </c>
      <c r="K2637" t="s">
        <v>52</v>
      </c>
      <c r="L2637" t="s">
        <v>102</v>
      </c>
      <c r="M2637" t="s">
        <v>54</v>
      </c>
      <c r="N2637" t="s">
        <v>88</v>
      </c>
      <c r="O2637" t="s">
        <v>72</v>
      </c>
      <c r="P2637" t="s">
        <v>74</v>
      </c>
      <c r="Q2637" t="s">
        <v>73</v>
      </c>
      <c r="R2637" t="s">
        <v>59</v>
      </c>
      <c r="S2637" t="s">
        <v>106</v>
      </c>
      <c r="T2637" t="s">
        <v>62</v>
      </c>
      <c r="U2637" t="s">
        <v>123</v>
      </c>
      <c r="V2637" t="s">
        <v>93</v>
      </c>
      <c r="W2637" t="s">
        <v>79</v>
      </c>
      <c r="X2637" t="s">
        <v>107</v>
      </c>
      <c r="Y2637" t="s">
        <v>5064</v>
      </c>
      <c r="Z2637" t="s">
        <v>64</v>
      </c>
      <c r="AA2637" t="s">
        <v>2066</v>
      </c>
      <c r="AB2637" t="s">
        <v>0</v>
      </c>
      <c r="AC2637" t="s">
        <v>6971</v>
      </c>
    </row>
    <row r="2638" spans="1:29">
      <c r="A2638" t="s">
        <v>6972</v>
      </c>
      <c r="B2638" s="42" t="str">
        <f>IF(ISNUMBER(SEARCH(E2638,A2638)),A2638,IF(OR(E2638="",E2638=""),A2638,A2638&amp;" - "&amp;E2638))</f>
        <v>BC Green 20/1 - Pink Runtz</v>
      </c>
      <c r="C2638" t="s">
        <v>2522</v>
      </c>
      <c r="D2638" t="s">
        <v>2523</v>
      </c>
      <c r="E2638" s="9" t="s">
        <v>6973</v>
      </c>
      <c r="F2638" s="1" t="s">
        <v>86</v>
      </c>
      <c r="G2638" s="8" t="s">
        <v>460</v>
      </c>
      <c r="H2638" s="7" t="s">
        <v>65</v>
      </c>
      <c r="I2638" t="s">
        <v>0</v>
      </c>
      <c r="J2638" t="s">
        <v>0</v>
      </c>
      <c r="K2638" t="s">
        <v>52</v>
      </c>
      <c r="L2638" t="s">
        <v>53</v>
      </c>
      <c r="M2638" t="s">
        <v>121</v>
      </c>
      <c r="N2638" t="s">
        <v>72</v>
      </c>
      <c r="O2638" t="s">
        <v>54</v>
      </c>
      <c r="P2638" t="s">
        <v>74</v>
      </c>
      <c r="Q2638" t="s">
        <v>59</v>
      </c>
      <c r="R2638" t="s">
        <v>75</v>
      </c>
      <c r="S2638" t="s">
        <v>106</v>
      </c>
      <c r="T2638" t="s">
        <v>62</v>
      </c>
      <c r="U2638" t="s">
        <v>147</v>
      </c>
      <c r="V2638" t="s">
        <v>93</v>
      </c>
      <c r="W2638" t="s">
        <v>208</v>
      </c>
      <c r="X2638" t="s">
        <v>107</v>
      </c>
      <c r="Y2638" t="s">
        <v>5136</v>
      </c>
      <c r="Z2638" t="s">
        <v>64</v>
      </c>
      <c r="AA2638" t="s">
        <v>2523</v>
      </c>
      <c r="AB2638" t="s">
        <v>0</v>
      </c>
      <c r="AC2638" t="s">
        <v>6974</v>
      </c>
    </row>
    <row r="2639" spans="1:29">
      <c r="A2639" t="s">
        <v>6975</v>
      </c>
      <c r="B2639" s="42" t="str">
        <f>IF(ISNUMBER(SEARCH(E2639,A2639)),A2639,IF(OR(E2639="",E2639=""),A2639,A2639&amp;" - "&amp;E2639))</f>
        <v>Wellford Aquaponic 26/1 COP - Critical Orange Punch</v>
      </c>
      <c r="C2639" t="s">
        <v>741</v>
      </c>
      <c r="D2639" t="s">
        <v>742</v>
      </c>
      <c r="E2639" s="79" t="s">
        <v>1522</v>
      </c>
      <c r="F2639" s="81" t="s">
        <v>69</v>
      </c>
      <c r="G2639" s="83" t="s">
        <v>4086</v>
      </c>
      <c r="H2639" s="95" t="s">
        <v>65</v>
      </c>
      <c r="I2639" t="s">
        <v>0</v>
      </c>
      <c r="J2639" t="s">
        <v>0</v>
      </c>
      <c r="K2639" t="s">
        <v>52</v>
      </c>
      <c r="L2639" t="s">
        <v>53</v>
      </c>
      <c r="M2639" t="s">
        <v>54</v>
      </c>
      <c r="N2639" t="s">
        <v>88</v>
      </c>
      <c r="O2639" t="s">
        <v>0</v>
      </c>
      <c r="P2639" t="s">
        <v>89</v>
      </c>
      <c r="Q2639" t="s">
        <v>74</v>
      </c>
      <c r="R2639" t="s">
        <v>75</v>
      </c>
      <c r="S2639" t="s">
        <v>106</v>
      </c>
      <c r="T2639" t="s">
        <v>62</v>
      </c>
      <c r="U2639" t="s">
        <v>164</v>
      </c>
      <c r="V2639" t="s">
        <v>180</v>
      </c>
      <c r="W2639" t="s">
        <v>116</v>
      </c>
      <c r="X2639" t="s">
        <v>107</v>
      </c>
      <c r="Y2639" t="s">
        <v>437</v>
      </c>
      <c r="Z2639" t="s">
        <v>64</v>
      </c>
      <c r="AA2639" t="s">
        <v>742</v>
      </c>
      <c r="AB2639" t="s">
        <v>979</v>
      </c>
      <c r="AC2639" t="s">
        <v>6976</v>
      </c>
    </row>
    <row r="2640" spans="1:29">
      <c r="A2640" t="s">
        <v>6977</v>
      </c>
      <c r="B2640" s="42" t="str">
        <f>IF(ISNUMBER(SEARCH(E2640,A2640)),A2640,IF(OR(E2640="",E2640=""),A2640,A2640&amp;" - "&amp;E2640))</f>
        <v>IMC BAJ THC27 Token - Clementine</v>
      </c>
      <c r="C2640" t="s">
        <v>646</v>
      </c>
      <c r="D2640" t="s">
        <v>646</v>
      </c>
      <c r="E2640" s="9" t="s">
        <v>6978</v>
      </c>
      <c r="F2640" s="1" t="s">
        <v>86</v>
      </c>
      <c r="G2640" s="8" t="s">
        <v>33</v>
      </c>
      <c r="H2640" s="7" t="s">
        <v>65</v>
      </c>
      <c r="I2640" t="s">
        <v>0</v>
      </c>
      <c r="J2640" t="s">
        <v>0</v>
      </c>
      <c r="K2640" t="s">
        <v>52</v>
      </c>
      <c r="L2640" t="s">
        <v>53</v>
      </c>
      <c r="M2640" t="s">
        <v>55</v>
      </c>
      <c r="N2640" t="s">
        <v>71</v>
      </c>
      <c r="O2640" t="s">
        <v>111</v>
      </c>
      <c r="P2640" t="s">
        <v>136</v>
      </c>
      <c r="Q2640" t="s">
        <v>59</v>
      </c>
      <c r="R2640" t="s">
        <v>58</v>
      </c>
      <c r="S2640" t="s">
        <v>106</v>
      </c>
      <c r="T2640" t="s">
        <v>62</v>
      </c>
      <c r="U2640" t="s">
        <v>147</v>
      </c>
      <c r="V2640" t="s">
        <v>93</v>
      </c>
      <c r="W2640" t="s">
        <v>107</v>
      </c>
      <c r="X2640" t="s">
        <v>292</v>
      </c>
      <c r="Y2640" t="s">
        <v>413</v>
      </c>
      <c r="Z2640" t="s">
        <v>64</v>
      </c>
      <c r="AA2640" t="s">
        <v>646</v>
      </c>
      <c r="AB2640" t="s">
        <v>0</v>
      </c>
      <c r="AC2640" t="s">
        <v>6979</v>
      </c>
    </row>
    <row r="2641" spans="1:29">
      <c r="A2641" t="s">
        <v>6980</v>
      </c>
      <c r="B2641" s="42" t="str">
        <f>IF(ISNUMBER(SEARCH(E2641,A2641)),A2641,IF(OR(E2641="",E2641=""),A2641,A2641&amp;" - "&amp;E2641))</f>
        <v>IMC KAU THC28 Token - Cali Pink</v>
      </c>
      <c r="C2641" t="s">
        <v>646</v>
      </c>
      <c r="D2641" t="s">
        <v>646</v>
      </c>
      <c r="E2641" s="9" t="s">
        <v>6981</v>
      </c>
      <c r="F2641" s="1" t="s">
        <v>177</v>
      </c>
      <c r="G2641" s="8" t="s">
        <v>4164</v>
      </c>
      <c r="H2641" s="7" t="s">
        <v>65</v>
      </c>
      <c r="I2641" t="s">
        <v>0</v>
      </c>
      <c r="J2641" t="s">
        <v>0</v>
      </c>
      <c r="K2641" t="s">
        <v>52</v>
      </c>
      <c r="L2641" t="s">
        <v>53</v>
      </c>
      <c r="M2641" t="s">
        <v>121</v>
      </c>
      <c r="N2641" t="s">
        <v>72</v>
      </c>
      <c r="O2641" t="s">
        <v>71</v>
      </c>
      <c r="P2641" t="s">
        <v>75</v>
      </c>
      <c r="Q2641" t="s">
        <v>136</v>
      </c>
      <c r="R2641" t="s">
        <v>58</v>
      </c>
      <c r="S2641" t="s">
        <v>106</v>
      </c>
      <c r="T2641" t="s">
        <v>62</v>
      </c>
      <c r="U2641" t="s">
        <v>147</v>
      </c>
      <c r="V2641" t="s">
        <v>138</v>
      </c>
      <c r="W2641" t="s">
        <v>165</v>
      </c>
      <c r="X2641" t="s">
        <v>107</v>
      </c>
      <c r="Y2641" t="s">
        <v>1139</v>
      </c>
      <c r="Z2641" t="s">
        <v>64</v>
      </c>
      <c r="AA2641" t="s">
        <v>646</v>
      </c>
      <c r="AB2641" t="s">
        <v>0</v>
      </c>
      <c r="AC2641" t="s">
        <v>6982</v>
      </c>
    </row>
    <row r="2642" spans="1:29">
      <c r="A2642" t="s">
        <v>6913</v>
      </c>
      <c r="B2642" s="11" t="str">
        <f>IF(ISNUMBER(SEARCH(E2642,A2642)),A2642,IF(OR(E2642="",E2642=""),A2642,A2642&amp;" - "&amp;E2642))</f>
        <v>Huala 25/1 CA WOT - Whiteout</v>
      </c>
      <c r="C2642" t="s">
        <v>463</v>
      </c>
      <c r="D2642" t="s">
        <v>468</v>
      </c>
      <c r="E2642" s="9" t="s">
        <v>6772</v>
      </c>
      <c r="F2642" s="1" t="s">
        <v>144</v>
      </c>
      <c r="G2642" s="8" t="s">
        <v>26</v>
      </c>
      <c r="H2642" s="7" t="s">
        <v>65</v>
      </c>
      <c r="I2642" t="s">
        <v>0</v>
      </c>
      <c r="J2642" t="s">
        <v>0</v>
      </c>
      <c r="K2642" t="s">
        <v>52</v>
      </c>
      <c r="L2642" t="s">
        <v>527</v>
      </c>
      <c r="M2642" t="s">
        <v>121</v>
      </c>
      <c r="N2642" t="s">
        <v>0</v>
      </c>
      <c r="O2642" t="s">
        <v>0</v>
      </c>
      <c r="P2642" t="s">
        <v>57</v>
      </c>
      <c r="Q2642" t="s">
        <v>112</v>
      </c>
      <c r="R2642" t="s">
        <v>75</v>
      </c>
      <c r="S2642" t="s">
        <v>128</v>
      </c>
      <c r="T2642" t="s">
        <v>61</v>
      </c>
      <c r="U2642" t="s">
        <v>62</v>
      </c>
      <c r="V2642" t="s">
        <v>4398</v>
      </c>
      <c r="W2642" t="s">
        <v>395</v>
      </c>
      <c r="X2642" t="s">
        <v>138</v>
      </c>
      <c r="Y2642" t="s">
        <v>4105</v>
      </c>
      <c r="Z2642" t="s">
        <v>64</v>
      </c>
      <c r="AA2642" t="s">
        <v>468</v>
      </c>
      <c r="AB2642" t="s">
        <v>0</v>
      </c>
      <c r="AC2642" t="s">
        <v>6914</v>
      </c>
    </row>
    <row r="2643" spans="1:29">
      <c r="A2643" t="s">
        <v>6983</v>
      </c>
      <c r="B2643" s="42" t="str">
        <f>IF(ISNUMBER(SEARCH(E2643,A2643)),A2643,IF(OR(E2643="",E2643=""),A2643,A2643&amp;" - "&amp;E2643))</f>
        <v>Cannamedical Balanced Ultra 12/13 - Libras</v>
      </c>
      <c r="C2643" t="s">
        <v>48</v>
      </c>
      <c r="D2643" t="s">
        <v>49</v>
      </c>
      <c r="E2643" s="9" t="s">
        <v>6984</v>
      </c>
      <c r="F2643" s="1" t="s">
        <v>177</v>
      </c>
      <c r="G2643" s="8" t="s">
        <v>16</v>
      </c>
      <c r="H2643" s="7" t="s">
        <v>6</v>
      </c>
      <c r="I2643" t="s">
        <v>0</v>
      </c>
      <c r="J2643" t="s">
        <v>0</v>
      </c>
      <c r="K2643" t="s">
        <v>52</v>
      </c>
      <c r="L2643" t="s">
        <v>70</v>
      </c>
      <c r="M2643" t="s">
        <v>72</v>
      </c>
      <c r="N2643" t="s">
        <v>71</v>
      </c>
      <c r="O2643" t="s">
        <v>111</v>
      </c>
      <c r="P2643" t="s">
        <v>74</v>
      </c>
      <c r="Q2643" t="s">
        <v>89</v>
      </c>
      <c r="R2643" t="s">
        <v>59</v>
      </c>
      <c r="S2643" t="s">
        <v>128</v>
      </c>
      <c r="T2643" t="s">
        <v>106</v>
      </c>
      <c r="U2643" t="s">
        <v>62</v>
      </c>
      <c r="V2643" t="s">
        <v>107</v>
      </c>
      <c r="W2643" t="s">
        <v>77</v>
      </c>
      <c r="X2643" t="s">
        <v>0</v>
      </c>
      <c r="Y2643" t="s">
        <v>80</v>
      </c>
      <c r="Z2643" t="s">
        <v>64</v>
      </c>
      <c r="AA2643" t="s">
        <v>49</v>
      </c>
      <c r="AB2643" t="s">
        <v>0</v>
      </c>
      <c r="AC2643" t="s">
        <v>6985</v>
      </c>
    </row>
    <row r="2644" spans="1:29">
      <c r="A2644" t="s">
        <v>6986</v>
      </c>
      <c r="B2644" s="42" t="str">
        <f>IF(ISNUMBER(SEARCH(E2644,A2644)),A2644,IF(OR(E2644="",E2644=""),A2644,A2644&amp;" - "&amp;E2644))</f>
        <v>Remexian 30/1 CAL PTS - Phantom Shape</v>
      </c>
      <c r="C2644" t="s">
        <v>83</v>
      </c>
      <c r="D2644" t="s">
        <v>95</v>
      </c>
      <c r="E2644" t="s">
        <v>6987</v>
      </c>
      <c r="F2644" t="s">
        <v>177</v>
      </c>
      <c r="G2644" t="s">
        <v>4057</v>
      </c>
      <c r="H2644" t="s">
        <v>65</v>
      </c>
      <c r="I2644" t="s">
        <v>0</v>
      </c>
      <c r="J2644" t="s">
        <v>0</v>
      </c>
      <c r="K2644" t="s">
        <v>52</v>
      </c>
      <c r="L2644" t="s">
        <v>102</v>
      </c>
      <c r="M2644" t="s">
        <v>121</v>
      </c>
      <c r="N2644" t="s">
        <v>72</v>
      </c>
      <c r="O2644" t="s">
        <v>88</v>
      </c>
      <c r="P2644" t="s">
        <v>58</v>
      </c>
      <c r="Q2644" t="s">
        <v>89</v>
      </c>
      <c r="R2644" t="s">
        <v>146</v>
      </c>
      <c r="S2644" t="s">
        <v>128</v>
      </c>
      <c r="T2644" t="s">
        <v>466</v>
      </c>
      <c r="U2644" t="s">
        <v>493</v>
      </c>
      <c r="V2644" t="s">
        <v>93</v>
      </c>
      <c r="W2644" t="s">
        <v>107</v>
      </c>
      <c r="X2644" t="s">
        <v>79</v>
      </c>
      <c r="Y2644" t="s">
        <v>5064</v>
      </c>
      <c r="Z2644" t="s">
        <v>64</v>
      </c>
      <c r="AA2644" t="s">
        <v>95</v>
      </c>
      <c r="AB2644" t="s">
        <v>0</v>
      </c>
      <c r="AC2644" t="s">
        <v>6988</v>
      </c>
    </row>
    <row r="2645" spans="1:29">
      <c r="A2645" t="s">
        <v>6989</v>
      </c>
      <c r="B2645" s="42" t="str">
        <f>IF(ISNUMBER(SEARCH(E2645,A2645)),A2645,IF(OR(E2645="",E2645=""),A2645,A2645&amp;" - "&amp;E2645))</f>
        <v>Remexian 21/1 RAS ALB Astral Berry - Astral Berry (Black Cherry Punch)</v>
      </c>
      <c r="C2645" t="s">
        <v>83</v>
      </c>
      <c r="D2645" t="s">
        <v>95</v>
      </c>
      <c r="E2645" s="79" t="s">
        <v>6990</v>
      </c>
      <c r="F2645" s="81" t="s">
        <v>177</v>
      </c>
      <c r="G2645" s="83" t="s">
        <v>452</v>
      </c>
      <c r="H2645" s="95" t="s">
        <v>65</v>
      </c>
      <c r="I2645" t="s">
        <v>0</v>
      </c>
      <c r="J2645" t="s">
        <v>0</v>
      </c>
      <c r="K2645" t="s">
        <v>52</v>
      </c>
      <c r="L2645" t="s">
        <v>497</v>
      </c>
      <c r="M2645" t="s">
        <v>121</v>
      </c>
      <c r="N2645" t="s">
        <v>72</v>
      </c>
      <c r="O2645" t="s">
        <v>88</v>
      </c>
      <c r="P2645" t="s">
        <v>58</v>
      </c>
      <c r="Q2645" t="s">
        <v>89</v>
      </c>
      <c r="R2645" t="s">
        <v>0</v>
      </c>
      <c r="S2645" t="s">
        <v>106</v>
      </c>
      <c r="T2645" t="s">
        <v>62</v>
      </c>
      <c r="U2645" t="s">
        <v>123</v>
      </c>
      <c r="V2645" t="s">
        <v>165</v>
      </c>
      <c r="W2645" t="s">
        <v>93</v>
      </c>
      <c r="X2645" t="s">
        <v>107</v>
      </c>
      <c r="Y2645" t="s">
        <v>6991</v>
      </c>
      <c r="Z2645" t="s">
        <v>64</v>
      </c>
      <c r="AA2645" t="s">
        <v>95</v>
      </c>
      <c r="AB2645" t="s">
        <v>0</v>
      </c>
      <c r="AC2645" t="s">
        <v>6992</v>
      </c>
    </row>
    <row r="2646" spans="1:29">
      <c r="A2646" t="s">
        <v>7002</v>
      </c>
      <c r="B2646" s="42" t="str">
        <f>IF(ISNUMBER(SEARCH(E2646,A2646)),A2646,IF(OR(E2646="",E2646=""),A2646,A2646&amp;" - "&amp;E2646))</f>
        <v>IMC THC28 T10 - Black Pineapple</v>
      </c>
      <c r="C2646" t="s">
        <v>646</v>
      </c>
      <c r="D2646" t="s">
        <v>646</v>
      </c>
      <c r="E2646" s="9" t="s">
        <v>7003</v>
      </c>
      <c r="F2646" s="1" t="s">
        <v>86</v>
      </c>
      <c r="G2646" s="8" t="s">
        <v>4164</v>
      </c>
      <c r="H2646" s="7" t="s">
        <v>65</v>
      </c>
      <c r="I2646" t="s">
        <v>0</v>
      </c>
      <c r="J2646" t="s">
        <v>0</v>
      </c>
      <c r="K2646" t="s">
        <v>52</v>
      </c>
      <c r="L2646" t="s">
        <v>102</v>
      </c>
      <c r="M2646" t="s">
        <v>178</v>
      </c>
      <c r="N2646" t="s">
        <v>54</v>
      </c>
      <c r="O2646" t="s">
        <v>0</v>
      </c>
      <c r="P2646" t="s">
        <v>58</v>
      </c>
      <c r="Q2646" t="s">
        <v>89</v>
      </c>
      <c r="R2646" t="s">
        <v>0</v>
      </c>
      <c r="S2646" t="s">
        <v>106</v>
      </c>
      <c r="T2646" t="s">
        <v>62</v>
      </c>
      <c r="U2646" t="s">
        <v>147</v>
      </c>
      <c r="V2646" t="s">
        <v>93</v>
      </c>
      <c r="W2646" t="s">
        <v>107</v>
      </c>
      <c r="X2646" t="s">
        <v>79</v>
      </c>
      <c r="Y2646" t="s">
        <v>707</v>
      </c>
      <c r="Z2646" t="s">
        <v>64</v>
      </c>
      <c r="AA2646" t="s">
        <v>646</v>
      </c>
      <c r="AB2646" t="s">
        <v>0</v>
      </c>
      <c r="AC2646" t="s">
        <v>7004</v>
      </c>
    </row>
    <row r="2647" spans="1:29">
      <c r="A2647" t="s">
        <v>6993</v>
      </c>
      <c r="B2647" s="42" t="str">
        <f>IF(ISNUMBER(SEARCH(E2647,A2647)),A2647,IF(OR(E2647="",E2647=""),A2647,A2647&amp;" - "&amp;E2647))</f>
        <v>Remexian 30/1 CAL VVT - Valvetron</v>
      </c>
      <c r="C2647" t="s">
        <v>83</v>
      </c>
      <c r="D2647" t="s">
        <v>95</v>
      </c>
      <c r="E2647" s="79" t="s">
        <v>6994</v>
      </c>
      <c r="F2647" s="81" t="s">
        <v>177</v>
      </c>
      <c r="G2647" s="83" t="s">
        <v>4057</v>
      </c>
      <c r="H2647" s="95" t="s">
        <v>65</v>
      </c>
      <c r="I2647" t="s">
        <v>0</v>
      </c>
      <c r="J2647" t="s">
        <v>0</v>
      </c>
      <c r="K2647" t="s">
        <v>52</v>
      </c>
      <c r="L2647" t="s">
        <v>102</v>
      </c>
      <c r="M2647" t="s">
        <v>121</v>
      </c>
      <c r="N2647" t="s">
        <v>111</v>
      </c>
      <c r="O2647" t="s">
        <v>88</v>
      </c>
      <c r="P2647" t="s">
        <v>89</v>
      </c>
      <c r="Q2647" t="s">
        <v>157</v>
      </c>
      <c r="R2647" t="s">
        <v>75</v>
      </c>
      <c r="S2647" t="s">
        <v>106</v>
      </c>
      <c r="T2647" t="s">
        <v>62</v>
      </c>
      <c r="U2647" t="s">
        <v>147</v>
      </c>
      <c r="V2647" t="s">
        <v>116</v>
      </c>
      <c r="W2647" t="s">
        <v>138</v>
      </c>
      <c r="X2647" t="s">
        <v>77</v>
      </c>
      <c r="Y2647" t="s">
        <v>413</v>
      </c>
      <c r="Z2647" t="s">
        <v>64</v>
      </c>
      <c r="AA2647" t="s">
        <v>95</v>
      </c>
      <c r="AB2647" t="s">
        <v>0</v>
      </c>
      <c r="AC2647" t="s">
        <v>6995</v>
      </c>
    </row>
    <row r="2648" spans="1:29">
      <c r="A2648" t="s">
        <v>6996</v>
      </c>
      <c r="B2648" s="42" t="str">
        <f>IF(ISNUMBER(SEARCH(E2648,A2648)),A2648,IF(OR(E2648="",E2648=""),A2648,A2648&amp;" - "&amp;E2648))</f>
        <v>Remexian 27/1 CAL PTS - Phantom Shape</v>
      </c>
      <c r="C2648" t="s">
        <v>83</v>
      </c>
      <c r="D2648" t="s">
        <v>95</v>
      </c>
      <c r="E2648" s="79" t="s">
        <v>6987</v>
      </c>
      <c r="F2648" s="81" t="s">
        <v>177</v>
      </c>
      <c r="G2648" s="83" t="s">
        <v>33</v>
      </c>
      <c r="H2648" s="95" t="s">
        <v>65</v>
      </c>
      <c r="I2648" t="s">
        <v>0</v>
      </c>
      <c r="J2648" t="s">
        <v>0</v>
      </c>
      <c r="K2648" t="s">
        <v>52</v>
      </c>
      <c r="L2648" t="s">
        <v>102</v>
      </c>
      <c r="M2648" t="s">
        <v>121</v>
      </c>
      <c r="N2648" t="s">
        <v>72</v>
      </c>
      <c r="O2648" t="s">
        <v>88</v>
      </c>
      <c r="P2648" t="s">
        <v>58</v>
      </c>
      <c r="Q2648" t="s">
        <v>89</v>
      </c>
      <c r="R2648" t="s">
        <v>146</v>
      </c>
      <c r="S2648" t="s">
        <v>128</v>
      </c>
      <c r="T2648" t="s">
        <v>466</v>
      </c>
      <c r="U2648" t="s">
        <v>493</v>
      </c>
      <c r="V2648" t="s">
        <v>93</v>
      </c>
      <c r="W2648" t="s">
        <v>107</v>
      </c>
      <c r="X2648" t="s">
        <v>79</v>
      </c>
      <c r="Y2648" t="s">
        <v>5136</v>
      </c>
      <c r="Z2648" t="s">
        <v>64</v>
      </c>
      <c r="AA2648" t="s">
        <v>95</v>
      </c>
      <c r="AB2648" t="s">
        <v>0</v>
      </c>
      <c r="AC2648" t="s">
        <v>6997</v>
      </c>
    </row>
    <row r="2649" spans="1:29">
      <c r="A2649" t="s">
        <v>6998</v>
      </c>
      <c r="B2649" s="42" t="str">
        <f>IF(ISNUMBER(SEARCH(E2649,A2649)),A2649,IF(OR(E2649="",E2649=""),A2649,A2649&amp;" - "&amp;E2649))</f>
        <v>ZOIKS 22/1 LK - OG Lime Kush</v>
      </c>
      <c r="C2649" t="s">
        <v>4601</v>
      </c>
      <c r="D2649" t="s">
        <v>572</v>
      </c>
      <c r="E2649" s="79" t="s">
        <v>4391</v>
      </c>
      <c r="F2649" s="81" t="s">
        <v>69</v>
      </c>
      <c r="G2649" s="83" t="s">
        <v>4126</v>
      </c>
      <c r="H2649" s="95">
        <v>1</v>
      </c>
      <c r="I2649" t="s">
        <v>0</v>
      </c>
      <c r="J2649" t="s">
        <v>0</v>
      </c>
      <c r="K2649" t="s">
        <v>52</v>
      </c>
      <c r="L2649" t="s">
        <v>53</v>
      </c>
      <c r="M2649" t="s">
        <v>72</v>
      </c>
      <c r="N2649" t="s">
        <v>55</v>
      </c>
      <c r="O2649" t="s">
        <v>54</v>
      </c>
      <c r="P2649" t="s">
        <v>89</v>
      </c>
      <c r="Q2649" t="s">
        <v>75</v>
      </c>
      <c r="R2649" t="s">
        <v>104</v>
      </c>
      <c r="S2649" t="s">
        <v>90</v>
      </c>
      <c r="T2649" t="s">
        <v>106</v>
      </c>
      <c r="U2649" t="s">
        <v>62</v>
      </c>
      <c r="V2649" t="s">
        <v>180</v>
      </c>
      <c r="W2649" t="s">
        <v>208</v>
      </c>
      <c r="X2649" t="s">
        <v>79</v>
      </c>
      <c r="Y2649" t="s">
        <v>314</v>
      </c>
      <c r="Z2649" t="s">
        <v>64</v>
      </c>
      <c r="AA2649" t="s">
        <v>572</v>
      </c>
      <c r="AB2649" t="s">
        <v>1252</v>
      </c>
      <c r="AC2649" t="s">
        <v>6999</v>
      </c>
    </row>
    <row r="2650" spans="1:29">
      <c r="A2650" t="s">
        <v>7000</v>
      </c>
      <c r="B2650" s="42" t="str">
        <f>IF(ISNUMBER(SEARCH(E2650,A2650)),A2650,IF(OR(E2650="",E2650=""),A2650,A2650&amp;" - "&amp;E2650))</f>
        <v>Cannamedical Balanced Ultra 10/10 - Libras</v>
      </c>
      <c r="C2650" t="s">
        <v>48</v>
      </c>
      <c r="D2650" t="s">
        <v>49</v>
      </c>
      <c r="E2650" s="9" t="s">
        <v>6984</v>
      </c>
      <c r="F2650" s="1" t="s">
        <v>177</v>
      </c>
      <c r="G2650" s="8" t="s">
        <v>12</v>
      </c>
      <c r="H2650" s="7" t="s">
        <v>12</v>
      </c>
      <c r="I2650" t="s">
        <v>0</v>
      </c>
      <c r="J2650" t="s">
        <v>0</v>
      </c>
      <c r="K2650" t="s">
        <v>52</v>
      </c>
      <c r="L2650" t="s">
        <v>70</v>
      </c>
      <c r="M2650" t="s">
        <v>72</v>
      </c>
      <c r="N2650" t="s">
        <v>71</v>
      </c>
      <c r="O2650" t="s">
        <v>111</v>
      </c>
      <c r="P2650" t="s">
        <v>74</v>
      </c>
      <c r="Q2650" t="s">
        <v>89</v>
      </c>
      <c r="R2650" t="s">
        <v>59</v>
      </c>
      <c r="S2650" t="s">
        <v>128</v>
      </c>
      <c r="T2650" t="s">
        <v>106</v>
      </c>
      <c r="U2650" t="s">
        <v>62</v>
      </c>
      <c r="V2650" t="s">
        <v>107</v>
      </c>
      <c r="W2650" t="s">
        <v>77</v>
      </c>
      <c r="X2650" t="s">
        <v>0</v>
      </c>
      <c r="Y2650" t="s">
        <v>1687</v>
      </c>
      <c r="Z2650" t="s">
        <v>64</v>
      </c>
      <c r="AA2650" t="s">
        <v>49</v>
      </c>
      <c r="AB2650" t="s">
        <v>0</v>
      </c>
      <c r="AC2650" t="s">
        <v>7001</v>
      </c>
    </row>
    <row r="2651" spans="1:29">
      <c r="A2651" t="s">
        <v>7005</v>
      </c>
      <c r="B2651" s="42" t="str">
        <f>IF(ISNUMBER(SEARCH(E2651,A2651)),A2651,IF(OR(E2651="",E2651=""),A2651,A2651&amp;" - "&amp;E2651))</f>
        <v>Remexian 24/1 CAL VVT - Valvetron</v>
      </c>
      <c r="C2651" t="s">
        <v>83</v>
      </c>
      <c r="D2651" t="s">
        <v>95</v>
      </c>
      <c r="E2651" s="9" t="s">
        <v>6994</v>
      </c>
      <c r="F2651" s="1" t="s">
        <v>177</v>
      </c>
      <c r="G2651" s="8" t="s">
        <v>448</v>
      </c>
      <c r="H2651" s="7" t="s">
        <v>65</v>
      </c>
      <c r="I2651" t="s">
        <v>0</v>
      </c>
      <c r="J2651" t="s">
        <v>0</v>
      </c>
      <c r="K2651" t="s">
        <v>52</v>
      </c>
      <c r="L2651" t="s">
        <v>102</v>
      </c>
      <c r="M2651" t="s">
        <v>121</v>
      </c>
      <c r="N2651" t="s">
        <v>111</v>
      </c>
      <c r="O2651" t="s">
        <v>88</v>
      </c>
      <c r="P2651" t="s">
        <v>89</v>
      </c>
      <c r="Q2651" t="s">
        <v>157</v>
      </c>
      <c r="R2651" t="s">
        <v>75</v>
      </c>
      <c r="S2651" t="s">
        <v>106</v>
      </c>
      <c r="T2651" t="s">
        <v>62</v>
      </c>
      <c r="U2651" t="s">
        <v>147</v>
      </c>
      <c r="V2651" t="s">
        <v>116</v>
      </c>
      <c r="W2651" t="s">
        <v>138</v>
      </c>
      <c r="X2651" t="s">
        <v>77</v>
      </c>
      <c r="Y2651" t="s">
        <v>2287</v>
      </c>
      <c r="Z2651" t="s">
        <v>64</v>
      </c>
      <c r="AA2651" t="s">
        <v>95</v>
      </c>
      <c r="AB2651" t="s">
        <v>0</v>
      </c>
      <c r="AC2651" t="s">
        <v>7006</v>
      </c>
    </row>
    <row r="2652" spans="1:29">
      <c r="A2652" t="s">
        <v>7007</v>
      </c>
      <c r="B2652" s="42" t="str">
        <f>IF(ISNUMBER(SEARCH(E2652,A2652)),A2652,IF(OR(E2652="",E2652=""),A2652,A2652&amp;" - "&amp;E2652))</f>
        <v>Demecan BPG Lean Drop 22:01 - Big Red Beard</v>
      </c>
      <c r="C2652" t="s">
        <v>484</v>
      </c>
      <c r="D2652" t="s">
        <v>485</v>
      </c>
      <c r="E2652" s="9" t="s">
        <v>7008</v>
      </c>
      <c r="F2652" s="1" t="s">
        <v>177</v>
      </c>
      <c r="G2652" s="8" t="s">
        <v>4126</v>
      </c>
      <c r="H2652" s="7" t="s">
        <v>65</v>
      </c>
      <c r="I2652" t="s">
        <v>0</v>
      </c>
      <c r="J2652" t="s">
        <v>0</v>
      </c>
      <c r="K2652" t="s">
        <v>52</v>
      </c>
      <c r="L2652" t="s">
        <v>53</v>
      </c>
      <c r="M2652" t="s">
        <v>88</v>
      </c>
      <c r="N2652" t="s">
        <v>54</v>
      </c>
      <c r="O2652" t="s">
        <v>121</v>
      </c>
      <c r="P2652" t="s">
        <v>59</v>
      </c>
      <c r="Q2652" t="s">
        <v>89</v>
      </c>
      <c r="R2652" t="s">
        <v>0</v>
      </c>
      <c r="S2652" t="s">
        <v>106</v>
      </c>
      <c r="T2652" t="s">
        <v>62</v>
      </c>
      <c r="U2652" t="s">
        <v>147</v>
      </c>
      <c r="V2652" t="s">
        <v>116</v>
      </c>
      <c r="W2652" t="s">
        <v>77</v>
      </c>
      <c r="X2652" t="s">
        <v>79</v>
      </c>
      <c r="Y2652" t="s">
        <v>4483</v>
      </c>
      <c r="Z2652" t="s">
        <v>64</v>
      </c>
      <c r="AA2652" t="s">
        <v>485</v>
      </c>
      <c r="AB2652" t="s">
        <v>0</v>
      </c>
      <c r="AC2652" t="s">
        <v>7009</v>
      </c>
    </row>
    <row r="2653" spans="1:29">
      <c r="A2653" t="s">
        <v>7061</v>
      </c>
      <c r="B2653" s="42" t="str">
        <f>IF(ISNUMBER(SEARCH(E2653,A2653)),A2653,IF(OR(E2653="",E2653=""),A2653,A2653&amp;" - "&amp;E2653))</f>
        <v>Demecan Typ 2 19/1 - Orange Velvet</v>
      </c>
      <c r="C2653" t="s">
        <v>484</v>
      </c>
      <c r="D2653" t="s">
        <v>485</v>
      </c>
      <c r="E2653" s="79" t="s">
        <v>526</v>
      </c>
      <c r="F2653" s="81" t="s">
        <v>86</v>
      </c>
      <c r="G2653" s="83" t="s">
        <v>4160</v>
      </c>
      <c r="H2653" s="95">
        <v>1</v>
      </c>
      <c r="I2653" t="s">
        <v>0</v>
      </c>
      <c r="J2653" t="s">
        <v>0</v>
      </c>
      <c r="K2653" t="s">
        <v>17</v>
      </c>
      <c r="L2653" t="s">
        <v>527</v>
      </c>
      <c r="M2653" t="s">
        <v>55</v>
      </c>
      <c r="N2653" t="s">
        <v>156</v>
      </c>
      <c r="O2653" t="s">
        <v>71</v>
      </c>
      <c r="P2653" t="s">
        <v>75</v>
      </c>
      <c r="Q2653" t="s">
        <v>57</v>
      </c>
      <c r="R2653" t="s">
        <v>104</v>
      </c>
      <c r="S2653" t="s">
        <v>128</v>
      </c>
      <c r="T2653" t="s">
        <v>179</v>
      </c>
      <c r="U2653" t="s">
        <v>62</v>
      </c>
      <c r="V2653" t="s">
        <v>77</v>
      </c>
      <c r="W2653" t="s">
        <v>79</v>
      </c>
      <c r="X2653" t="s">
        <v>173</v>
      </c>
      <c r="Y2653" t="s">
        <v>707</v>
      </c>
      <c r="Z2653" t="s">
        <v>64</v>
      </c>
      <c r="AA2653" t="s">
        <v>485</v>
      </c>
      <c r="AB2653" t="s">
        <v>0</v>
      </c>
      <c r="AC2653" t="s">
        <v>7062</v>
      </c>
    </row>
    <row r="2654" spans="1:29">
      <c r="A2654" t="s">
        <v>7017</v>
      </c>
      <c r="B2654" s="42" t="str">
        <f>IF(ISNUMBER(SEARCH(E2654,A2654)),A2654,IF(OR(E2654="",E2654=""),A2654,A2654&amp;" - "&amp;E2654))</f>
        <v>madrecan 21/1 DGV - Dougs Varin</v>
      </c>
      <c r="C2654" t="s">
        <v>83</v>
      </c>
      <c r="D2654" t="s">
        <v>95</v>
      </c>
      <c r="E2654" s="9" t="s">
        <v>3935</v>
      </c>
      <c r="F2654" s="1" t="s">
        <v>69</v>
      </c>
      <c r="G2654" s="8" t="s">
        <v>452</v>
      </c>
      <c r="H2654" s="7">
        <v>1</v>
      </c>
      <c r="I2654" t="s">
        <v>0</v>
      </c>
      <c r="J2654" t="s">
        <v>0</v>
      </c>
      <c r="K2654" t="s">
        <v>17</v>
      </c>
      <c r="L2654" t="s">
        <v>102</v>
      </c>
      <c r="M2654" t="s">
        <v>72</v>
      </c>
      <c r="N2654" t="s">
        <v>88</v>
      </c>
      <c r="O2654" t="s">
        <v>111</v>
      </c>
      <c r="P2654" t="s">
        <v>59</v>
      </c>
      <c r="Q2654" t="s">
        <v>146</v>
      </c>
      <c r="R2654" t="s">
        <v>74</v>
      </c>
      <c r="S2654" t="s">
        <v>106</v>
      </c>
      <c r="T2654" t="s">
        <v>179</v>
      </c>
      <c r="U2654" t="s">
        <v>62</v>
      </c>
      <c r="V2654" t="s">
        <v>77</v>
      </c>
      <c r="W2654" t="s">
        <v>173</v>
      </c>
      <c r="X2654" t="s">
        <v>0</v>
      </c>
      <c r="Y2654" t="s">
        <v>5128</v>
      </c>
      <c r="Z2654" t="s">
        <v>64</v>
      </c>
      <c r="AA2654" t="s">
        <v>95</v>
      </c>
      <c r="AB2654" t="s">
        <v>0</v>
      </c>
      <c r="AC2654" t="s">
        <v>7018</v>
      </c>
    </row>
    <row r="2655" spans="1:29">
      <c r="A2655" t="s">
        <v>7019</v>
      </c>
      <c r="B2655" s="42" t="str">
        <f>IF(ISNUMBER(SEARCH(E2655,A2655)),A2655,IF(OR(E2655="",E2655=""),A2655,A2655&amp;" - "&amp;E2655))</f>
        <v>Endo Canna MSH 26/1 - Mimosa Shot</v>
      </c>
      <c r="C2655" t="s">
        <v>564</v>
      </c>
      <c r="D2655" t="s">
        <v>565</v>
      </c>
      <c r="E2655" s="79" t="s">
        <v>7020</v>
      </c>
      <c r="F2655" s="81" t="s">
        <v>144</v>
      </c>
      <c r="G2655" s="83" t="s">
        <v>4086</v>
      </c>
      <c r="H2655" s="95" t="s">
        <v>65</v>
      </c>
      <c r="I2655" t="s">
        <v>0</v>
      </c>
      <c r="J2655" t="s">
        <v>0</v>
      </c>
      <c r="K2655" t="s">
        <v>52</v>
      </c>
      <c r="L2655" t="s">
        <v>145</v>
      </c>
      <c r="M2655" t="s">
        <v>72</v>
      </c>
      <c r="N2655" t="s">
        <v>71</v>
      </c>
      <c r="O2655" t="s">
        <v>111</v>
      </c>
      <c r="P2655" t="s">
        <v>59</v>
      </c>
      <c r="Q2655" t="s">
        <v>104</v>
      </c>
      <c r="R2655" t="s">
        <v>58</v>
      </c>
      <c r="S2655" t="s">
        <v>106</v>
      </c>
      <c r="T2655" t="s">
        <v>62</v>
      </c>
      <c r="U2655" t="s">
        <v>147</v>
      </c>
      <c r="V2655" t="s">
        <v>107</v>
      </c>
      <c r="W2655" t="s">
        <v>292</v>
      </c>
      <c r="X2655" t="s">
        <v>79</v>
      </c>
      <c r="Y2655" t="s">
        <v>3442</v>
      </c>
      <c r="Z2655" t="s">
        <v>64</v>
      </c>
      <c r="AA2655" t="s">
        <v>565</v>
      </c>
      <c r="AB2655" t="s">
        <v>0</v>
      </c>
      <c r="AC2655" t="s">
        <v>7021</v>
      </c>
    </row>
    <row r="2656" spans="1:29">
      <c r="A2656" t="s">
        <v>7054</v>
      </c>
      <c r="B2656" s="42" t="str">
        <f>IF(ISNUMBER(SEARCH(E2656,A2656)),A2656,IF(OR(E2656="",E2656=""),A2656,A2656&amp;" - "&amp;E2656))</f>
        <v>Demecan PS Epic Drop 30/1 - Fruit Punch</v>
      </c>
      <c r="C2656" t="s">
        <v>484</v>
      </c>
      <c r="D2656" t="s">
        <v>485</v>
      </c>
      <c r="E2656" s="79" t="s">
        <v>7055</v>
      </c>
      <c r="F2656" s="81" t="s">
        <v>144</v>
      </c>
      <c r="G2656" s="83" t="s">
        <v>4057</v>
      </c>
      <c r="H2656" s="95" t="s">
        <v>65</v>
      </c>
      <c r="I2656" t="s">
        <v>0</v>
      </c>
      <c r="J2656" t="s">
        <v>0</v>
      </c>
      <c r="K2656" t="s">
        <v>52</v>
      </c>
      <c r="L2656" t="s">
        <v>53</v>
      </c>
      <c r="M2656" t="s">
        <v>72</v>
      </c>
      <c r="N2656" t="s">
        <v>71</v>
      </c>
      <c r="O2656" t="s">
        <v>54</v>
      </c>
      <c r="P2656" t="s">
        <v>73</v>
      </c>
      <c r="Q2656" t="s">
        <v>74</v>
      </c>
      <c r="R2656" t="s">
        <v>59</v>
      </c>
      <c r="S2656" t="s">
        <v>128</v>
      </c>
      <c r="T2656" t="s">
        <v>106</v>
      </c>
      <c r="U2656" t="s">
        <v>62</v>
      </c>
      <c r="V2656" t="s">
        <v>292</v>
      </c>
      <c r="W2656" t="s">
        <v>208</v>
      </c>
      <c r="X2656" t="s">
        <v>107</v>
      </c>
      <c r="Y2656" t="s">
        <v>3436</v>
      </c>
      <c r="Z2656" t="s">
        <v>64</v>
      </c>
      <c r="AA2656" t="s">
        <v>485</v>
      </c>
      <c r="AB2656" t="s">
        <v>0</v>
      </c>
      <c r="AC2656" t="s">
        <v>7056</v>
      </c>
    </row>
    <row r="2657" spans="1:29">
      <c r="B2657" s="76" t="s">
        <v>7066</v>
      </c>
    </row>
    <row r="2658" spans="1:29">
      <c r="A2658" t="s">
        <v>6163</v>
      </c>
      <c r="B2658" s="42" t="str">
        <f>IF(ISNUMBER(SEARCH(E2658,A2658)),A2658,IF(OR(E2658="",E2658=""),A2658,A2658&amp;" - "&amp;E2658))</f>
        <v>mediproCan Lunaris 19/1 - Supreme Kush</v>
      </c>
      <c r="C2658" t="str">
        <f>_xlfn.XLOOKUP(D2658,$D$2:$D$2730,$C$2:$C$2730,"",0)</f>
        <v>MEDIPROCAN</v>
      </c>
      <c r="D2658" t="s">
        <v>320</v>
      </c>
      <c r="E2658" s="9" t="s">
        <v>7191</v>
      </c>
      <c r="F2658" s="1" t="s">
        <v>177</v>
      </c>
      <c r="G2658" s="8" t="s">
        <v>4160</v>
      </c>
      <c r="H2658" s="7" t="s">
        <v>65</v>
      </c>
      <c r="I2658" t="s">
        <v>0</v>
      </c>
      <c r="J2658" t="s">
        <v>0</v>
      </c>
      <c r="K2658" t="s">
        <v>52</v>
      </c>
      <c r="L2658" t="s">
        <v>102</v>
      </c>
      <c r="M2658" t="s">
        <v>71</v>
      </c>
      <c r="N2658" t="s">
        <v>88</v>
      </c>
      <c r="O2658" t="s">
        <v>103</v>
      </c>
      <c r="P2658" t="s">
        <v>112</v>
      </c>
      <c r="Q2658" t="s">
        <v>591</v>
      </c>
      <c r="R2658" t="s">
        <v>58</v>
      </c>
      <c r="S2658" t="s">
        <v>106</v>
      </c>
      <c r="T2658" t="s">
        <v>147</v>
      </c>
      <c r="U2658" t="s">
        <v>192</v>
      </c>
      <c r="V2658" t="s">
        <v>292</v>
      </c>
      <c r="W2658" t="s">
        <v>79</v>
      </c>
      <c r="X2658" t="s">
        <v>107</v>
      </c>
      <c r="Y2658" t="s">
        <v>5610</v>
      </c>
      <c r="Z2658" t="s">
        <v>64</v>
      </c>
      <c r="AA2658" t="s">
        <v>320</v>
      </c>
      <c r="AB2658" t="s">
        <v>0</v>
      </c>
      <c r="AC2658" t="s">
        <v>7192</v>
      </c>
    </row>
    <row r="2659" spans="1:29">
      <c r="A2659" t="s">
        <v>7010</v>
      </c>
      <c r="B2659" s="42" t="str">
        <f>IF(ISNUMBER(SEARCH(E2659,A2659)),A2659,IF(OR(E2659="",E2659=""),A2659,A2659&amp;" - "&amp;E2659))</f>
        <v>Cannamedical Indica Classic AU - LA Kush Cake</v>
      </c>
      <c r="C2659" t="s">
        <v>48</v>
      </c>
      <c r="D2659" t="s">
        <v>49</v>
      </c>
      <c r="E2659" t="s">
        <v>578</v>
      </c>
      <c r="F2659" t="s">
        <v>177</v>
      </c>
      <c r="G2659" t="s">
        <v>460</v>
      </c>
      <c r="H2659" t="s">
        <v>65</v>
      </c>
      <c r="I2659" t="s">
        <v>0</v>
      </c>
      <c r="J2659" t="s">
        <v>0</v>
      </c>
      <c r="K2659" t="s">
        <v>52</v>
      </c>
      <c r="L2659" t="s">
        <v>70</v>
      </c>
      <c r="M2659" t="s">
        <v>156</v>
      </c>
      <c r="N2659" t="s">
        <v>121</v>
      </c>
      <c r="O2659" t="s">
        <v>72</v>
      </c>
      <c r="P2659" t="s">
        <v>112</v>
      </c>
      <c r="Q2659" t="s">
        <v>59</v>
      </c>
      <c r="R2659" t="s">
        <v>57</v>
      </c>
      <c r="S2659" t="s">
        <v>128</v>
      </c>
      <c r="T2659" t="s">
        <v>106</v>
      </c>
      <c r="U2659" t="s">
        <v>62</v>
      </c>
      <c r="V2659" t="s">
        <v>107</v>
      </c>
      <c r="W2659" t="s">
        <v>79</v>
      </c>
      <c r="X2659" t="s">
        <v>173</v>
      </c>
      <c r="Y2659" t="s">
        <v>268</v>
      </c>
      <c r="Z2659" t="s">
        <v>64</v>
      </c>
      <c r="AA2659" t="s">
        <v>49</v>
      </c>
      <c r="AB2659" t="s">
        <v>0</v>
      </c>
      <c r="AC2659" t="s">
        <v>7011</v>
      </c>
    </row>
    <row r="2660" spans="1:29">
      <c r="A2660" t="s">
        <v>7012</v>
      </c>
      <c r="B2660" s="42" t="str">
        <f>IF(ISNUMBER(SEARCH(E2660,A2660)),A2660,IF(OR(E2660="",E2660=""),A2660,A2660&amp;" - "&amp;E2660))</f>
        <v>Tannenbusch 26/1 TF - Tubitti Frubitti</v>
      </c>
      <c r="C2660" t="s">
        <v>569</v>
      </c>
      <c r="D2660" t="s">
        <v>570</v>
      </c>
      <c r="E2660" s="9" t="s">
        <v>5766</v>
      </c>
      <c r="F2660" s="1" t="s">
        <v>177</v>
      </c>
      <c r="G2660" s="8" t="s">
        <v>4086</v>
      </c>
      <c r="H2660" s="7" t="s">
        <v>65</v>
      </c>
      <c r="I2660" t="s">
        <v>0</v>
      </c>
      <c r="J2660" t="s">
        <v>0</v>
      </c>
      <c r="K2660" t="s">
        <v>52</v>
      </c>
      <c r="L2660" t="s">
        <v>53</v>
      </c>
      <c r="M2660" t="s">
        <v>54</v>
      </c>
      <c r="N2660" t="s">
        <v>71</v>
      </c>
      <c r="O2660" t="s">
        <v>178</v>
      </c>
      <c r="P2660" t="s">
        <v>59</v>
      </c>
      <c r="Q2660" t="s">
        <v>136</v>
      </c>
      <c r="R2660" t="s">
        <v>89</v>
      </c>
      <c r="S2660" t="s">
        <v>106</v>
      </c>
      <c r="T2660" t="s">
        <v>62</v>
      </c>
      <c r="U2660" t="s">
        <v>147</v>
      </c>
      <c r="V2660" t="s">
        <v>77</v>
      </c>
      <c r="W2660" t="s">
        <v>129</v>
      </c>
      <c r="X2660" t="s">
        <v>79</v>
      </c>
      <c r="Y2660" t="s">
        <v>307</v>
      </c>
      <c r="Z2660" t="s">
        <v>64</v>
      </c>
      <c r="AA2660" t="s">
        <v>570</v>
      </c>
      <c r="AB2660" t="s">
        <v>0</v>
      </c>
      <c r="AC2660" t="s">
        <v>7013</v>
      </c>
    </row>
    <row r="2661" spans="1:29">
      <c r="A2661" t="s">
        <v>7014</v>
      </c>
      <c r="B2661" s="42" t="str">
        <f>IF(ISNUMBER(SEARCH(E2661,A2661)),A2661,IF(OR(E2661="",E2661=""),A2661,A2661&amp;" - "&amp;E2661))</f>
        <v>Gestion Cannabec PC 21/1 - Petrol Cookies</v>
      </c>
      <c r="C2661" t="s">
        <v>564</v>
      </c>
      <c r="D2661" t="s">
        <v>565</v>
      </c>
      <c r="E2661" s="79" t="s">
        <v>7015</v>
      </c>
      <c r="F2661" s="81" t="s">
        <v>177</v>
      </c>
      <c r="G2661" s="83" t="s">
        <v>452</v>
      </c>
      <c r="H2661" s="95" t="s">
        <v>65</v>
      </c>
      <c r="I2661" t="s">
        <v>0</v>
      </c>
      <c r="J2661" t="s">
        <v>0</v>
      </c>
      <c r="K2661" t="s">
        <v>52</v>
      </c>
      <c r="L2661" t="s">
        <v>53</v>
      </c>
      <c r="M2661" t="s">
        <v>121</v>
      </c>
      <c r="N2661" t="s">
        <v>72</v>
      </c>
      <c r="O2661" t="s">
        <v>71</v>
      </c>
      <c r="P2661" t="s">
        <v>74</v>
      </c>
      <c r="Q2661" t="s">
        <v>59</v>
      </c>
      <c r="R2661" t="s">
        <v>73</v>
      </c>
      <c r="S2661" t="s">
        <v>106</v>
      </c>
      <c r="T2661" t="s">
        <v>62</v>
      </c>
      <c r="U2661" t="s">
        <v>147</v>
      </c>
      <c r="V2661" t="s">
        <v>208</v>
      </c>
      <c r="W2661" t="s">
        <v>107</v>
      </c>
      <c r="X2661" t="s">
        <v>116</v>
      </c>
      <c r="Y2661" t="s">
        <v>410</v>
      </c>
      <c r="Z2661" t="s">
        <v>64</v>
      </c>
      <c r="AA2661" t="s">
        <v>565</v>
      </c>
      <c r="AB2661" t="s">
        <v>0</v>
      </c>
      <c r="AC2661" t="s">
        <v>7016</v>
      </c>
    </row>
    <row r="2662" spans="1:29">
      <c r="A2662" t="s">
        <v>7022</v>
      </c>
      <c r="B2662" s="42" t="str">
        <f>IF(ISNUMBER(SEARCH(E2662,A2662)),A2662,IF(OR(E2662="",E2662=""),A2662,A2662&amp;" - "&amp;E2662))</f>
        <v>Gestion Cannabec OS 21/1 - Oreoz Supreme</v>
      </c>
      <c r="C2662" t="s">
        <v>564</v>
      </c>
      <c r="D2662" t="s">
        <v>565</v>
      </c>
      <c r="E2662" s="79" t="s">
        <v>7023</v>
      </c>
      <c r="F2662" s="81" t="s">
        <v>177</v>
      </c>
      <c r="G2662" s="83" t="s">
        <v>452</v>
      </c>
      <c r="H2662" s="95" t="s">
        <v>65</v>
      </c>
      <c r="I2662" t="s">
        <v>0</v>
      </c>
      <c r="J2662" t="s">
        <v>0</v>
      </c>
      <c r="K2662" t="s">
        <v>52</v>
      </c>
      <c r="L2662" t="s">
        <v>53</v>
      </c>
      <c r="M2662" t="s">
        <v>121</v>
      </c>
      <c r="N2662" t="s">
        <v>72</v>
      </c>
      <c r="O2662" t="s">
        <v>88</v>
      </c>
      <c r="P2662" t="s">
        <v>74</v>
      </c>
      <c r="Q2662" t="s">
        <v>57</v>
      </c>
      <c r="R2662" t="s">
        <v>89</v>
      </c>
      <c r="S2662" t="s">
        <v>106</v>
      </c>
      <c r="T2662" t="s">
        <v>62</v>
      </c>
      <c r="U2662" t="s">
        <v>147</v>
      </c>
      <c r="V2662" t="s">
        <v>93</v>
      </c>
      <c r="W2662" t="s">
        <v>208</v>
      </c>
      <c r="X2662" t="s">
        <v>107</v>
      </c>
      <c r="Y2662" t="s">
        <v>410</v>
      </c>
      <c r="Z2662" t="s">
        <v>64</v>
      </c>
      <c r="AA2662" t="s">
        <v>565</v>
      </c>
      <c r="AB2662" t="s">
        <v>0</v>
      </c>
      <c r="AC2662" t="s">
        <v>7024</v>
      </c>
    </row>
    <row r="2663" spans="1:29">
      <c r="A2663" t="s">
        <v>7025</v>
      </c>
      <c r="B2663" s="42" t="str">
        <f>IF(ISNUMBER(SEARCH(E2663,A2663)),A2663,IF(OR(E2663="",E2663=""),A2663,A2663&amp;" - "&amp;E2663))</f>
        <v>All Nations SF 18/1 - Mandarin Cookies</v>
      </c>
      <c r="C2663" t="s">
        <v>564</v>
      </c>
      <c r="D2663" t="s">
        <v>565</v>
      </c>
      <c r="E2663" s="79" t="s">
        <v>800</v>
      </c>
      <c r="F2663" s="81" t="s">
        <v>144</v>
      </c>
      <c r="G2663" s="83" t="s">
        <v>8</v>
      </c>
      <c r="H2663" s="95" t="s">
        <v>65</v>
      </c>
      <c r="I2663" t="s">
        <v>0</v>
      </c>
      <c r="J2663" t="s">
        <v>0</v>
      </c>
      <c r="K2663" t="s">
        <v>52</v>
      </c>
      <c r="L2663" t="s">
        <v>53</v>
      </c>
      <c r="M2663" t="s">
        <v>55</v>
      </c>
      <c r="N2663" t="s">
        <v>71</v>
      </c>
      <c r="O2663" t="s">
        <v>72</v>
      </c>
      <c r="P2663" t="s">
        <v>75</v>
      </c>
      <c r="Q2663" t="s">
        <v>58</v>
      </c>
      <c r="R2663" t="s">
        <v>0</v>
      </c>
      <c r="S2663" t="s">
        <v>62</v>
      </c>
      <c r="T2663" t="s">
        <v>147</v>
      </c>
      <c r="U2663" t="s">
        <v>7026</v>
      </c>
      <c r="V2663" t="s">
        <v>77</v>
      </c>
      <c r="W2663" t="s">
        <v>173</v>
      </c>
      <c r="X2663" t="s">
        <v>711</v>
      </c>
      <c r="Y2663" t="s">
        <v>5519</v>
      </c>
      <c r="Z2663" t="s">
        <v>64</v>
      </c>
      <c r="AA2663" t="s">
        <v>565</v>
      </c>
      <c r="AB2663" t="s">
        <v>1232</v>
      </c>
      <c r="AC2663" t="s">
        <v>7027</v>
      </c>
    </row>
    <row r="2664" spans="1:29">
      <c r="A2664" t="s">
        <v>7028</v>
      </c>
      <c r="B2664" s="42" t="str">
        <f>IF(ISNUMBER(SEARCH(E2664,A2664)),A2664,IF(OR(E2664="",E2664=""),A2664,A2664&amp;" - "&amp;E2664))</f>
        <v>Demecan Core Echo 27:01 - Cereal Milk</v>
      </c>
      <c r="C2664" t="s">
        <v>484</v>
      </c>
      <c r="D2664" t="s">
        <v>485</v>
      </c>
      <c r="E2664" s="79" t="s">
        <v>2586</v>
      </c>
      <c r="F2664" s="81" t="s">
        <v>86</v>
      </c>
      <c r="G2664" s="83" t="s">
        <v>33</v>
      </c>
      <c r="H2664" s="95" t="s">
        <v>65</v>
      </c>
      <c r="I2664" t="s">
        <v>0</v>
      </c>
      <c r="J2664" t="s">
        <v>0</v>
      </c>
      <c r="K2664" t="s">
        <v>52</v>
      </c>
      <c r="L2664" t="s">
        <v>53</v>
      </c>
      <c r="M2664" t="s">
        <v>88</v>
      </c>
      <c r="N2664" t="s">
        <v>72</v>
      </c>
      <c r="O2664" t="s">
        <v>0</v>
      </c>
      <c r="P2664" t="s">
        <v>75</v>
      </c>
      <c r="Q2664" t="s">
        <v>58</v>
      </c>
      <c r="R2664" t="s">
        <v>89</v>
      </c>
      <c r="S2664" t="s">
        <v>0</v>
      </c>
      <c r="T2664" t="s">
        <v>0</v>
      </c>
      <c r="U2664" t="s">
        <v>0</v>
      </c>
      <c r="V2664" t="s">
        <v>107</v>
      </c>
      <c r="W2664" t="s">
        <v>116</v>
      </c>
      <c r="X2664" t="s">
        <v>93</v>
      </c>
      <c r="Y2664" t="s">
        <v>1175</v>
      </c>
      <c r="Z2664" t="s">
        <v>64</v>
      </c>
      <c r="AA2664" t="s">
        <v>485</v>
      </c>
      <c r="AB2664" t="s">
        <v>0</v>
      </c>
      <c r="AC2664" t="s">
        <v>7029</v>
      </c>
    </row>
    <row r="2665" spans="1:29">
      <c r="A2665" t="s">
        <v>7030</v>
      </c>
      <c r="B2665" s="42" t="str">
        <f>IF(ISNUMBER(SEARCH(E2665,A2665)),A2665,IF(OR(E2665="",E2665=""),A2665,A2665&amp;" - "&amp;E2665))</f>
        <v>Vasco PR 27/1 - Pave Runtz</v>
      </c>
      <c r="C2665" t="s">
        <v>564</v>
      </c>
      <c r="D2665" t="s">
        <v>565</v>
      </c>
      <c r="E2665" s="79" t="s">
        <v>1449</v>
      </c>
      <c r="F2665" s="81" t="s">
        <v>177</v>
      </c>
      <c r="G2665" s="83" t="s">
        <v>33</v>
      </c>
      <c r="H2665" s="95">
        <v>1</v>
      </c>
      <c r="I2665" t="s">
        <v>0</v>
      </c>
      <c r="J2665" t="s">
        <v>0</v>
      </c>
      <c r="K2665" t="s">
        <v>52</v>
      </c>
      <c r="L2665" t="s">
        <v>53</v>
      </c>
      <c r="M2665" t="s">
        <v>54</v>
      </c>
      <c r="N2665" t="s">
        <v>121</v>
      </c>
      <c r="O2665" t="s">
        <v>72</v>
      </c>
      <c r="P2665" t="s">
        <v>74</v>
      </c>
      <c r="Q2665" t="s">
        <v>58</v>
      </c>
      <c r="R2665" t="s">
        <v>73</v>
      </c>
      <c r="S2665" t="s">
        <v>106</v>
      </c>
      <c r="T2665" t="s">
        <v>62</v>
      </c>
      <c r="U2665" t="s">
        <v>123</v>
      </c>
      <c r="V2665" t="s">
        <v>107</v>
      </c>
      <c r="W2665" t="s">
        <v>180</v>
      </c>
      <c r="X2665" t="s">
        <v>138</v>
      </c>
      <c r="Y2665" t="s">
        <v>1464</v>
      </c>
      <c r="Z2665" t="s">
        <v>64</v>
      </c>
      <c r="AA2665" t="s">
        <v>565</v>
      </c>
      <c r="AB2665" t="s">
        <v>0</v>
      </c>
      <c r="AC2665" t="s">
        <v>7031</v>
      </c>
    </row>
    <row r="2666" spans="1:29">
      <c r="A2666" t="s">
        <v>7032</v>
      </c>
      <c r="B2666" s="42" t="str">
        <f>IF(ISNUMBER(SEARCH(E2666,A2666)),A2666,IF(OR(E2666="",E2666=""),A2666,A2666&amp;" - "&amp;E2666))</f>
        <v>THC AKUT TM 24 - Trinity</v>
      </c>
      <c r="C2666" t="s">
        <v>4625</v>
      </c>
      <c r="D2666" t="s">
        <v>160</v>
      </c>
      <c r="E2666" s="79" t="s">
        <v>7033</v>
      </c>
      <c r="F2666" s="81" t="s">
        <v>144</v>
      </c>
      <c r="G2666" s="83" t="s">
        <v>448</v>
      </c>
      <c r="H2666" s="95" t="s">
        <v>65</v>
      </c>
      <c r="I2666" t="s">
        <v>0</v>
      </c>
      <c r="J2666" t="s">
        <v>0</v>
      </c>
      <c r="K2666" t="s">
        <v>52</v>
      </c>
      <c r="L2666" t="s">
        <v>497</v>
      </c>
      <c r="M2666" t="s">
        <v>72</v>
      </c>
      <c r="N2666" t="s">
        <v>71</v>
      </c>
      <c r="O2666" t="s">
        <v>54</v>
      </c>
      <c r="P2666" t="s">
        <v>73</v>
      </c>
      <c r="Q2666" t="s">
        <v>74</v>
      </c>
      <c r="R2666" t="s">
        <v>59</v>
      </c>
      <c r="S2666" t="s">
        <v>128</v>
      </c>
      <c r="T2666" t="s">
        <v>179</v>
      </c>
      <c r="U2666" t="s">
        <v>61</v>
      </c>
      <c r="V2666" t="s">
        <v>292</v>
      </c>
      <c r="W2666" t="s">
        <v>107</v>
      </c>
      <c r="X2666" t="s">
        <v>79</v>
      </c>
      <c r="Y2666" t="s">
        <v>4105</v>
      </c>
      <c r="Z2666" t="s">
        <v>64</v>
      </c>
      <c r="AA2666" t="s">
        <v>160</v>
      </c>
      <c r="AB2666" t="s">
        <v>0</v>
      </c>
      <c r="AC2666" t="s">
        <v>7034</v>
      </c>
    </row>
    <row r="2667" spans="1:29">
      <c r="A2667" t="s">
        <v>7035</v>
      </c>
      <c r="B2667" s="42" t="str">
        <f>IF(ISNUMBER(SEARCH(E2667,A2667)),A2667,IF(OR(E2667="",E2667=""),A2667,A2667&amp;" - "&amp;E2667))</f>
        <v>THC AKUT TM 24 SW - Sweets</v>
      </c>
      <c r="C2667" t="s">
        <v>4625</v>
      </c>
      <c r="D2667" t="s">
        <v>160</v>
      </c>
      <c r="E2667" s="79" t="s">
        <v>1463</v>
      </c>
      <c r="F2667" s="81" t="s">
        <v>144</v>
      </c>
      <c r="G2667" s="83" t="s">
        <v>448</v>
      </c>
      <c r="H2667" s="95" t="s">
        <v>65</v>
      </c>
      <c r="I2667" t="s">
        <v>0</v>
      </c>
      <c r="J2667" t="s">
        <v>0</v>
      </c>
      <c r="K2667" t="s">
        <v>52</v>
      </c>
      <c r="L2667" t="s">
        <v>497</v>
      </c>
      <c r="M2667" t="s">
        <v>54</v>
      </c>
      <c r="N2667" t="s">
        <v>72</v>
      </c>
      <c r="O2667" t="s">
        <v>88</v>
      </c>
      <c r="P2667" t="s">
        <v>73</v>
      </c>
      <c r="Q2667" t="s">
        <v>59</v>
      </c>
      <c r="R2667" t="s">
        <v>89</v>
      </c>
      <c r="S2667" t="s">
        <v>128</v>
      </c>
      <c r="T2667" t="s">
        <v>61</v>
      </c>
      <c r="U2667" t="s">
        <v>62</v>
      </c>
      <c r="V2667" t="s">
        <v>129</v>
      </c>
      <c r="W2667" t="s">
        <v>107</v>
      </c>
      <c r="X2667" t="s">
        <v>173</v>
      </c>
      <c r="Y2667" t="s">
        <v>1090</v>
      </c>
      <c r="Z2667" t="s">
        <v>64</v>
      </c>
      <c r="AA2667" t="s">
        <v>160</v>
      </c>
      <c r="AB2667" t="s">
        <v>0</v>
      </c>
      <c r="AC2667" t="s">
        <v>7036</v>
      </c>
    </row>
    <row r="2668" spans="1:29">
      <c r="A2668" t="s">
        <v>7037</v>
      </c>
      <c r="B2668" s="42" t="str">
        <f>IF(ISNUMBER(SEARCH(E2668,A2668)),A2668,IF(OR(E2668="",E2668=""),A2668,A2668&amp;" - "&amp;E2668))</f>
        <v>VOP 23/1 Marios Selection - Lemonatti</v>
      </c>
      <c r="C2668" t="s">
        <v>7065</v>
      </c>
      <c r="D2668" t="s">
        <v>7038</v>
      </c>
      <c r="E2668" s="79" t="s">
        <v>1489</v>
      </c>
      <c r="F2668" s="81" t="s">
        <v>86</v>
      </c>
      <c r="G2668" s="83" t="s">
        <v>436</v>
      </c>
      <c r="H2668" s="95" t="s">
        <v>65</v>
      </c>
      <c r="I2668" t="s">
        <v>0</v>
      </c>
      <c r="J2668" t="s">
        <v>0</v>
      </c>
      <c r="K2668" t="s">
        <v>52</v>
      </c>
      <c r="M2668" t="s">
        <v>178</v>
      </c>
      <c r="N2668" t="s">
        <v>111</v>
      </c>
      <c r="O2668" t="s">
        <v>88</v>
      </c>
      <c r="P2668" t="s">
        <v>104</v>
      </c>
      <c r="Q2668" t="s">
        <v>59</v>
      </c>
      <c r="R2668" t="s">
        <v>89</v>
      </c>
      <c r="S2668" t="s">
        <v>0</v>
      </c>
      <c r="T2668" t="s">
        <v>0</v>
      </c>
      <c r="U2668" t="s">
        <v>0</v>
      </c>
      <c r="V2668" t="s">
        <v>77</v>
      </c>
      <c r="W2668" t="s">
        <v>107</v>
      </c>
      <c r="X2668" t="s">
        <v>79</v>
      </c>
      <c r="Y2668" t="s">
        <v>1464</v>
      </c>
      <c r="Z2668" t="s">
        <v>64</v>
      </c>
      <c r="AA2668" t="s">
        <v>7038</v>
      </c>
      <c r="AB2668" t="s">
        <v>0</v>
      </c>
      <c r="AC2668" t="s">
        <v>7039</v>
      </c>
    </row>
    <row r="2669" spans="1:29">
      <c r="A2669" t="s">
        <v>7040</v>
      </c>
      <c r="B2669" s="42" t="str">
        <f>IF(ISNUMBER(SEARCH(E2669,A2669)),A2669,IF(OR(E2669="",E2669=""),A2669,A2669&amp;" - "&amp;E2669))</f>
        <v>enua 27/1 AAB CA - Blue Gelatti</v>
      </c>
      <c r="C2669" t="s">
        <v>650</v>
      </c>
      <c r="D2669" t="s">
        <v>653</v>
      </c>
      <c r="E2669" s="79" t="s">
        <v>7041</v>
      </c>
      <c r="F2669" s="81" t="s">
        <v>86</v>
      </c>
      <c r="G2669" s="83" t="s">
        <v>33</v>
      </c>
      <c r="H2669" s="95" t="s">
        <v>65</v>
      </c>
      <c r="I2669" t="s">
        <v>0</v>
      </c>
      <c r="J2669" t="s">
        <v>0</v>
      </c>
      <c r="K2669" t="s">
        <v>52</v>
      </c>
      <c r="L2669" t="s">
        <v>53</v>
      </c>
      <c r="M2669" t="s">
        <v>121</v>
      </c>
      <c r="N2669" t="s">
        <v>72</v>
      </c>
      <c r="O2669" t="s">
        <v>71</v>
      </c>
      <c r="P2669" t="s">
        <v>146</v>
      </c>
      <c r="Q2669" t="s">
        <v>59</v>
      </c>
      <c r="R2669" t="s">
        <v>75</v>
      </c>
      <c r="S2669" t="s">
        <v>128</v>
      </c>
      <c r="T2669" t="s">
        <v>62</v>
      </c>
      <c r="U2669" t="s">
        <v>115</v>
      </c>
      <c r="V2669" t="s">
        <v>116</v>
      </c>
      <c r="W2669" t="s">
        <v>208</v>
      </c>
      <c r="X2669" t="s">
        <v>107</v>
      </c>
      <c r="Y2669" t="s">
        <v>1135</v>
      </c>
      <c r="Z2669" t="s">
        <v>64</v>
      </c>
      <c r="AA2669" t="s">
        <v>653</v>
      </c>
      <c r="AB2669" t="s">
        <v>0</v>
      </c>
      <c r="AC2669" t="s">
        <v>7042</v>
      </c>
    </row>
    <row r="2670" spans="1:29">
      <c r="A2670" t="s">
        <v>7043</v>
      </c>
      <c r="B2670" s="42" t="str">
        <f>IF(ISNUMBER(SEARCH(E2670,A2670)),A2670,IF(OR(E2670="",E2670=""),A2670,A2670&amp;" - "&amp;E2670))</f>
        <v>enua 30/1 CRC CA - Cream Cake</v>
      </c>
      <c r="C2670" t="s">
        <v>650</v>
      </c>
      <c r="D2670" t="s">
        <v>653</v>
      </c>
      <c r="E2670" s="79" t="s">
        <v>7044</v>
      </c>
      <c r="F2670" s="81" t="s">
        <v>86</v>
      </c>
      <c r="G2670" s="83" t="s">
        <v>4057</v>
      </c>
      <c r="H2670" s="95" t="s">
        <v>65</v>
      </c>
      <c r="I2670" t="s">
        <v>0</v>
      </c>
      <c r="J2670" t="s">
        <v>0</v>
      </c>
      <c r="K2670" t="s">
        <v>52</v>
      </c>
      <c r="L2670" t="s">
        <v>53</v>
      </c>
      <c r="M2670" t="s">
        <v>121</v>
      </c>
      <c r="N2670" t="s">
        <v>72</v>
      </c>
      <c r="O2670" t="s">
        <v>88</v>
      </c>
      <c r="P2670" t="s">
        <v>59</v>
      </c>
      <c r="Q2670" t="s">
        <v>104</v>
      </c>
      <c r="R2670" t="s">
        <v>74</v>
      </c>
      <c r="S2670" t="s">
        <v>106</v>
      </c>
      <c r="T2670" t="s">
        <v>62</v>
      </c>
      <c r="U2670" t="s">
        <v>147</v>
      </c>
      <c r="V2670" t="s">
        <v>93</v>
      </c>
      <c r="W2670" t="s">
        <v>107</v>
      </c>
      <c r="X2670" t="s">
        <v>208</v>
      </c>
      <c r="Y2670" t="s">
        <v>1023</v>
      </c>
      <c r="Z2670" t="s">
        <v>64</v>
      </c>
      <c r="AA2670" t="s">
        <v>653</v>
      </c>
      <c r="AB2670" t="s">
        <v>0</v>
      </c>
      <c r="AC2670" t="s">
        <v>7045</v>
      </c>
    </row>
    <row r="2671" spans="1:29">
      <c r="A2671" t="s">
        <v>7046</v>
      </c>
      <c r="B2671" s="42" t="str">
        <f>IF(ISNUMBER(SEARCH(E2671,A2671)),A2671,IF(OR(E2671="",E2671=""),A2671,A2671&amp;" - "&amp;E2671))</f>
        <v>enua 30/1 CDC CA - Chem de la Chem</v>
      </c>
      <c r="C2671" t="s">
        <v>650</v>
      </c>
      <c r="D2671" t="s">
        <v>653</v>
      </c>
      <c r="E2671" s="9" t="s">
        <v>1151</v>
      </c>
      <c r="F2671" s="1" t="s">
        <v>86</v>
      </c>
      <c r="G2671" s="8" t="s">
        <v>4057</v>
      </c>
      <c r="H2671" s="7" t="s">
        <v>65</v>
      </c>
      <c r="I2671" t="s">
        <v>0</v>
      </c>
      <c r="J2671" t="s">
        <v>0</v>
      </c>
      <c r="K2671" t="s">
        <v>52</v>
      </c>
      <c r="L2671" t="s">
        <v>53</v>
      </c>
      <c r="M2671" t="s">
        <v>72</v>
      </c>
      <c r="N2671" t="s">
        <v>111</v>
      </c>
      <c r="O2671" t="s">
        <v>55</v>
      </c>
      <c r="P2671" t="s">
        <v>146</v>
      </c>
      <c r="Q2671" t="s">
        <v>75</v>
      </c>
      <c r="R2671" t="s">
        <v>59</v>
      </c>
      <c r="S2671" t="s">
        <v>62</v>
      </c>
      <c r="T2671" t="s">
        <v>147</v>
      </c>
      <c r="U2671" t="s">
        <v>493</v>
      </c>
      <c r="V2671" t="s">
        <v>77</v>
      </c>
      <c r="W2671" t="s">
        <v>79</v>
      </c>
      <c r="X2671" t="s">
        <v>107</v>
      </c>
      <c r="Y2671" t="s">
        <v>3446</v>
      </c>
      <c r="Z2671" t="s">
        <v>64</v>
      </c>
      <c r="AA2671" t="s">
        <v>653</v>
      </c>
      <c r="AB2671" t="s">
        <v>0</v>
      </c>
      <c r="AC2671" t="s">
        <v>7047</v>
      </c>
    </row>
    <row r="2672" spans="1:29">
      <c r="A2672" t="s">
        <v>6001</v>
      </c>
      <c r="B2672" s="42" t="str">
        <f>IF(ISNUMBER(SEARCH(E2672,A2672)),A2672,IF(OR(E2672="",E2672=""),A2672,A2672&amp;" - "&amp;E2672))</f>
        <v>Canify Cannabis Flos 23/1 CSF Ku. - Bashengo</v>
      </c>
      <c r="C2672" t="s">
        <v>99</v>
      </c>
      <c r="D2672" t="s">
        <v>100</v>
      </c>
      <c r="E2672" s="9" t="s">
        <v>5514</v>
      </c>
      <c r="F2672" s="1" t="s">
        <v>144</v>
      </c>
      <c r="G2672" s="8" t="s">
        <v>436</v>
      </c>
      <c r="H2672" s="7" t="s">
        <v>65</v>
      </c>
      <c r="I2672" t="s">
        <v>0</v>
      </c>
      <c r="J2672" t="s">
        <v>0</v>
      </c>
      <c r="K2672" t="s">
        <v>52</v>
      </c>
      <c r="L2672" t="s">
        <v>53</v>
      </c>
      <c r="M2672" t="s">
        <v>121</v>
      </c>
      <c r="N2672" t="s">
        <v>72</v>
      </c>
      <c r="O2672" t="s">
        <v>71</v>
      </c>
      <c r="P2672" t="s">
        <v>59</v>
      </c>
      <c r="Q2672" t="s">
        <v>89</v>
      </c>
      <c r="R2672" t="s">
        <v>74</v>
      </c>
      <c r="S2672" t="s">
        <v>106</v>
      </c>
      <c r="T2672" t="s">
        <v>62</v>
      </c>
      <c r="U2672" t="s">
        <v>147</v>
      </c>
      <c r="V2672" t="s">
        <v>77</v>
      </c>
      <c r="W2672" t="s">
        <v>225</v>
      </c>
      <c r="X2672" t="s">
        <v>116</v>
      </c>
      <c r="Y2672" t="s">
        <v>453</v>
      </c>
      <c r="Z2672" t="s">
        <v>64</v>
      </c>
      <c r="AA2672" t="s">
        <v>100</v>
      </c>
      <c r="AB2672" t="s">
        <v>678</v>
      </c>
      <c r="AC2672" t="s">
        <v>7048</v>
      </c>
    </row>
    <row r="2673" spans="1:29">
      <c r="A2673" t="s">
        <v>7049</v>
      </c>
      <c r="B2673" s="42" t="str">
        <f>IF(ISNUMBER(SEARCH(E2673,A2673)),A2673,IF(OR(E2673="",E2673=""),A2673,A2673&amp;" - "&amp;E2673))</f>
        <v>IMC BAJ THC25 Token - Clementine</v>
      </c>
      <c r="C2673" t="s">
        <v>646</v>
      </c>
      <c r="D2673" t="s">
        <v>646</v>
      </c>
      <c r="E2673" s="9" t="s">
        <v>6978</v>
      </c>
      <c r="F2673" s="1" t="s">
        <v>86</v>
      </c>
      <c r="G2673" s="8" t="s">
        <v>26</v>
      </c>
      <c r="H2673" s="7" t="s">
        <v>65</v>
      </c>
      <c r="I2673" t="s">
        <v>0</v>
      </c>
      <c r="J2673" t="s">
        <v>0</v>
      </c>
      <c r="K2673" t="s">
        <v>52</v>
      </c>
      <c r="L2673" t="s">
        <v>53</v>
      </c>
      <c r="M2673" t="s">
        <v>55</v>
      </c>
      <c r="N2673" t="s">
        <v>71</v>
      </c>
      <c r="O2673" t="s">
        <v>111</v>
      </c>
      <c r="P2673" t="s">
        <v>136</v>
      </c>
      <c r="Q2673" t="s">
        <v>59</v>
      </c>
      <c r="R2673" t="s">
        <v>58</v>
      </c>
      <c r="S2673" t="s">
        <v>106</v>
      </c>
      <c r="T2673" t="s">
        <v>62</v>
      </c>
      <c r="U2673" t="s">
        <v>147</v>
      </c>
      <c r="V2673" t="s">
        <v>93</v>
      </c>
      <c r="W2673" t="s">
        <v>107</v>
      </c>
      <c r="X2673" t="s">
        <v>292</v>
      </c>
      <c r="Y2673" t="s">
        <v>2287</v>
      </c>
      <c r="Z2673" t="s">
        <v>64</v>
      </c>
      <c r="AA2673" t="s">
        <v>646</v>
      </c>
      <c r="AB2673" t="s">
        <v>0</v>
      </c>
      <c r="AC2673" t="s">
        <v>7050</v>
      </c>
    </row>
    <row r="2674" spans="1:29">
      <c r="A2674" t="s">
        <v>7051</v>
      </c>
      <c r="B2674" s="42" t="str">
        <f>IF(ISNUMBER(SEARCH(E2674,A2674)),A2674,IF(OR(E2674="",E2674=""),A2674,A2674&amp;" - "&amp;E2674))</f>
        <v>IMC GDI THC25 - Grave Digger</v>
      </c>
      <c r="C2674" t="s">
        <v>646</v>
      </c>
      <c r="D2674" t="s">
        <v>646</v>
      </c>
      <c r="E2674" s="79" t="s">
        <v>7052</v>
      </c>
      <c r="F2674" s="81" t="s">
        <v>120</v>
      </c>
      <c r="G2674" s="83" t="s">
        <v>26</v>
      </c>
      <c r="H2674" s="95" t="s">
        <v>65</v>
      </c>
      <c r="I2674" t="s">
        <v>0</v>
      </c>
      <c r="J2674" t="s">
        <v>0</v>
      </c>
      <c r="K2674" t="s">
        <v>52</v>
      </c>
      <c r="L2674" t="s">
        <v>53</v>
      </c>
      <c r="M2674" t="s">
        <v>71</v>
      </c>
      <c r="N2674" t="s">
        <v>178</v>
      </c>
      <c r="O2674" t="s">
        <v>212</v>
      </c>
      <c r="P2674" t="s">
        <v>73</v>
      </c>
      <c r="Q2674" t="s">
        <v>58</v>
      </c>
      <c r="R2674" t="s">
        <v>104</v>
      </c>
      <c r="S2674" t="s">
        <v>106</v>
      </c>
      <c r="T2674" t="s">
        <v>62</v>
      </c>
      <c r="U2674" t="s">
        <v>147</v>
      </c>
      <c r="V2674" t="s">
        <v>711</v>
      </c>
      <c r="W2674" t="s">
        <v>93</v>
      </c>
      <c r="X2674" t="s">
        <v>116</v>
      </c>
      <c r="Y2674" t="s">
        <v>5613</v>
      </c>
      <c r="Z2674" t="s">
        <v>64</v>
      </c>
      <c r="AA2674" t="s">
        <v>646</v>
      </c>
      <c r="AB2674" t="s">
        <v>0</v>
      </c>
      <c r="AC2674" t="s">
        <v>7053</v>
      </c>
    </row>
    <row r="2675" spans="1:29">
      <c r="A2675" t="s">
        <v>7057</v>
      </c>
      <c r="B2675" s="42" t="str">
        <f>IF(ISNUMBER(SEARCH(E2675,A2675)),A2675,IF(OR(E2675="",E2675=""),A2675,A2675&amp;" - "&amp;E2675))</f>
        <v>Khiron WED 17/1 - Wedding Cake</v>
      </c>
      <c r="C2675" t="s">
        <v>1871</v>
      </c>
      <c r="D2675" t="s">
        <v>1872</v>
      </c>
      <c r="E2675" s="9" t="s">
        <v>1195</v>
      </c>
      <c r="F2675" s="1" t="s">
        <v>177</v>
      </c>
      <c r="G2675" s="8" t="s">
        <v>4038</v>
      </c>
      <c r="H2675" s="7" t="s">
        <v>65</v>
      </c>
      <c r="I2675" t="s">
        <v>0</v>
      </c>
      <c r="J2675" t="s">
        <v>0</v>
      </c>
      <c r="K2675" t="s">
        <v>52</v>
      </c>
      <c r="L2675" t="s">
        <v>423</v>
      </c>
      <c r="M2675" t="s">
        <v>156</v>
      </c>
      <c r="N2675" t="s">
        <v>72</v>
      </c>
      <c r="O2675" t="s">
        <v>0</v>
      </c>
      <c r="P2675" t="s">
        <v>59</v>
      </c>
      <c r="Q2675" t="s">
        <v>89</v>
      </c>
      <c r="R2675" t="s">
        <v>57</v>
      </c>
      <c r="S2675" t="s">
        <v>466</v>
      </c>
      <c r="T2675" t="s">
        <v>493</v>
      </c>
      <c r="U2675" t="s">
        <v>0</v>
      </c>
      <c r="V2675" t="s">
        <v>93</v>
      </c>
      <c r="W2675" t="s">
        <v>107</v>
      </c>
      <c r="X2675" t="s">
        <v>116</v>
      </c>
      <c r="Y2675" t="s">
        <v>539</v>
      </c>
      <c r="Z2675" t="s">
        <v>64</v>
      </c>
      <c r="AA2675" t="s">
        <v>1872</v>
      </c>
      <c r="AB2675" t="s">
        <v>0</v>
      </c>
      <c r="AC2675" t="s">
        <v>7058</v>
      </c>
    </row>
    <row r="2676" spans="1:29">
      <c r="A2676" t="s">
        <v>5907</v>
      </c>
      <c r="B2676" s="11" t="str">
        <f>IF(ISNUMBER(SEARCH(E2676,A2676)),A2676,IF(OR(E2676="",E2676=""),A2676,A2676&amp;" - "&amp;E2676))</f>
        <v>TRUU GT 27:01 - Cookies OG</v>
      </c>
      <c r="C2676" t="s">
        <v>484</v>
      </c>
      <c r="D2676" t="s">
        <v>485</v>
      </c>
      <c r="E2676" s="9" t="s">
        <v>5204</v>
      </c>
      <c r="F2676" s="1" t="s">
        <v>86</v>
      </c>
      <c r="G2676" s="8" t="s">
        <v>33</v>
      </c>
      <c r="H2676" s="7">
        <v>1</v>
      </c>
      <c r="I2676" t="s">
        <v>0</v>
      </c>
      <c r="J2676" t="s">
        <v>0</v>
      </c>
      <c r="K2676" t="s">
        <v>52</v>
      </c>
      <c r="L2676" t="s">
        <v>53</v>
      </c>
      <c r="M2676" t="s">
        <v>121</v>
      </c>
      <c r="N2676" t="s">
        <v>72</v>
      </c>
      <c r="O2676" t="s">
        <v>0</v>
      </c>
      <c r="P2676" t="s">
        <v>89</v>
      </c>
      <c r="Q2676" t="s">
        <v>157</v>
      </c>
      <c r="R2676" t="s">
        <v>113</v>
      </c>
      <c r="S2676" t="s">
        <v>128</v>
      </c>
      <c r="T2676" t="s">
        <v>62</v>
      </c>
      <c r="U2676" t="s">
        <v>164</v>
      </c>
      <c r="V2676" t="s">
        <v>79</v>
      </c>
      <c r="W2676" t="s">
        <v>116</v>
      </c>
      <c r="X2676" t="s">
        <v>107</v>
      </c>
      <c r="Y2676" t="s">
        <v>130</v>
      </c>
      <c r="Z2676" t="s">
        <v>64</v>
      </c>
      <c r="AA2676" t="s">
        <v>485</v>
      </c>
      <c r="AB2676" t="s">
        <v>0</v>
      </c>
      <c r="AC2676" t="s">
        <v>6813</v>
      </c>
    </row>
    <row r="2677" spans="1:29">
      <c r="A2677" t="s">
        <v>4237</v>
      </c>
      <c r="B2677" s="42" t="str">
        <f>IF(ISNUMBER(SEARCH(E2677,A2677)),A2677,IF(OR(E2677="",E2677=""),A2677,A2677&amp;" - "&amp;E2677))</f>
        <v>Cannamedical Indica Light BC - Banana Cream Cake</v>
      </c>
      <c r="C2677" t="s">
        <v>48</v>
      </c>
      <c r="D2677" t="s">
        <v>49</v>
      </c>
      <c r="E2677" s="9" t="s">
        <v>7059</v>
      </c>
      <c r="F2677" s="1" t="s">
        <v>120</v>
      </c>
      <c r="G2677" s="8" t="s">
        <v>4038</v>
      </c>
      <c r="H2677" s="7" t="s">
        <v>65</v>
      </c>
      <c r="I2677" t="s">
        <v>0</v>
      </c>
      <c r="J2677" t="s">
        <v>0</v>
      </c>
      <c r="K2677" t="s">
        <v>52</v>
      </c>
      <c r="L2677" t="s">
        <v>53</v>
      </c>
      <c r="M2677" t="s">
        <v>121</v>
      </c>
      <c r="N2677" t="s">
        <v>72</v>
      </c>
      <c r="O2677" t="s">
        <v>71</v>
      </c>
      <c r="P2677" t="s">
        <v>75</v>
      </c>
      <c r="Q2677" t="s">
        <v>59</v>
      </c>
      <c r="R2677" t="s">
        <v>58</v>
      </c>
      <c r="S2677" t="s">
        <v>128</v>
      </c>
      <c r="T2677" t="s">
        <v>62</v>
      </c>
      <c r="U2677" t="s">
        <v>430</v>
      </c>
      <c r="V2677" t="s">
        <v>116</v>
      </c>
      <c r="W2677" t="s">
        <v>180</v>
      </c>
      <c r="X2677" t="s">
        <v>79</v>
      </c>
      <c r="Y2677" t="s">
        <v>410</v>
      </c>
      <c r="Z2677" t="s">
        <v>64</v>
      </c>
      <c r="AA2677" t="s">
        <v>49</v>
      </c>
      <c r="AB2677" t="s">
        <v>0</v>
      </c>
      <c r="AC2677" t="s">
        <v>7060</v>
      </c>
    </row>
    <row r="2678" spans="1:29">
      <c r="A2678" t="s">
        <v>7063</v>
      </c>
      <c r="B2678" s="42" t="str">
        <f>IF(ISNUMBER(SEARCH(E2678,A2678)),A2678,IF(OR(E2678="",E2678=""),A2678,A2678&amp;" - "&amp;E2678))</f>
        <v>Breezy Organics LH 22/1 Smalls - Lime Haze</v>
      </c>
      <c r="C2678" t="s">
        <v>2114</v>
      </c>
      <c r="D2678" t="s">
        <v>2115</v>
      </c>
      <c r="E2678" s="9" t="s">
        <v>3695</v>
      </c>
      <c r="F2678" s="1" t="s">
        <v>69</v>
      </c>
      <c r="G2678" s="8" t="s">
        <v>4126</v>
      </c>
      <c r="H2678" s="7">
        <v>1</v>
      </c>
      <c r="I2678" t="s">
        <v>0</v>
      </c>
      <c r="J2678" t="s">
        <v>0</v>
      </c>
      <c r="K2678" t="s">
        <v>52</v>
      </c>
      <c r="L2678" t="s">
        <v>53</v>
      </c>
      <c r="M2678" t="s">
        <v>121</v>
      </c>
      <c r="N2678" t="s">
        <v>178</v>
      </c>
      <c r="O2678" t="s">
        <v>72</v>
      </c>
      <c r="P2678" t="s">
        <v>89</v>
      </c>
      <c r="Q2678" t="s">
        <v>157</v>
      </c>
      <c r="R2678" t="s">
        <v>113</v>
      </c>
      <c r="S2678" t="s">
        <v>90</v>
      </c>
      <c r="T2678" t="s">
        <v>106</v>
      </c>
      <c r="U2678" t="s">
        <v>62</v>
      </c>
      <c r="V2678" t="s">
        <v>93</v>
      </c>
      <c r="W2678" t="s">
        <v>77</v>
      </c>
      <c r="X2678" t="s">
        <v>79</v>
      </c>
      <c r="Y2678" t="s">
        <v>915</v>
      </c>
      <c r="Z2678" t="s">
        <v>64</v>
      </c>
      <c r="AA2678" t="s">
        <v>2115</v>
      </c>
      <c r="AB2678" t="s">
        <v>0</v>
      </c>
      <c r="AC2678" t="s">
        <v>7064</v>
      </c>
    </row>
    <row r="2679" spans="1:29">
      <c r="A2679" t="s">
        <v>7067</v>
      </c>
      <c r="B2679" s="42" t="str">
        <f>IF(ISNUMBER(SEARCH(E2679,A2679)),A2679,IF(OR(E2679="",E2679=""),A2679,A2679&amp;" - "&amp;E2679))</f>
        <v>Barongo 28/1 Banjo</v>
      </c>
      <c r="C2679" t="s">
        <v>641</v>
      </c>
      <c r="D2679" t="s">
        <v>642</v>
      </c>
      <c r="E2679" t="s">
        <v>3686</v>
      </c>
      <c r="F2679" t="s">
        <v>144</v>
      </c>
      <c r="G2679" t="s">
        <v>4164</v>
      </c>
      <c r="H2679" t="s">
        <v>65</v>
      </c>
      <c r="I2679" t="s">
        <v>0</v>
      </c>
      <c r="J2679" t="s">
        <v>0</v>
      </c>
      <c r="K2679" t="s">
        <v>52</v>
      </c>
      <c r="L2679" t="s">
        <v>53</v>
      </c>
      <c r="M2679" t="s">
        <v>72</v>
      </c>
      <c r="N2679" t="s">
        <v>88</v>
      </c>
      <c r="O2679" t="s">
        <v>0</v>
      </c>
      <c r="P2679" t="s">
        <v>89</v>
      </c>
      <c r="Q2679" t="s">
        <v>58</v>
      </c>
      <c r="R2679" t="s">
        <v>186</v>
      </c>
      <c r="S2679" t="s">
        <v>128</v>
      </c>
      <c r="T2679" t="s">
        <v>106</v>
      </c>
      <c r="U2679" t="s">
        <v>105</v>
      </c>
      <c r="V2679" t="s">
        <v>116</v>
      </c>
      <c r="W2679" t="s">
        <v>79</v>
      </c>
      <c r="X2679" t="s">
        <v>107</v>
      </c>
      <c r="Y2679" t="s">
        <v>213</v>
      </c>
      <c r="Z2679" t="s">
        <v>64</v>
      </c>
      <c r="AA2679" t="s">
        <v>642</v>
      </c>
      <c r="AB2679" t="s">
        <v>0</v>
      </c>
      <c r="AC2679" t="s">
        <v>7068</v>
      </c>
    </row>
    <row r="2680" spans="1:29">
      <c r="B2680" s="76" t="s">
        <v>7083</v>
      </c>
      <c r="E2680" s="79"/>
      <c r="F2680" s="81"/>
      <c r="G2680" s="83"/>
      <c r="H2680" s="95"/>
    </row>
    <row r="2681" spans="1:29">
      <c r="A2681" t="s">
        <v>7141</v>
      </c>
      <c r="B2681" s="42" t="str">
        <f>IF(ISNUMBER(SEARCH(E2681,A2681)),A2681,IF(OR(E2681="",E2681=""),A2681,A2681&amp;" - "&amp;E2681))</f>
        <v>THC AKUT FB 27 AM Animal Mintz - Animal Mints</v>
      </c>
      <c r="C2681" t="s">
        <v>4625</v>
      </c>
      <c r="D2681" t="s">
        <v>160</v>
      </c>
      <c r="E2681" t="s">
        <v>3322</v>
      </c>
      <c r="F2681" t="s">
        <v>86</v>
      </c>
      <c r="G2681" t="s">
        <v>33</v>
      </c>
      <c r="H2681" t="s">
        <v>65</v>
      </c>
      <c r="I2681" t="s">
        <v>0</v>
      </c>
      <c r="J2681" t="s">
        <v>0</v>
      </c>
      <c r="K2681" t="s">
        <v>52</v>
      </c>
      <c r="L2681" t="s">
        <v>497</v>
      </c>
      <c r="M2681" t="s">
        <v>121</v>
      </c>
      <c r="N2681" t="s">
        <v>103</v>
      </c>
      <c r="O2681" t="s">
        <v>72</v>
      </c>
      <c r="P2681" t="s">
        <v>112</v>
      </c>
      <c r="Q2681" t="s">
        <v>89</v>
      </c>
      <c r="R2681" t="s">
        <v>0</v>
      </c>
      <c r="S2681" t="s">
        <v>106</v>
      </c>
      <c r="T2681" t="s">
        <v>62</v>
      </c>
      <c r="U2681" t="s">
        <v>147</v>
      </c>
      <c r="V2681" t="s">
        <v>79</v>
      </c>
      <c r="W2681" t="s">
        <v>116</v>
      </c>
      <c r="X2681" t="s">
        <v>77</v>
      </c>
      <c r="Y2681" t="s">
        <v>1175</v>
      </c>
      <c r="Z2681" t="s">
        <v>64</v>
      </c>
      <c r="AA2681" t="s">
        <v>160</v>
      </c>
      <c r="AB2681" t="s">
        <v>0</v>
      </c>
      <c r="AC2681" t="s">
        <v>7069</v>
      </c>
    </row>
    <row r="2682" spans="1:29">
      <c r="A2682" t="s">
        <v>7070</v>
      </c>
      <c r="B2682" s="42" t="str">
        <f>IF(ISNUMBER(SEARCH(E2682,A2682)),A2682,IF(OR(E2682="",E2682=""),A2682,A2682&amp;" - "&amp;E2682))</f>
        <v>IMC HW THC18 TOKEN - Hollywood</v>
      </c>
      <c r="C2682" t="s">
        <v>646</v>
      </c>
      <c r="D2682" t="s">
        <v>646</v>
      </c>
      <c r="E2682" s="79" t="s">
        <v>5298</v>
      </c>
      <c r="F2682" s="81" t="s">
        <v>144</v>
      </c>
      <c r="G2682" s="83" t="s">
        <v>8</v>
      </c>
      <c r="H2682" s="95" t="s">
        <v>65</v>
      </c>
      <c r="I2682" t="s">
        <v>0</v>
      </c>
      <c r="J2682" t="s">
        <v>0</v>
      </c>
      <c r="K2682" t="s">
        <v>52</v>
      </c>
      <c r="L2682" t="s">
        <v>53</v>
      </c>
      <c r="M2682" t="s">
        <v>121</v>
      </c>
      <c r="N2682" t="s">
        <v>178</v>
      </c>
      <c r="O2682" t="s">
        <v>72</v>
      </c>
      <c r="P2682" t="s">
        <v>75</v>
      </c>
      <c r="Q2682" t="s">
        <v>59</v>
      </c>
      <c r="R2682" t="s">
        <v>74</v>
      </c>
      <c r="S2682" t="s">
        <v>128</v>
      </c>
      <c r="T2682" t="s">
        <v>62</v>
      </c>
      <c r="U2682" t="s">
        <v>115</v>
      </c>
      <c r="V2682" t="s">
        <v>116</v>
      </c>
      <c r="W2682" t="s">
        <v>93</v>
      </c>
      <c r="X2682" t="s">
        <v>0</v>
      </c>
      <c r="Y2682" t="s">
        <v>453</v>
      </c>
      <c r="Z2682" t="s">
        <v>64</v>
      </c>
      <c r="AA2682" t="s">
        <v>646</v>
      </c>
      <c r="AB2682" t="s">
        <v>0</v>
      </c>
      <c r="AC2682" t="s">
        <v>7071</v>
      </c>
    </row>
    <row r="2683" spans="1:29">
      <c r="A2683" t="s">
        <v>7072</v>
      </c>
      <c r="B2683" s="42" t="str">
        <f>IF(ISNUMBER(SEARCH(E2683,A2683)),A2683,IF(OR(E2683="",E2683=""),A2683,A2683&amp;" - "&amp;E2683))</f>
        <v>IMC KAU THC25 Token - Cali Pink</v>
      </c>
      <c r="C2683" t="s">
        <v>646</v>
      </c>
      <c r="D2683" t="s">
        <v>646</v>
      </c>
      <c r="E2683" s="79" t="s">
        <v>6981</v>
      </c>
      <c r="F2683" s="81" t="s">
        <v>177</v>
      </c>
      <c r="G2683" s="83" t="s">
        <v>26</v>
      </c>
      <c r="H2683" s="95" t="s">
        <v>65</v>
      </c>
      <c r="I2683" t="s">
        <v>0</v>
      </c>
      <c r="J2683" t="s">
        <v>0</v>
      </c>
      <c r="K2683" t="s">
        <v>52</v>
      </c>
      <c r="L2683" t="s">
        <v>53</v>
      </c>
      <c r="M2683" t="s">
        <v>121</v>
      </c>
      <c r="N2683" t="s">
        <v>72</v>
      </c>
      <c r="O2683" t="s">
        <v>71</v>
      </c>
      <c r="P2683" t="s">
        <v>75</v>
      </c>
      <c r="Q2683" t="s">
        <v>136</v>
      </c>
      <c r="R2683" t="s">
        <v>58</v>
      </c>
      <c r="S2683" t="s">
        <v>106</v>
      </c>
      <c r="T2683" t="s">
        <v>62</v>
      </c>
      <c r="U2683" t="s">
        <v>147</v>
      </c>
      <c r="V2683" t="s">
        <v>138</v>
      </c>
      <c r="W2683" t="s">
        <v>165</v>
      </c>
      <c r="X2683" t="s">
        <v>107</v>
      </c>
      <c r="Y2683" t="s">
        <v>6991</v>
      </c>
      <c r="Z2683" t="s">
        <v>64</v>
      </c>
      <c r="AA2683" t="s">
        <v>646</v>
      </c>
      <c r="AB2683" t="s">
        <v>0</v>
      </c>
      <c r="AC2683" t="s">
        <v>7073</v>
      </c>
    </row>
    <row r="2684" spans="1:29">
      <c r="A2684" t="s">
        <v>7074</v>
      </c>
      <c r="B2684" s="42" t="str">
        <f>IF(ISNUMBER(SEARCH(E2684,A2684)),A2684,IF(OR(E2684="",E2684=""),A2684,A2684&amp;" - "&amp;E2684))</f>
        <v>Remexian 27/1 RAS GRT - Green Thunder</v>
      </c>
      <c r="C2684" t="s">
        <v>83</v>
      </c>
      <c r="D2684" t="s">
        <v>95</v>
      </c>
      <c r="E2684" s="9" t="s">
        <v>6826</v>
      </c>
      <c r="F2684" s="1" t="s">
        <v>177</v>
      </c>
      <c r="G2684" s="8" t="s">
        <v>33</v>
      </c>
      <c r="H2684" s="7" t="s">
        <v>65</v>
      </c>
      <c r="I2684" t="s">
        <v>0</v>
      </c>
      <c r="J2684" t="s">
        <v>0</v>
      </c>
      <c r="K2684" t="s">
        <v>52</v>
      </c>
      <c r="L2684" t="s">
        <v>497</v>
      </c>
      <c r="M2684" t="s">
        <v>72</v>
      </c>
      <c r="N2684" t="s">
        <v>71</v>
      </c>
      <c r="O2684" t="s">
        <v>111</v>
      </c>
      <c r="P2684" t="s">
        <v>75</v>
      </c>
      <c r="Q2684" t="s">
        <v>59</v>
      </c>
      <c r="R2684" t="s">
        <v>89</v>
      </c>
      <c r="S2684" t="s">
        <v>62</v>
      </c>
      <c r="T2684" t="s">
        <v>147</v>
      </c>
      <c r="U2684" t="s">
        <v>192</v>
      </c>
      <c r="V2684" t="s">
        <v>77</v>
      </c>
      <c r="W2684" t="s">
        <v>165</v>
      </c>
      <c r="X2684" t="s">
        <v>79</v>
      </c>
      <c r="Y2684" t="s">
        <v>1139</v>
      </c>
      <c r="Z2684" t="s">
        <v>64</v>
      </c>
      <c r="AA2684" t="s">
        <v>95</v>
      </c>
      <c r="AB2684" t="s">
        <v>0</v>
      </c>
      <c r="AC2684" t="s">
        <v>7075</v>
      </c>
    </row>
    <row r="2685" spans="1:29">
      <c r="A2685" t="s">
        <v>7076</v>
      </c>
      <c r="B2685" s="5" t="str">
        <f>IF(ISNUMBER(SEARCH(E2685,A2685)),A2685,IF(OR(E2685="",E2685=""),A2685,A2685&amp;" - "&amp;E2685))</f>
        <v>Sibanax GMO Zkittlez 24/1</v>
      </c>
      <c r="C2685" t="s">
        <v>2296</v>
      </c>
      <c r="D2685" t="s">
        <v>2298</v>
      </c>
      <c r="E2685" s="79" t="s">
        <v>3335</v>
      </c>
      <c r="F2685" s="81" t="s">
        <v>177</v>
      </c>
      <c r="G2685" s="83" t="s">
        <v>448</v>
      </c>
      <c r="H2685" s="95" t="s">
        <v>65</v>
      </c>
      <c r="I2685" t="s">
        <v>0</v>
      </c>
      <c r="J2685" t="s">
        <v>0</v>
      </c>
      <c r="K2685" t="s">
        <v>52</v>
      </c>
      <c r="L2685" t="s">
        <v>87</v>
      </c>
      <c r="M2685" t="s">
        <v>72</v>
      </c>
      <c r="N2685" t="s">
        <v>88</v>
      </c>
      <c r="O2685" t="s">
        <v>71</v>
      </c>
      <c r="P2685" t="s">
        <v>104</v>
      </c>
      <c r="Q2685" t="s">
        <v>74</v>
      </c>
      <c r="R2685" t="s">
        <v>73</v>
      </c>
      <c r="S2685" t="s">
        <v>90</v>
      </c>
      <c r="T2685" t="s">
        <v>128</v>
      </c>
      <c r="U2685" t="s">
        <v>106</v>
      </c>
      <c r="V2685" t="s">
        <v>107</v>
      </c>
      <c r="W2685" t="s">
        <v>77</v>
      </c>
      <c r="X2685" t="s">
        <v>116</v>
      </c>
      <c r="Y2685" t="s">
        <v>1175</v>
      </c>
      <c r="Z2685" t="s">
        <v>64</v>
      </c>
      <c r="AA2685" t="s">
        <v>2298</v>
      </c>
      <c r="AB2685" t="s">
        <v>0</v>
      </c>
      <c r="AC2685" t="s">
        <v>7077</v>
      </c>
    </row>
    <row r="2686" spans="1:29">
      <c r="A2686" t="s">
        <v>7078</v>
      </c>
      <c r="B2686" s="42" t="str">
        <f>IF(ISNUMBER(SEARCH(E2686,A2686)),A2686,IF(OR(E2686="",E2686=""),A2686,A2686&amp;" - "&amp;E2686))</f>
        <v>NICE 18/1 SEC - Secret Cookies</v>
      </c>
      <c r="C2686" t="s">
        <v>996</v>
      </c>
      <c r="D2686" t="s">
        <v>997</v>
      </c>
      <c r="E2686" s="79" t="s">
        <v>7079</v>
      </c>
      <c r="F2686" s="81" t="s">
        <v>86</v>
      </c>
      <c r="G2686" s="83" t="s">
        <v>8</v>
      </c>
      <c r="H2686" s="95" t="s">
        <v>65</v>
      </c>
      <c r="I2686" t="s">
        <v>0</v>
      </c>
      <c r="J2686" t="s">
        <v>0</v>
      </c>
      <c r="K2686" t="s">
        <v>52</v>
      </c>
      <c r="L2686" t="s">
        <v>102</v>
      </c>
      <c r="M2686" t="s">
        <v>121</v>
      </c>
      <c r="N2686" t="s">
        <v>72</v>
      </c>
      <c r="O2686" t="s">
        <v>71</v>
      </c>
      <c r="P2686" t="s">
        <v>73</v>
      </c>
      <c r="Q2686" t="s">
        <v>59</v>
      </c>
      <c r="R2686" t="s">
        <v>75</v>
      </c>
      <c r="S2686" t="s">
        <v>62</v>
      </c>
      <c r="T2686" t="s">
        <v>123</v>
      </c>
      <c r="U2686" t="s">
        <v>192</v>
      </c>
      <c r="V2686" t="s">
        <v>116</v>
      </c>
      <c r="W2686" t="s">
        <v>208</v>
      </c>
      <c r="X2686" t="s">
        <v>107</v>
      </c>
      <c r="Y2686" t="s">
        <v>1128</v>
      </c>
      <c r="Z2686" t="s">
        <v>64</v>
      </c>
      <c r="AA2686" t="s">
        <v>997</v>
      </c>
      <c r="AB2686" t="s">
        <v>0</v>
      </c>
      <c r="AC2686" t="s">
        <v>7080</v>
      </c>
    </row>
    <row r="2687" spans="1:29">
      <c r="A2687" t="s">
        <v>7088</v>
      </c>
      <c r="B2687" s="42" t="str">
        <f>IF(ISNUMBER(SEARCH(E2687,A2687)),A2687,IF(OR(E2687="",E2687=""),A2687,A2687&amp;" - "&amp;E2687))</f>
        <v>ZOIKS 26/1 GCK - GG4 x Critical Kush</v>
      </c>
      <c r="C2687" t="s">
        <v>569</v>
      </c>
      <c r="D2687" t="s">
        <v>570</v>
      </c>
      <c r="E2687" s="79" t="s">
        <v>6094</v>
      </c>
      <c r="F2687" s="81" t="s">
        <v>177</v>
      </c>
      <c r="G2687" s="83" t="s">
        <v>4086</v>
      </c>
      <c r="H2687" s="95" t="s">
        <v>65</v>
      </c>
      <c r="I2687" t="s">
        <v>0</v>
      </c>
      <c r="J2687" t="s">
        <v>0</v>
      </c>
      <c r="K2687" t="s">
        <v>52</v>
      </c>
      <c r="L2687" t="s">
        <v>53</v>
      </c>
      <c r="M2687" t="s">
        <v>72</v>
      </c>
      <c r="N2687" t="s">
        <v>121</v>
      </c>
      <c r="O2687" t="s">
        <v>0</v>
      </c>
      <c r="P2687" t="s">
        <v>75</v>
      </c>
      <c r="Q2687" t="s">
        <v>146</v>
      </c>
      <c r="R2687" t="s">
        <v>591</v>
      </c>
      <c r="S2687" t="s">
        <v>106</v>
      </c>
      <c r="T2687" t="s">
        <v>62</v>
      </c>
      <c r="U2687" t="s">
        <v>147</v>
      </c>
      <c r="V2687" t="s">
        <v>116</v>
      </c>
      <c r="W2687" t="s">
        <v>77</v>
      </c>
      <c r="X2687" t="s">
        <v>138</v>
      </c>
      <c r="Y2687" t="s">
        <v>413</v>
      </c>
      <c r="Z2687" t="s">
        <v>64</v>
      </c>
      <c r="AA2687" t="s">
        <v>570</v>
      </c>
      <c r="AB2687" t="s">
        <v>0</v>
      </c>
      <c r="AC2687" t="s">
        <v>7089</v>
      </c>
    </row>
    <row r="2688" spans="1:29">
      <c r="A2688" t="s">
        <v>7100</v>
      </c>
      <c r="B2688" s="42" t="str">
        <f>IF(ISNUMBER(SEARCH(E2688,A2688)),A2688,IF(OR(E2688="",E2688=""),A2688,A2688&amp;" - "&amp;E2688))</f>
        <v>Remexian 30/1 PGF WRZ - White Runtz</v>
      </c>
      <c r="C2688" t="s">
        <v>83</v>
      </c>
      <c r="D2688" t="s">
        <v>95</v>
      </c>
      <c r="E2688" s="9" t="s">
        <v>445</v>
      </c>
      <c r="F2688" s="1" t="s">
        <v>86</v>
      </c>
      <c r="G2688" s="8" t="s">
        <v>4057</v>
      </c>
      <c r="H2688" s="7" t="s">
        <v>65</v>
      </c>
      <c r="I2688" t="s">
        <v>0</v>
      </c>
      <c r="J2688" t="s">
        <v>0</v>
      </c>
      <c r="K2688" t="s">
        <v>52</v>
      </c>
      <c r="L2688" t="s">
        <v>53</v>
      </c>
      <c r="M2688" t="s">
        <v>156</v>
      </c>
      <c r="N2688" t="s">
        <v>88</v>
      </c>
      <c r="O2688" t="s">
        <v>72</v>
      </c>
      <c r="P2688" t="s">
        <v>89</v>
      </c>
      <c r="Q2688" t="s">
        <v>58</v>
      </c>
      <c r="R2688" t="s">
        <v>75</v>
      </c>
      <c r="S2688" t="s">
        <v>106</v>
      </c>
      <c r="T2688" t="s">
        <v>62</v>
      </c>
      <c r="U2688" t="s">
        <v>123</v>
      </c>
      <c r="V2688" t="s">
        <v>77</v>
      </c>
      <c r="W2688" t="s">
        <v>79</v>
      </c>
      <c r="X2688" t="s">
        <v>173</v>
      </c>
      <c r="Y2688" t="s">
        <v>188</v>
      </c>
      <c r="Z2688" t="s">
        <v>64</v>
      </c>
      <c r="AA2688" t="s">
        <v>95</v>
      </c>
      <c r="AB2688" t="s">
        <v>6829</v>
      </c>
      <c r="AC2688" t="s">
        <v>7101</v>
      </c>
    </row>
    <row r="2689" spans="1:29">
      <c r="A2689" t="s">
        <v>7092</v>
      </c>
      <c r="B2689" s="42" t="str">
        <f>IF(ISNUMBER(SEARCH(E2689,A2689)),A2689,IF(OR(E2689="",E2689=""),A2689,A2689&amp;" - "&amp;E2689))</f>
        <v>NICE 30/1 LK - Lemon Kush</v>
      </c>
      <c r="C2689" t="s">
        <v>996</v>
      </c>
      <c r="D2689" t="s">
        <v>997</v>
      </c>
      <c r="E2689" s="9" t="s">
        <v>6953</v>
      </c>
      <c r="F2689" s="1" t="s">
        <v>144</v>
      </c>
      <c r="G2689" s="8" t="s">
        <v>4057</v>
      </c>
      <c r="H2689" s="7" t="s">
        <v>65</v>
      </c>
      <c r="I2689" t="s">
        <v>0</v>
      </c>
      <c r="J2689" t="s">
        <v>0</v>
      </c>
      <c r="K2689" t="s">
        <v>52</v>
      </c>
      <c r="L2689" t="s">
        <v>53</v>
      </c>
      <c r="M2689" t="s">
        <v>121</v>
      </c>
      <c r="N2689" t="s">
        <v>72</v>
      </c>
      <c r="O2689" t="s">
        <v>71</v>
      </c>
      <c r="P2689" t="s">
        <v>74</v>
      </c>
      <c r="Q2689" t="s">
        <v>104</v>
      </c>
      <c r="R2689" t="s">
        <v>59</v>
      </c>
      <c r="S2689" t="s">
        <v>90</v>
      </c>
      <c r="T2689" t="s">
        <v>106</v>
      </c>
      <c r="U2689" t="s">
        <v>62</v>
      </c>
      <c r="V2689" t="s">
        <v>107</v>
      </c>
      <c r="W2689" t="s">
        <v>116</v>
      </c>
      <c r="X2689" t="s">
        <v>0</v>
      </c>
      <c r="Y2689" t="s">
        <v>188</v>
      </c>
      <c r="Z2689" t="s">
        <v>64</v>
      </c>
      <c r="AA2689" t="s">
        <v>997</v>
      </c>
      <c r="AB2689" t="s">
        <v>0</v>
      </c>
      <c r="AC2689" t="s">
        <v>7093</v>
      </c>
    </row>
    <row r="2690" spans="1:29">
      <c r="A2690" t="s">
        <v>7110</v>
      </c>
      <c r="B2690" s="42" t="str">
        <f>IF(ISNUMBER(SEARCH(E2690,A2690)),A2690,IF(OR(E2690="",E2690=""),A2690,A2690&amp;" - "&amp;E2690))</f>
        <v>28/1 IUVO KC - OJ Zainbow</v>
      </c>
      <c r="C2690" t="s">
        <v>5810</v>
      </c>
      <c r="D2690" t="s">
        <v>5811</v>
      </c>
      <c r="E2690" s="79" t="s">
        <v>7111</v>
      </c>
      <c r="F2690" s="81" t="s">
        <v>144</v>
      </c>
      <c r="G2690" s="83" t="s">
        <v>4164</v>
      </c>
      <c r="H2690" s="95" t="s">
        <v>65</v>
      </c>
      <c r="I2690" t="s">
        <v>0</v>
      </c>
      <c r="J2690" t="s">
        <v>0</v>
      </c>
      <c r="K2690" t="s">
        <v>52</v>
      </c>
      <c r="L2690" t="s">
        <v>53</v>
      </c>
      <c r="M2690" t="s">
        <v>54</v>
      </c>
      <c r="N2690" t="s">
        <v>111</v>
      </c>
      <c r="O2690" t="s">
        <v>88</v>
      </c>
      <c r="P2690" t="s">
        <v>89</v>
      </c>
      <c r="Q2690" t="s">
        <v>157</v>
      </c>
      <c r="R2690" t="s">
        <v>74</v>
      </c>
      <c r="S2690" t="s">
        <v>106</v>
      </c>
      <c r="T2690" t="s">
        <v>179</v>
      </c>
      <c r="U2690" t="s">
        <v>76</v>
      </c>
      <c r="V2690" t="s">
        <v>79</v>
      </c>
      <c r="W2690" t="s">
        <v>138</v>
      </c>
      <c r="X2690" t="s">
        <v>77</v>
      </c>
      <c r="Y2690" t="s">
        <v>331</v>
      </c>
      <c r="Z2690" t="s">
        <v>64</v>
      </c>
      <c r="AA2690" t="s">
        <v>5811</v>
      </c>
      <c r="AB2690" t="s">
        <v>0</v>
      </c>
      <c r="AC2690" t="s">
        <v>7112</v>
      </c>
    </row>
    <row r="2691" spans="1:29">
      <c r="A2691" t="s">
        <v>7102</v>
      </c>
      <c r="B2691" s="42" t="str">
        <f>IF(ISNUMBER(SEARCH(E2691,A2691)),A2691,IF(OR(E2691="",E2691=""),A2691,A2691&amp;" - "&amp;E2691))</f>
        <v>Remexian 30/1 GJY CHO - Chocolate Kush</v>
      </c>
      <c r="C2691" t="s">
        <v>83</v>
      </c>
      <c r="D2691" t="s">
        <v>95</v>
      </c>
      <c r="E2691" s="79" t="s">
        <v>7103</v>
      </c>
      <c r="F2691" s="81" t="s">
        <v>177</v>
      </c>
      <c r="G2691" s="83" t="s">
        <v>4057</v>
      </c>
      <c r="H2691" s="95" t="s">
        <v>65</v>
      </c>
      <c r="I2691" t="s">
        <v>0</v>
      </c>
      <c r="J2691" t="s">
        <v>0</v>
      </c>
      <c r="K2691" t="s">
        <v>52</v>
      </c>
      <c r="L2691" t="s">
        <v>53</v>
      </c>
      <c r="M2691" t="s">
        <v>121</v>
      </c>
      <c r="N2691" t="s">
        <v>103</v>
      </c>
      <c r="O2691" t="s">
        <v>71</v>
      </c>
      <c r="P2691" t="s">
        <v>59</v>
      </c>
      <c r="Q2691" t="s">
        <v>591</v>
      </c>
      <c r="R2691" t="s">
        <v>89</v>
      </c>
      <c r="S2691" t="s">
        <v>106</v>
      </c>
      <c r="T2691" t="s">
        <v>62</v>
      </c>
      <c r="U2691" t="s">
        <v>91</v>
      </c>
      <c r="V2691" t="s">
        <v>79</v>
      </c>
      <c r="W2691" t="s">
        <v>116</v>
      </c>
      <c r="X2691" t="s">
        <v>138</v>
      </c>
      <c r="Y2691" t="s">
        <v>314</v>
      </c>
      <c r="Z2691" t="s">
        <v>64</v>
      </c>
      <c r="AA2691" t="s">
        <v>95</v>
      </c>
      <c r="AB2691" t="s">
        <v>4961</v>
      </c>
      <c r="AC2691" t="s">
        <v>7104</v>
      </c>
    </row>
    <row r="2692" spans="1:29">
      <c r="A2692" t="s">
        <v>7081</v>
      </c>
      <c r="B2692" s="42" t="str">
        <f>IF(ISNUMBER(SEARCH(E2692,A2692)),A2692,IF(OR(E2692="",E2692=""),A2692,A2692&amp;" - "&amp;E2692))</f>
        <v>NICE 13/1 SD - Sour Diesel</v>
      </c>
      <c r="C2692" t="s">
        <v>996</v>
      </c>
      <c r="D2692" t="s">
        <v>997</v>
      </c>
      <c r="E2692" s="79" t="s">
        <v>256</v>
      </c>
      <c r="F2692" s="81" t="s">
        <v>144</v>
      </c>
      <c r="G2692" s="83" t="s">
        <v>6</v>
      </c>
      <c r="H2692" s="95" t="s">
        <v>65</v>
      </c>
      <c r="I2692" t="s">
        <v>0</v>
      </c>
      <c r="J2692" t="s">
        <v>0</v>
      </c>
      <c r="K2692" t="s">
        <v>52</v>
      </c>
      <c r="L2692" t="s">
        <v>102</v>
      </c>
      <c r="M2692" t="s">
        <v>88</v>
      </c>
      <c r="N2692" t="s">
        <v>156</v>
      </c>
      <c r="O2692" t="s">
        <v>111</v>
      </c>
      <c r="P2692" t="s">
        <v>74</v>
      </c>
      <c r="Q2692" t="s">
        <v>75</v>
      </c>
      <c r="R2692" t="s">
        <v>73</v>
      </c>
      <c r="S2692" t="s">
        <v>106</v>
      </c>
      <c r="T2692" t="s">
        <v>62</v>
      </c>
      <c r="U2692" t="s">
        <v>147</v>
      </c>
      <c r="V2692" t="s">
        <v>77</v>
      </c>
      <c r="W2692" t="s">
        <v>457</v>
      </c>
      <c r="X2692" t="s">
        <v>292</v>
      </c>
      <c r="Y2692" t="s">
        <v>1090</v>
      </c>
      <c r="Z2692" t="s">
        <v>64</v>
      </c>
      <c r="AA2692" t="s">
        <v>997</v>
      </c>
      <c r="AB2692" t="s">
        <v>0</v>
      </c>
      <c r="AC2692" t="s">
        <v>7082</v>
      </c>
    </row>
    <row r="2693" spans="1:29">
      <c r="A2693" t="s">
        <v>7098</v>
      </c>
      <c r="B2693" s="42" t="str">
        <f>IF(ISNUMBER(SEARCH(E2693,A2693)),A2693,IF(OR(E2693="",E2693=""),A2693,A2693&amp;" - "&amp;E2693))</f>
        <v>Remexian 36/1 HMA LPP - Lemon Pepper Punch</v>
      </c>
      <c r="C2693" t="s">
        <v>83</v>
      </c>
      <c r="D2693" t="s">
        <v>95</v>
      </c>
      <c r="E2693" s="79" t="s">
        <v>3266</v>
      </c>
      <c r="F2693" s="81" t="s">
        <v>69</v>
      </c>
      <c r="G2693" s="83" t="s">
        <v>5365</v>
      </c>
      <c r="H2693" s="95" t="s">
        <v>65</v>
      </c>
      <c r="I2693" t="s">
        <v>0</v>
      </c>
      <c r="J2693" t="s">
        <v>0</v>
      </c>
      <c r="K2693" t="s">
        <v>52</v>
      </c>
      <c r="L2693" t="s">
        <v>53</v>
      </c>
      <c r="M2693" t="s">
        <v>103</v>
      </c>
      <c r="N2693" t="s">
        <v>55</v>
      </c>
      <c r="O2693" t="s">
        <v>72</v>
      </c>
      <c r="P2693" t="s">
        <v>73</v>
      </c>
      <c r="Q2693" t="s">
        <v>59</v>
      </c>
      <c r="R2693" t="s">
        <v>75</v>
      </c>
      <c r="S2693" t="s">
        <v>106</v>
      </c>
      <c r="T2693" t="s">
        <v>62</v>
      </c>
      <c r="U2693" t="s">
        <v>123</v>
      </c>
      <c r="V2693" t="s">
        <v>116</v>
      </c>
      <c r="W2693" t="s">
        <v>79</v>
      </c>
      <c r="X2693" t="s">
        <v>138</v>
      </c>
      <c r="Y2693" t="s">
        <v>1730</v>
      </c>
      <c r="Z2693" t="s">
        <v>64</v>
      </c>
      <c r="AA2693" t="s">
        <v>95</v>
      </c>
      <c r="AB2693" t="s">
        <v>5289</v>
      </c>
      <c r="AC2693" t="s">
        <v>7099</v>
      </c>
    </row>
    <row r="2694" spans="1:29">
      <c r="A2694" t="s">
        <v>7094</v>
      </c>
      <c r="B2694" s="42" t="str">
        <f>IF(ISNUMBER(SEARCH(E2694,A2694)),A2694,IF(OR(E2694="",E2694=""),A2694,A2694&amp;" - "&amp;E2694))</f>
        <v>Canify Cannabis Flos 25/1 ES Ku. - LA Kush Cake</v>
      </c>
      <c r="C2694" t="s">
        <v>99</v>
      </c>
      <c r="D2694" t="s">
        <v>100</v>
      </c>
      <c r="E2694" s="79" t="s">
        <v>578</v>
      </c>
      <c r="F2694" s="81" t="s">
        <v>86</v>
      </c>
      <c r="G2694" s="83" t="s">
        <v>26</v>
      </c>
      <c r="H2694" s="95" t="s">
        <v>65</v>
      </c>
      <c r="I2694" t="s">
        <v>0</v>
      </c>
      <c r="J2694" t="s">
        <v>0</v>
      </c>
      <c r="K2694" t="s">
        <v>52</v>
      </c>
      <c r="L2694" t="s">
        <v>423</v>
      </c>
      <c r="M2694" t="s">
        <v>156</v>
      </c>
      <c r="N2694" t="s">
        <v>121</v>
      </c>
      <c r="O2694" t="s">
        <v>72</v>
      </c>
      <c r="P2694" t="s">
        <v>112</v>
      </c>
      <c r="Q2694" t="s">
        <v>59</v>
      </c>
      <c r="R2694" t="s">
        <v>57</v>
      </c>
      <c r="S2694" t="s">
        <v>106</v>
      </c>
      <c r="T2694" t="s">
        <v>62</v>
      </c>
      <c r="U2694" t="s">
        <v>147</v>
      </c>
      <c r="V2694" t="s">
        <v>107</v>
      </c>
      <c r="W2694" t="s">
        <v>79</v>
      </c>
      <c r="X2694" t="s">
        <v>173</v>
      </c>
      <c r="Y2694" t="s">
        <v>1812</v>
      </c>
      <c r="Z2694" t="s">
        <v>64</v>
      </c>
      <c r="AA2694" t="s">
        <v>100</v>
      </c>
      <c r="AB2694" t="s">
        <v>0</v>
      </c>
      <c r="AC2694" t="s">
        <v>7095</v>
      </c>
    </row>
    <row r="2695" spans="1:29">
      <c r="A2695" t="s">
        <v>7084</v>
      </c>
      <c r="B2695" s="42" t="str">
        <f>IF(ISNUMBER(SEARCH(E2695,A2695)),A2695,IF(OR(E2695="",E2695=""),A2695,A2695&amp;" - "&amp;E2695))</f>
        <v>Mediprocan Lunaris 25/1 - Lava Cake</v>
      </c>
      <c r="C2695" t="s">
        <v>317</v>
      </c>
      <c r="D2695" t="s">
        <v>320</v>
      </c>
      <c r="E2695" t="s">
        <v>319</v>
      </c>
      <c r="F2695" t="s">
        <v>120</v>
      </c>
      <c r="G2695" t="s">
        <v>26</v>
      </c>
      <c r="H2695" s="7" t="s">
        <v>65</v>
      </c>
      <c r="I2695" t="s">
        <v>0</v>
      </c>
      <c r="J2695" t="s">
        <v>0</v>
      </c>
      <c r="K2695" t="s">
        <v>52</v>
      </c>
      <c r="L2695" t="s">
        <v>102</v>
      </c>
      <c r="M2695" t="s">
        <v>72</v>
      </c>
      <c r="N2695" t="s">
        <v>0</v>
      </c>
      <c r="O2695" t="s">
        <v>0</v>
      </c>
      <c r="P2695" t="s">
        <v>112</v>
      </c>
      <c r="Q2695" t="s">
        <v>57</v>
      </c>
      <c r="R2695" t="s">
        <v>89</v>
      </c>
      <c r="S2695" t="s">
        <v>62</v>
      </c>
      <c r="T2695" t="s">
        <v>0</v>
      </c>
      <c r="U2695" t="s">
        <v>0</v>
      </c>
      <c r="V2695" t="s">
        <v>173</v>
      </c>
      <c r="W2695" t="s">
        <v>77</v>
      </c>
      <c r="X2695" t="s">
        <v>107</v>
      </c>
      <c r="Y2695" t="s">
        <v>0</v>
      </c>
      <c r="Z2695" t="s">
        <v>64</v>
      </c>
      <c r="AA2695" t="s">
        <v>320</v>
      </c>
      <c r="AB2695" t="s">
        <v>0</v>
      </c>
      <c r="AC2695" t="s">
        <v>7085</v>
      </c>
    </row>
    <row r="2696" spans="1:29">
      <c r="A2696" t="s">
        <v>7086</v>
      </c>
      <c r="B2696" s="42" t="str">
        <f>IF(ISNUMBER(SEARCH(E2696,A2696)),A2696,IF(OR(E2696="",E2696=""),A2696,A2696&amp;" - "&amp;E2696))</f>
        <v>Wellford Aquaponic 26/1 PIK - Pink Kush</v>
      </c>
      <c r="C2696" t="s">
        <v>741</v>
      </c>
      <c r="D2696" t="s">
        <v>742</v>
      </c>
      <c r="E2696" s="9" t="s">
        <v>101</v>
      </c>
      <c r="F2696" s="1" t="s">
        <v>120</v>
      </c>
      <c r="G2696" s="8" t="s">
        <v>4086</v>
      </c>
      <c r="H2696" s="7" t="s">
        <v>65</v>
      </c>
      <c r="I2696" t="s">
        <v>0</v>
      </c>
      <c r="J2696" t="s">
        <v>0</v>
      </c>
      <c r="K2696" t="s">
        <v>52</v>
      </c>
      <c r="L2696" t="s">
        <v>53</v>
      </c>
      <c r="M2696" t="s">
        <v>88</v>
      </c>
      <c r="N2696" t="s">
        <v>71</v>
      </c>
      <c r="O2696" t="s">
        <v>121</v>
      </c>
      <c r="P2696" t="s">
        <v>89</v>
      </c>
      <c r="Q2696" t="s">
        <v>104</v>
      </c>
      <c r="R2696" t="s">
        <v>74</v>
      </c>
      <c r="S2696" t="s">
        <v>106</v>
      </c>
      <c r="T2696" t="s">
        <v>76</v>
      </c>
      <c r="U2696" t="s">
        <v>62</v>
      </c>
      <c r="V2696" t="s">
        <v>107</v>
      </c>
      <c r="W2696" t="s">
        <v>77</v>
      </c>
      <c r="X2696" t="s">
        <v>79</v>
      </c>
      <c r="Y2696" t="s">
        <v>0</v>
      </c>
      <c r="Z2696" t="s">
        <v>64</v>
      </c>
      <c r="AA2696" t="s">
        <v>742</v>
      </c>
      <c r="AB2696" t="s">
        <v>979</v>
      </c>
      <c r="AC2696" t="s">
        <v>7087</v>
      </c>
    </row>
    <row r="2697" spans="1:29">
      <c r="A2697" t="s">
        <v>7090</v>
      </c>
      <c r="B2697" s="42" t="str">
        <f>IF(ISNUMBER(SEARCH(E2697,A2697)),A2697,IF(OR(E2697="",E2697=""),A2697,A2697&amp;" - "&amp;E2697))</f>
        <v>HiSociety 24/1 - Deep Breath</v>
      </c>
      <c r="C2697" t="s">
        <v>564</v>
      </c>
      <c r="D2697" t="s">
        <v>565</v>
      </c>
      <c r="E2697" s="9" t="s">
        <v>6777</v>
      </c>
      <c r="F2697" s="1" t="s">
        <v>86</v>
      </c>
      <c r="G2697" s="8" t="s">
        <v>448</v>
      </c>
      <c r="H2697" s="7" t="s">
        <v>65</v>
      </c>
      <c r="I2697" t="s">
        <v>0</v>
      </c>
      <c r="J2697" t="s">
        <v>0</v>
      </c>
      <c r="K2697" t="s">
        <v>52</v>
      </c>
      <c r="L2697" t="s">
        <v>102</v>
      </c>
      <c r="M2697" t="s">
        <v>72</v>
      </c>
      <c r="N2697" t="s">
        <v>54</v>
      </c>
      <c r="O2697" t="s">
        <v>111</v>
      </c>
      <c r="P2697" t="s">
        <v>136</v>
      </c>
      <c r="Q2697" t="s">
        <v>75</v>
      </c>
      <c r="R2697" t="s">
        <v>59</v>
      </c>
      <c r="S2697" t="s">
        <v>106</v>
      </c>
      <c r="T2697" t="s">
        <v>105</v>
      </c>
      <c r="U2697" t="s">
        <v>0</v>
      </c>
      <c r="V2697" t="s">
        <v>79</v>
      </c>
      <c r="W2697" t="s">
        <v>107</v>
      </c>
      <c r="X2697" t="s">
        <v>93</v>
      </c>
      <c r="Y2697" t="s">
        <v>0</v>
      </c>
      <c r="Z2697" t="s">
        <v>64</v>
      </c>
      <c r="AA2697" t="s">
        <v>565</v>
      </c>
      <c r="AB2697" t="s">
        <v>0</v>
      </c>
      <c r="AC2697" t="s">
        <v>7091</v>
      </c>
    </row>
    <row r="2698" spans="1:29">
      <c r="A2698" t="s">
        <v>7096</v>
      </c>
      <c r="B2698" s="42" t="str">
        <f>IF(ISNUMBER(SEARCH(E2698,A2698)),A2698,IF(OR(E2698="",E2698=""),A2698,A2698&amp;" - "&amp;E2698))</f>
        <v>Canopy 25/1 Red No. 4 - Afghan Kush</v>
      </c>
      <c r="C2698" t="s">
        <v>547</v>
      </c>
      <c r="D2698" t="s">
        <v>551</v>
      </c>
      <c r="E2698" s="9" t="s">
        <v>549</v>
      </c>
      <c r="F2698" s="1" t="s">
        <v>120</v>
      </c>
      <c r="G2698" s="8" t="s">
        <v>26</v>
      </c>
      <c r="H2698" s="7" t="s">
        <v>65</v>
      </c>
      <c r="I2698" t="s">
        <v>0</v>
      </c>
      <c r="J2698" t="s">
        <v>0</v>
      </c>
      <c r="K2698" t="s">
        <v>17</v>
      </c>
      <c r="L2698" t="s">
        <v>53</v>
      </c>
      <c r="M2698" t="s">
        <v>178</v>
      </c>
      <c r="N2698" t="s">
        <v>121</v>
      </c>
      <c r="O2698" t="s">
        <v>103</v>
      </c>
      <c r="P2698" t="s">
        <v>113</v>
      </c>
      <c r="Q2698" t="s">
        <v>59</v>
      </c>
      <c r="R2698" t="s">
        <v>122</v>
      </c>
      <c r="S2698" t="s">
        <v>61</v>
      </c>
      <c r="T2698" t="s">
        <v>62</v>
      </c>
      <c r="U2698" t="s">
        <v>147</v>
      </c>
      <c r="V2698" t="s">
        <v>107</v>
      </c>
      <c r="W2698" t="s">
        <v>77</v>
      </c>
      <c r="X2698" t="s">
        <v>116</v>
      </c>
      <c r="Y2698" t="s">
        <v>0</v>
      </c>
      <c r="Z2698" t="s">
        <v>64</v>
      </c>
      <c r="AA2698" t="s">
        <v>551</v>
      </c>
      <c r="AB2698" t="s">
        <v>0</v>
      </c>
      <c r="AC2698" t="s">
        <v>7097</v>
      </c>
    </row>
    <row r="2699" spans="1:29">
      <c r="A2699" t="s">
        <v>7046</v>
      </c>
      <c r="B2699" s="42" t="str">
        <f>IF(ISNUMBER(SEARCH(E2699,A2699)),A2699,IF(OR(E2699="",E2699=""),A2699,A2699&amp;" - "&amp;E2699))</f>
        <v>enua 30/1 CDC CA - Chemdawg Cookies</v>
      </c>
      <c r="C2699" t="s">
        <v>650</v>
      </c>
      <c r="D2699" t="s">
        <v>653</v>
      </c>
      <c r="E2699" s="9" t="s">
        <v>7105</v>
      </c>
      <c r="F2699" s="1" t="s">
        <v>177</v>
      </c>
      <c r="G2699" s="8" t="s">
        <v>4057</v>
      </c>
      <c r="H2699" s="7" t="s">
        <v>65</v>
      </c>
      <c r="I2699" t="s">
        <v>0</v>
      </c>
      <c r="J2699" t="s">
        <v>0</v>
      </c>
      <c r="K2699" t="s">
        <v>52</v>
      </c>
      <c r="L2699" t="s">
        <v>53</v>
      </c>
      <c r="M2699" t="s">
        <v>178</v>
      </c>
      <c r="N2699" t="s">
        <v>111</v>
      </c>
      <c r="O2699" t="s">
        <v>88</v>
      </c>
      <c r="P2699" t="s">
        <v>57</v>
      </c>
      <c r="Q2699" t="s">
        <v>59</v>
      </c>
      <c r="R2699" t="s">
        <v>74</v>
      </c>
      <c r="S2699" t="s">
        <v>128</v>
      </c>
      <c r="T2699" t="s">
        <v>61</v>
      </c>
      <c r="U2699" t="s">
        <v>62</v>
      </c>
      <c r="V2699" t="s">
        <v>77</v>
      </c>
      <c r="W2699" t="s">
        <v>107</v>
      </c>
      <c r="X2699" t="s">
        <v>116</v>
      </c>
      <c r="Y2699" t="s">
        <v>631</v>
      </c>
      <c r="Z2699" t="s">
        <v>64</v>
      </c>
      <c r="AA2699" t="s">
        <v>653</v>
      </c>
      <c r="AB2699" t="s">
        <v>0</v>
      </c>
      <c r="AC2699" t="s">
        <v>7106</v>
      </c>
    </row>
    <row r="2700" spans="1:29">
      <c r="A2700" t="s">
        <v>7107</v>
      </c>
      <c r="B2700" s="42" t="str">
        <f>IF(ISNUMBER(SEARCH(E2700,A2700)),A2700,IF(OR(E2700="",E2700=""),A2700,A2700&amp;" - "&amp;E2700))</f>
        <v>1Up 25/1 - Permanent Marker</v>
      </c>
      <c r="C2700" t="s">
        <v>7118</v>
      </c>
      <c r="D2700" t="s">
        <v>7108</v>
      </c>
      <c r="E2700" s="9" t="s">
        <v>327</v>
      </c>
      <c r="F2700" s="1" t="s">
        <v>177</v>
      </c>
      <c r="G2700" s="8" t="s">
        <v>26</v>
      </c>
      <c r="H2700" s="7" t="s">
        <v>65</v>
      </c>
      <c r="I2700" t="s">
        <v>0</v>
      </c>
      <c r="J2700" t="s">
        <v>0</v>
      </c>
      <c r="K2700" t="s">
        <v>52</v>
      </c>
      <c r="L2700" t="s">
        <v>965</v>
      </c>
      <c r="M2700" t="s">
        <v>54</v>
      </c>
      <c r="N2700" t="s">
        <v>111</v>
      </c>
      <c r="O2700" t="s">
        <v>71</v>
      </c>
      <c r="P2700" t="s">
        <v>104</v>
      </c>
      <c r="Q2700" t="s">
        <v>89</v>
      </c>
      <c r="R2700" t="s">
        <v>0</v>
      </c>
      <c r="S2700" t="s">
        <v>128</v>
      </c>
      <c r="T2700" t="s">
        <v>61</v>
      </c>
      <c r="U2700" t="s">
        <v>62</v>
      </c>
      <c r="V2700" t="s">
        <v>116</v>
      </c>
      <c r="W2700" t="s">
        <v>173</v>
      </c>
      <c r="X2700" t="s">
        <v>107</v>
      </c>
      <c r="Y2700" t="s">
        <v>0</v>
      </c>
      <c r="Z2700" t="s">
        <v>64</v>
      </c>
      <c r="AA2700" t="s">
        <v>7108</v>
      </c>
      <c r="AB2700" t="s">
        <v>0</v>
      </c>
      <c r="AC2700" t="s">
        <v>7109</v>
      </c>
    </row>
    <row r="2701" spans="1:29">
      <c r="A2701" t="s">
        <v>7113</v>
      </c>
      <c r="B2701" s="42" t="str">
        <f>IF(ISNUMBER(SEARCH(E2701,A2701)),A2701,IF(OR(E2701="",E2701=""),A2701,A2701&amp;" - "&amp;E2701))</f>
        <v>Canify 23/1 CSF Ku. - Solpina Magic</v>
      </c>
      <c r="C2701" t="s">
        <v>99</v>
      </c>
      <c r="D2701" t="s">
        <v>100</v>
      </c>
      <c r="E2701" s="79" t="s">
        <v>5577</v>
      </c>
      <c r="F2701" s="81" t="s">
        <v>86</v>
      </c>
      <c r="G2701" s="83" t="s">
        <v>436</v>
      </c>
      <c r="H2701" s="95" t="s">
        <v>65</v>
      </c>
      <c r="I2701" t="s">
        <v>0</v>
      </c>
      <c r="J2701" t="s">
        <v>0</v>
      </c>
      <c r="K2701" t="s">
        <v>52</v>
      </c>
      <c r="L2701" t="s">
        <v>53</v>
      </c>
      <c r="M2701" t="s">
        <v>103</v>
      </c>
      <c r="N2701" t="s">
        <v>178</v>
      </c>
      <c r="O2701" t="s">
        <v>71</v>
      </c>
      <c r="P2701" t="s">
        <v>59</v>
      </c>
      <c r="Q2701" t="s">
        <v>75</v>
      </c>
      <c r="R2701" t="s">
        <v>113</v>
      </c>
      <c r="S2701" t="s">
        <v>106</v>
      </c>
      <c r="T2701" t="s">
        <v>62</v>
      </c>
      <c r="U2701" t="s">
        <v>147</v>
      </c>
      <c r="V2701" t="s">
        <v>138</v>
      </c>
      <c r="W2701" t="s">
        <v>107</v>
      </c>
      <c r="X2701" t="s">
        <v>93</v>
      </c>
      <c r="Y2701" t="s">
        <v>1090</v>
      </c>
      <c r="Z2701" t="s">
        <v>64</v>
      </c>
      <c r="AA2701" t="s">
        <v>100</v>
      </c>
      <c r="AB2701" t="s">
        <v>0</v>
      </c>
      <c r="AC2701" t="s">
        <v>7114</v>
      </c>
    </row>
    <row r="2702" spans="1:29">
      <c r="A2702" t="s">
        <v>7115</v>
      </c>
      <c r="B2702" s="42" t="str">
        <f>IF(ISNUMBER(SEARCH(E2702,A2702)),A2702,IF(OR(E2702="",E2702=""),A2702,A2702&amp;" - "&amp;E2702))</f>
        <v>Demecan PS Lean Drop 20/1 - Tropaya Punch</v>
      </c>
      <c r="C2702" t="s">
        <v>484</v>
      </c>
      <c r="D2702" t="s">
        <v>485</v>
      </c>
      <c r="E2702" s="9" t="s">
        <v>7116</v>
      </c>
      <c r="F2702" s="1" t="s">
        <v>86</v>
      </c>
      <c r="G2702" s="8" t="s">
        <v>452</v>
      </c>
      <c r="H2702" s="7" t="s">
        <v>65</v>
      </c>
      <c r="I2702" t="s">
        <v>0</v>
      </c>
      <c r="J2702" t="s">
        <v>0</v>
      </c>
      <c r="K2702" t="s">
        <v>52</v>
      </c>
      <c r="L2702" t="s">
        <v>53</v>
      </c>
      <c r="M2702" t="s">
        <v>88</v>
      </c>
      <c r="N2702" t="s">
        <v>72</v>
      </c>
      <c r="O2702" t="s">
        <v>121</v>
      </c>
      <c r="P2702" t="s">
        <v>59</v>
      </c>
      <c r="Q2702" t="s">
        <v>75</v>
      </c>
      <c r="R2702" t="s">
        <v>58</v>
      </c>
      <c r="S2702" t="s">
        <v>90</v>
      </c>
      <c r="T2702" t="s">
        <v>128</v>
      </c>
      <c r="U2702" t="s">
        <v>62</v>
      </c>
      <c r="V2702" t="s">
        <v>93</v>
      </c>
      <c r="W2702" t="s">
        <v>79</v>
      </c>
      <c r="X2702" t="s">
        <v>116</v>
      </c>
      <c r="Y2702" t="s">
        <v>314</v>
      </c>
      <c r="Z2702" t="s">
        <v>64</v>
      </c>
      <c r="AA2702" t="s">
        <v>485</v>
      </c>
      <c r="AB2702" t="s">
        <v>0</v>
      </c>
      <c r="AC2702" s="101" t="s">
        <v>7117</v>
      </c>
    </row>
    <row r="2703" spans="1:29">
      <c r="A2703" t="s">
        <v>7120</v>
      </c>
      <c r="B2703" s="42" t="str">
        <f>IF(ISNUMBER(SEARCH(E2703,A2703)),A2703,IF(OR(E2703="",E2703=""),A2703,A2703&amp;" - "&amp;E2703))</f>
        <v>NICE 30/1 TRG GMO - Tropical Gelato</v>
      </c>
      <c r="C2703" t="s">
        <v>996</v>
      </c>
      <c r="D2703" t="s">
        <v>997</v>
      </c>
      <c r="E2703" t="s">
        <v>7121</v>
      </c>
      <c r="F2703" t="s">
        <v>69</v>
      </c>
      <c r="G2703" t="s">
        <v>4057</v>
      </c>
      <c r="H2703" t="s">
        <v>65</v>
      </c>
      <c r="I2703" t="s">
        <v>0</v>
      </c>
      <c r="J2703" t="s">
        <v>0</v>
      </c>
      <c r="K2703" t="s">
        <v>52</v>
      </c>
      <c r="L2703" t="s">
        <v>53</v>
      </c>
      <c r="M2703" t="s">
        <v>72</v>
      </c>
      <c r="N2703" t="s">
        <v>54</v>
      </c>
      <c r="O2703" t="s">
        <v>88</v>
      </c>
      <c r="P2703" t="s">
        <v>74</v>
      </c>
      <c r="Q2703" t="s">
        <v>59</v>
      </c>
      <c r="R2703" t="s">
        <v>57</v>
      </c>
      <c r="S2703" t="s">
        <v>90</v>
      </c>
      <c r="T2703" t="s">
        <v>106</v>
      </c>
      <c r="U2703" t="s">
        <v>62</v>
      </c>
      <c r="V2703" t="s">
        <v>292</v>
      </c>
      <c r="W2703" t="s">
        <v>107</v>
      </c>
      <c r="X2703" t="s">
        <v>79</v>
      </c>
      <c r="Y2703" t="s">
        <v>413</v>
      </c>
      <c r="Z2703" t="s">
        <v>64</v>
      </c>
      <c r="AA2703" t="s">
        <v>997</v>
      </c>
      <c r="AB2703" t="s">
        <v>0</v>
      </c>
      <c r="AC2703" t="s">
        <v>7122</v>
      </c>
    </row>
    <row r="2704" spans="1:29">
      <c r="A2704" t="s">
        <v>7123</v>
      </c>
      <c r="B2704" s="42" t="str">
        <f>IF(ISNUMBER(SEARCH(E2704,A2704)),A2704,IF(OR(E2704="",E2704=""),A2704,A2704&amp;" - "&amp;E2704))</f>
        <v>IMC MOB THC19 TOKEN - Motor Breath</v>
      </c>
      <c r="C2704" t="s">
        <v>646</v>
      </c>
      <c r="D2704" t="s">
        <v>646</v>
      </c>
      <c r="E2704" s="9" t="s">
        <v>3103</v>
      </c>
      <c r="F2704" s="1" t="s">
        <v>120</v>
      </c>
      <c r="G2704" s="8" t="s">
        <v>4160</v>
      </c>
      <c r="H2704" s="7" t="s">
        <v>65</v>
      </c>
      <c r="I2704" t="s">
        <v>0</v>
      </c>
      <c r="J2704" t="s">
        <v>0</v>
      </c>
      <c r="K2704" t="s">
        <v>52</v>
      </c>
      <c r="L2704" t="s">
        <v>102</v>
      </c>
      <c r="M2704" t="s">
        <v>178</v>
      </c>
      <c r="N2704" t="s">
        <v>54</v>
      </c>
      <c r="O2704" t="s">
        <v>88</v>
      </c>
      <c r="P2704" t="s">
        <v>146</v>
      </c>
      <c r="Q2704" t="s">
        <v>74</v>
      </c>
      <c r="R2704" t="s">
        <v>73</v>
      </c>
      <c r="S2704" t="s">
        <v>147</v>
      </c>
      <c r="T2704" t="s">
        <v>0</v>
      </c>
      <c r="U2704" t="s">
        <v>0</v>
      </c>
      <c r="V2704" t="s">
        <v>116</v>
      </c>
      <c r="W2704" t="s">
        <v>107</v>
      </c>
      <c r="X2704" t="s">
        <v>77</v>
      </c>
      <c r="Y2704" t="s">
        <v>307</v>
      </c>
      <c r="Z2704" t="s">
        <v>64</v>
      </c>
      <c r="AA2704" t="s">
        <v>646</v>
      </c>
      <c r="AB2704" t="s">
        <v>0</v>
      </c>
      <c r="AC2704" t="s">
        <v>7124</v>
      </c>
    </row>
    <row r="2705" spans="1:29">
      <c r="A2705" t="s">
        <v>7125</v>
      </c>
      <c r="B2705" s="42" t="str">
        <f>IF(ISNUMBER(SEARCH(E2705,A2705)),A2705,IF(OR(E2705="",E2705=""),A2705,A2705&amp;" - "&amp;E2705))</f>
        <v>BG 15 YG COL - Y Griega</v>
      </c>
      <c r="C2705" t="s">
        <v>911</v>
      </c>
      <c r="D2705" t="s">
        <v>912</v>
      </c>
      <c r="E2705" s="9" t="s">
        <v>7126</v>
      </c>
      <c r="F2705" s="1" t="s">
        <v>144</v>
      </c>
      <c r="G2705" s="8" t="s">
        <v>20</v>
      </c>
      <c r="H2705" s="7" t="s">
        <v>65</v>
      </c>
      <c r="I2705" t="s">
        <v>0</v>
      </c>
      <c r="J2705" t="s">
        <v>0</v>
      </c>
      <c r="K2705" t="s">
        <v>52</v>
      </c>
      <c r="L2705" t="s">
        <v>202</v>
      </c>
      <c r="M2705" t="s">
        <v>111</v>
      </c>
      <c r="N2705" t="s">
        <v>88</v>
      </c>
      <c r="O2705" t="s">
        <v>55</v>
      </c>
      <c r="P2705" t="s">
        <v>157</v>
      </c>
      <c r="Q2705" t="s">
        <v>146</v>
      </c>
      <c r="R2705" t="s">
        <v>104</v>
      </c>
      <c r="S2705" t="s">
        <v>90</v>
      </c>
      <c r="T2705" t="s">
        <v>106</v>
      </c>
      <c r="U2705" t="s">
        <v>62</v>
      </c>
      <c r="V2705" t="s">
        <v>93</v>
      </c>
      <c r="W2705" t="s">
        <v>711</v>
      </c>
      <c r="X2705" t="s">
        <v>107</v>
      </c>
      <c r="Y2705" t="s">
        <v>5610</v>
      </c>
      <c r="Z2705" t="s">
        <v>64</v>
      </c>
      <c r="AA2705" t="s">
        <v>912</v>
      </c>
      <c r="AB2705" t="s">
        <v>0</v>
      </c>
      <c r="AC2705" t="s">
        <v>7127</v>
      </c>
    </row>
    <row r="2706" spans="1:29">
      <c r="A2706" t="s">
        <v>7128</v>
      </c>
      <c r="B2706" s="42" t="str">
        <f>IF(ISNUMBER(SEARCH(E2706,A2706)),A2706,IF(OR(E2706="",E2706=""),A2706,A2706&amp;" - "&amp;E2706))</f>
        <v>BG 18 KRK DAY - Kraken</v>
      </c>
      <c r="C2706" t="s">
        <v>911</v>
      </c>
      <c r="D2706" t="s">
        <v>912</v>
      </c>
      <c r="E2706" s="9" t="s">
        <v>7129</v>
      </c>
      <c r="F2706" s="1" t="s">
        <v>177</v>
      </c>
      <c r="G2706" s="8" t="s">
        <v>8</v>
      </c>
      <c r="H2706" s="7" t="s">
        <v>65</v>
      </c>
      <c r="I2706" t="s">
        <v>0</v>
      </c>
      <c r="J2706" t="s">
        <v>0</v>
      </c>
      <c r="K2706" t="s">
        <v>52</v>
      </c>
      <c r="L2706" t="s">
        <v>202</v>
      </c>
      <c r="M2706" t="s">
        <v>178</v>
      </c>
      <c r="N2706" t="s">
        <v>72</v>
      </c>
      <c r="O2706" t="s">
        <v>121</v>
      </c>
      <c r="P2706" t="s">
        <v>75</v>
      </c>
      <c r="Q2706" t="s">
        <v>58</v>
      </c>
      <c r="R2706" t="s">
        <v>157</v>
      </c>
      <c r="S2706" t="s">
        <v>90</v>
      </c>
      <c r="T2706" t="s">
        <v>106</v>
      </c>
      <c r="U2706" t="s">
        <v>147</v>
      </c>
      <c r="V2706" t="s">
        <v>79</v>
      </c>
      <c r="W2706" t="s">
        <v>116</v>
      </c>
      <c r="X2706" t="s">
        <v>107</v>
      </c>
      <c r="Y2706" t="s">
        <v>5613</v>
      </c>
      <c r="Z2706" t="s">
        <v>64</v>
      </c>
      <c r="AA2706" t="s">
        <v>912</v>
      </c>
      <c r="AB2706" t="s">
        <v>0</v>
      </c>
      <c r="AC2706" t="s">
        <v>7130</v>
      </c>
    </row>
    <row r="2707" spans="1:29">
      <c r="A2707" t="s">
        <v>7131</v>
      </c>
      <c r="B2707" s="42" t="str">
        <f>IF(ISNUMBER(SEARCH(E2707,A2707)),A2707,IF(OR(E2707="",E2707=""),A2707,A2707&amp;" - "&amp;E2707))</f>
        <v>BG 22 GPG COL - Grape Gasoline</v>
      </c>
      <c r="C2707" t="s">
        <v>911</v>
      </c>
      <c r="D2707" t="s">
        <v>912</v>
      </c>
      <c r="E2707" s="9" t="s">
        <v>172</v>
      </c>
      <c r="F2707" s="1" t="s">
        <v>86</v>
      </c>
      <c r="G2707" s="8" t="s">
        <v>4126</v>
      </c>
      <c r="H2707" s="7" t="s">
        <v>65</v>
      </c>
      <c r="I2707" t="s">
        <v>0</v>
      </c>
      <c r="J2707" t="s">
        <v>0</v>
      </c>
      <c r="K2707" t="s">
        <v>52</v>
      </c>
      <c r="L2707" t="s">
        <v>202</v>
      </c>
      <c r="M2707" t="s">
        <v>88</v>
      </c>
      <c r="N2707" t="s">
        <v>71</v>
      </c>
      <c r="O2707" t="s">
        <v>55</v>
      </c>
      <c r="P2707" t="s">
        <v>89</v>
      </c>
      <c r="Q2707" t="s">
        <v>73</v>
      </c>
      <c r="R2707" t="s">
        <v>58</v>
      </c>
      <c r="S2707" t="s">
        <v>90</v>
      </c>
      <c r="T2707" t="s">
        <v>106</v>
      </c>
      <c r="U2707" t="s">
        <v>147</v>
      </c>
      <c r="V2707" t="s">
        <v>79</v>
      </c>
      <c r="W2707" t="s">
        <v>77</v>
      </c>
      <c r="X2707" t="s">
        <v>173</v>
      </c>
      <c r="Y2707" t="s">
        <v>453</v>
      </c>
      <c r="Z2707" t="s">
        <v>64</v>
      </c>
      <c r="AA2707" t="s">
        <v>912</v>
      </c>
      <c r="AB2707" t="s">
        <v>0</v>
      </c>
      <c r="AC2707" t="s">
        <v>7132</v>
      </c>
    </row>
    <row r="2708" spans="1:29">
      <c r="A2708" t="s">
        <v>7133</v>
      </c>
      <c r="B2708" s="42" t="str">
        <f>IF(ISNUMBER(SEARCH(E2708,A2708)),A2708,IF(OR(E2708="",E2708=""),A2708,A2708&amp;" - "&amp;E2708))</f>
        <v>bava med 26/1 SOU-DI - Platinum Sour Diesel</v>
      </c>
      <c r="C2708" t="s">
        <v>4180</v>
      </c>
      <c r="D2708" t="s">
        <v>5258</v>
      </c>
      <c r="E2708" s="79" t="s">
        <v>7134</v>
      </c>
      <c r="F2708" s="81" t="s">
        <v>144</v>
      </c>
      <c r="G2708" s="83" t="s">
        <v>4086</v>
      </c>
      <c r="H2708" s="95" t="s">
        <v>65</v>
      </c>
      <c r="I2708" t="s">
        <v>0</v>
      </c>
      <c r="J2708" t="s">
        <v>0</v>
      </c>
      <c r="K2708" t="s">
        <v>52</v>
      </c>
      <c r="L2708" t="s">
        <v>53</v>
      </c>
      <c r="M2708" t="s">
        <v>111</v>
      </c>
      <c r="N2708" t="s">
        <v>88</v>
      </c>
      <c r="O2708" t="s">
        <v>103</v>
      </c>
      <c r="P2708" t="s">
        <v>89</v>
      </c>
      <c r="Q2708" t="s">
        <v>113</v>
      </c>
      <c r="R2708" t="s">
        <v>146</v>
      </c>
      <c r="S2708" t="s">
        <v>62</v>
      </c>
      <c r="T2708" t="s">
        <v>91</v>
      </c>
      <c r="U2708" t="s">
        <v>147</v>
      </c>
      <c r="V2708" t="s">
        <v>292</v>
      </c>
      <c r="W2708" t="s">
        <v>107</v>
      </c>
      <c r="X2708" t="s">
        <v>93</v>
      </c>
      <c r="Y2708" t="s">
        <v>1090</v>
      </c>
      <c r="Z2708" t="s">
        <v>64</v>
      </c>
      <c r="AA2708" t="s">
        <v>5258</v>
      </c>
      <c r="AB2708" t="s">
        <v>0</v>
      </c>
      <c r="AC2708" t="s">
        <v>7135</v>
      </c>
    </row>
    <row r="2709" spans="1:29">
      <c r="A2709" t="s">
        <v>7136</v>
      </c>
      <c r="B2709" s="42" t="str">
        <f>IF(ISNUMBER(SEARCH(E2709,A2709)),A2709,IF(OR(E2709="",E2709=""),A2709,A2709&amp;" - "&amp;E2709))</f>
        <v>BG 18 PBH COL - Panama Haze</v>
      </c>
      <c r="C2709" t="s">
        <v>911</v>
      </c>
      <c r="D2709" t="s">
        <v>912</v>
      </c>
      <c r="E2709" s="9" t="s">
        <v>7137</v>
      </c>
      <c r="F2709" s="1" t="s">
        <v>69</v>
      </c>
      <c r="G2709" s="8" t="s">
        <v>8</v>
      </c>
      <c r="H2709" s="7" t="s">
        <v>65</v>
      </c>
      <c r="I2709" t="s">
        <v>0</v>
      </c>
      <c r="J2709" t="s">
        <v>0</v>
      </c>
      <c r="K2709" t="s">
        <v>52</v>
      </c>
      <c r="L2709" t="s">
        <v>202</v>
      </c>
      <c r="M2709" t="s">
        <v>88</v>
      </c>
      <c r="N2709" t="s">
        <v>121</v>
      </c>
      <c r="O2709" t="s">
        <v>72</v>
      </c>
      <c r="P2709" t="s">
        <v>74</v>
      </c>
      <c r="Q2709" t="s">
        <v>59</v>
      </c>
      <c r="R2709" t="s">
        <v>113</v>
      </c>
      <c r="S2709" t="s">
        <v>106</v>
      </c>
      <c r="T2709" t="s">
        <v>62</v>
      </c>
      <c r="U2709" t="s">
        <v>147</v>
      </c>
      <c r="V2709" t="s">
        <v>292</v>
      </c>
      <c r="W2709" t="s">
        <v>79</v>
      </c>
      <c r="X2709" t="s">
        <v>395</v>
      </c>
      <c r="Y2709" t="s">
        <v>3550</v>
      </c>
      <c r="Z2709" t="s">
        <v>64</v>
      </c>
      <c r="AA2709" t="s">
        <v>912</v>
      </c>
      <c r="AB2709" t="s">
        <v>0</v>
      </c>
      <c r="AC2709" t="s">
        <v>7138</v>
      </c>
    </row>
    <row r="2710" spans="1:29">
      <c r="A2710" t="s">
        <v>7139</v>
      </c>
      <c r="B2710" s="42" t="str">
        <f>IF(ISNUMBER(SEARCH(E2710,A2710)),A2710,IF(OR(E2710="",E2710=""),A2710,A2710&amp;" - "&amp;E2710))</f>
        <v>Demecan PS Lean Drop 22/1 - Tropaya Punch</v>
      </c>
      <c r="C2710" t="s">
        <v>484</v>
      </c>
      <c r="D2710" t="s">
        <v>485</v>
      </c>
      <c r="E2710" s="79" t="s">
        <v>7116</v>
      </c>
      <c r="F2710" s="81" t="s">
        <v>86</v>
      </c>
      <c r="G2710" s="83" t="s">
        <v>4126</v>
      </c>
      <c r="H2710" s="95" t="s">
        <v>65</v>
      </c>
      <c r="I2710" t="s">
        <v>0</v>
      </c>
      <c r="J2710" t="s">
        <v>0</v>
      </c>
      <c r="K2710" t="s">
        <v>52</v>
      </c>
      <c r="L2710" t="s">
        <v>53</v>
      </c>
      <c r="M2710" t="s">
        <v>88</v>
      </c>
      <c r="N2710" t="s">
        <v>72</v>
      </c>
      <c r="O2710" t="s">
        <v>121</v>
      </c>
      <c r="P2710" t="s">
        <v>59</v>
      </c>
      <c r="Q2710" t="s">
        <v>75</v>
      </c>
      <c r="R2710" t="s">
        <v>58</v>
      </c>
      <c r="S2710" t="s">
        <v>90</v>
      </c>
      <c r="T2710" t="s">
        <v>128</v>
      </c>
      <c r="U2710" t="s">
        <v>62</v>
      </c>
      <c r="V2710" t="s">
        <v>93</v>
      </c>
      <c r="W2710" t="s">
        <v>79</v>
      </c>
      <c r="X2710" t="s">
        <v>116</v>
      </c>
      <c r="Y2710" t="s">
        <v>3752</v>
      </c>
      <c r="Z2710" t="s">
        <v>64</v>
      </c>
      <c r="AA2710" t="s">
        <v>485</v>
      </c>
      <c r="AB2710" t="s">
        <v>0</v>
      </c>
      <c r="AC2710" t="s">
        <v>7140</v>
      </c>
    </row>
    <row r="2711" spans="1:29">
      <c r="A2711" t="s">
        <v>5898</v>
      </c>
      <c r="B2711" s="42" t="str">
        <f>IF(ISNUMBER(SEARCH(E2711,A2711)),A2711,IF(OR(E2711="",E2711=""),A2711,A2711&amp;" - "&amp;E2711))</f>
        <v>24/1 IUVO OC - Killer Cupcake</v>
      </c>
      <c r="C2711" t="s">
        <v>5810</v>
      </c>
      <c r="D2711" t="s">
        <v>5811</v>
      </c>
      <c r="E2711" s="79" t="s">
        <v>4630</v>
      </c>
      <c r="F2711" s="81" t="s">
        <v>86</v>
      </c>
      <c r="G2711" s="83" t="s">
        <v>448</v>
      </c>
      <c r="H2711" s="95" t="s">
        <v>65</v>
      </c>
      <c r="I2711" t="s">
        <v>0</v>
      </c>
      <c r="J2711" t="s">
        <v>0</v>
      </c>
      <c r="K2711" t="s">
        <v>52</v>
      </c>
      <c r="L2711" t="s">
        <v>53</v>
      </c>
      <c r="M2711" t="s">
        <v>71</v>
      </c>
      <c r="N2711" t="s">
        <v>54</v>
      </c>
      <c r="O2711" t="s">
        <v>103</v>
      </c>
      <c r="P2711" t="s">
        <v>57</v>
      </c>
      <c r="Q2711" t="s">
        <v>104</v>
      </c>
      <c r="R2711" t="s">
        <v>89</v>
      </c>
      <c r="S2711" t="s">
        <v>106</v>
      </c>
      <c r="T2711" t="s">
        <v>76</v>
      </c>
      <c r="U2711" t="s">
        <v>164</v>
      </c>
      <c r="V2711" t="s">
        <v>77</v>
      </c>
      <c r="W2711" t="s">
        <v>173</v>
      </c>
      <c r="X2711" t="s">
        <v>79</v>
      </c>
      <c r="Y2711" t="s">
        <v>833</v>
      </c>
      <c r="Z2711" t="s">
        <v>64</v>
      </c>
      <c r="AA2711" t="s">
        <v>5811</v>
      </c>
      <c r="AB2711" t="s">
        <v>6605</v>
      </c>
      <c r="AC2711" t="s">
        <v>7145</v>
      </c>
    </row>
    <row r="2712" spans="1:29">
      <c r="B2712" s="77" t="s">
        <v>7149</v>
      </c>
    </row>
    <row r="2713" spans="1:29">
      <c r="A2713" t="s">
        <v>7160</v>
      </c>
      <c r="B2713" s="42" t="str">
        <f>IF(ISNUMBER(SEARCH(E2713,A2713)),A2713,IF(OR(E2713="",E2713=""),A2713,A2713&amp;" - "&amp;E2713))</f>
        <v>Demecan CR Epic Drop 30/1 - Jet Fuel x Garlic Cookies</v>
      </c>
      <c r="C2713" t="s">
        <v>484</v>
      </c>
      <c r="D2713" t="s">
        <v>485</v>
      </c>
      <c r="E2713" s="9" t="s">
        <v>7161</v>
      </c>
      <c r="F2713" s="1" t="s">
        <v>144</v>
      </c>
      <c r="G2713" s="8" t="s">
        <v>4057</v>
      </c>
      <c r="H2713" s="7" t="s">
        <v>65</v>
      </c>
      <c r="I2713" t="s">
        <v>0</v>
      </c>
      <c r="J2713" t="s">
        <v>0</v>
      </c>
      <c r="K2713" t="s">
        <v>52</v>
      </c>
      <c r="L2713" t="s">
        <v>53</v>
      </c>
      <c r="M2713" t="s">
        <v>121</v>
      </c>
      <c r="N2713" t="s">
        <v>72</v>
      </c>
      <c r="O2713" t="s">
        <v>88</v>
      </c>
      <c r="P2713" t="s">
        <v>89</v>
      </c>
      <c r="Q2713" t="s">
        <v>146</v>
      </c>
      <c r="R2713" t="s">
        <v>73</v>
      </c>
      <c r="S2713" t="s">
        <v>106</v>
      </c>
      <c r="T2713" t="s">
        <v>62</v>
      </c>
      <c r="U2713" t="s">
        <v>164</v>
      </c>
      <c r="V2713" t="s">
        <v>165</v>
      </c>
      <c r="W2713" t="s">
        <v>93</v>
      </c>
      <c r="X2713" t="s">
        <v>138</v>
      </c>
      <c r="Y2713" t="s">
        <v>213</v>
      </c>
      <c r="Z2713" t="s">
        <v>64</v>
      </c>
      <c r="AA2713" t="s">
        <v>485</v>
      </c>
      <c r="AB2713" t="s">
        <v>0</v>
      </c>
      <c r="AC2713" t="s">
        <v>7162</v>
      </c>
    </row>
    <row r="2714" spans="1:29">
      <c r="A2714" t="s">
        <v>7142</v>
      </c>
      <c r="B2714" s="42" t="str">
        <f>IF(ISNUMBER(SEARCH(E2714,A2714)),A2714,IF(OR(E2714="",E2714=""),A2714,A2714&amp;" - "&amp;E2714))</f>
        <v>MCCN No. 3 - Guava Haze</v>
      </c>
      <c r="C2714" t="s">
        <v>564</v>
      </c>
      <c r="D2714" t="s">
        <v>565</v>
      </c>
      <c r="E2714" t="s">
        <v>7143</v>
      </c>
      <c r="F2714" t="s">
        <v>144</v>
      </c>
      <c r="G2714" t="s">
        <v>443</v>
      </c>
      <c r="H2714" t="s">
        <v>65</v>
      </c>
      <c r="I2714" t="s">
        <v>0</v>
      </c>
      <c r="J2714" t="s">
        <v>0</v>
      </c>
      <c r="K2714" t="s">
        <v>52</v>
      </c>
      <c r="L2714" t="s">
        <v>202</v>
      </c>
      <c r="M2714" t="s">
        <v>121</v>
      </c>
      <c r="N2714" t="s">
        <v>72</v>
      </c>
      <c r="O2714" t="s">
        <v>71</v>
      </c>
      <c r="P2714" t="s">
        <v>58</v>
      </c>
      <c r="Q2714" t="s">
        <v>59</v>
      </c>
      <c r="R2714" t="s">
        <v>104</v>
      </c>
      <c r="S2714" t="s">
        <v>106</v>
      </c>
      <c r="T2714" t="s">
        <v>62</v>
      </c>
      <c r="U2714" t="s">
        <v>91</v>
      </c>
      <c r="V2714" t="s">
        <v>107</v>
      </c>
      <c r="W2714" t="s">
        <v>116</v>
      </c>
      <c r="X2714" t="s">
        <v>79</v>
      </c>
      <c r="Y2714" t="s">
        <v>350</v>
      </c>
      <c r="Z2714" t="s">
        <v>64</v>
      </c>
      <c r="AA2714" t="s">
        <v>565</v>
      </c>
      <c r="AB2714" t="s">
        <v>0</v>
      </c>
      <c r="AC2714" t="s">
        <v>7144</v>
      </c>
    </row>
    <row r="2715" spans="1:29">
      <c r="A2715" t="s">
        <v>7146</v>
      </c>
      <c r="B2715" s="42" t="str">
        <f>IF(ISNUMBER(SEARCH(E2715,A2715)),A2715,IF(OR(E2715="",E2715=""),A2715,A2715&amp;" - "&amp;E2715))</f>
        <v>Cannabis Flos 23/1 CSF Ku. - Rose Ember</v>
      </c>
      <c r="C2715" t="s">
        <v>99</v>
      </c>
      <c r="D2715" t="s">
        <v>100</v>
      </c>
      <c r="E2715" s="9" t="s">
        <v>7147</v>
      </c>
      <c r="F2715" s="1" t="s">
        <v>86</v>
      </c>
      <c r="G2715" s="8" t="s">
        <v>436</v>
      </c>
      <c r="H2715" s="7" t="s">
        <v>65</v>
      </c>
      <c r="I2715" t="s">
        <v>0</v>
      </c>
      <c r="J2715" t="s">
        <v>0</v>
      </c>
      <c r="K2715" t="s">
        <v>52</v>
      </c>
      <c r="L2715" t="s">
        <v>53</v>
      </c>
      <c r="M2715" t="s">
        <v>72</v>
      </c>
      <c r="N2715" t="s">
        <v>111</v>
      </c>
      <c r="O2715" t="s">
        <v>71</v>
      </c>
      <c r="P2715" t="s">
        <v>89</v>
      </c>
      <c r="Q2715" t="s">
        <v>104</v>
      </c>
      <c r="R2715" t="s">
        <v>75</v>
      </c>
      <c r="S2715" t="s">
        <v>106</v>
      </c>
      <c r="T2715" t="s">
        <v>62</v>
      </c>
      <c r="U2715" t="s">
        <v>147</v>
      </c>
      <c r="V2715" t="s">
        <v>93</v>
      </c>
      <c r="W2715" t="s">
        <v>292</v>
      </c>
      <c r="X2715" t="s">
        <v>107</v>
      </c>
      <c r="Y2715" t="s">
        <v>2023</v>
      </c>
      <c r="Z2715" t="s">
        <v>64</v>
      </c>
      <c r="AA2715" t="s">
        <v>100</v>
      </c>
      <c r="AB2715" t="s">
        <v>0</v>
      </c>
      <c r="AC2715" t="s">
        <v>7148</v>
      </c>
    </row>
    <row r="2716" spans="1:29">
      <c r="A2716" t="s">
        <v>7180</v>
      </c>
      <c r="B2716" s="42" t="str">
        <f>IF(ISNUMBER(SEARCH(E2716,A2716)),A2716,IF(OR(E2716="",E2716=""),A2716,A2716&amp;" - "&amp;E2716))</f>
        <v>Huala 30/1 CA SCO - Scoops</v>
      </c>
      <c r="C2716" t="s">
        <v>463</v>
      </c>
      <c r="D2716" t="s">
        <v>468</v>
      </c>
      <c r="E2716" s="9" t="s">
        <v>5381</v>
      </c>
      <c r="F2716" s="1" t="s">
        <v>177</v>
      </c>
      <c r="G2716" s="8" t="s">
        <v>4057</v>
      </c>
      <c r="H2716" s="7" t="s">
        <v>65</v>
      </c>
      <c r="I2716" t="s">
        <v>0</v>
      </c>
      <c r="J2716" t="s">
        <v>0</v>
      </c>
      <c r="K2716" t="s">
        <v>52</v>
      </c>
      <c r="L2716" t="s">
        <v>53</v>
      </c>
      <c r="M2716" t="s">
        <v>121</v>
      </c>
      <c r="N2716" t="s">
        <v>54</v>
      </c>
      <c r="O2716" t="s">
        <v>71</v>
      </c>
      <c r="P2716" t="s">
        <v>59</v>
      </c>
      <c r="Q2716" t="s">
        <v>57</v>
      </c>
      <c r="R2716" t="s">
        <v>89</v>
      </c>
      <c r="S2716" t="s">
        <v>128</v>
      </c>
      <c r="T2716" t="s">
        <v>106</v>
      </c>
      <c r="U2716" t="s">
        <v>123</v>
      </c>
      <c r="V2716" t="s">
        <v>77</v>
      </c>
      <c r="W2716" t="s">
        <v>116</v>
      </c>
      <c r="X2716" t="s">
        <v>138</v>
      </c>
      <c r="Y2716" t="s">
        <v>413</v>
      </c>
      <c r="Z2716" t="s">
        <v>64</v>
      </c>
      <c r="AA2716" t="s">
        <v>468</v>
      </c>
      <c r="AB2716" t="s">
        <v>0</v>
      </c>
      <c r="AC2716" t="s">
        <v>7181</v>
      </c>
    </row>
    <row r="2717" spans="1:29">
      <c r="B2717" s="76" t="s">
        <v>7187</v>
      </c>
    </row>
    <row r="2718" spans="1:29">
      <c r="A2718" t="s">
        <v>7150</v>
      </c>
      <c r="B2718" s="42" t="str">
        <f>IF(ISNUMBER(SEARCH(E2718,A2718)),A2718,IF(OR(E2718="",E2718=""),A2718,A2718&amp;" - "&amp;E2718))</f>
        <v>Materia AND 16/1 - Andes</v>
      </c>
      <c r="C2718" t="s">
        <v>3071</v>
      </c>
      <c r="D2718" t="s">
        <v>3072</v>
      </c>
      <c r="E2718" t="s">
        <v>7151</v>
      </c>
      <c r="F2718" t="s">
        <v>144</v>
      </c>
      <c r="G2718" t="s">
        <v>18</v>
      </c>
      <c r="H2718" s="7" t="s">
        <v>65</v>
      </c>
      <c r="I2718" t="s">
        <v>0</v>
      </c>
      <c r="J2718" t="s">
        <v>0</v>
      </c>
      <c r="K2718" t="s">
        <v>52</v>
      </c>
      <c r="L2718" t="s">
        <v>202</v>
      </c>
      <c r="M2718" t="s">
        <v>72</v>
      </c>
      <c r="N2718" t="s">
        <v>88</v>
      </c>
      <c r="O2718" t="s">
        <v>111</v>
      </c>
      <c r="P2718" t="s">
        <v>75</v>
      </c>
      <c r="Q2718" t="s">
        <v>112</v>
      </c>
      <c r="R2718" t="s">
        <v>157</v>
      </c>
      <c r="S2718" t="s">
        <v>128</v>
      </c>
      <c r="T2718" t="s">
        <v>106</v>
      </c>
      <c r="U2718" t="s">
        <v>179</v>
      </c>
      <c r="V2718" t="s">
        <v>165</v>
      </c>
      <c r="W2718" t="s">
        <v>0</v>
      </c>
      <c r="X2718" t="s">
        <v>0</v>
      </c>
      <c r="Y2718" t="s">
        <v>1820</v>
      </c>
      <c r="Z2718" t="s">
        <v>64</v>
      </c>
      <c r="AA2718" t="s">
        <v>3072</v>
      </c>
      <c r="AB2718" t="s">
        <v>0</v>
      </c>
      <c r="AC2718" t="s">
        <v>7152</v>
      </c>
    </row>
    <row r="2719" spans="1:29">
      <c r="A2719" t="s">
        <v>7153</v>
      </c>
      <c r="B2719" s="42" t="str">
        <f>IF(ISNUMBER(SEARCH(E2719,A2719)),A2719,IF(OR(E2719="",E2719=""),A2719,A2719&amp;" - "&amp;E2719))</f>
        <v>no. XXII 20/1 - Cherry Cocktail</v>
      </c>
      <c r="C2719" t="s">
        <v>2296</v>
      </c>
      <c r="D2719" t="s">
        <v>2298</v>
      </c>
      <c r="E2719" s="9" t="s">
        <v>7154</v>
      </c>
      <c r="F2719" s="1" t="s">
        <v>86</v>
      </c>
      <c r="G2719" s="8" t="s">
        <v>460</v>
      </c>
      <c r="H2719" s="7" t="s">
        <v>65</v>
      </c>
      <c r="I2719" t="s">
        <v>0</v>
      </c>
      <c r="J2719" t="s">
        <v>0</v>
      </c>
      <c r="K2719" t="s">
        <v>52</v>
      </c>
      <c r="L2719" t="s">
        <v>7155</v>
      </c>
      <c r="M2719" t="s">
        <v>72</v>
      </c>
      <c r="N2719" t="s">
        <v>71</v>
      </c>
      <c r="O2719" t="s">
        <v>111</v>
      </c>
      <c r="P2719" t="s">
        <v>104</v>
      </c>
      <c r="Q2719" t="s">
        <v>75</v>
      </c>
      <c r="R2719" t="s">
        <v>59</v>
      </c>
      <c r="S2719" t="s">
        <v>128</v>
      </c>
      <c r="T2719" t="s">
        <v>106</v>
      </c>
      <c r="U2719" t="s">
        <v>62</v>
      </c>
      <c r="V2719" t="s">
        <v>77</v>
      </c>
      <c r="W2719" t="s">
        <v>180</v>
      </c>
      <c r="X2719" t="s">
        <v>79</v>
      </c>
      <c r="Y2719" t="s">
        <v>7156</v>
      </c>
      <c r="Z2719" t="s">
        <v>64</v>
      </c>
      <c r="AA2719" t="s">
        <v>2298</v>
      </c>
      <c r="AB2719" t="s">
        <v>0</v>
      </c>
      <c r="AC2719" t="s">
        <v>7157</v>
      </c>
    </row>
    <row r="2720" spans="1:29">
      <c r="A2720" t="s">
        <v>7158</v>
      </c>
      <c r="B2720" s="42" t="str">
        <f>IF(ISNUMBER(SEARCH(E2720,A2720)),A2720,IF(OR(E2720="",E2720=""),A2720,A2720&amp;" - "&amp;E2720))</f>
        <v>Materia KMZ 22/1 Kushmintz-Z - Blue Zushi</v>
      </c>
      <c r="C2720" t="s">
        <v>3071</v>
      </c>
      <c r="D2720" t="s">
        <v>3072</v>
      </c>
      <c r="E2720" s="9" t="s">
        <v>4015</v>
      </c>
      <c r="F2720" s="1" t="s">
        <v>86</v>
      </c>
      <c r="G2720" s="8" t="s">
        <v>4126</v>
      </c>
      <c r="H2720" s="7" t="s">
        <v>65</v>
      </c>
      <c r="I2720" t="s">
        <v>0</v>
      </c>
      <c r="J2720" t="s">
        <v>0</v>
      </c>
      <c r="K2720" t="s">
        <v>52</v>
      </c>
      <c r="L2720" t="s">
        <v>53</v>
      </c>
      <c r="M2720" t="s">
        <v>71</v>
      </c>
      <c r="N2720" t="s">
        <v>178</v>
      </c>
      <c r="O2720" t="s">
        <v>103</v>
      </c>
      <c r="P2720" t="s">
        <v>104</v>
      </c>
      <c r="Q2720" t="s">
        <v>89</v>
      </c>
      <c r="R2720" t="s">
        <v>58</v>
      </c>
      <c r="S2720" t="s">
        <v>106</v>
      </c>
      <c r="T2720" t="s">
        <v>62</v>
      </c>
      <c r="U2720" t="s">
        <v>147</v>
      </c>
      <c r="V2720" t="s">
        <v>77</v>
      </c>
      <c r="W2720" t="s">
        <v>79</v>
      </c>
      <c r="X2720" t="s">
        <v>107</v>
      </c>
      <c r="Y2720" t="s">
        <v>437</v>
      </c>
      <c r="Z2720" t="s">
        <v>64</v>
      </c>
      <c r="AA2720" t="s">
        <v>3072</v>
      </c>
      <c r="AB2720" t="s">
        <v>0</v>
      </c>
      <c r="AC2720" t="s">
        <v>7159</v>
      </c>
    </row>
    <row r="2721" spans="1:29">
      <c r="A2721" t="s">
        <v>7163</v>
      </c>
      <c r="B2721" s="42" t="str">
        <f>IF(ISNUMBER(SEARCH(E2721,A2721)),A2721,IF(OR(E2721="",E2721=""),A2721,A2721&amp;" - "&amp;E2721))</f>
        <v>Sumo PAB 25/1 - Papaya Bomb</v>
      </c>
      <c r="C2721" t="s">
        <v>564</v>
      </c>
      <c r="D2721" t="s">
        <v>565</v>
      </c>
      <c r="E2721" s="9" t="s">
        <v>4429</v>
      </c>
      <c r="F2721" s="1" t="s">
        <v>177</v>
      </c>
      <c r="G2721" s="8" t="s">
        <v>26</v>
      </c>
      <c r="H2721" s="7" t="s">
        <v>65</v>
      </c>
      <c r="I2721" t="s">
        <v>0</v>
      </c>
      <c r="J2721" t="s">
        <v>0</v>
      </c>
      <c r="K2721" t="s">
        <v>52</v>
      </c>
      <c r="L2721" t="s">
        <v>53</v>
      </c>
      <c r="M2721" t="s">
        <v>72</v>
      </c>
      <c r="N2721" t="s">
        <v>0</v>
      </c>
      <c r="O2721" t="s">
        <v>0</v>
      </c>
      <c r="P2721" t="s">
        <v>75</v>
      </c>
      <c r="Q2721" t="s">
        <v>58</v>
      </c>
      <c r="R2721" t="s">
        <v>89</v>
      </c>
      <c r="S2721" t="s">
        <v>128</v>
      </c>
      <c r="T2721" t="s">
        <v>106</v>
      </c>
      <c r="U2721" t="s">
        <v>105</v>
      </c>
      <c r="V2721" t="s">
        <v>77</v>
      </c>
      <c r="W2721" t="s">
        <v>129</v>
      </c>
      <c r="X2721" t="s">
        <v>93</v>
      </c>
      <c r="Y2721" t="s">
        <v>371</v>
      </c>
      <c r="Z2721" t="s">
        <v>64</v>
      </c>
      <c r="AA2721" t="s">
        <v>565</v>
      </c>
      <c r="AB2721" t="s">
        <v>0</v>
      </c>
      <c r="AC2721" t="s">
        <v>7164</v>
      </c>
    </row>
    <row r="2722" spans="1:29">
      <c r="A2722" t="s">
        <v>7165</v>
      </c>
      <c r="B2722" s="42" t="str">
        <f>IF(ISNUMBER(SEARCH(E2722,A2722)),A2722,IF(OR(E2722="",E2722=""),A2722,A2722&amp;" - "&amp;E2722))</f>
        <v>Cannabis flos 16/1 CL - Dougs Varin</v>
      </c>
      <c r="C2722" t="s">
        <v>99</v>
      </c>
      <c r="D2722" t="s">
        <v>100</v>
      </c>
      <c r="E2722" s="9" t="s">
        <v>3935</v>
      </c>
      <c r="F2722" s="1" t="s">
        <v>69</v>
      </c>
      <c r="G2722" s="8" t="s">
        <v>18</v>
      </c>
      <c r="H2722" s="7" t="s">
        <v>65</v>
      </c>
      <c r="I2722" t="s">
        <v>0</v>
      </c>
      <c r="J2722" t="s">
        <v>0</v>
      </c>
      <c r="K2722" t="s">
        <v>17</v>
      </c>
      <c r="L2722" t="s">
        <v>102</v>
      </c>
      <c r="M2722" t="s">
        <v>72</v>
      </c>
      <c r="N2722" t="s">
        <v>88</v>
      </c>
      <c r="O2722" t="s">
        <v>111</v>
      </c>
      <c r="P2722" t="s">
        <v>59</v>
      </c>
      <c r="Q2722" t="s">
        <v>146</v>
      </c>
      <c r="R2722" t="s">
        <v>74</v>
      </c>
      <c r="S2722" t="s">
        <v>106</v>
      </c>
      <c r="T2722" t="s">
        <v>179</v>
      </c>
      <c r="U2722" t="s">
        <v>62</v>
      </c>
      <c r="V2722" t="s">
        <v>77</v>
      </c>
      <c r="W2722" t="s">
        <v>173</v>
      </c>
      <c r="X2722" t="s">
        <v>0</v>
      </c>
      <c r="Y2722" t="s">
        <v>413</v>
      </c>
      <c r="Z2722" t="s">
        <v>64</v>
      </c>
      <c r="AA2722" t="s">
        <v>100</v>
      </c>
      <c r="AB2722" t="s">
        <v>0</v>
      </c>
      <c r="AC2722" t="s">
        <v>7166</v>
      </c>
    </row>
    <row r="2723" spans="1:29">
      <c r="A2723" t="s">
        <v>7167</v>
      </c>
      <c r="B2723" s="42" t="str">
        <f>IF(ISNUMBER(SEARCH(E2723,A2723)),A2723,IF(OR(E2723="",E2723=""),A2723,A2723&amp;" - "&amp;E2723))</f>
        <v>IMC WK1 THC25 MIDS - Wedding Candy</v>
      </c>
      <c r="C2723" t="s">
        <v>646</v>
      </c>
      <c r="D2723" t="s">
        <v>646</v>
      </c>
      <c r="E2723" s="9" t="s">
        <v>5830</v>
      </c>
      <c r="F2723" s="1" t="s">
        <v>86</v>
      </c>
      <c r="G2723" s="8" t="s">
        <v>26</v>
      </c>
      <c r="H2723" s="7" t="s">
        <v>65</v>
      </c>
      <c r="I2723" t="s">
        <v>0</v>
      </c>
      <c r="J2723" t="s">
        <v>0</v>
      </c>
      <c r="K2723" t="s">
        <v>52</v>
      </c>
      <c r="L2723" t="s">
        <v>423</v>
      </c>
      <c r="M2723" t="s">
        <v>121</v>
      </c>
      <c r="N2723" t="s">
        <v>72</v>
      </c>
      <c r="O2723" t="s">
        <v>88</v>
      </c>
      <c r="P2723" t="s">
        <v>59</v>
      </c>
      <c r="Q2723" t="s">
        <v>57</v>
      </c>
      <c r="R2723" t="s">
        <v>89</v>
      </c>
      <c r="S2723" t="s">
        <v>62</v>
      </c>
      <c r="T2723" t="s">
        <v>123</v>
      </c>
      <c r="U2723" t="s">
        <v>0</v>
      </c>
      <c r="V2723" t="s">
        <v>77</v>
      </c>
      <c r="W2723" t="s">
        <v>225</v>
      </c>
      <c r="X2723" t="s">
        <v>116</v>
      </c>
      <c r="Y2723" t="s">
        <v>314</v>
      </c>
      <c r="Z2723" t="s">
        <v>64</v>
      </c>
      <c r="AA2723" t="s">
        <v>646</v>
      </c>
      <c r="AB2723" t="s">
        <v>0</v>
      </c>
      <c r="AC2723" t="s">
        <v>7168</v>
      </c>
    </row>
    <row r="2724" spans="1:29">
      <c r="A2724" t="s">
        <v>7169</v>
      </c>
      <c r="B2724" s="42" t="str">
        <f>IF(ISNUMBER(SEARCH(E2724,A2724)),A2724,IF(OR(E2724="",E2724=""),A2724,A2724&amp;" - "&amp;E2724))</f>
        <v>enua 33/1 QKZ CA - Fight Club</v>
      </c>
      <c r="C2724" t="s">
        <v>650</v>
      </c>
      <c r="D2724" t="s">
        <v>653</v>
      </c>
      <c r="E2724" s="9" t="s">
        <v>7170</v>
      </c>
      <c r="F2724" s="1" t="s">
        <v>144</v>
      </c>
      <c r="G2724" s="8" t="s">
        <v>4169</v>
      </c>
      <c r="H2724" s="7" t="s">
        <v>65</v>
      </c>
      <c r="I2724" t="s">
        <v>0</v>
      </c>
      <c r="J2724" t="s">
        <v>0</v>
      </c>
      <c r="K2724" t="s">
        <v>52</v>
      </c>
      <c r="L2724" t="s">
        <v>53</v>
      </c>
      <c r="M2724" t="s">
        <v>111</v>
      </c>
      <c r="N2724" t="s">
        <v>121</v>
      </c>
      <c r="O2724" t="s">
        <v>72</v>
      </c>
      <c r="P2724" t="s">
        <v>146</v>
      </c>
      <c r="Q2724" t="s">
        <v>59</v>
      </c>
      <c r="R2724" t="s">
        <v>89</v>
      </c>
      <c r="S2724" t="s">
        <v>128</v>
      </c>
      <c r="T2724" t="s">
        <v>61</v>
      </c>
      <c r="U2724" t="s">
        <v>76</v>
      </c>
      <c r="V2724" t="s">
        <v>138</v>
      </c>
      <c r="W2724" t="s">
        <v>107</v>
      </c>
      <c r="X2724" t="s">
        <v>116</v>
      </c>
      <c r="Y2724" t="s">
        <v>728</v>
      </c>
      <c r="Z2724" t="s">
        <v>64</v>
      </c>
      <c r="AA2724" t="s">
        <v>653</v>
      </c>
      <c r="AB2724" t="s">
        <v>0</v>
      </c>
      <c r="AC2724" t="s">
        <v>7171</v>
      </c>
    </row>
    <row r="2725" spans="1:29">
      <c r="A2725" t="s">
        <v>7172</v>
      </c>
      <c r="B2725" s="42" t="str">
        <f>IF(ISNUMBER(SEARCH(E2725,A2725)),A2725,IF(OR(E2725="",E2725=""),A2725,A2725&amp;" - "&amp;E2725))</f>
        <v>420 Evolution 25/1 CA MSP - Masterpiece</v>
      </c>
      <c r="C2725" t="s">
        <v>463</v>
      </c>
      <c r="D2725" t="s">
        <v>468</v>
      </c>
      <c r="E2725" s="9" t="s">
        <v>5570</v>
      </c>
      <c r="F2725" s="1" t="s">
        <v>177</v>
      </c>
      <c r="G2725" s="8" t="s">
        <v>26</v>
      </c>
      <c r="H2725" s="7" t="s">
        <v>65</v>
      </c>
      <c r="I2725" t="s">
        <v>0</v>
      </c>
      <c r="J2725" t="s">
        <v>0</v>
      </c>
      <c r="K2725" t="s">
        <v>52</v>
      </c>
      <c r="L2725" t="s">
        <v>53</v>
      </c>
      <c r="M2725" t="s">
        <v>121</v>
      </c>
      <c r="N2725" t="s">
        <v>72</v>
      </c>
      <c r="O2725" t="s">
        <v>54</v>
      </c>
      <c r="P2725" t="s">
        <v>73</v>
      </c>
      <c r="Q2725" t="s">
        <v>113</v>
      </c>
      <c r="R2725" t="s">
        <v>58</v>
      </c>
      <c r="S2725" t="s">
        <v>106</v>
      </c>
      <c r="T2725" t="s">
        <v>62</v>
      </c>
      <c r="U2725" t="s">
        <v>123</v>
      </c>
      <c r="V2725" t="s">
        <v>116</v>
      </c>
      <c r="W2725" t="s">
        <v>129</v>
      </c>
      <c r="X2725" t="s">
        <v>138</v>
      </c>
      <c r="Y2725" t="s">
        <v>1036</v>
      </c>
      <c r="Z2725" t="s">
        <v>64</v>
      </c>
      <c r="AA2725" t="s">
        <v>468</v>
      </c>
      <c r="AB2725" t="s">
        <v>5571</v>
      </c>
      <c r="AC2725" t="s">
        <v>7173</v>
      </c>
    </row>
    <row r="2726" spans="1:29">
      <c r="A2726" t="s">
        <v>7174</v>
      </c>
      <c r="B2726" s="42" t="str">
        <f>IF(ISNUMBER(SEARCH(E2726,A2726)),A2726,IF(OR(E2726="",E2726=""),A2726,A2726&amp;" - "&amp;E2726))</f>
        <v>Demecan PG Epic Drop 30/1 - Gas Face</v>
      </c>
      <c r="C2726" t="s">
        <v>484</v>
      </c>
      <c r="D2726" t="s">
        <v>485</v>
      </c>
      <c r="E2726" s="9" t="s">
        <v>6652</v>
      </c>
      <c r="F2726" s="1" t="s">
        <v>86</v>
      </c>
      <c r="G2726" s="8" t="s">
        <v>4057</v>
      </c>
      <c r="H2726" s="7" t="s">
        <v>65</v>
      </c>
      <c r="I2726" t="s">
        <v>0</v>
      </c>
      <c r="J2726" t="s">
        <v>0</v>
      </c>
      <c r="K2726" t="s">
        <v>52</v>
      </c>
      <c r="L2726" t="s">
        <v>53</v>
      </c>
      <c r="M2726" t="s">
        <v>55</v>
      </c>
      <c r="N2726" t="s">
        <v>54</v>
      </c>
      <c r="O2726" t="s">
        <v>212</v>
      </c>
      <c r="P2726" t="s">
        <v>59</v>
      </c>
      <c r="Q2726" t="s">
        <v>89</v>
      </c>
      <c r="R2726" t="s">
        <v>73</v>
      </c>
      <c r="S2726" t="s">
        <v>106</v>
      </c>
      <c r="T2726" t="s">
        <v>147</v>
      </c>
      <c r="U2726" t="s">
        <v>466</v>
      </c>
      <c r="V2726" t="s">
        <v>173</v>
      </c>
      <c r="W2726" t="s">
        <v>116</v>
      </c>
      <c r="X2726" t="s">
        <v>208</v>
      </c>
      <c r="Y2726" t="s">
        <v>631</v>
      </c>
      <c r="Z2726" t="s">
        <v>64</v>
      </c>
      <c r="AA2726" t="s">
        <v>485</v>
      </c>
      <c r="AB2726" t="s">
        <v>0</v>
      </c>
      <c r="AC2726" t="s">
        <v>7175</v>
      </c>
    </row>
    <row r="2727" spans="1:29">
      <c r="A2727" t="s">
        <v>7176</v>
      </c>
      <c r="B2727" s="42" t="str">
        <f>IF(ISNUMBER(SEARCH(E2727,A2727)),A2727,IF(OR(E2727="",E2727=""),A2727,A2727&amp;" - "&amp;E2727))</f>
        <v>28/1 Amici CM - Cereal Milk</v>
      </c>
      <c r="C2727" t="s">
        <v>996</v>
      </c>
      <c r="D2727" t="s">
        <v>997</v>
      </c>
      <c r="E2727" s="9" t="s">
        <v>2586</v>
      </c>
      <c r="F2727" s="1" t="s">
        <v>177</v>
      </c>
      <c r="G2727" s="8" t="s">
        <v>4164</v>
      </c>
      <c r="H2727" s="7" t="s">
        <v>65</v>
      </c>
      <c r="I2727" t="s">
        <v>0</v>
      </c>
      <c r="J2727" t="s">
        <v>0</v>
      </c>
      <c r="K2727" t="s">
        <v>52</v>
      </c>
      <c r="L2727" t="s">
        <v>53</v>
      </c>
      <c r="M2727" t="s">
        <v>88</v>
      </c>
      <c r="N2727" t="s">
        <v>72</v>
      </c>
      <c r="O2727" t="s">
        <v>0</v>
      </c>
      <c r="P2727" t="s">
        <v>75</v>
      </c>
      <c r="Q2727" t="s">
        <v>58</v>
      </c>
      <c r="R2727" t="s">
        <v>89</v>
      </c>
      <c r="S2727" t="s">
        <v>128</v>
      </c>
      <c r="T2727" t="s">
        <v>106</v>
      </c>
      <c r="U2727" t="s">
        <v>224</v>
      </c>
      <c r="V2727" t="s">
        <v>107</v>
      </c>
      <c r="W2727" t="s">
        <v>116</v>
      </c>
      <c r="X2727" t="s">
        <v>93</v>
      </c>
      <c r="Y2727" t="s">
        <v>268</v>
      </c>
      <c r="Z2727" t="s">
        <v>64</v>
      </c>
      <c r="AA2727" t="s">
        <v>997</v>
      </c>
      <c r="AB2727" t="s">
        <v>812</v>
      </c>
      <c r="AC2727" t="s">
        <v>7177</v>
      </c>
    </row>
    <row r="2728" spans="1:29">
      <c r="A2728" t="s">
        <v>7178</v>
      </c>
      <c r="B2728" s="42" t="str">
        <f>IF(ISNUMBER(SEARCH(E2728,A2728)),A2728,IF(OR(E2728="",E2728=""),A2728,A2728&amp;" - "&amp;E2728))</f>
        <v>enua 27/1 PSZ CA Zainbow - OJ Zainbow</v>
      </c>
      <c r="C2728" t="s">
        <v>650</v>
      </c>
      <c r="D2728" t="s">
        <v>653</v>
      </c>
      <c r="E2728" s="9" t="s">
        <v>7111</v>
      </c>
      <c r="F2728" s="1" t="s">
        <v>177</v>
      </c>
      <c r="G2728" s="8" t="s">
        <v>33</v>
      </c>
      <c r="H2728" s="7" t="s">
        <v>65</v>
      </c>
      <c r="I2728" t="s">
        <v>0</v>
      </c>
      <c r="J2728" t="s">
        <v>0</v>
      </c>
      <c r="K2728" t="s">
        <v>52</v>
      </c>
      <c r="L2728" t="s">
        <v>53</v>
      </c>
      <c r="M2728" t="s">
        <v>54</v>
      </c>
      <c r="N2728" t="s">
        <v>111</v>
      </c>
      <c r="O2728" t="s">
        <v>88</v>
      </c>
      <c r="P2728" t="s">
        <v>89</v>
      </c>
      <c r="Q2728" t="s">
        <v>157</v>
      </c>
      <c r="R2728" t="s">
        <v>74</v>
      </c>
      <c r="S2728" t="s">
        <v>128</v>
      </c>
      <c r="T2728" t="s">
        <v>179</v>
      </c>
      <c r="U2728" t="s">
        <v>61</v>
      </c>
      <c r="V2728" t="s">
        <v>79</v>
      </c>
      <c r="W2728" t="s">
        <v>138</v>
      </c>
      <c r="X2728" t="s">
        <v>77</v>
      </c>
      <c r="Y2728" t="s">
        <v>768</v>
      </c>
      <c r="Z2728" t="s">
        <v>64</v>
      </c>
      <c r="AA2728" t="s">
        <v>653</v>
      </c>
      <c r="AB2728" t="s">
        <v>0</v>
      </c>
      <c r="AC2728" t="s">
        <v>7179</v>
      </c>
    </row>
    <row r="2729" spans="1:29">
      <c r="A2729" t="s">
        <v>7182</v>
      </c>
      <c r="B2729" s="42" t="str">
        <f>IF(ISNUMBER(SEARCH(E2729,A2729)),A2729,IF(OR(E2729="",E2729=""),A2729,A2729&amp;" - "&amp;E2729))</f>
        <v>28/1 Amici RV - Red Velvet</v>
      </c>
      <c r="C2729" t="s">
        <v>996</v>
      </c>
      <c r="D2729" t="s">
        <v>997</v>
      </c>
      <c r="E2729" s="9" t="s">
        <v>7183</v>
      </c>
      <c r="F2729" s="1" t="s">
        <v>177</v>
      </c>
      <c r="G2729" s="8" t="s">
        <v>4164</v>
      </c>
      <c r="H2729" s="7" t="s">
        <v>65</v>
      </c>
      <c r="I2729" t="s">
        <v>0</v>
      </c>
      <c r="J2729" t="s">
        <v>0</v>
      </c>
      <c r="K2729" t="s">
        <v>52</v>
      </c>
      <c r="L2729" t="s">
        <v>53</v>
      </c>
      <c r="M2729" t="s">
        <v>121</v>
      </c>
      <c r="N2729" t="s">
        <v>72</v>
      </c>
      <c r="O2729" t="s">
        <v>54</v>
      </c>
      <c r="P2729" t="s">
        <v>59</v>
      </c>
      <c r="Q2729" t="s">
        <v>136</v>
      </c>
      <c r="R2729" t="s">
        <v>89</v>
      </c>
      <c r="S2729" t="s">
        <v>106</v>
      </c>
      <c r="T2729" t="s">
        <v>62</v>
      </c>
      <c r="U2729" t="s">
        <v>147</v>
      </c>
      <c r="V2729" t="s">
        <v>77</v>
      </c>
      <c r="W2729" t="s">
        <v>116</v>
      </c>
      <c r="X2729" t="s">
        <v>138</v>
      </c>
      <c r="Y2729" t="s">
        <v>213</v>
      </c>
      <c r="Z2729" t="s">
        <v>64</v>
      </c>
      <c r="AA2729" t="s">
        <v>997</v>
      </c>
      <c r="AB2729" t="s">
        <v>0</v>
      </c>
      <c r="AC2729" t="s">
        <v>7184</v>
      </c>
    </row>
    <row r="2730" spans="1:29">
      <c r="A2730" t="s">
        <v>7185</v>
      </c>
      <c r="B2730" s="42" t="str">
        <f>IF(ISNUMBER(SEARCH(E2730,A2730)),A2730,IF(OR(E2730="",E2730=""),A2730,A2730&amp;" - "&amp;E2730))</f>
        <v>Barongo 30/1 ECC Cheddar Cheese smalls</v>
      </c>
      <c r="C2730" t="s">
        <v>641</v>
      </c>
      <c r="D2730" t="s">
        <v>642</v>
      </c>
      <c r="E2730" s="9" t="s">
        <v>6852</v>
      </c>
      <c r="F2730" s="1" t="s">
        <v>177</v>
      </c>
      <c r="G2730" s="8" t="s">
        <v>4057</v>
      </c>
      <c r="H2730" s="7" t="s">
        <v>65</v>
      </c>
      <c r="I2730" t="s">
        <v>0</v>
      </c>
      <c r="J2730" t="s">
        <v>0</v>
      </c>
      <c r="K2730" t="s">
        <v>52</v>
      </c>
      <c r="L2730" t="s">
        <v>53</v>
      </c>
      <c r="M2730" t="s">
        <v>121</v>
      </c>
      <c r="N2730" t="s">
        <v>72</v>
      </c>
      <c r="O2730" t="s">
        <v>71</v>
      </c>
      <c r="P2730" t="s">
        <v>75</v>
      </c>
      <c r="Q2730" t="s">
        <v>59</v>
      </c>
      <c r="R2730" t="s">
        <v>89</v>
      </c>
      <c r="S2730" t="s">
        <v>128</v>
      </c>
      <c r="T2730" t="s">
        <v>106</v>
      </c>
      <c r="U2730" t="s">
        <v>0</v>
      </c>
      <c r="V2730" t="s">
        <v>77</v>
      </c>
      <c r="W2730" t="s">
        <v>116</v>
      </c>
      <c r="X2730" t="s">
        <v>180</v>
      </c>
      <c r="Y2730" t="s">
        <v>413</v>
      </c>
      <c r="Z2730" t="s">
        <v>64</v>
      </c>
      <c r="AA2730" t="s">
        <v>642</v>
      </c>
      <c r="AB2730" t="s">
        <v>0</v>
      </c>
      <c r="AC2730" t="s">
        <v>7186</v>
      </c>
    </row>
    <row r="2731" spans="1:29">
      <c r="A2731" t="s">
        <v>7208</v>
      </c>
      <c r="B2731" s="42" t="str">
        <f>IF(ISNUMBER(SEARCH(E2731,A2731)),A2731,IF(OR(E2731="",E2731=""),A2731,A2731&amp;" - "&amp;E2731))</f>
        <v>NICE 31/1 KM - Kush Mints</v>
      </c>
      <c r="C2731" t="s">
        <v>996</v>
      </c>
      <c r="D2731" t="s">
        <v>997</v>
      </c>
      <c r="E2731" s="9" t="s">
        <v>954</v>
      </c>
      <c r="F2731" s="1" t="s">
        <v>177</v>
      </c>
      <c r="G2731" s="8" t="s">
        <v>4488</v>
      </c>
      <c r="H2731" s="7" t="s">
        <v>65</v>
      </c>
      <c r="I2731" t="s">
        <v>0</v>
      </c>
      <c r="J2731" t="s">
        <v>0</v>
      </c>
      <c r="K2731" t="s">
        <v>52</v>
      </c>
      <c r="L2731" t="s">
        <v>53</v>
      </c>
      <c r="M2731" t="s">
        <v>121</v>
      </c>
      <c r="N2731" t="s">
        <v>72</v>
      </c>
      <c r="O2731" t="s">
        <v>54</v>
      </c>
      <c r="P2731" t="s">
        <v>59</v>
      </c>
      <c r="Q2731" t="s">
        <v>112</v>
      </c>
      <c r="R2731" t="s">
        <v>89</v>
      </c>
      <c r="S2731" t="s">
        <v>123</v>
      </c>
      <c r="T2731" t="s">
        <v>91</v>
      </c>
      <c r="U2731" t="s">
        <v>147</v>
      </c>
      <c r="V2731" t="s">
        <v>77</v>
      </c>
      <c r="W2731" t="s">
        <v>116</v>
      </c>
      <c r="X2731" t="s">
        <v>180</v>
      </c>
      <c r="Y2731" t="s">
        <v>3442</v>
      </c>
      <c r="Z2731" t="s">
        <v>64</v>
      </c>
      <c r="AA2731" t="s">
        <v>997</v>
      </c>
      <c r="AB2731" t="s">
        <v>0</v>
      </c>
      <c r="AC2731" t="s">
        <v>7209</v>
      </c>
    </row>
    <row r="2732" spans="1:29">
      <c r="A2732" t="s">
        <v>7222</v>
      </c>
      <c r="B2732" s="42" t="str">
        <f>IF(ISNUMBER(SEARCH(E2732,A2732)),A2732,IF(OR(E2732="",E2732=""),A2732,A2732&amp;" - "&amp;E2732))</f>
        <v>Somai CKS Cannabisextrakt HG 50:1 Huckleberry Gelato</v>
      </c>
      <c r="C2732" t="s">
        <v>5449</v>
      </c>
      <c r="D2732" t="s">
        <v>5450</v>
      </c>
      <c r="E2732" s="9" t="s">
        <v>0</v>
      </c>
      <c r="F2732" s="1" t="s">
        <v>86</v>
      </c>
      <c r="G2732" s="8" t="s">
        <v>0</v>
      </c>
      <c r="H2732" s="7" t="s">
        <v>0</v>
      </c>
      <c r="I2732" t="s">
        <v>45</v>
      </c>
      <c r="J2732" t="s">
        <v>65</v>
      </c>
      <c r="M2732" t="s">
        <v>121</v>
      </c>
      <c r="N2732" t="s">
        <v>72</v>
      </c>
      <c r="O2732" t="s">
        <v>54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  <c r="U2732" t="s">
        <v>0</v>
      </c>
      <c r="V2732" t="s">
        <v>77</v>
      </c>
      <c r="W2732" t="s">
        <v>116</v>
      </c>
      <c r="X2732" t="s">
        <v>138</v>
      </c>
      <c r="Y2732" t="s">
        <v>1812</v>
      </c>
      <c r="Z2732" t="s">
        <v>1915</v>
      </c>
      <c r="AA2732" t="s">
        <v>5450</v>
      </c>
      <c r="AB2732" t="s">
        <v>0</v>
      </c>
      <c r="AC2732" t="s">
        <v>7223</v>
      </c>
    </row>
    <row r="2733" spans="1:29">
      <c r="A2733" t="s">
        <v>7220</v>
      </c>
      <c r="B2733" s="42" t="str">
        <f>IF(ISNUMBER(SEARCH(E2733,A2733)),A2733,IF(OR(E2733="",E2733=""),A2733,A2733&amp;" - "&amp;E2733))</f>
        <v>Somai CKS Cannabisextrakt HG 25:1 Huckleberry Gelato</v>
      </c>
      <c r="C2733" t="s">
        <v>5449</v>
      </c>
      <c r="D2733" t="s">
        <v>5450</v>
      </c>
      <c r="E2733" s="9" t="s">
        <v>0</v>
      </c>
      <c r="F2733" s="1" t="s">
        <v>86</v>
      </c>
      <c r="G2733" s="8" t="s">
        <v>0</v>
      </c>
      <c r="H2733" s="7" t="s">
        <v>0</v>
      </c>
      <c r="I2733" t="s">
        <v>26</v>
      </c>
      <c r="J2733" t="s">
        <v>65</v>
      </c>
      <c r="M2733" t="s">
        <v>121</v>
      </c>
      <c r="N2733" t="s">
        <v>72</v>
      </c>
      <c r="O2733" t="s">
        <v>54</v>
      </c>
      <c r="P2733" t="s">
        <v>0</v>
      </c>
      <c r="Q2733" t="s">
        <v>0</v>
      </c>
      <c r="R2733" t="s">
        <v>0</v>
      </c>
      <c r="S2733" t="s">
        <v>128</v>
      </c>
      <c r="T2733" t="s">
        <v>106</v>
      </c>
      <c r="U2733" t="s">
        <v>164</v>
      </c>
      <c r="V2733" t="s">
        <v>77</v>
      </c>
      <c r="W2733" t="s">
        <v>116</v>
      </c>
      <c r="X2733" t="s">
        <v>138</v>
      </c>
      <c r="Y2733" t="s">
        <v>1992</v>
      </c>
      <c r="Z2733" t="s">
        <v>1915</v>
      </c>
      <c r="AA2733" t="s">
        <v>5450</v>
      </c>
      <c r="AB2733" t="s">
        <v>0</v>
      </c>
      <c r="AC2733" t="s">
        <v>7221</v>
      </c>
    </row>
    <row r="2734" spans="1:29">
      <c r="A2734" t="s">
        <v>7218</v>
      </c>
      <c r="B2734" s="42" t="str">
        <f>IF(ISNUMBER(SEARCH(E2734,A2734)),A2734,IF(OR(E2734="",E2734=""),A2734,A2734&amp;" - "&amp;E2734))</f>
        <v>Somai CKS Cannabisextrakt A&amp;B 25:1 Apples &amp; Bananas</v>
      </c>
      <c r="C2734" t="s">
        <v>5449</v>
      </c>
      <c r="D2734" t="s">
        <v>5450</v>
      </c>
      <c r="E2734" s="9" t="s">
        <v>0</v>
      </c>
      <c r="F2734" s="1" t="s">
        <v>86</v>
      </c>
      <c r="G2734" s="8" t="s">
        <v>0</v>
      </c>
      <c r="H2734" s="7" t="s">
        <v>0</v>
      </c>
      <c r="I2734" t="s">
        <v>26</v>
      </c>
      <c r="J2734" t="s">
        <v>65</v>
      </c>
      <c r="M2734" t="s">
        <v>72</v>
      </c>
      <c r="N2734" t="s">
        <v>55</v>
      </c>
      <c r="O2734" t="s">
        <v>71</v>
      </c>
      <c r="P2734" t="s">
        <v>0</v>
      </c>
      <c r="Q2734" t="s">
        <v>0</v>
      </c>
      <c r="R2734" t="s">
        <v>0</v>
      </c>
      <c r="S2734" t="s">
        <v>0</v>
      </c>
      <c r="T2734" t="s">
        <v>0</v>
      </c>
      <c r="U2734" t="s">
        <v>0</v>
      </c>
      <c r="V2734" t="s">
        <v>92</v>
      </c>
      <c r="W2734" t="s">
        <v>93</v>
      </c>
      <c r="X2734" t="s">
        <v>77</v>
      </c>
      <c r="Y2734" t="s">
        <v>1992</v>
      </c>
      <c r="Z2734" t="s">
        <v>1915</v>
      </c>
      <c r="AA2734" t="s">
        <v>5450</v>
      </c>
      <c r="AB2734" t="s">
        <v>0</v>
      </c>
      <c r="AC2734" t="s">
        <v>7219</v>
      </c>
    </row>
    <row r="2735" spans="1:29">
      <c r="A2735" t="s">
        <v>7188</v>
      </c>
      <c r="B2735" s="42" t="str">
        <f>IF(ISNUMBER(SEARCH(E2735,A2735)),A2735,IF(OR(E2735="",E2735=""),A2735,A2735&amp;" - "&amp;E2735))</f>
        <v>MGF CMP 22/1 THC Rich - Cherry Moon Pie</v>
      </c>
      <c r="C2735" t="s">
        <v>3108</v>
      </c>
      <c r="D2735" t="s">
        <v>3109</v>
      </c>
      <c r="E2735" t="s">
        <v>7189</v>
      </c>
      <c r="F2735" t="s">
        <v>177</v>
      </c>
      <c r="G2735" t="s">
        <v>4126</v>
      </c>
      <c r="H2735" t="s">
        <v>65</v>
      </c>
      <c r="I2735" t="s">
        <v>0</v>
      </c>
      <c r="J2735" t="s">
        <v>0</v>
      </c>
      <c r="K2735" t="s">
        <v>52</v>
      </c>
      <c r="L2735" t="s">
        <v>53</v>
      </c>
      <c r="M2735" t="s">
        <v>88</v>
      </c>
      <c r="N2735" t="s">
        <v>72</v>
      </c>
      <c r="O2735" t="s">
        <v>121</v>
      </c>
      <c r="P2735" t="s">
        <v>74</v>
      </c>
      <c r="Q2735" t="s">
        <v>136</v>
      </c>
      <c r="R2735" t="s">
        <v>58</v>
      </c>
      <c r="S2735" t="s">
        <v>106</v>
      </c>
      <c r="T2735" t="s">
        <v>147</v>
      </c>
      <c r="U2735" t="s">
        <v>0</v>
      </c>
      <c r="V2735" t="s">
        <v>79</v>
      </c>
      <c r="W2735" t="s">
        <v>129</v>
      </c>
      <c r="X2735" t="s">
        <v>180</v>
      </c>
      <c r="Y2735" t="s">
        <v>453</v>
      </c>
      <c r="Z2735" t="s">
        <v>64</v>
      </c>
      <c r="AA2735" t="s">
        <v>3109</v>
      </c>
      <c r="AB2735" t="s">
        <v>0</v>
      </c>
      <c r="AC2735" t="s">
        <v>7190</v>
      </c>
    </row>
    <row r="2736" spans="1:29">
      <c r="A2736" t="s">
        <v>7193</v>
      </c>
      <c r="B2736" s="42" t="str">
        <f>IF(ISNUMBER(SEARCH(E2736,A2736)),A2736,IF(OR(E2736="",E2736=""),A2736,A2736&amp;" - "&amp;E2736))</f>
        <v>Wellford Peak 33/1 CA SPR Slurricane Pancake Runtz - Slurricane Pancakes Runtz</v>
      </c>
      <c r="C2736" t="s">
        <v>741</v>
      </c>
      <c r="D2736" t="s">
        <v>742</v>
      </c>
      <c r="E2736" s="9" t="s">
        <v>4082</v>
      </c>
      <c r="F2736" s="1" t="s">
        <v>86</v>
      </c>
      <c r="G2736" s="8" t="s">
        <v>4169</v>
      </c>
      <c r="H2736" s="7" t="s">
        <v>65</v>
      </c>
      <c r="I2736" t="s">
        <v>0</v>
      </c>
      <c r="J2736" t="s">
        <v>0</v>
      </c>
      <c r="K2736" t="s">
        <v>52</v>
      </c>
      <c r="L2736" t="s">
        <v>53</v>
      </c>
      <c r="M2736" t="s">
        <v>88</v>
      </c>
      <c r="N2736" t="s">
        <v>72</v>
      </c>
      <c r="O2736" t="s">
        <v>71</v>
      </c>
      <c r="P2736" t="s">
        <v>58</v>
      </c>
      <c r="Q2736" t="s">
        <v>75</v>
      </c>
      <c r="R2736" t="s">
        <v>73</v>
      </c>
      <c r="S2736" t="s">
        <v>106</v>
      </c>
      <c r="T2736" t="s">
        <v>123</v>
      </c>
      <c r="U2736" t="s">
        <v>493</v>
      </c>
      <c r="V2736" t="s">
        <v>173</v>
      </c>
      <c r="W2736" t="s">
        <v>93</v>
      </c>
      <c r="X2736" t="s">
        <v>116</v>
      </c>
      <c r="Y2736" t="s">
        <v>314</v>
      </c>
      <c r="Z2736" t="s">
        <v>64</v>
      </c>
      <c r="AA2736" t="s">
        <v>742</v>
      </c>
      <c r="AB2736" t="s">
        <v>0</v>
      </c>
      <c r="AC2736" t="s">
        <v>7194</v>
      </c>
    </row>
    <row r="2737" spans="1:29">
      <c r="A2737" t="s">
        <v>7195</v>
      </c>
      <c r="B2737" s="42" t="str">
        <f>IF(ISNUMBER(SEARCH(E2737,A2737)),A2737,IF(OR(E2737="",E2737=""),A2737,A2737&amp;" - "&amp;E2737))</f>
        <v>187 Cannabisflower 24K THC25</v>
      </c>
      <c r="C2737" t="s">
        <v>702</v>
      </c>
      <c r="D2737" t="s">
        <v>702</v>
      </c>
      <c r="E2737" s="9" t="s">
        <v>7196</v>
      </c>
      <c r="F2737" s="1" t="s">
        <v>177</v>
      </c>
      <c r="G2737" s="8" t="s">
        <v>26</v>
      </c>
      <c r="H2737" s="7" t="s">
        <v>65</v>
      </c>
      <c r="I2737" t="s">
        <v>0</v>
      </c>
      <c r="J2737" t="s">
        <v>0</v>
      </c>
      <c r="K2737" t="s">
        <v>52</v>
      </c>
      <c r="L2737" t="s">
        <v>4603</v>
      </c>
      <c r="M2737" t="s">
        <v>121</v>
      </c>
      <c r="N2737" t="s">
        <v>72</v>
      </c>
      <c r="O2737" t="s">
        <v>54</v>
      </c>
      <c r="P2737" t="s">
        <v>59</v>
      </c>
      <c r="Q2737" t="s">
        <v>89</v>
      </c>
      <c r="R2737" t="s">
        <v>157</v>
      </c>
      <c r="S2737" t="s">
        <v>106</v>
      </c>
      <c r="T2737" t="s">
        <v>234</v>
      </c>
      <c r="U2737" t="s">
        <v>123</v>
      </c>
      <c r="V2737" t="s">
        <v>77</v>
      </c>
      <c r="W2737" t="s">
        <v>116</v>
      </c>
      <c r="X2737" t="s">
        <v>180</v>
      </c>
      <c r="Y2737" t="s">
        <v>3942</v>
      </c>
      <c r="Z2737" t="s">
        <v>64</v>
      </c>
      <c r="AA2737" t="s">
        <v>702</v>
      </c>
      <c r="AB2737" t="s">
        <v>0</v>
      </c>
      <c r="AC2737" t="s">
        <v>7197</v>
      </c>
    </row>
    <row r="2738" spans="1:29">
      <c r="A2738" t="s">
        <v>7198</v>
      </c>
      <c r="B2738" s="42" t="str">
        <f>IF(ISNUMBER(SEARCH(E2738,A2738)),A2738,IF(OR(E2738="",E2738=""),A2738,A2738&amp;" - "&amp;E2738))</f>
        <v>187 Cannabisflower FPB THC25 - Forbidden Punch</v>
      </c>
      <c r="C2738" t="s">
        <v>702</v>
      </c>
      <c r="D2738" t="s">
        <v>702</v>
      </c>
      <c r="E2738" s="9" t="s">
        <v>7199</v>
      </c>
      <c r="F2738" s="1" t="s">
        <v>177</v>
      </c>
      <c r="G2738" s="8" t="s">
        <v>26</v>
      </c>
      <c r="H2738" s="7" t="s">
        <v>65</v>
      </c>
      <c r="I2738" t="s">
        <v>0</v>
      </c>
      <c r="J2738" t="s">
        <v>0</v>
      </c>
      <c r="K2738" t="s">
        <v>52</v>
      </c>
      <c r="L2738" t="s">
        <v>4603</v>
      </c>
      <c r="M2738" t="s">
        <v>121</v>
      </c>
      <c r="N2738" t="s">
        <v>72</v>
      </c>
      <c r="O2738" t="s">
        <v>88</v>
      </c>
      <c r="P2738" t="s">
        <v>59</v>
      </c>
      <c r="Q2738" t="s">
        <v>57</v>
      </c>
      <c r="R2738" t="s">
        <v>89</v>
      </c>
      <c r="S2738" t="s">
        <v>106</v>
      </c>
      <c r="T2738" t="s">
        <v>234</v>
      </c>
      <c r="U2738" t="s">
        <v>123</v>
      </c>
      <c r="V2738" t="s">
        <v>77</v>
      </c>
      <c r="W2738" t="s">
        <v>225</v>
      </c>
      <c r="X2738" t="s">
        <v>116</v>
      </c>
      <c r="Y2738" t="s">
        <v>3942</v>
      </c>
      <c r="Z2738" t="s">
        <v>64</v>
      </c>
      <c r="AA2738" t="s">
        <v>702</v>
      </c>
      <c r="AB2738" t="s">
        <v>0</v>
      </c>
      <c r="AC2738" t="s">
        <v>7200</v>
      </c>
    </row>
    <row r="2739" spans="1:29">
      <c r="A2739" t="s">
        <v>7201</v>
      </c>
      <c r="B2739" s="42" t="str">
        <f>IF(ISNUMBER(SEARCH(E2739,A2739)),A2739,IF(OR(E2739="",E2739=""),A2739,A2739&amp;" - "&amp;E2739))</f>
        <v>187 Cannabisflower BSCT THC22 - Biscotti</v>
      </c>
      <c r="C2739" t="s">
        <v>702</v>
      </c>
      <c r="D2739" t="s">
        <v>702</v>
      </c>
      <c r="E2739" s="9" t="s">
        <v>5372</v>
      </c>
      <c r="F2739" s="1" t="s">
        <v>177</v>
      </c>
      <c r="G2739" s="8" t="s">
        <v>4126</v>
      </c>
      <c r="H2739" s="7" t="s">
        <v>65</v>
      </c>
      <c r="I2739" t="s">
        <v>0</v>
      </c>
      <c r="J2739" t="s">
        <v>0</v>
      </c>
      <c r="K2739" t="s">
        <v>52</v>
      </c>
      <c r="L2739" t="s">
        <v>4603</v>
      </c>
      <c r="M2739" t="s">
        <v>55</v>
      </c>
      <c r="N2739" t="s">
        <v>178</v>
      </c>
      <c r="O2739" t="s">
        <v>111</v>
      </c>
      <c r="P2739" t="s">
        <v>186</v>
      </c>
      <c r="Q2739" t="s">
        <v>59</v>
      </c>
      <c r="R2739" t="s">
        <v>75</v>
      </c>
      <c r="S2739" t="s">
        <v>106</v>
      </c>
      <c r="T2739" t="s">
        <v>62</v>
      </c>
      <c r="U2739" t="s">
        <v>123</v>
      </c>
      <c r="V2739" t="s">
        <v>165</v>
      </c>
      <c r="W2739" t="s">
        <v>914</v>
      </c>
      <c r="X2739" t="s">
        <v>292</v>
      </c>
      <c r="Y2739" t="s">
        <v>3942</v>
      </c>
      <c r="Z2739" t="s">
        <v>64</v>
      </c>
      <c r="AA2739" t="s">
        <v>702</v>
      </c>
      <c r="AB2739" t="s">
        <v>0</v>
      </c>
      <c r="AC2739" t="s">
        <v>7202</v>
      </c>
    </row>
    <row r="2740" spans="1:29">
      <c r="A2740" t="s">
        <v>7203</v>
      </c>
      <c r="B2740" s="42" t="str">
        <f>IF(ISNUMBER(SEARCH(E2740,A2740)),A2740,IF(OR(E2740="",E2740=""),A2740,A2740&amp;" - "&amp;E2740))</f>
        <v>187 Cannabisflower SUB THC20 Subba Zafari - Amnesia Haze</v>
      </c>
      <c r="C2740" t="s">
        <v>702</v>
      </c>
      <c r="D2740" t="s">
        <v>702</v>
      </c>
      <c r="E2740" s="9" t="s">
        <v>2774</v>
      </c>
      <c r="F2740" s="1" t="s">
        <v>144</v>
      </c>
      <c r="G2740" s="8" t="s">
        <v>460</v>
      </c>
      <c r="H2740" s="7" t="s">
        <v>65</v>
      </c>
      <c r="I2740" t="s">
        <v>0</v>
      </c>
      <c r="J2740" t="s">
        <v>0</v>
      </c>
      <c r="K2740" t="s">
        <v>52</v>
      </c>
      <c r="L2740" t="s">
        <v>4603</v>
      </c>
      <c r="M2740" t="s">
        <v>55</v>
      </c>
      <c r="N2740" t="s">
        <v>178</v>
      </c>
      <c r="O2740" t="s">
        <v>212</v>
      </c>
      <c r="P2740" t="s">
        <v>75</v>
      </c>
      <c r="Q2740" t="s">
        <v>59</v>
      </c>
      <c r="R2740" t="s">
        <v>0</v>
      </c>
      <c r="S2740" t="s">
        <v>106</v>
      </c>
      <c r="T2740" t="s">
        <v>234</v>
      </c>
      <c r="U2740" t="s">
        <v>123</v>
      </c>
      <c r="V2740" t="s">
        <v>77</v>
      </c>
      <c r="W2740" t="s">
        <v>79</v>
      </c>
      <c r="X2740" t="s">
        <v>457</v>
      </c>
      <c r="Y2740" t="s">
        <v>3942</v>
      </c>
      <c r="Z2740" t="s">
        <v>64</v>
      </c>
      <c r="AA2740" t="s">
        <v>702</v>
      </c>
      <c r="AB2740" t="s">
        <v>0</v>
      </c>
      <c r="AC2740" t="s">
        <v>7204</v>
      </c>
    </row>
    <row r="2741" spans="1:29">
      <c r="A2741" t="s">
        <v>7205</v>
      </c>
      <c r="B2741" s="42" t="str">
        <f>IF(ISNUMBER(SEARCH(E2741,A2741)),A2741,IF(OR(E2741="",E2741=""),A2741,A2741&amp;" - "&amp;E2741))</f>
        <v>187 Cannabisflower PPP THC22 - Phantasia Purp</v>
      </c>
      <c r="C2741" t="s">
        <v>702</v>
      </c>
      <c r="D2741" t="s">
        <v>702</v>
      </c>
      <c r="E2741" s="9" t="s">
        <v>7206</v>
      </c>
      <c r="F2741" s="1" t="s">
        <v>177</v>
      </c>
      <c r="G2741" s="8" t="s">
        <v>4126</v>
      </c>
      <c r="H2741" s="7" t="s">
        <v>65</v>
      </c>
      <c r="I2741" t="s">
        <v>0</v>
      </c>
      <c r="J2741" t="s">
        <v>0</v>
      </c>
      <c r="K2741" t="s">
        <v>52</v>
      </c>
      <c r="L2741" t="s">
        <v>4603</v>
      </c>
      <c r="M2741" t="s">
        <v>121</v>
      </c>
      <c r="N2741" t="s">
        <v>72</v>
      </c>
      <c r="O2741" t="s">
        <v>103</v>
      </c>
      <c r="P2741" t="s">
        <v>59</v>
      </c>
      <c r="Q2741" t="s">
        <v>89</v>
      </c>
      <c r="R2741" t="s">
        <v>58</v>
      </c>
      <c r="S2741" t="s">
        <v>90</v>
      </c>
      <c r="T2741" t="s">
        <v>106</v>
      </c>
      <c r="U2741" t="s">
        <v>234</v>
      </c>
      <c r="V2741" t="s">
        <v>77</v>
      </c>
      <c r="W2741" t="s">
        <v>225</v>
      </c>
      <c r="X2741" t="s">
        <v>116</v>
      </c>
      <c r="Y2741" t="s">
        <v>3942</v>
      </c>
      <c r="Z2741" t="s">
        <v>64</v>
      </c>
      <c r="AA2741" t="s">
        <v>702</v>
      </c>
      <c r="AB2741" t="s">
        <v>0</v>
      </c>
      <c r="AC2741" t="s">
        <v>7207</v>
      </c>
    </row>
    <row r="2742" spans="1:29">
      <c r="A2742" t="s">
        <v>7210</v>
      </c>
      <c r="B2742" s="42" t="str">
        <f>IF(ISNUMBER(SEARCH(E2742,A2742)),A2742,IF(OR(E2742="",E2742=""),A2742,A2742&amp;" - "&amp;E2742))</f>
        <v>Roxton Air BD 25/1 - Flap Jacks</v>
      </c>
      <c r="C2742" t="s">
        <v>564</v>
      </c>
      <c r="D2742" t="s">
        <v>565</v>
      </c>
      <c r="E2742" s="9" t="s">
        <v>1709</v>
      </c>
      <c r="F2742" s="1" t="s">
        <v>177</v>
      </c>
      <c r="G2742" s="8" t="s">
        <v>26</v>
      </c>
      <c r="H2742" s="7" t="s">
        <v>65</v>
      </c>
      <c r="I2742" t="s">
        <v>0</v>
      </c>
      <c r="J2742" t="s">
        <v>0</v>
      </c>
      <c r="K2742" t="s">
        <v>52</v>
      </c>
      <c r="L2742" t="s">
        <v>53</v>
      </c>
      <c r="M2742" t="s">
        <v>54</v>
      </c>
      <c r="N2742" t="s">
        <v>178</v>
      </c>
      <c r="O2742" t="s">
        <v>88</v>
      </c>
      <c r="P2742" t="s">
        <v>59</v>
      </c>
      <c r="Q2742" t="s">
        <v>74</v>
      </c>
      <c r="R2742" t="s">
        <v>146</v>
      </c>
      <c r="S2742" t="s">
        <v>106</v>
      </c>
      <c r="T2742" t="s">
        <v>62</v>
      </c>
      <c r="U2742" t="s">
        <v>123</v>
      </c>
      <c r="V2742" t="s">
        <v>77</v>
      </c>
      <c r="W2742" t="s">
        <v>107</v>
      </c>
      <c r="X2742" t="s">
        <v>116</v>
      </c>
      <c r="Y2742" t="s">
        <v>6641</v>
      </c>
      <c r="Z2742" t="s">
        <v>64</v>
      </c>
      <c r="AA2742" t="s">
        <v>565</v>
      </c>
      <c r="AB2742" t="s">
        <v>0</v>
      </c>
      <c r="AC2742" t="s">
        <v>7211</v>
      </c>
    </row>
    <row r="2743" spans="1:29">
      <c r="A2743" t="s">
        <v>7212</v>
      </c>
      <c r="B2743" s="42" t="str">
        <f>IF(ISNUMBER(SEARCH(E2743,A2743)),A2743,IF(OR(E2743="",E2743=""),A2743,A2743&amp;" - "&amp;E2743))</f>
        <v>Sibanax GMO Zkittlez 18/1</v>
      </c>
      <c r="C2743" t="s">
        <v>2296</v>
      </c>
      <c r="D2743" t="s">
        <v>2298</v>
      </c>
      <c r="E2743" s="9" t="s">
        <v>3335</v>
      </c>
      <c r="F2743" s="1" t="s">
        <v>177</v>
      </c>
      <c r="G2743" s="8" t="s">
        <v>8</v>
      </c>
      <c r="H2743" s="7">
        <v>1</v>
      </c>
      <c r="I2743" t="s">
        <v>0</v>
      </c>
      <c r="J2743" t="s">
        <v>0</v>
      </c>
      <c r="K2743" t="s">
        <v>52</v>
      </c>
      <c r="L2743" t="s">
        <v>87</v>
      </c>
      <c r="M2743" t="s">
        <v>72</v>
      </c>
      <c r="N2743" t="s">
        <v>88</v>
      </c>
      <c r="O2743" t="s">
        <v>71</v>
      </c>
      <c r="P2743" t="s">
        <v>104</v>
      </c>
      <c r="Q2743" t="s">
        <v>74</v>
      </c>
      <c r="R2743" t="s">
        <v>73</v>
      </c>
      <c r="S2743" t="s">
        <v>90</v>
      </c>
      <c r="T2743" t="s">
        <v>128</v>
      </c>
      <c r="U2743" t="s">
        <v>106</v>
      </c>
      <c r="V2743" t="s">
        <v>107</v>
      </c>
      <c r="W2743" t="s">
        <v>77</v>
      </c>
      <c r="X2743" t="s">
        <v>116</v>
      </c>
      <c r="Y2743" t="s">
        <v>5613</v>
      </c>
      <c r="Z2743" t="s">
        <v>64</v>
      </c>
      <c r="AA2743" t="s">
        <v>2298</v>
      </c>
      <c r="AB2743" t="s">
        <v>0</v>
      </c>
      <c r="AC2743" t="s">
        <v>7213</v>
      </c>
    </row>
    <row r="2744" spans="1:29">
      <c r="A2744" t="s">
        <v>7214</v>
      </c>
      <c r="B2744" s="42" t="str">
        <f>IF(ISNUMBER(SEARCH(E2744,A2744)),A2744,IF(OR(E2744="",E2744=""),A2744,A2744&amp;" - "&amp;E2744))</f>
        <v>Greyscales HF 27/1 - Hawaiian Faanta</v>
      </c>
      <c r="C2744" t="s">
        <v>564</v>
      </c>
      <c r="D2744" t="s">
        <v>565</v>
      </c>
      <c r="E2744" s="9" t="s">
        <v>5462</v>
      </c>
      <c r="F2744" s="1" t="s">
        <v>86</v>
      </c>
      <c r="G2744" s="8" t="s">
        <v>33</v>
      </c>
      <c r="H2744" s="7" t="s">
        <v>65</v>
      </c>
      <c r="I2744" t="s">
        <v>0</v>
      </c>
      <c r="J2744" t="s">
        <v>0</v>
      </c>
      <c r="K2744" t="s">
        <v>52</v>
      </c>
      <c r="L2744" t="s">
        <v>53</v>
      </c>
      <c r="M2744" t="s">
        <v>72</v>
      </c>
      <c r="N2744" t="s">
        <v>54</v>
      </c>
      <c r="O2744" t="s">
        <v>71</v>
      </c>
      <c r="P2744" t="s">
        <v>75</v>
      </c>
      <c r="Q2744" t="s">
        <v>89</v>
      </c>
      <c r="R2744" t="s">
        <v>58</v>
      </c>
      <c r="S2744" t="s">
        <v>128</v>
      </c>
      <c r="T2744" t="s">
        <v>62</v>
      </c>
      <c r="U2744" t="s">
        <v>164</v>
      </c>
      <c r="V2744" t="s">
        <v>77</v>
      </c>
      <c r="W2744" t="s">
        <v>129</v>
      </c>
      <c r="X2744" t="s">
        <v>292</v>
      </c>
      <c r="Y2744" t="s">
        <v>539</v>
      </c>
      <c r="Z2744" t="s">
        <v>64</v>
      </c>
      <c r="AA2744" t="s">
        <v>565</v>
      </c>
      <c r="AB2744" t="s">
        <v>0</v>
      </c>
      <c r="AC2744" t="s">
        <v>7215</v>
      </c>
    </row>
    <row r="2745" spans="1:29">
      <c r="A2745" t="s">
        <v>7216</v>
      </c>
      <c r="B2745" s="42" t="str">
        <f>IF(ISNUMBER(SEARCH(E2745,A2745)),A2745,IF(OR(E2745="",E2745=""),A2745,A2745&amp;" - "&amp;E2745))</f>
        <v>Cannamedical Hybrid classic BC - Garlic Truffle</v>
      </c>
      <c r="C2745" t="s">
        <v>48</v>
      </c>
      <c r="D2745" t="s">
        <v>49</v>
      </c>
      <c r="E2745" s="9" t="s">
        <v>4510</v>
      </c>
      <c r="F2745" s="1" t="s">
        <v>86</v>
      </c>
      <c r="G2745" s="8" t="s">
        <v>460</v>
      </c>
      <c r="H2745" s="7" t="s">
        <v>65</v>
      </c>
      <c r="I2745" t="s">
        <v>0</v>
      </c>
      <c r="J2745" t="s">
        <v>0</v>
      </c>
      <c r="K2745" t="s">
        <v>52</v>
      </c>
      <c r="L2745" t="s">
        <v>497</v>
      </c>
      <c r="M2745" t="s">
        <v>121</v>
      </c>
      <c r="N2745" t="s">
        <v>72</v>
      </c>
      <c r="O2745" t="s">
        <v>0</v>
      </c>
      <c r="P2745" t="s">
        <v>75</v>
      </c>
      <c r="Q2745" t="s">
        <v>104</v>
      </c>
      <c r="R2745" t="s">
        <v>0</v>
      </c>
      <c r="S2745" t="s">
        <v>62</v>
      </c>
      <c r="T2745" t="s">
        <v>147</v>
      </c>
      <c r="U2745" t="s">
        <v>7026</v>
      </c>
      <c r="V2745" t="s">
        <v>107</v>
      </c>
      <c r="W2745" t="s">
        <v>116</v>
      </c>
      <c r="X2745" t="s">
        <v>138</v>
      </c>
      <c r="Y2745" t="s">
        <v>3442</v>
      </c>
      <c r="Z2745" t="s">
        <v>64</v>
      </c>
      <c r="AA2745" t="s">
        <v>49</v>
      </c>
      <c r="AB2745" t="s">
        <v>0</v>
      </c>
      <c r="AC2745" t="s">
        <v>7217</v>
      </c>
    </row>
    <row r="2746" spans="1:29">
      <c r="A2746" t="s">
        <v>7253</v>
      </c>
      <c r="B2746" s="42" t="str">
        <f>IF(ISNUMBER(SEARCH(E2746,A2746)),A2746,IF(OR(E2746="",E2746=""),A2746,A2746&amp;" - "&amp;E2746))</f>
        <v>Demecan Core Florestrura 24:01 - Crazy Hazey</v>
      </c>
      <c r="C2746" t="s">
        <v>484</v>
      </c>
      <c r="D2746" t="s">
        <v>485</v>
      </c>
      <c r="E2746" s="9" t="s">
        <v>7254</v>
      </c>
      <c r="F2746" s="1" t="s">
        <v>86</v>
      </c>
      <c r="G2746" s="8" t="s">
        <v>448</v>
      </c>
      <c r="H2746" s="7" t="s">
        <v>65</v>
      </c>
      <c r="I2746" t="s">
        <v>0</v>
      </c>
      <c r="J2746" t="s">
        <v>0</v>
      </c>
      <c r="K2746" t="s">
        <v>52</v>
      </c>
      <c r="L2746" t="s">
        <v>527</v>
      </c>
      <c r="M2746" t="s">
        <v>178</v>
      </c>
      <c r="N2746" t="s">
        <v>156</v>
      </c>
      <c r="O2746" t="s">
        <v>54</v>
      </c>
      <c r="P2746" t="s">
        <v>59</v>
      </c>
      <c r="Q2746" t="s">
        <v>74</v>
      </c>
      <c r="R2746" t="s">
        <v>75</v>
      </c>
      <c r="S2746" t="s">
        <v>90</v>
      </c>
      <c r="T2746" t="s">
        <v>128</v>
      </c>
      <c r="U2746" t="s">
        <v>106</v>
      </c>
      <c r="V2746" t="s">
        <v>107</v>
      </c>
      <c r="W2746" t="s">
        <v>77</v>
      </c>
      <c r="X2746" t="s">
        <v>0</v>
      </c>
      <c r="Y2746" t="s">
        <v>6793</v>
      </c>
      <c r="Z2746" t="s">
        <v>64</v>
      </c>
      <c r="AA2746" t="s">
        <v>485</v>
      </c>
      <c r="AB2746" t="s">
        <v>0</v>
      </c>
      <c r="AC2746" t="s">
        <v>7255</v>
      </c>
    </row>
    <row r="2747" spans="1:29">
      <c r="A2747" t="s">
        <v>7119</v>
      </c>
      <c r="B2747" s="42" t="str">
        <f>IF(ISNUMBER(SEARCH(E2747,A2747)),A2747,IF(OR(E2747="",E2747=""),A2747,A2747&amp;" - "&amp;E2747))</f>
        <v>MGF Jurassic Deep Breath 22/1</v>
      </c>
      <c r="C2747" t="s">
        <v>3108</v>
      </c>
      <c r="D2747" t="s">
        <v>3109</v>
      </c>
      <c r="E2747" s="9" t="s">
        <v>7231</v>
      </c>
      <c r="F2747" s="1" t="s">
        <v>177</v>
      </c>
      <c r="G2747" s="8" t="s">
        <v>4126</v>
      </c>
      <c r="H2747" s="7" t="s">
        <v>65</v>
      </c>
      <c r="I2747" t="s">
        <v>0</v>
      </c>
      <c r="J2747" t="s">
        <v>0</v>
      </c>
      <c r="K2747" t="s">
        <v>52</v>
      </c>
      <c r="L2747" t="s">
        <v>53</v>
      </c>
      <c r="M2747" t="s">
        <v>121</v>
      </c>
      <c r="N2747" t="s">
        <v>72</v>
      </c>
      <c r="O2747" t="s">
        <v>88</v>
      </c>
      <c r="P2747" t="s">
        <v>59</v>
      </c>
      <c r="Q2747" t="s">
        <v>89</v>
      </c>
      <c r="R2747" t="s">
        <v>157</v>
      </c>
      <c r="S2747" t="s">
        <v>106</v>
      </c>
      <c r="T2747" t="s">
        <v>62</v>
      </c>
      <c r="U2747" t="s">
        <v>147</v>
      </c>
      <c r="V2747" t="s">
        <v>116</v>
      </c>
      <c r="W2747" t="s">
        <v>180</v>
      </c>
      <c r="X2747" t="s">
        <v>129</v>
      </c>
      <c r="Y2747" t="s">
        <v>7226</v>
      </c>
      <c r="Z2747" t="s">
        <v>64</v>
      </c>
      <c r="AA2747" t="s">
        <v>3109</v>
      </c>
      <c r="AB2747" t="s">
        <v>0</v>
      </c>
      <c r="AC2747" t="s">
        <v>7232</v>
      </c>
    </row>
    <row r="2748" spans="1:29">
      <c r="A2748" t="s">
        <v>7248</v>
      </c>
      <c r="B2748" s="42" t="str">
        <f>IF(ISNUMBER(SEARCH(E2748,A2748)),A2748,IF(OR(E2748="",E2748=""),A2748,A2748&amp;" - "&amp;E2748))</f>
        <v>MGF B CK 26/1 THC Rich - Banana Cake</v>
      </c>
      <c r="C2748" t="s">
        <v>3108</v>
      </c>
      <c r="D2748" t="s">
        <v>3109</v>
      </c>
      <c r="E2748" s="9" t="s">
        <v>7249</v>
      </c>
      <c r="F2748" s="1" t="s">
        <v>86</v>
      </c>
      <c r="G2748" s="8" t="s">
        <v>4086</v>
      </c>
      <c r="H2748" s="7" t="s">
        <v>65</v>
      </c>
      <c r="I2748" t="s">
        <v>0</v>
      </c>
      <c r="J2748" t="s">
        <v>0</v>
      </c>
      <c r="K2748" t="s">
        <v>52</v>
      </c>
      <c r="L2748" t="s">
        <v>53</v>
      </c>
      <c r="M2748" t="s">
        <v>72</v>
      </c>
      <c r="N2748" t="s">
        <v>88</v>
      </c>
      <c r="O2748" t="s">
        <v>0</v>
      </c>
      <c r="P2748" t="s">
        <v>59</v>
      </c>
      <c r="Q2748" t="s">
        <v>57</v>
      </c>
      <c r="R2748" t="s">
        <v>89</v>
      </c>
      <c r="S2748" t="s">
        <v>106</v>
      </c>
      <c r="T2748" t="s">
        <v>62</v>
      </c>
      <c r="U2748" t="s">
        <v>192</v>
      </c>
      <c r="V2748" t="s">
        <v>77</v>
      </c>
      <c r="W2748" t="s">
        <v>180</v>
      </c>
      <c r="X2748" t="s">
        <v>129</v>
      </c>
      <c r="Y2748" t="s">
        <v>7226</v>
      </c>
      <c r="Z2748" t="s">
        <v>64</v>
      </c>
      <c r="AA2748" t="s">
        <v>3109</v>
      </c>
      <c r="AB2748" t="s">
        <v>0</v>
      </c>
      <c r="AC2748" t="s">
        <v>7250</v>
      </c>
    </row>
    <row r="2749" spans="1:29">
      <c r="A2749" t="s">
        <v>7278</v>
      </c>
      <c r="B2749" s="42" t="str">
        <f>IF(ISNUMBER(SEARCH(E2749,A2749)),A2749,IF(OR(E2749="",E2749=""),A2749,A2749&amp;" - "&amp;E2749))</f>
        <v>Somai CKS Cannabisextrakt A&amp;B 50:1 Apples &amp; Bananas</v>
      </c>
      <c r="C2749" t="s">
        <v>5449</v>
      </c>
      <c r="D2749" t="s">
        <v>5450</v>
      </c>
      <c r="E2749" s="9" t="s">
        <v>0</v>
      </c>
      <c r="F2749" s="1" t="s">
        <v>86</v>
      </c>
      <c r="G2749" s="8" t="s">
        <v>0</v>
      </c>
      <c r="H2749" s="7" t="s">
        <v>0</v>
      </c>
      <c r="I2749" t="s">
        <v>45</v>
      </c>
      <c r="J2749" t="s">
        <v>65</v>
      </c>
      <c r="M2749" t="s">
        <v>72</v>
      </c>
      <c r="N2749" t="s">
        <v>55</v>
      </c>
      <c r="O2749" t="s">
        <v>71</v>
      </c>
      <c r="P2749" t="s">
        <v>0</v>
      </c>
      <c r="Q2749" t="s">
        <v>0</v>
      </c>
      <c r="R2749" t="s">
        <v>0</v>
      </c>
      <c r="S2749" t="s">
        <v>128</v>
      </c>
      <c r="T2749" t="s">
        <v>61</v>
      </c>
      <c r="U2749" t="s">
        <v>62</v>
      </c>
      <c r="V2749" t="s">
        <v>92</v>
      </c>
      <c r="W2749" t="s">
        <v>93</v>
      </c>
      <c r="X2749" t="s">
        <v>77</v>
      </c>
      <c r="Y2749" t="s">
        <v>7279</v>
      </c>
      <c r="Z2749" t="s">
        <v>1915</v>
      </c>
      <c r="AA2749" t="s">
        <v>5450</v>
      </c>
      <c r="AB2749" t="s">
        <v>0</v>
      </c>
      <c r="AC2749" t="s">
        <v>7280</v>
      </c>
    </row>
    <row r="2750" spans="1:29">
      <c r="A2750" t="s">
        <v>7224</v>
      </c>
      <c r="B2750" s="42" t="str">
        <f>IF(ISNUMBER(SEARCH(E2750,A2750)),A2750,IF(OR(E2750="",E2750=""),A2750,A2750&amp;" - "&amp;E2750))</f>
        <v>MGF Kiwi Kush 28/1</v>
      </c>
      <c r="C2750" t="s">
        <v>3108</v>
      </c>
      <c r="D2750" t="s">
        <v>3109</v>
      </c>
      <c r="E2750" t="s">
        <v>7225</v>
      </c>
      <c r="F2750" t="s">
        <v>177</v>
      </c>
      <c r="G2750" t="s">
        <v>4164</v>
      </c>
      <c r="H2750" t="s">
        <v>65</v>
      </c>
      <c r="I2750" t="s">
        <v>0</v>
      </c>
      <c r="J2750" t="s">
        <v>0</v>
      </c>
      <c r="K2750" t="s">
        <v>52</v>
      </c>
      <c r="L2750" t="s">
        <v>102</v>
      </c>
      <c r="M2750" t="s">
        <v>71</v>
      </c>
      <c r="N2750" t="s">
        <v>178</v>
      </c>
      <c r="O2750" t="s">
        <v>88</v>
      </c>
      <c r="P2750" t="s">
        <v>59</v>
      </c>
      <c r="Q2750" t="s">
        <v>89</v>
      </c>
      <c r="R2750" t="s">
        <v>157</v>
      </c>
      <c r="S2750" t="s">
        <v>106</v>
      </c>
      <c r="T2750" t="s">
        <v>62</v>
      </c>
      <c r="U2750" t="s">
        <v>147</v>
      </c>
      <c r="V2750" t="s">
        <v>77</v>
      </c>
      <c r="W2750" t="s">
        <v>180</v>
      </c>
      <c r="X2750" t="s">
        <v>79</v>
      </c>
      <c r="Y2750" t="s">
        <v>7226</v>
      </c>
      <c r="Z2750" t="s">
        <v>64</v>
      </c>
      <c r="AA2750" t="s">
        <v>3109</v>
      </c>
      <c r="AB2750" t="s">
        <v>0</v>
      </c>
      <c r="AC2750" t="s">
        <v>7227</v>
      </c>
    </row>
    <row r="2751" spans="1:29">
      <c r="A2751" t="s">
        <v>7228</v>
      </c>
      <c r="B2751" s="42" t="str">
        <f>IF(ISNUMBER(SEARCH(E2751,A2751)),A2751,IF(OR(E2751="",E2751=""),A2751,A2751&amp;" - "&amp;E2751))</f>
        <v>MGF Grape Kush 26/1</v>
      </c>
      <c r="C2751" t="s">
        <v>3108</v>
      </c>
      <c r="D2751" t="s">
        <v>3109</v>
      </c>
      <c r="E2751" s="9" t="s">
        <v>7229</v>
      </c>
      <c r="F2751" s="1" t="s">
        <v>177</v>
      </c>
      <c r="G2751" s="8" t="s">
        <v>4086</v>
      </c>
      <c r="H2751" s="7" t="s">
        <v>65</v>
      </c>
      <c r="I2751" t="s">
        <v>0</v>
      </c>
      <c r="J2751" t="s">
        <v>0</v>
      </c>
      <c r="K2751" t="s">
        <v>52</v>
      </c>
      <c r="L2751" t="s">
        <v>53</v>
      </c>
      <c r="M2751" t="s">
        <v>121</v>
      </c>
      <c r="N2751" t="s">
        <v>72</v>
      </c>
      <c r="O2751" t="s">
        <v>88</v>
      </c>
      <c r="P2751" t="s">
        <v>59</v>
      </c>
      <c r="Q2751" t="s">
        <v>89</v>
      </c>
      <c r="R2751" t="s">
        <v>157</v>
      </c>
      <c r="S2751" t="s">
        <v>106</v>
      </c>
      <c r="T2751" t="s">
        <v>147</v>
      </c>
      <c r="U2751" t="s">
        <v>192</v>
      </c>
      <c r="V2751" t="s">
        <v>116</v>
      </c>
      <c r="W2751" t="s">
        <v>180</v>
      </c>
      <c r="X2751" t="s">
        <v>129</v>
      </c>
      <c r="Y2751" t="s">
        <v>7226</v>
      </c>
      <c r="Z2751" t="s">
        <v>64</v>
      </c>
      <c r="AA2751" t="s">
        <v>3109</v>
      </c>
      <c r="AB2751" t="s">
        <v>0</v>
      </c>
      <c r="AC2751" t="s">
        <v>7230</v>
      </c>
    </row>
    <row r="2752" spans="1:29">
      <c r="A2752" t="s">
        <v>7233</v>
      </c>
      <c r="B2752" s="42" t="str">
        <f>IF(ISNUMBER(SEARCH(E2752,A2752)),A2752,IF(OR(E2752="",E2752=""),A2752,A2752&amp;" - "&amp;E2752))</f>
        <v>MGF Black Ice 22/1</v>
      </c>
      <c r="C2752" t="s">
        <v>3108</v>
      </c>
      <c r="D2752" t="s">
        <v>3109</v>
      </c>
      <c r="E2752" s="9" t="s">
        <v>7234</v>
      </c>
      <c r="F2752" s="1" t="s">
        <v>177</v>
      </c>
      <c r="G2752" s="8" t="s">
        <v>4126</v>
      </c>
      <c r="H2752" s="7" t="s">
        <v>65</v>
      </c>
      <c r="I2752" t="s">
        <v>0</v>
      </c>
      <c r="J2752" t="s">
        <v>0</v>
      </c>
      <c r="K2752" t="s">
        <v>52</v>
      </c>
      <c r="L2752" t="s">
        <v>53</v>
      </c>
      <c r="M2752" t="s">
        <v>121</v>
      </c>
      <c r="N2752" t="s">
        <v>72</v>
      </c>
      <c r="O2752" t="s">
        <v>88</v>
      </c>
      <c r="P2752" t="s">
        <v>59</v>
      </c>
      <c r="Q2752" t="s">
        <v>157</v>
      </c>
      <c r="R2752" t="s">
        <v>74</v>
      </c>
      <c r="S2752" t="s">
        <v>106</v>
      </c>
      <c r="T2752" t="s">
        <v>62</v>
      </c>
      <c r="U2752" t="s">
        <v>0</v>
      </c>
      <c r="V2752" t="s">
        <v>77</v>
      </c>
      <c r="W2752" t="s">
        <v>116</v>
      </c>
      <c r="X2752" t="s">
        <v>180</v>
      </c>
      <c r="Y2752" t="s">
        <v>7226</v>
      </c>
      <c r="Z2752" t="s">
        <v>64</v>
      </c>
      <c r="AA2752" t="s">
        <v>3109</v>
      </c>
      <c r="AB2752" t="s">
        <v>0</v>
      </c>
      <c r="AC2752" t="s">
        <v>7235</v>
      </c>
    </row>
    <row r="2753" spans="1:29">
      <c r="A2753" t="s">
        <v>7236</v>
      </c>
      <c r="B2753" s="42" t="str">
        <f>IF(ISNUMBER(SEARCH(E2753,A2753)),A2753,IF(OR(E2753="",E2753=""),A2753,A2753&amp;" - "&amp;E2753))</f>
        <v>MGF Pink Certz 26/1</v>
      </c>
      <c r="C2753" t="s">
        <v>3108</v>
      </c>
      <c r="D2753" t="s">
        <v>3109</v>
      </c>
      <c r="E2753" s="9" t="s">
        <v>7237</v>
      </c>
      <c r="F2753" s="1" t="s">
        <v>86</v>
      </c>
      <c r="G2753" s="8" t="s">
        <v>4086</v>
      </c>
      <c r="H2753" s="7" t="s">
        <v>65</v>
      </c>
      <c r="I2753" t="s">
        <v>0</v>
      </c>
      <c r="J2753" t="s">
        <v>0</v>
      </c>
      <c r="K2753" t="s">
        <v>52</v>
      </c>
      <c r="L2753" t="s">
        <v>53</v>
      </c>
      <c r="M2753" t="s">
        <v>121</v>
      </c>
      <c r="N2753" t="s">
        <v>72</v>
      </c>
      <c r="O2753" t="s">
        <v>88</v>
      </c>
      <c r="P2753" t="s">
        <v>59</v>
      </c>
      <c r="Q2753" t="s">
        <v>89</v>
      </c>
      <c r="R2753" t="s">
        <v>112</v>
      </c>
      <c r="S2753" t="s">
        <v>62</v>
      </c>
      <c r="T2753" t="s">
        <v>147</v>
      </c>
      <c r="U2753" t="s">
        <v>0</v>
      </c>
      <c r="V2753" t="s">
        <v>116</v>
      </c>
      <c r="W2753" t="s">
        <v>180</v>
      </c>
      <c r="X2753" t="s">
        <v>129</v>
      </c>
      <c r="Y2753" t="s">
        <v>7226</v>
      </c>
      <c r="Z2753" t="s">
        <v>64</v>
      </c>
      <c r="AA2753" t="s">
        <v>3109</v>
      </c>
      <c r="AB2753" t="s">
        <v>0</v>
      </c>
      <c r="AC2753" t="s">
        <v>7238</v>
      </c>
    </row>
    <row r="2754" spans="1:29">
      <c r="A2754" t="s">
        <v>7239</v>
      </c>
      <c r="B2754" s="42" t="str">
        <f>IF(ISNUMBER(SEARCH(E2754,A2754)),A2754,IF(OR(E2754="",E2754=""),A2754,A2754&amp;" - "&amp;E2754))</f>
        <v>MGF Pop Up No. 17 25/1 THC Rich - Apples and Bananas x White Runtz</v>
      </c>
      <c r="C2754" t="s">
        <v>3108</v>
      </c>
      <c r="D2754" t="s">
        <v>3109</v>
      </c>
      <c r="E2754" s="9" t="s">
        <v>7240</v>
      </c>
      <c r="F2754" s="1" t="s">
        <v>177</v>
      </c>
      <c r="G2754" s="8" t="s">
        <v>26</v>
      </c>
      <c r="H2754" s="7" t="s">
        <v>65</v>
      </c>
      <c r="I2754" t="s">
        <v>0</v>
      </c>
      <c r="J2754" t="s">
        <v>0</v>
      </c>
      <c r="K2754" t="s">
        <v>52</v>
      </c>
      <c r="L2754" t="s">
        <v>102</v>
      </c>
      <c r="M2754" t="s">
        <v>121</v>
      </c>
      <c r="N2754" t="s">
        <v>72</v>
      </c>
      <c r="O2754" t="s">
        <v>71</v>
      </c>
      <c r="P2754" t="s">
        <v>59</v>
      </c>
      <c r="Q2754" t="s">
        <v>57</v>
      </c>
      <c r="R2754" t="s">
        <v>136</v>
      </c>
      <c r="S2754" t="s">
        <v>62</v>
      </c>
      <c r="T2754" t="s">
        <v>147</v>
      </c>
      <c r="U2754" t="s">
        <v>192</v>
      </c>
      <c r="V2754" t="s">
        <v>116</v>
      </c>
      <c r="W2754" t="s">
        <v>79</v>
      </c>
      <c r="X2754" t="s">
        <v>77</v>
      </c>
      <c r="Y2754" t="s">
        <v>7241</v>
      </c>
      <c r="Z2754" t="s">
        <v>64</v>
      </c>
      <c r="AA2754" t="s">
        <v>3109</v>
      </c>
      <c r="AB2754" t="s">
        <v>7242</v>
      </c>
      <c r="AC2754" t="s">
        <v>7243</v>
      </c>
    </row>
    <row r="2755" spans="1:29">
      <c r="A2755" t="s">
        <v>7244</v>
      </c>
      <c r="B2755" s="42" t="str">
        <f>IF(ISNUMBER(SEARCH(E2755,A2755)),A2755,IF(OR(E2755="",E2755=""),A2755,A2755&amp;" - "&amp;E2755))</f>
        <v>MGF Pop Up No. 9 25/1 THC Rich - Tropicana Banana</v>
      </c>
      <c r="C2755" t="s">
        <v>3108</v>
      </c>
      <c r="D2755" t="s">
        <v>3109</v>
      </c>
      <c r="E2755" s="9" t="s">
        <v>1505</v>
      </c>
      <c r="F2755" s="1" t="s">
        <v>177</v>
      </c>
      <c r="G2755" s="8" t="s">
        <v>26</v>
      </c>
      <c r="H2755" s="7" t="s">
        <v>65</v>
      </c>
      <c r="I2755" t="s">
        <v>0</v>
      </c>
      <c r="J2755" t="s">
        <v>0</v>
      </c>
      <c r="K2755" t="s">
        <v>52</v>
      </c>
      <c r="L2755" t="s">
        <v>102</v>
      </c>
      <c r="M2755" t="s">
        <v>111</v>
      </c>
      <c r="N2755" t="s">
        <v>54</v>
      </c>
      <c r="O2755" t="s">
        <v>55</v>
      </c>
      <c r="P2755" t="s">
        <v>59</v>
      </c>
      <c r="Q2755" t="s">
        <v>74</v>
      </c>
      <c r="R2755" t="s">
        <v>75</v>
      </c>
      <c r="S2755" t="s">
        <v>106</v>
      </c>
      <c r="T2755" t="s">
        <v>147</v>
      </c>
      <c r="U2755" t="s">
        <v>0</v>
      </c>
      <c r="V2755" t="s">
        <v>107</v>
      </c>
      <c r="W2755" t="s">
        <v>77</v>
      </c>
      <c r="X2755" t="s">
        <v>0</v>
      </c>
      <c r="Y2755" t="s">
        <v>4408</v>
      </c>
      <c r="Z2755" t="s">
        <v>64</v>
      </c>
      <c r="AA2755" t="s">
        <v>3109</v>
      </c>
      <c r="AB2755" t="s">
        <v>0</v>
      </c>
      <c r="AC2755" t="s">
        <v>7245</v>
      </c>
    </row>
    <row r="2756" spans="1:29">
      <c r="A2756" t="s">
        <v>7246</v>
      </c>
      <c r="B2756" s="42" t="str">
        <f>IF(ISNUMBER(SEARCH(E2756,A2756)),A2756,IF(OR(E2756="",E2756=""),A2756,A2756&amp;" - "&amp;E2756))</f>
        <v>MGF Pop Up No. 10 25/1 THC Rich - Jokerz #53</v>
      </c>
      <c r="C2756" t="s">
        <v>3108</v>
      </c>
      <c r="D2756" t="s">
        <v>3109</v>
      </c>
      <c r="E2756" s="9" t="s">
        <v>1502</v>
      </c>
      <c r="F2756" s="1" t="s">
        <v>177</v>
      </c>
      <c r="G2756" s="8" t="s">
        <v>26</v>
      </c>
      <c r="H2756" s="7" t="s">
        <v>65</v>
      </c>
      <c r="I2756" t="s">
        <v>0</v>
      </c>
      <c r="J2756" t="s">
        <v>0</v>
      </c>
      <c r="K2756" t="s">
        <v>52</v>
      </c>
      <c r="L2756" t="s">
        <v>102</v>
      </c>
      <c r="M2756" t="s">
        <v>72</v>
      </c>
      <c r="N2756" t="s">
        <v>54</v>
      </c>
      <c r="O2756" t="s">
        <v>88</v>
      </c>
      <c r="P2756" t="s">
        <v>59</v>
      </c>
      <c r="Q2756" t="s">
        <v>74</v>
      </c>
      <c r="R2756" t="s">
        <v>73</v>
      </c>
      <c r="S2756" t="s">
        <v>106</v>
      </c>
      <c r="T2756" t="s">
        <v>62</v>
      </c>
      <c r="U2756" t="s">
        <v>123</v>
      </c>
      <c r="V2756" t="s">
        <v>116</v>
      </c>
      <c r="W2756" t="s">
        <v>107</v>
      </c>
      <c r="X2756" t="s">
        <v>77</v>
      </c>
      <c r="Y2756" t="s">
        <v>7241</v>
      </c>
      <c r="Z2756" t="s">
        <v>64</v>
      </c>
      <c r="AA2756" t="s">
        <v>3109</v>
      </c>
      <c r="AB2756" t="s">
        <v>0</v>
      </c>
      <c r="AC2756" t="s">
        <v>7247</v>
      </c>
    </row>
    <row r="2757" spans="1:29">
      <c r="A2757" t="s">
        <v>7251</v>
      </c>
      <c r="B2757" s="42" t="str">
        <f>IF(ISNUMBER(SEARCH(E2757,A2757)),A2757,IF(OR(E2757="",E2757=""),A2757,A2757&amp;" - "&amp;E2757))</f>
        <v>MGF Pop Up No. 12 25/1 THC Rich - Tropicana Banana</v>
      </c>
      <c r="C2757" t="s">
        <v>3108</v>
      </c>
      <c r="D2757" t="s">
        <v>3109</v>
      </c>
      <c r="E2757" s="9" t="s">
        <v>1505</v>
      </c>
      <c r="F2757" s="1" t="s">
        <v>177</v>
      </c>
      <c r="G2757" s="8" t="s">
        <v>26</v>
      </c>
      <c r="H2757" s="7" t="s">
        <v>65</v>
      </c>
      <c r="I2757" t="s">
        <v>0</v>
      </c>
      <c r="J2757" t="s">
        <v>0</v>
      </c>
      <c r="K2757" t="s">
        <v>52</v>
      </c>
      <c r="L2757" t="s">
        <v>102</v>
      </c>
      <c r="M2757" t="s">
        <v>111</v>
      </c>
      <c r="N2757" t="s">
        <v>54</v>
      </c>
      <c r="O2757" t="s">
        <v>55</v>
      </c>
      <c r="P2757" t="s">
        <v>59</v>
      </c>
      <c r="Q2757" t="s">
        <v>74</v>
      </c>
      <c r="R2757" t="s">
        <v>75</v>
      </c>
      <c r="S2757" t="s">
        <v>106</v>
      </c>
      <c r="T2757" t="s">
        <v>147</v>
      </c>
      <c r="U2757" t="s">
        <v>0</v>
      </c>
      <c r="V2757" t="s">
        <v>107</v>
      </c>
      <c r="W2757" t="s">
        <v>77</v>
      </c>
      <c r="X2757" t="s">
        <v>0</v>
      </c>
      <c r="Y2757" t="s">
        <v>4408</v>
      </c>
      <c r="Z2757" t="s">
        <v>64</v>
      </c>
      <c r="AA2757" t="s">
        <v>3109</v>
      </c>
      <c r="AB2757" t="s">
        <v>0</v>
      </c>
      <c r="AC2757" t="s">
        <v>7252</v>
      </c>
    </row>
    <row r="2758" spans="1:29">
      <c r="A2758" t="s">
        <v>7256</v>
      </c>
      <c r="B2758" s="42" t="str">
        <f>IF(ISNUMBER(SEARCH(E2758,A2758)),A2758,IF(OR(E2758="",E2758=""),A2758,A2758&amp;" - "&amp;E2758))</f>
        <v>MGF Larry Kush 26/1</v>
      </c>
      <c r="C2758" t="s">
        <v>3108</v>
      </c>
      <c r="D2758" t="s">
        <v>3109</v>
      </c>
      <c r="E2758" s="9" t="s">
        <v>7257</v>
      </c>
      <c r="F2758" s="1" t="s">
        <v>177</v>
      </c>
      <c r="G2758" s="8" t="s">
        <v>4086</v>
      </c>
      <c r="H2758" s="7" t="s">
        <v>65</v>
      </c>
      <c r="I2758" t="s">
        <v>0</v>
      </c>
      <c r="J2758" t="s">
        <v>0</v>
      </c>
      <c r="K2758" t="s">
        <v>52</v>
      </c>
      <c r="L2758" t="s">
        <v>53</v>
      </c>
      <c r="M2758" t="s">
        <v>72</v>
      </c>
      <c r="N2758" t="s">
        <v>54</v>
      </c>
      <c r="O2758" t="s">
        <v>111</v>
      </c>
      <c r="P2758" t="s">
        <v>59</v>
      </c>
      <c r="Q2758" t="s">
        <v>157</v>
      </c>
      <c r="R2758" t="s">
        <v>73</v>
      </c>
      <c r="S2758" t="s">
        <v>106</v>
      </c>
      <c r="T2758" t="s">
        <v>62</v>
      </c>
      <c r="U2758" t="s">
        <v>147</v>
      </c>
      <c r="V2758" t="s">
        <v>116</v>
      </c>
      <c r="W2758" t="s">
        <v>180</v>
      </c>
      <c r="X2758" t="s">
        <v>129</v>
      </c>
      <c r="Y2758" t="s">
        <v>7226</v>
      </c>
      <c r="Z2758" t="s">
        <v>64</v>
      </c>
      <c r="AA2758" t="s">
        <v>3109</v>
      </c>
      <c r="AB2758" t="s">
        <v>0</v>
      </c>
      <c r="AC2758" t="s">
        <v>7258</v>
      </c>
    </row>
    <row r="2759" spans="1:29">
      <c r="A2759" t="s">
        <v>7259</v>
      </c>
      <c r="B2759" s="42" t="str">
        <f>IF(ISNUMBER(SEARCH(E2759,A2759)),A2759,IF(OR(E2759="",E2759=""),A2759,A2759&amp;" - "&amp;E2759))</f>
        <v>MGF Pop Up No. 9 20/1 THC Rich - Riff OG</v>
      </c>
      <c r="C2759" t="s">
        <v>3108</v>
      </c>
      <c r="D2759" t="s">
        <v>3109</v>
      </c>
      <c r="E2759" s="9" t="s">
        <v>7260</v>
      </c>
      <c r="F2759" s="1" t="s">
        <v>177</v>
      </c>
      <c r="G2759" s="8" t="s">
        <v>460</v>
      </c>
      <c r="H2759" s="7" t="s">
        <v>65</v>
      </c>
      <c r="I2759" t="s">
        <v>0</v>
      </c>
      <c r="J2759" t="s">
        <v>0</v>
      </c>
      <c r="K2759" t="s">
        <v>52</v>
      </c>
      <c r="L2759" t="s">
        <v>102</v>
      </c>
      <c r="M2759" t="s">
        <v>72</v>
      </c>
      <c r="N2759" t="s">
        <v>111</v>
      </c>
      <c r="O2759" t="s">
        <v>0</v>
      </c>
      <c r="P2759" t="s">
        <v>113</v>
      </c>
      <c r="Q2759" t="s">
        <v>73</v>
      </c>
      <c r="R2759" t="s">
        <v>59</v>
      </c>
      <c r="S2759" t="s">
        <v>234</v>
      </c>
      <c r="T2759" t="s">
        <v>147</v>
      </c>
      <c r="U2759" t="s">
        <v>0</v>
      </c>
      <c r="V2759" t="s">
        <v>79</v>
      </c>
      <c r="W2759" t="s">
        <v>116</v>
      </c>
      <c r="X2759" t="s">
        <v>173</v>
      </c>
      <c r="Y2759" t="s">
        <v>4408</v>
      </c>
      <c r="Z2759" t="s">
        <v>64</v>
      </c>
      <c r="AA2759" t="s">
        <v>3109</v>
      </c>
      <c r="AB2759" t="s">
        <v>0</v>
      </c>
      <c r="AC2759" t="s">
        <v>7261</v>
      </c>
    </row>
    <row r="2760" spans="1:29">
      <c r="A2760" t="s">
        <v>7262</v>
      </c>
      <c r="B2760" s="42" t="str">
        <f>IF(ISNUMBER(SEARCH(E2760,A2760)),A2760,IF(OR(E2760="",E2760=""),A2760,A2760&amp;" - "&amp;E2760))</f>
        <v>All Nations GM 21/1 - Mac Doughnut</v>
      </c>
      <c r="C2760" t="s">
        <v>564</v>
      </c>
      <c r="D2760" t="s">
        <v>565</v>
      </c>
      <c r="E2760" s="9" t="s">
        <v>1230</v>
      </c>
      <c r="F2760" s="1" t="s">
        <v>177</v>
      </c>
      <c r="G2760" s="8" t="s">
        <v>452</v>
      </c>
      <c r="H2760" s="7">
        <v>1</v>
      </c>
      <c r="I2760" t="s">
        <v>0</v>
      </c>
      <c r="J2760" t="s">
        <v>0</v>
      </c>
      <c r="K2760" t="s">
        <v>52</v>
      </c>
      <c r="L2760" t="s">
        <v>53</v>
      </c>
      <c r="M2760" t="s">
        <v>72</v>
      </c>
      <c r="N2760" t="s">
        <v>121</v>
      </c>
      <c r="O2760" t="s">
        <v>0</v>
      </c>
      <c r="P2760" t="s">
        <v>58</v>
      </c>
      <c r="Q2760" t="s">
        <v>89</v>
      </c>
      <c r="R2760" t="s">
        <v>0</v>
      </c>
      <c r="S2760" t="s">
        <v>106</v>
      </c>
      <c r="T2760" t="s">
        <v>62</v>
      </c>
      <c r="U2760" t="s">
        <v>123</v>
      </c>
      <c r="V2760" t="s">
        <v>77</v>
      </c>
      <c r="W2760" t="s">
        <v>79</v>
      </c>
      <c r="X2760" t="s">
        <v>116</v>
      </c>
      <c r="Y2760" t="s">
        <v>1647</v>
      </c>
      <c r="Z2760" t="s">
        <v>64</v>
      </c>
      <c r="AA2760" t="s">
        <v>565</v>
      </c>
      <c r="AB2760" t="s">
        <v>1232</v>
      </c>
      <c r="AC2760" t="s">
        <v>7263</v>
      </c>
    </row>
    <row r="2761" spans="1:29">
      <c r="A2761" t="s">
        <v>7264</v>
      </c>
      <c r="B2761" s="42" t="str">
        <f>IF(ISNUMBER(SEARCH(E2761,A2761)),A2761,IF(OR(E2761="",E2761=""),A2761,A2761&amp;" - "&amp;E2761))</f>
        <v>Medicus 18/1 BIZ GGE - Green Gelato</v>
      </c>
      <c r="C2761" t="s">
        <v>564</v>
      </c>
      <c r="D2761" t="s">
        <v>565</v>
      </c>
      <c r="E2761" s="9" t="s">
        <v>2598</v>
      </c>
      <c r="F2761" s="1" t="s">
        <v>177</v>
      </c>
      <c r="G2761" s="8" t="s">
        <v>8</v>
      </c>
      <c r="H2761" s="7" t="s">
        <v>65</v>
      </c>
      <c r="I2761" t="s">
        <v>0</v>
      </c>
      <c r="J2761" t="s">
        <v>0</v>
      </c>
      <c r="K2761" t="s">
        <v>52</v>
      </c>
      <c r="L2761" t="s">
        <v>53</v>
      </c>
      <c r="M2761" t="s">
        <v>121</v>
      </c>
      <c r="N2761" t="s">
        <v>178</v>
      </c>
      <c r="O2761" t="s">
        <v>88</v>
      </c>
      <c r="P2761" t="s">
        <v>58</v>
      </c>
      <c r="Q2761" t="s">
        <v>75</v>
      </c>
      <c r="R2761" t="s">
        <v>89</v>
      </c>
      <c r="S2761" t="s">
        <v>106</v>
      </c>
      <c r="T2761" t="s">
        <v>62</v>
      </c>
      <c r="U2761" t="s">
        <v>147</v>
      </c>
      <c r="V2761" t="s">
        <v>107</v>
      </c>
      <c r="W2761" t="s">
        <v>116</v>
      </c>
      <c r="X2761" t="s">
        <v>77</v>
      </c>
      <c r="Y2761" t="s">
        <v>7265</v>
      </c>
      <c r="Z2761" t="s">
        <v>64</v>
      </c>
      <c r="AA2761" t="s">
        <v>565</v>
      </c>
      <c r="AB2761" t="s">
        <v>0</v>
      </c>
      <c r="AC2761" t="s">
        <v>7266</v>
      </c>
    </row>
    <row r="2762" spans="1:29">
      <c r="A2762" t="s">
        <v>7267</v>
      </c>
      <c r="B2762" s="42" t="str">
        <f>IF(ISNUMBER(SEARCH(E2762,A2762)),A2762,IF(OR(E2762="",E2762=""),A2762,A2762&amp;" - "&amp;E2762))</f>
        <v>MGF Pop Up No. 16 25/1 THC Rich - Jet Fuel Gelato x Legend Orange Apricot</v>
      </c>
      <c r="C2762" t="s">
        <v>3108</v>
      </c>
      <c r="D2762" t="s">
        <v>3109</v>
      </c>
      <c r="E2762" s="9" t="s">
        <v>7268</v>
      </c>
      <c r="F2762" s="1" t="s">
        <v>177</v>
      </c>
      <c r="G2762" s="8" t="s">
        <v>26</v>
      </c>
      <c r="H2762" s="7" t="s">
        <v>65</v>
      </c>
      <c r="I2762" t="s">
        <v>0</v>
      </c>
      <c r="J2762" t="s">
        <v>0</v>
      </c>
      <c r="K2762" t="s">
        <v>52</v>
      </c>
      <c r="L2762" t="s">
        <v>102</v>
      </c>
      <c r="M2762" t="s">
        <v>156</v>
      </c>
      <c r="N2762" t="s">
        <v>72</v>
      </c>
      <c r="O2762" t="s">
        <v>71</v>
      </c>
      <c r="P2762" t="s">
        <v>104</v>
      </c>
      <c r="Q2762" t="s">
        <v>74</v>
      </c>
      <c r="R2762" t="s">
        <v>58</v>
      </c>
      <c r="S2762" t="s">
        <v>90</v>
      </c>
      <c r="T2762" t="s">
        <v>106</v>
      </c>
      <c r="U2762" t="s">
        <v>147</v>
      </c>
      <c r="V2762" t="s">
        <v>93</v>
      </c>
      <c r="W2762" t="s">
        <v>107</v>
      </c>
      <c r="X2762" t="s">
        <v>79</v>
      </c>
      <c r="Y2762" t="s">
        <v>7241</v>
      </c>
      <c r="Z2762" t="s">
        <v>64</v>
      </c>
      <c r="AA2762" t="s">
        <v>3109</v>
      </c>
      <c r="AB2762" t="s">
        <v>4935</v>
      </c>
      <c r="AC2762" t="s">
        <v>7269</v>
      </c>
    </row>
    <row r="2763" spans="1:29">
      <c r="A2763" t="s">
        <v>7270</v>
      </c>
      <c r="B2763" s="42" t="str">
        <f>IF(ISNUMBER(SEARCH(E2763,A2763)),A2763,IF(OR(E2763="",E2763=""),A2763,A2763&amp;" - "&amp;E2763))</f>
        <v>MGF Pop Up No. 13 25/1 THC Rich IBC - Gastro Pop</v>
      </c>
      <c r="C2763" t="s">
        <v>3108</v>
      </c>
      <c r="D2763" t="s">
        <v>3109</v>
      </c>
      <c r="E2763" s="9" t="s">
        <v>1564</v>
      </c>
      <c r="F2763" s="1" t="s">
        <v>177</v>
      </c>
      <c r="G2763" s="8" t="s">
        <v>26</v>
      </c>
      <c r="H2763" s="7" t="s">
        <v>65</v>
      </c>
      <c r="I2763" t="s">
        <v>0</v>
      </c>
      <c r="J2763" t="s">
        <v>0</v>
      </c>
      <c r="K2763" t="s">
        <v>52</v>
      </c>
      <c r="L2763" t="s">
        <v>53</v>
      </c>
      <c r="M2763" t="s">
        <v>156</v>
      </c>
      <c r="N2763" t="s">
        <v>103</v>
      </c>
      <c r="O2763" t="s">
        <v>0</v>
      </c>
      <c r="P2763" t="s">
        <v>58</v>
      </c>
      <c r="Q2763" t="s">
        <v>89</v>
      </c>
      <c r="R2763" t="s">
        <v>59</v>
      </c>
      <c r="S2763" t="s">
        <v>106</v>
      </c>
      <c r="T2763" t="s">
        <v>62</v>
      </c>
      <c r="U2763" t="s">
        <v>147</v>
      </c>
      <c r="V2763" t="s">
        <v>77</v>
      </c>
      <c r="W2763" t="s">
        <v>107</v>
      </c>
      <c r="X2763" t="s">
        <v>173</v>
      </c>
      <c r="Y2763" t="s">
        <v>7241</v>
      </c>
      <c r="Z2763" t="s">
        <v>64</v>
      </c>
      <c r="AA2763" t="s">
        <v>3109</v>
      </c>
      <c r="AB2763" t="s">
        <v>0</v>
      </c>
      <c r="AC2763" t="s">
        <v>7271</v>
      </c>
    </row>
    <row r="2764" spans="1:29">
      <c r="A2764" t="s">
        <v>7272</v>
      </c>
      <c r="B2764" s="42" t="str">
        <f>IF(ISNUMBER(SEARCH(E2764,A2764)),A2764,IF(OR(E2764="",E2764=""),A2764,A2764&amp;" - "&amp;E2764))</f>
        <v>Demecan BB Strong Drop Power 27/1</v>
      </c>
      <c r="C2764" t="s">
        <v>484</v>
      </c>
      <c r="D2764" t="s">
        <v>485</v>
      </c>
      <c r="E2764" s="9" t="s">
        <v>6224</v>
      </c>
      <c r="F2764" s="1" t="s">
        <v>144</v>
      </c>
      <c r="G2764" s="8" t="s">
        <v>33</v>
      </c>
      <c r="H2764" s="7" t="s">
        <v>65</v>
      </c>
      <c r="I2764" t="s">
        <v>0</v>
      </c>
      <c r="J2764" t="s">
        <v>0</v>
      </c>
      <c r="K2764" t="s">
        <v>52</v>
      </c>
      <c r="L2764" t="s">
        <v>53</v>
      </c>
      <c r="M2764" t="s">
        <v>121</v>
      </c>
      <c r="N2764" t="s">
        <v>72</v>
      </c>
      <c r="O2764" t="s">
        <v>156</v>
      </c>
      <c r="P2764" t="s">
        <v>75</v>
      </c>
      <c r="Q2764" t="s">
        <v>146</v>
      </c>
      <c r="R2764" t="s">
        <v>74</v>
      </c>
      <c r="S2764" t="s">
        <v>106</v>
      </c>
      <c r="T2764" t="s">
        <v>164</v>
      </c>
      <c r="U2764" t="s">
        <v>466</v>
      </c>
      <c r="V2764" t="s">
        <v>77</v>
      </c>
      <c r="W2764" t="s">
        <v>116</v>
      </c>
      <c r="X2764" t="s">
        <v>79</v>
      </c>
      <c r="Y2764" t="s">
        <v>5618</v>
      </c>
      <c r="Z2764" t="s">
        <v>64</v>
      </c>
      <c r="AA2764" t="s">
        <v>485</v>
      </c>
      <c r="AB2764" t="s">
        <v>0</v>
      </c>
      <c r="AC2764" t="s">
        <v>7273</v>
      </c>
    </row>
    <row r="2765" spans="1:29">
      <c r="A2765" t="s">
        <v>6756</v>
      </c>
      <c r="B2765" s="42" t="str">
        <f>IF(ISNUMBER(SEARCH(E2765,A2765)),A2765,IF(OR(E2765="",E2765=""),A2765,A2765&amp;" - "&amp;E2765))</f>
        <v>Cookies 2.0 Cereal Milk 26/1 CAN CM</v>
      </c>
      <c r="C2765" t="s">
        <v>996</v>
      </c>
      <c r="D2765" t="s">
        <v>997</v>
      </c>
      <c r="E2765" s="9" t="s">
        <v>2586</v>
      </c>
      <c r="F2765" s="1" t="s">
        <v>86</v>
      </c>
      <c r="G2765" s="8" t="s">
        <v>4086</v>
      </c>
      <c r="H2765" s="7" t="s">
        <v>65</v>
      </c>
      <c r="I2765" t="s">
        <v>0</v>
      </c>
      <c r="J2765" t="s">
        <v>0</v>
      </c>
      <c r="K2765" t="s">
        <v>52</v>
      </c>
      <c r="L2765" t="s">
        <v>53</v>
      </c>
      <c r="M2765" t="s">
        <v>88</v>
      </c>
      <c r="N2765" t="s">
        <v>72</v>
      </c>
      <c r="O2765" t="s">
        <v>0</v>
      </c>
      <c r="P2765" t="s">
        <v>75</v>
      </c>
      <c r="Q2765" t="s">
        <v>58</v>
      </c>
      <c r="R2765" t="s">
        <v>89</v>
      </c>
      <c r="S2765" t="s">
        <v>106</v>
      </c>
      <c r="T2765" t="s">
        <v>62</v>
      </c>
      <c r="U2765" t="s">
        <v>123</v>
      </c>
      <c r="V2765" t="s">
        <v>107</v>
      </c>
      <c r="W2765" t="s">
        <v>116</v>
      </c>
      <c r="X2765" t="s">
        <v>93</v>
      </c>
      <c r="Y2765" t="s">
        <v>7274</v>
      </c>
      <c r="Z2765" t="s">
        <v>64</v>
      </c>
      <c r="AA2765" t="s">
        <v>997</v>
      </c>
      <c r="AB2765" t="s">
        <v>0</v>
      </c>
      <c r="AC2765" t="s">
        <v>7275</v>
      </c>
    </row>
    <row r="2766" spans="1:29">
      <c r="A2766" s="30" t="s">
        <v>7276</v>
      </c>
      <c r="B2766" s="5" t="str">
        <f>IF(ISNUMBER(SEARCH(E2766,A2766)),A2766,IF(OR(E2766="",E2766=""),A2766,A2766&amp;" - "&amp;E2766))</f>
        <v>Eufloria 27/1 ICC - Ice Cream Cake</v>
      </c>
      <c r="C2766" t="s">
        <v>83</v>
      </c>
      <c r="D2766" t="s">
        <v>95</v>
      </c>
      <c r="E2766" s="9" t="s">
        <v>1214</v>
      </c>
      <c r="F2766" s="1" t="s">
        <v>144</v>
      </c>
      <c r="G2766" s="8" t="s">
        <v>33</v>
      </c>
      <c r="H2766" s="7" t="s">
        <v>65</v>
      </c>
      <c r="I2766" t="s">
        <v>0</v>
      </c>
      <c r="J2766" t="s">
        <v>0</v>
      </c>
      <c r="K2766" t="s">
        <v>52</v>
      </c>
      <c r="L2766" t="s">
        <v>102</v>
      </c>
      <c r="M2766" t="s">
        <v>121</v>
      </c>
      <c r="N2766" t="s">
        <v>72</v>
      </c>
      <c r="O2766" t="s">
        <v>103</v>
      </c>
      <c r="P2766" t="s">
        <v>89</v>
      </c>
      <c r="Q2766" t="s">
        <v>57</v>
      </c>
      <c r="R2766" t="s">
        <v>0</v>
      </c>
      <c r="S2766" t="s">
        <v>106</v>
      </c>
      <c r="T2766" t="s">
        <v>234</v>
      </c>
      <c r="U2766" t="s">
        <v>123</v>
      </c>
      <c r="V2766" t="s">
        <v>107</v>
      </c>
      <c r="W2766" t="s">
        <v>77</v>
      </c>
      <c r="X2766" t="s">
        <v>173</v>
      </c>
      <c r="Y2766" t="s">
        <v>314</v>
      </c>
      <c r="Z2766" t="s">
        <v>64</v>
      </c>
      <c r="AA2766" t="s">
        <v>95</v>
      </c>
      <c r="AB2766" t="s">
        <v>0</v>
      </c>
      <c r="AC2766" t="s">
        <v>7277</v>
      </c>
    </row>
    <row r="2767" spans="1:29">
      <c r="A2767" t="s">
        <v>7304</v>
      </c>
      <c r="B2767" s="5" t="str">
        <f>IF(ISNUMBER(SEARCH(E2767,A2767)),A2767,IF(OR(E2767="",E2767=""),A2767,A2767&amp;" - "&amp;E2767))</f>
        <v>Barongo 26/1 VPR - Lemon Viper Mimosa</v>
      </c>
      <c r="C2767" t="s">
        <v>641</v>
      </c>
      <c r="D2767" t="s">
        <v>642</v>
      </c>
      <c r="E2767" s="9" t="s">
        <v>7305</v>
      </c>
      <c r="F2767" s="1" t="s">
        <v>86</v>
      </c>
      <c r="G2767" s="8" t="s">
        <v>4086</v>
      </c>
      <c r="H2767" s="7" t="s">
        <v>65</v>
      </c>
      <c r="I2767" t="s">
        <v>0</v>
      </c>
      <c r="J2767" t="s">
        <v>0</v>
      </c>
      <c r="K2767" t="s">
        <v>52</v>
      </c>
      <c r="L2767" t="s">
        <v>53</v>
      </c>
      <c r="M2767" t="s">
        <v>54</v>
      </c>
      <c r="N2767" t="s">
        <v>111</v>
      </c>
      <c r="O2767" t="s">
        <v>88</v>
      </c>
      <c r="P2767" t="s">
        <v>74</v>
      </c>
      <c r="Q2767" t="s">
        <v>157</v>
      </c>
      <c r="R2767" t="s">
        <v>59</v>
      </c>
      <c r="S2767" t="s">
        <v>147</v>
      </c>
      <c r="T2767" t="s">
        <v>192</v>
      </c>
      <c r="U2767" t="s">
        <v>0</v>
      </c>
      <c r="V2767" t="s">
        <v>77</v>
      </c>
      <c r="W2767" t="s">
        <v>292</v>
      </c>
      <c r="X2767" t="s">
        <v>79</v>
      </c>
      <c r="Y2767" t="s">
        <v>396</v>
      </c>
      <c r="Z2767" t="s">
        <v>64</v>
      </c>
      <c r="AA2767" t="s">
        <v>642</v>
      </c>
      <c r="AB2767" t="s">
        <v>0</v>
      </c>
      <c r="AC2767" t="s">
        <v>7306</v>
      </c>
    </row>
    <row r="2768" spans="1:29">
      <c r="A2768" t="s">
        <v>7307</v>
      </c>
      <c r="B2768" s="5" t="str">
        <f>IF(ISNUMBER(SEARCH(E2768,A2768)),A2768,IF(OR(E2768="",E2768=""),A2768,A2768&amp;" - "&amp;E2768))</f>
        <v>Breezy Organics RB 22/1 - Rainbow Belts</v>
      </c>
      <c r="C2768" t="s">
        <v>2114</v>
      </c>
      <c r="D2768" t="s">
        <v>2115</v>
      </c>
      <c r="E2768" s="9" t="s">
        <v>5791</v>
      </c>
      <c r="F2768" s="1" t="s">
        <v>177</v>
      </c>
      <c r="G2768" s="8" t="s">
        <v>452</v>
      </c>
      <c r="H2768" s="7" t="s">
        <v>65</v>
      </c>
      <c r="I2768" t="s">
        <v>0</v>
      </c>
      <c r="J2768" t="s">
        <v>0</v>
      </c>
      <c r="K2768" t="s">
        <v>52</v>
      </c>
      <c r="M2768" t="s">
        <v>72</v>
      </c>
      <c r="N2768" t="s">
        <v>54</v>
      </c>
      <c r="O2768" t="s">
        <v>71</v>
      </c>
      <c r="P2768" t="s">
        <v>59</v>
      </c>
      <c r="Q2768" t="s">
        <v>136</v>
      </c>
      <c r="R2768" t="s">
        <v>89</v>
      </c>
      <c r="S2768" t="s">
        <v>106</v>
      </c>
      <c r="T2768" t="s">
        <v>62</v>
      </c>
      <c r="U2768" t="s">
        <v>123</v>
      </c>
      <c r="V2768" t="s">
        <v>77</v>
      </c>
      <c r="W2768" t="s">
        <v>180</v>
      </c>
      <c r="X2768" t="s">
        <v>129</v>
      </c>
      <c r="Y2768" t="s">
        <v>268</v>
      </c>
      <c r="Z2768" t="s">
        <v>64</v>
      </c>
      <c r="AA2768" t="s">
        <v>2115</v>
      </c>
      <c r="AB2768" t="s">
        <v>0</v>
      </c>
      <c r="AC2768" t="s">
        <v>7308</v>
      </c>
    </row>
    <row r="2769" spans="1:29">
      <c r="A2769" t="s">
        <v>7309</v>
      </c>
      <c r="B2769" s="5" t="str">
        <f>IF(ISNUMBER(SEARCH(E2769,A2769)),A2769,IF(OR(E2769="",E2769=""),A2769,A2769&amp;" - "&amp;E2769))</f>
        <v>IMC B2 THC20 Token - Sour Splash</v>
      </c>
      <c r="C2769" t="s">
        <v>646</v>
      </c>
      <c r="D2769" t="s">
        <v>646</v>
      </c>
      <c r="E2769" s="9" t="s">
        <v>7310</v>
      </c>
      <c r="F2769" s="1" t="s">
        <v>69</v>
      </c>
      <c r="G2769" s="8" t="s">
        <v>460</v>
      </c>
      <c r="H2769" s="7" t="s">
        <v>65</v>
      </c>
      <c r="I2769" t="s">
        <v>0</v>
      </c>
      <c r="J2769" t="s">
        <v>0</v>
      </c>
      <c r="K2769" t="s">
        <v>52</v>
      </c>
      <c r="L2769" t="s">
        <v>53</v>
      </c>
      <c r="M2769" t="s">
        <v>72</v>
      </c>
      <c r="N2769" t="s">
        <v>54</v>
      </c>
      <c r="O2769" t="s">
        <v>55</v>
      </c>
      <c r="P2769" t="s">
        <v>58</v>
      </c>
      <c r="Q2769" t="s">
        <v>157</v>
      </c>
      <c r="R2769" t="s">
        <v>59</v>
      </c>
      <c r="S2769" t="s">
        <v>90</v>
      </c>
      <c r="T2769" t="s">
        <v>106</v>
      </c>
      <c r="U2769" t="s">
        <v>62</v>
      </c>
      <c r="V2769" t="s">
        <v>116</v>
      </c>
      <c r="W2769" t="s">
        <v>180</v>
      </c>
      <c r="X2769" t="s">
        <v>138</v>
      </c>
      <c r="Y2769" t="s">
        <v>7311</v>
      </c>
      <c r="Z2769" t="s">
        <v>64</v>
      </c>
      <c r="AA2769" t="s">
        <v>646</v>
      </c>
      <c r="AB2769" t="s">
        <v>0</v>
      </c>
      <c r="AC2769" t="s">
        <v>7312</v>
      </c>
    </row>
    <row r="2770" spans="1:29">
      <c r="A2770" t="s">
        <v>7328</v>
      </c>
      <c r="B2770" s="5" t="str">
        <f>IF(ISNUMBER(SEARCH(E2770,A2770)),A2770,IF(OR(E2770="",E2770=""),A2770,A2770&amp;" - "&amp;E2770))</f>
        <v>IMC DP THC 22 MIDS Deep Plum - Plum x OG Kush</v>
      </c>
      <c r="C2770" t="s">
        <v>646</v>
      </c>
      <c r="D2770" t="s">
        <v>646</v>
      </c>
      <c r="E2770" s="9" t="s">
        <v>7329</v>
      </c>
      <c r="F2770" s="1" t="s">
        <v>177</v>
      </c>
      <c r="G2770" s="8" t="s">
        <v>452</v>
      </c>
      <c r="H2770" s="7" t="s">
        <v>65</v>
      </c>
      <c r="I2770" t="s">
        <v>0</v>
      </c>
      <c r="J2770" t="s">
        <v>0</v>
      </c>
      <c r="K2770" t="s">
        <v>52</v>
      </c>
      <c r="L2770" t="s">
        <v>1506</v>
      </c>
      <c r="M2770" t="s">
        <v>72</v>
      </c>
      <c r="N2770" t="s">
        <v>88</v>
      </c>
      <c r="O2770" t="s">
        <v>0</v>
      </c>
      <c r="P2770" t="s">
        <v>157</v>
      </c>
      <c r="Q2770" t="s">
        <v>59</v>
      </c>
      <c r="R2770" t="s">
        <v>89</v>
      </c>
      <c r="S2770" t="s">
        <v>62</v>
      </c>
      <c r="T2770" t="s">
        <v>123</v>
      </c>
      <c r="U2770" t="s">
        <v>147</v>
      </c>
      <c r="V2770" t="s">
        <v>292</v>
      </c>
      <c r="W2770" t="s">
        <v>180</v>
      </c>
      <c r="X2770" t="s">
        <v>138</v>
      </c>
      <c r="Y2770" t="s">
        <v>7311</v>
      </c>
      <c r="Z2770" t="s">
        <v>64</v>
      </c>
      <c r="AA2770" t="s">
        <v>646</v>
      </c>
      <c r="AB2770" t="s">
        <v>0</v>
      </c>
      <c r="AC2770" t="s">
        <v>7330</v>
      </c>
    </row>
    <row r="2771" spans="1:29">
      <c r="A2771" t="s">
        <v>7313</v>
      </c>
      <c r="B2771" s="5" t="str">
        <f>IF(ISNUMBER(SEARCH(E2771,A2771)),A2771,IF(OR(E2771="",E2771=""),A2771,A2771&amp;" - "&amp;E2771))</f>
        <v>IMC LR THC27 - Limonetti Rhino</v>
      </c>
      <c r="C2771" t="s">
        <v>646</v>
      </c>
      <c r="D2771" t="s">
        <v>646</v>
      </c>
      <c r="E2771" s="9" t="s">
        <v>7314</v>
      </c>
      <c r="F2771" s="1" t="s">
        <v>86</v>
      </c>
      <c r="G2771" s="8" t="s">
        <v>33</v>
      </c>
      <c r="H2771" s="7" t="s">
        <v>65</v>
      </c>
      <c r="I2771" t="s">
        <v>0</v>
      </c>
      <c r="J2771" t="s">
        <v>0</v>
      </c>
      <c r="K2771" t="s">
        <v>52</v>
      </c>
      <c r="L2771" t="s">
        <v>53</v>
      </c>
      <c r="M2771" t="s">
        <v>121</v>
      </c>
      <c r="N2771" t="s">
        <v>72</v>
      </c>
      <c r="O2771" t="s">
        <v>54</v>
      </c>
      <c r="P2771" t="s">
        <v>157</v>
      </c>
      <c r="Q2771" t="s">
        <v>59</v>
      </c>
      <c r="R2771" t="s">
        <v>74</v>
      </c>
      <c r="S2771" t="s">
        <v>106</v>
      </c>
      <c r="T2771" t="s">
        <v>62</v>
      </c>
      <c r="U2771" t="s">
        <v>147</v>
      </c>
      <c r="V2771" t="s">
        <v>292</v>
      </c>
      <c r="W2771" t="s">
        <v>116</v>
      </c>
      <c r="X2771" t="s">
        <v>180</v>
      </c>
      <c r="Y2771" t="s">
        <v>5474</v>
      </c>
      <c r="Z2771" t="s">
        <v>64</v>
      </c>
      <c r="AA2771" t="s">
        <v>646</v>
      </c>
      <c r="AB2771" t="s">
        <v>0</v>
      </c>
      <c r="AC2771" t="s">
        <v>7315</v>
      </c>
    </row>
    <row r="2772" spans="1:29">
      <c r="A2772" t="s">
        <v>7344</v>
      </c>
      <c r="B2772" s="5" t="str">
        <f>IF(ISNUMBER(SEARCH(E2772,A2772)),A2772,IF(OR(E2772="",E2772=""),A2772,A2772&amp;" - "&amp;E2772))</f>
        <v>TRUU 50:50 Gorilla Zkittlez</v>
      </c>
      <c r="C2772" t="s">
        <v>484</v>
      </c>
      <c r="D2772" t="s">
        <v>485</v>
      </c>
      <c r="E2772" s="9" t="s">
        <v>0</v>
      </c>
      <c r="F2772" s="1" t="s">
        <v>144</v>
      </c>
      <c r="G2772" s="8" t="s">
        <v>0</v>
      </c>
      <c r="H2772" s="7" t="s">
        <v>0</v>
      </c>
      <c r="I2772" t="s">
        <v>45</v>
      </c>
      <c r="J2772" t="s">
        <v>45</v>
      </c>
      <c r="K2772" t="s">
        <v>6026</v>
      </c>
      <c r="L2772" t="s">
        <v>70</v>
      </c>
      <c r="M2772" t="s">
        <v>72</v>
      </c>
      <c r="N2772" t="s">
        <v>111</v>
      </c>
      <c r="O2772" t="s">
        <v>88</v>
      </c>
      <c r="P2772" t="s">
        <v>0</v>
      </c>
      <c r="Q2772" t="s">
        <v>0</v>
      </c>
      <c r="R2772" t="s">
        <v>0</v>
      </c>
      <c r="S2772" t="s">
        <v>0</v>
      </c>
      <c r="T2772" t="s">
        <v>0</v>
      </c>
      <c r="U2772" t="s">
        <v>0</v>
      </c>
      <c r="V2772" t="s">
        <v>173</v>
      </c>
      <c r="W2772" t="s">
        <v>77</v>
      </c>
      <c r="X2772" t="s">
        <v>116</v>
      </c>
      <c r="Y2772" t="s">
        <v>427</v>
      </c>
      <c r="Z2772" t="s">
        <v>1915</v>
      </c>
      <c r="AA2772" t="s">
        <v>485</v>
      </c>
      <c r="AB2772" t="s">
        <v>0</v>
      </c>
      <c r="AC2772" t="s">
        <v>7345</v>
      </c>
    </row>
    <row r="2773" spans="1:29">
      <c r="A2773" t="s">
        <v>7342</v>
      </c>
      <c r="B2773" s="5" t="str">
        <f>IF(ISNUMBER(SEARCH(E2773,A2773)),A2773,IF(OR(E2773="",E2773=""),A2773,A2773&amp;" - "&amp;E2773))</f>
        <v>TRUU 50:01 Gorilla Zkittlez</v>
      </c>
      <c r="C2773" t="s">
        <v>484</v>
      </c>
      <c r="D2773" t="s">
        <v>485</v>
      </c>
      <c r="E2773" t="s">
        <v>0</v>
      </c>
      <c r="F2773" t="s">
        <v>144</v>
      </c>
      <c r="G2773" t="s">
        <v>0</v>
      </c>
      <c r="H2773" t="s">
        <v>0</v>
      </c>
      <c r="I2773" t="s">
        <v>45</v>
      </c>
      <c r="J2773" t="s">
        <v>65</v>
      </c>
      <c r="K2773" t="s">
        <v>6026</v>
      </c>
      <c r="L2773" t="s">
        <v>527</v>
      </c>
      <c r="M2773" t="s">
        <v>72</v>
      </c>
      <c r="N2773" t="s">
        <v>111</v>
      </c>
      <c r="O2773" t="s">
        <v>88</v>
      </c>
      <c r="P2773" t="s">
        <v>0</v>
      </c>
      <c r="Q2773" t="s">
        <v>0</v>
      </c>
      <c r="R2773" t="s">
        <v>0</v>
      </c>
      <c r="S2773" t="s">
        <v>0</v>
      </c>
      <c r="T2773" t="s">
        <v>0</v>
      </c>
      <c r="U2773" t="s">
        <v>0</v>
      </c>
      <c r="V2773" t="s">
        <v>173</v>
      </c>
      <c r="W2773" t="s">
        <v>77</v>
      </c>
      <c r="X2773" t="s">
        <v>116</v>
      </c>
      <c r="Y2773" t="s">
        <v>358</v>
      </c>
      <c r="Z2773" t="s">
        <v>1915</v>
      </c>
      <c r="AA2773" t="s">
        <v>485</v>
      </c>
      <c r="AB2773" t="s">
        <v>0</v>
      </c>
      <c r="AC2773" t="s">
        <v>7343</v>
      </c>
    </row>
    <row r="2774" spans="1:29">
      <c r="A2774" t="s">
        <v>7281</v>
      </c>
      <c r="B2774" s="5" t="str">
        <f>IF(ISNUMBER(SEARCH(E2774,A2774)),A2774,IF(OR(E2774="",E2774=""),A2774,A2774&amp;" - "&amp;E2774))</f>
        <v>Demecan Core Florestrura 22:01 - Crazy Hazey</v>
      </c>
      <c r="C2774" t="s">
        <v>484</v>
      </c>
      <c r="D2774" t="s">
        <v>485</v>
      </c>
      <c r="E2774" t="s">
        <v>7254</v>
      </c>
      <c r="F2774" t="s">
        <v>86</v>
      </c>
      <c r="G2774" t="s">
        <v>4126</v>
      </c>
      <c r="H2774" t="s">
        <v>65</v>
      </c>
      <c r="I2774" t="s">
        <v>0</v>
      </c>
      <c r="J2774" t="s">
        <v>0</v>
      </c>
      <c r="K2774" t="s">
        <v>52</v>
      </c>
      <c r="L2774" t="s">
        <v>527</v>
      </c>
      <c r="M2774" t="s">
        <v>178</v>
      </c>
      <c r="N2774" t="s">
        <v>156</v>
      </c>
      <c r="O2774" t="s">
        <v>54</v>
      </c>
      <c r="P2774" t="s">
        <v>59</v>
      </c>
      <c r="Q2774" t="s">
        <v>74</v>
      </c>
      <c r="R2774" t="s">
        <v>75</v>
      </c>
      <c r="S2774" t="s">
        <v>90</v>
      </c>
      <c r="T2774" t="s">
        <v>128</v>
      </c>
      <c r="U2774" t="s">
        <v>106</v>
      </c>
      <c r="V2774" t="s">
        <v>107</v>
      </c>
      <c r="W2774" t="s">
        <v>77</v>
      </c>
      <c r="X2774" t="s">
        <v>0</v>
      </c>
      <c r="Y2774" t="s">
        <v>7265</v>
      </c>
      <c r="Z2774" t="s">
        <v>64</v>
      </c>
      <c r="AA2774" t="s">
        <v>485</v>
      </c>
      <c r="AB2774" t="s">
        <v>0</v>
      </c>
      <c r="AC2774" t="s">
        <v>7282</v>
      </c>
    </row>
    <row r="2775" spans="1:29">
      <c r="A2775" t="s">
        <v>7283</v>
      </c>
      <c r="B2775" s="5" t="str">
        <f>IF(ISNUMBER(SEARCH(E2775,A2775)),A2775,IF(OR(E2775="",E2775=""),A2775,A2775&amp;" - "&amp;E2775))</f>
        <v>Huala 22/1 CA CBG - Grape Burger</v>
      </c>
      <c r="C2775" t="s">
        <v>463</v>
      </c>
      <c r="D2775" t="s">
        <v>468</v>
      </c>
      <c r="E2775" s="9" t="s">
        <v>7284</v>
      </c>
      <c r="F2775" s="1" t="s">
        <v>177</v>
      </c>
      <c r="G2775" s="8" t="s">
        <v>4126</v>
      </c>
      <c r="H2775" s="7" t="s">
        <v>65</v>
      </c>
      <c r="I2775" t="s">
        <v>0</v>
      </c>
      <c r="J2775" t="s">
        <v>0</v>
      </c>
      <c r="K2775" t="s">
        <v>52</v>
      </c>
      <c r="L2775" t="s">
        <v>527</v>
      </c>
      <c r="M2775" t="s">
        <v>121</v>
      </c>
      <c r="N2775" t="s">
        <v>88</v>
      </c>
      <c r="O2775" t="s">
        <v>72</v>
      </c>
      <c r="P2775" t="s">
        <v>73</v>
      </c>
      <c r="Q2775" t="s">
        <v>104</v>
      </c>
      <c r="R2775" t="s">
        <v>157</v>
      </c>
      <c r="S2775" t="s">
        <v>128</v>
      </c>
      <c r="T2775" t="s">
        <v>61</v>
      </c>
      <c r="U2775" t="s">
        <v>123</v>
      </c>
      <c r="V2775" t="s">
        <v>116</v>
      </c>
      <c r="W2775" t="s">
        <v>93</v>
      </c>
      <c r="X2775" t="s">
        <v>292</v>
      </c>
      <c r="Y2775" t="s">
        <v>1090</v>
      </c>
      <c r="Z2775" t="s">
        <v>64</v>
      </c>
      <c r="AA2775" t="s">
        <v>468</v>
      </c>
      <c r="AB2775" t="s">
        <v>0</v>
      </c>
      <c r="AC2775" t="s">
        <v>7285</v>
      </c>
    </row>
    <row r="2776" spans="1:29">
      <c r="A2776" t="s">
        <v>7286</v>
      </c>
      <c r="B2776" s="5" t="str">
        <f>IF(ISNUMBER(SEARCH(E2776,A2776)),A2776,IF(OR(E2776="",E2776=""),A2776,A2776&amp;" - "&amp;E2776))</f>
        <v>Huala 25/1 CA POG - Pineapple God</v>
      </c>
      <c r="C2776" t="s">
        <v>463</v>
      </c>
      <c r="D2776" t="s">
        <v>468</v>
      </c>
      <c r="E2776" s="9" t="s">
        <v>7287</v>
      </c>
      <c r="F2776" s="1" t="s">
        <v>144</v>
      </c>
      <c r="G2776" s="8" t="s">
        <v>26</v>
      </c>
      <c r="H2776" s="7" t="s">
        <v>65</v>
      </c>
      <c r="I2776" t="s">
        <v>0</v>
      </c>
      <c r="J2776" t="s">
        <v>0</v>
      </c>
      <c r="K2776" t="s">
        <v>52</v>
      </c>
      <c r="L2776" t="s">
        <v>527</v>
      </c>
      <c r="M2776" t="s">
        <v>71</v>
      </c>
      <c r="N2776" t="s">
        <v>88</v>
      </c>
      <c r="O2776" t="s">
        <v>72</v>
      </c>
      <c r="P2776" t="s">
        <v>104</v>
      </c>
      <c r="Q2776" t="s">
        <v>59</v>
      </c>
      <c r="R2776" t="s">
        <v>75</v>
      </c>
      <c r="S2776" t="s">
        <v>128</v>
      </c>
      <c r="T2776" t="s">
        <v>61</v>
      </c>
      <c r="U2776" t="s">
        <v>62</v>
      </c>
      <c r="V2776" t="s">
        <v>93</v>
      </c>
      <c r="W2776" t="s">
        <v>292</v>
      </c>
      <c r="X2776" t="s">
        <v>79</v>
      </c>
      <c r="Y2776" t="s">
        <v>1175</v>
      </c>
      <c r="Z2776" t="s">
        <v>64</v>
      </c>
      <c r="AA2776" t="s">
        <v>468</v>
      </c>
      <c r="AB2776" t="s">
        <v>0</v>
      </c>
      <c r="AC2776" t="s">
        <v>7288</v>
      </c>
    </row>
    <row r="2777" spans="1:29">
      <c r="A2777" t="s">
        <v>7289</v>
      </c>
      <c r="B2777" s="5" t="str">
        <f>IF(ISNUMBER(SEARCH(E2777,A2777)),A2777,IF(OR(E2777="",E2777=""),A2777,A2777&amp;" - "&amp;E2777))</f>
        <v>Huala 25/1 CA CBG - Grape Burger</v>
      </c>
      <c r="C2777" t="s">
        <v>463</v>
      </c>
      <c r="D2777" t="s">
        <v>468</v>
      </c>
      <c r="E2777" s="9" t="s">
        <v>7284</v>
      </c>
      <c r="F2777" s="1" t="s">
        <v>177</v>
      </c>
      <c r="G2777" s="8" t="s">
        <v>26</v>
      </c>
      <c r="H2777" s="7" t="s">
        <v>65</v>
      </c>
      <c r="I2777" t="s">
        <v>0</v>
      </c>
      <c r="J2777" t="s">
        <v>0</v>
      </c>
      <c r="K2777" t="s">
        <v>52</v>
      </c>
      <c r="L2777" t="s">
        <v>527</v>
      </c>
      <c r="M2777" t="s">
        <v>121</v>
      </c>
      <c r="N2777" t="s">
        <v>88</v>
      </c>
      <c r="O2777" t="s">
        <v>72</v>
      </c>
      <c r="P2777" t="s">
        <v>73</v>
      </c>
      <c r="Q2777" t="s">
        <v>104</v>
      </c>
      <c r="R2777" t="s">
        <v>157</v>
      </c>
      <c r="S2777" t="s">
        <v>128</v>
      </c>
      <c r="T2777" t="s">
        <v>61</v>
      </c>
      <c r="U2777" t="s">
        <v>123</v>
      </c>
      <c r="V2777" t="s">
        <v>116</v>
      </c>
      <c r="W2777" t="s">
        <v>93</v>
      </c>
      <c r="X2777" t="s">
        <v>292</v>
      </c>
      <c r="Y2777" t="s">
        <v>5382</v>
      </c>
      <c r="Z2777" t="s">
        <v>64</v>
      </c>
      <c r="AA2777" t="s">
        <v>468</v>
      </c>
      <c r="AB2777" t="s">
        <v>0</v>
      </c>
      <c r="AC2777" t="s">
        <v>7290</v>
      </c>
    </row>
    <row r="2778" spans="1:29">
      <c r="A2778" t="s">
        <v>7291</v>
      </c>
      <c r="B2778" s="5" t="str">
        <f>IF(ISNUMBER(SEARCH(E2778,A2778)),A2778,IF(OR(E2778="",E2778=""),A2778,A2778&amp;" - "&amp;E2778))</f>
        <v>Huala 20/1 CA HOM - Holy Mints</v>
      </c>
      <c r="C2778" t="s">
        <v>463</v>
      </c>
      <c r="D2778" t="s">
        <v>468</v>
      </c>
      <c r="E2778" s="9" t="s">
        <v>7292</v>
      </c>
      <c r="F2778" s="1" t="s">
        <v>177</v>
      </c>
      <c r="G2778" s="8" t="s">
        <v>460</v>
      </c>
      <c r="H2778" s="7" t="s">
        <v>65</v>
      </c>
      <c r="I2778" t="s">
        <v>0</v>
      </c>
      <c r="J2778" t="s">
        <v>0</v>
      </c>
      <c r="K2778" t="s">
        <v>52</v>
      </c>
      <c r="L2778" t="s">
        <v>527</v>
      </c>
      <c r="M2778" t="s">
        <v>88</v>
      </c>
      <c r="N2778" t="s">
        <v>72</v>
      </c>
      <c r="O2778" t="s">
        <v>121</v>
      </c>
      <c r="P2778" t="s">
        <v>58</v>
      </c>
      <c r="Q2778" t="s">
        <v>157</v>
      </c>
      <c r="R2778" t="s">
        <v>59</v>
      </c>
      <c r="S2778" t="s">
        <v>128</v>
      </c>
      <c r="T2778" t="s">
        <v>61</v>
      </c>
      <c r="U2778" t="s">
        <v>62</v>
      </c>
      <c r="V2778" t="s">
        <v>93</v>
      </c>
      <c r="W2778" t="s">
        <v>292</v>
      </c>
      <c r="X2778" t="s">
        <v>79</v>
      </c>
      <c r="Y2778" t="s">
        <v>307</v>
      </c>
      <c r="Z2778" t="s">
        <v>64</v>
      </c>
      <c r="AA2778" t="s">
        <v>468</v>
      </c>
      <c r="AB2778" t="s">
        <v>0</v>
      </c>
      <c r="AC2778" t="s">
        <v>7293</v>
      </c>
    </row>
    <row r="2779" spans="1:29">
      <c r="A2779" t="s">
        <v>7294</v>
      </c>
      <c r="B2779" s="5" t="str">
        <f>IF(ISNUMBER(SEARCH(E2779,A2779)),A2779,IF(OR(E2779="",E2779=""),A2779,A2779&amp;" - "&amp;E2779))</f>
        <v>KHIRON ELG 30/1 - El Gordo</v>
      </c>
      <c r="C2779" t="s">
        <v>1871</v>
      </c>
      <c r="D2779" t="s">
        <v>7296</v>
      </c>
      <c r="E2779" s="9" t="s">
        <v>7295</v>
      </c>
      <c r="F2779" s="1" t="s">
        <v>177</v>
      </c>
      <c r="G2779" s="8" t="s">
        <v>4057</v>
      </c>
      <c r="H2779" s="7" t="s">
        <v>65</v>
      </c>
      <c r="I2779" t="s">
        <v>0</v>
      </c>
      <c r="J2779" t="s">
        <v>0</v>
      </c>
      <c r="K2779" t="s">
        <v>52</v>
      </c>
      <c r="L2779" t="s">
        <v>53</v>
      </c>
      <c r="M2779" t="s">
        <v>72</v>
      </c>
      <c r="N2779" t="s">
        <v>111</v>
      </c>
      <c r="O2779" t="s">
        <v>0</v>
      </c>
      <c r="P2779" t="s">
        <v>75</v>
      </c>
      <c r="Q2779" t="s">
        <v>73</v>
      </c>
      <c r="R2779" t="s">
        <v>113</v>
      </c>
      <c r="S2779" t="s">
        <v>106</v>
      </c>
      <c r="T2779" t="s">
        <v>62</v>
      </c>
      <c r="U2779" t="s">
        <v>91</v>
      </c>
      <c r="V2779" t="s">
        <v>116</v>
      </c>
      <c r="W2779" t="s">
        <v>173</v>
      </c>
      <c r="X2779" t="s">
        <v>107</v>
      </c>
      <c r="Y2779" t="s">
        <v>4220</v>
      </c>
      <c r="Z2779" t="s">
        <v>64</v>
      </c>
      <c r="AA2779" t="s">
        <v>7296</v>
      </c>
      <c r="AB2779" t="s">
        <v>0</v>
      </c>
      <c r="AC2779" t="s">
        <v>7297</v>
      </c>
    </row>
    <row r="2780" spans="1:29">
      <c r="A2780" t="s">
        <v>7298</v>
      </c>
      <c r="B2780" s="5" t="str">
        <f>IF(ISNUMBER(SEARCH(E2780,A2780)),A2780,IF(OR(E2780="",E2780=""),A2780,A2780&amp;" - "&amp;E2780))</f>
        <v>KHIRON GP 30/1 Gordito Perqueno - El Gordo</v>
      </c>
      <c r="C2780" t="s">
        <v>1871</v>
      </c>
      <c r="D2780" t="s">
        <v>7296</v>
      </c>
      <c r="E2780" s="9" t="s">
        <v>7295</v>
      </c>
      <c r="F2780" s="1" t="s">
        <v>177</v>
      </c>
      <c r="G2780" s="8" t="s">
        <v>4057</v>
      </c>
      <c r="H2780" s="7" t="s">
        <v>65</v>
      </c>
      <c r="I2780" t="s">
        <v>0</v>
      </c>
      <c r="J2780" t="s">
        <v>0</v>
      </c>
      <c r="K2780" t="s">
        <v>52</v>
      </c>
      <c r="L2780" t="s">
        <v>53</v>
      </c>
      <c r="M2780" t="s">
        <v>72</v>
      </c>
      <c r="N2780" t="s">
        <v>111</v>
      </c>
      <c r="O2780" t="s">
        <v>0</v>
      </c>
      <c r="P2780" t="s">
        <v>75</v>
      </c>
      <c r="Q2780" t="s">
        <v>73</v>
      </c>
      <c r="R2780" t="s">
        <v>113</v>
      </c>
      <c r="S2780" t="s">
        <v>106</v>
      </c>
      <c r="T2780" t="s">
        <v>62</v>
      </c>
      <c r="U2780" t="s">
        <v>91</v>
      </c>
      <c r="V2780" t="s">
        <v>116</v>
      </c>
      <c r="W2780" t="s">
        <v>173</v>
      </c>
      <c r="X2780" t="s">
        <v>107</v>
      </c>
      <c r="Y2780" t="s">
        <v>280</v>
      </c>
      <c r="Z2780" t="s">
        <v>64</v>
      </c>
      <c r="AA2780" t="s">
        <v>7296</v>
      </c>
      <c r="AB2780" t="s">
        <v>0</v>
      </c>
      <c r="AC2780" t="s">
        <v>7299</v>
      </c>
    </row>
    <row r="2781" spans="1:29">
      <c r="A2781" t="s">
        <v>7300</v>
      </c>
      <c r="B2781" s="5" t="str">
        <f>IF(ISNUMBER(SEARCH(E2781,A2781)),A2781,IF(OR(E2781="",E2781=""),A2781,A2781&amp;" - "&amp;E2781))</f>
        <v>NICE 31/1 GT - Garlic Truffle</v>
      </c>
      <c r="C2781" t="s">
        <v>996</v>
      </c>
      <c r="D2781" t="s">
        <v>997</v>
      </c>
      <c r="E2781" s="9" t="s">
        <v>4510</v>
      </c>
      <c r="F2781" s="1" t="s">
        <v>120</v>
      </c>
      <c r="G2781" s="8" t="s">
        <v>4488</v>
      </c>
      <c r="H2781" s="7" t="s">
        <v>65</v>
      </c>
      <c r="I2781" t="s">
        <v>0</v>
      </c>
      <c r="J2781" t="s">
        <v>0</v>
      </c>
      <c r="K2781" t="s">
        <v>52</v>
      </c>
      <c r="L2781" t="s">
        <v>53</v>
      </c>
      <c r="M2781" t="s">
        <v>121</v>
      </c>
      <c r="N2781" t="s">
        <v>72</v>
      </c>
      <c r="O2781" t="s">
        <v>0</v>
      </c>
      <c r="P2781" t="s">
        <v>75</v>
      </c>
      <c r="Q2781" t="s">
        <v>104</v>
      </c>
      <c r="R2781" t="s">
        <v>0</v>
      </c>
      <c r="S2781" t="s">
        <v>106</v>
      </c>
      <c r="T2781" t="s">
        <v>62</v>
      </c>
      <c r="U2781" t="s">
        <v>91</v>
      </c>
      <c r="V2781" t="s">
        <v>107</v>
      </c>
      <c r="W2781" t="s">
        <v>116</v>
      </c>
      <c r="X2781" t="s">
        <v>138</v>
      </c>
      <c r="Y2781" t="s">
        <v>5382</v>
      </c>
      <c r="Z2781" t="s">
        <v>64</v>
      </c>
      <c r="AA2781" t="s">
        <v>997</v>
      </c>
      <c r="AB2781" t="s">
        <v>0</v>
      </c>
      <c r="AC2781" t="s">
        <v>7301</v>
      </c>
    </row>
    <row r="2782" spans="1:29">
      <c r="A2782" t="s">
        <v>7302</v>
      </c>
      <c r="B2782" s="5" t="str">
        <f>IF(ISNUMBER(SEARCH(E2782,A2782)),A2782,IF(OR(E2782="",E2782=""),A2782,A2782&amp;" - "&amp;E2782))</f>
        <v>BG 15 KRK Day COL - Kraken</v>
      </c>
      <c r="C2782" t="s">
        <v>911</v>
      </c>
      <c r="D2782" t="s">
        <v>912</v>
      </c>
      <c r="E2782" s="9" t="s">
        <v>7129</v>
      </c>
      <c r="F2782" s="1" t="s">
        <v>177</v>
      </c>
      <c r="G2782" s="8" t="s">
        <v>20</v>
      </c>
      <c r="H2782" s="7" t="s">
        <v>65</v>
      </c>
      <c r="I2782" t="s">
        <v>0</v>
      </c>
      <c r="J2782" t="s">
        <v>0</v>
      </c>
      <c r="K2782" t="s">
        <v>52</v>
      </c>
      <c r="L2782" t="s">
        <v>202</v>
      </c>
      <c r="M2782" t="s">
        <v>178</v>
      </c>
      <c r="N2782" t="s">
        <v>72</v>
      </c>
      <c r="O2782" t="s">
        <v>121</v>
      </c>
      <c r="P2782" t="s">
        <v>75</v>
      </c>
      <c r="Q2782" t="s">
        <v>58</v>
      </c>
      <c r="R2782" t="s">
        <v>157</v>
      </c>
      <c r="S2782" t="s">
        <v>90</v>
      </c>
      <c r="T2782" t="s">
        <v>106</v>
      </c>
      <c r="U2782" t="s">
        <v>147</v>
      </c>
      <c r="V2782" t="s">
        <v>79</v>
      </c>
      <c r="W2782" t="s">
        <v>116</v>
      </c>
      <c r="X2782" t="s">
        <v>107</v>
      </c>
      <c r="Y2782" t="s">
        <v>1218</v>
      </c>
      <c r="Z2782" t="s">
        <v>64</v>
      </c>
      <c r="AA2782" t="s">
        <v>912</v>
      </c>
      <c r="AB2782" t="s">
        <v>0</v>
      </c>
      <c r="AC2782" t="s">
        <v>7303</v>
      </c>
    </row>
    <row r="2783" spans="1:29">
      <c r="A2783" t="s">
        <v>7316</v>
      </c>
      <c r="B2783" s="5" t="str">
        <f>IF(ISNUMBER(SEARCH(E2783,A2783)),A2783,IF(OR(E2783="",E2783=""),A2783,A2783&amp;" - "&amp;E2783))</f>
        <v>Medical Saints 24/1 PTR - Peach Tree</v>
      </c>
      <c r="C2783" t="s">
        <v>7340</v>
      </c>
      <c r="D2783" t="s">
        <v>7319</v>
      </c>
      <c r="E2783" s="9" t="s">
        <v>7317</v>
      </c>
      <c r="F2783" s="1" t="s">
        <v>144</v>
      </c>
      <c r="G2783" s="8" t="s">
        <v>436</v>
      </c>
      <c r="H2783" s="7" t="s">
        <v>65</v>
      </c>
      <c r="I2783" t="s">
        <v>0</v>
      </c>
      <c r="J2783" t="s">
        <v>0</v>
      </c>
      <c r="K2783" t="s">
        <v>52</v>
      </c>
      <c r="L2783" t="s">
        <v>53</v>
      </c>
      <c r="M2783" t="s">
        <v>72</v>
      </c>
      <c r="N2783" t="s">
        <v>54</v>
      </c>
      <c r="O2783" t="s">
        <v>88</v>
      </c>
      <c r="P2783" t="s">
        <v>157</v>
      </c>
      <c r="Q2783" t="s">
        <v>136</v>
      </c>
      <c r="R2783" t="s">
        <v>75</v>
      </c>
      <c r="S2783" t="s">
        <v>106</v>
      </c>
      <c r="T2783" t="s">
        <v>164</v>
      </c>
      <c r="U2783" t="s">
        <v>466</v>
      </c>
      <c r="V2783" t="s">
        <v>79</v>
      </c>
      <c r="W2783" t="s">
        <v>180</v>
      </c>
      <c r="X2783" t="s">
        <v>292</v>
      </c>
      <c r="Y2783" t="s">
        <v>7318</v>
      </c>
      <c r="Z2783" t="s">
        <v>64</v>
      </c>
      <c r="AA2783" t="s">
        <v>7319</v>
      </c>
      <c r="AB2783" t="s">
        <v>0</v>
      </c>
      <c r="AC2783" t="s">
        <v>7320</v>
      </c>
    </row>
    <row r="2784" spans="1:29">
      <c r="A2784" t="s">
        <v>7321</v>
      </c>
      <c r="B2784" s="5" t="str">
        <f>IF(ISNUMBER(SEARCH(E2784,A2784)),A2784,IF(OR(E2784="",E2784=""),A2784,A2784&amp;" - "&amp;E2784))</f>
        <v>Medical Saints 24/1 HUB - Huckleberry</v>
      </c>
      <c r="C2784" t="s">
        <v>7340</v>
      </c>
      <c r="D2784" t="s">
        <v>7319</v>
      </c>
      <c r="E2784" s="9" t="s">
        <v>7322</v>
      </c>
      <c r="F2784" s="1" t="s">
        <v>69</v>
      </c>
      <c r="G2784" s="8" t="s">
        <v>448</v>
      </c>
      <c r="H2784" s="7" t="s">
        <v>65</v>
      </c>
      <c r="I2784" t="s">
        <v>0</v>
      </c>
      <c r="J2784" t="s">
        <v>0</v>
      </c>
      <c r="K2784" t="s">
        <v>52</v>
      </c>
      <c r="L2784" t="s">
        <v>53</v>
      </c>
      <c r="M2784" t="s">
        <v>121</v>
      </c>
      <c r="N2784" t="s">
        <v>72</v>
      </c>
      <c r="O2784" t="s">
        <v>54</v>
      </c>
      <c r="P2784" t="s">
        <v>89</v>
      </c>
      <c r="Q2784" t="s">
        <v>58</v>
      </c>
      <c r="R2784" t="s">
        <v>74</v>
      </c>
      <c r="S2784" t="s">
        <v>106</v>
      </c>
      <c r="T2784" t="s">
        <v>164</v>
      </c>
      <c r="U2784" t="s">
        <v>466</v>
      </c>
      <c r="V2784" t="s">
        <v>77</v>
      </c>
      <c r="W2784" t="s">
        <v>116</v>
      </c>
      <c r="X2784" t="s">
        <v>165</v>
      </c>
      <c r="Y2784" t="s">
        <v>7318</v>
      </c>
      <c r="Z2784" t="s">
        <v>64</v>
      </c>
      <c r="AA2784" t="s">
        <v>7319</v>
      </c>
      <c r="AB2784" t="s">
        <v>0</v>
      </c>
      <c r="AC2784" t="s">
        <v>7323</v>
      </c>
    </row>
    <row r="2785" spans="1:29">
      <c r="A2785" t="s">
        <v>7324</v>
      </c>
      <c r="B2785" s="5" t="str">
        <f>IF(ISNUMBER(SEARCH(E2785,A2785)),A2785,IF(OR(E2785="",E2785=""),A2785,A2785&amp;" - "&amp;E2785))</f>
        <v>Apollo 28/1 HLS - Honey Suckle</v>
      </c>
      <c r="C2785" t="s">
        <v>7341</v>
      </c>
      <c r="D2785" t="s">
        <v>4935</v>
      </c>
      <c r="E2785" s="9" t="s">
        <v>5788</v>
      </c>
      <c r="F2785" s="1" t="s">
        <v>86</v>
      </c>
      <c r="G2785" s="8" t="s">
        <v>4164</v>
      </c>
      <c r="H2785" s="7" t="s">
        <v>65</v>
      </c>
      <c r="I2785" t="s">
        <v>0</v>
      </c>
      <c r="J2785" t="s">
        <v>0</v>
      </c>
      <c r="K2785" t="s">
        <v>52</v>
      </c>
      <c r="L2785" t="s">
        <v>102</v>
      </c>
      <c r="M2785" t="s">
        <v>71</v>
      </c>
      <c r="N2785" t="s">
        <v>72</v>
      </c>
      <c r="O2785" t="s">
        <v>54</v>
      </c>
      <c r="P2785" t="s">
        <v>104</v>
      </c>
      <c r="Q2785" t="s">
        <v>136</v>
      </c>
      <c r="R2785" t="s">
        <v>59</v>
      </c>
      <c r="S2785" t="s">
        <v>0</v>
      </c>
      <c r="T2785" t="s">
        <v>0</v>
      </c>
      <c r="U2785" t="s">
        <v>0</v>
      </c>
      <c r="V2785" t="s">
        <v>165</v>
      </c>
      <c r="W2785" t="s">
        <v>180</v>
      </c>
      <c r="X2785" t="s">
        <v>92</v>
      </c>
      <c r="Y2785" t="s">
        <v>719</v>
      </c>
      <c r="Z2785" t="s">
        <v>64</v>
      </c>
      <c r="AA2785" t="s">
        <v>4935</v>
      </c>
      <c r="AB2785" t="s">
        <v>0</v>
      </c>
      <c r="AC2785" t="s">
        <v>7325</v>
      </c>
    </row>
    <row r="2786" spans="1:29">
      <c r="A2786" t="s">
        <v>7326</v>
      </c>
      <c r="B2786" s="5" t="str">
        <f>IF(ISNUMBER(SEARCH(E2786,A2786)),A2786,IF(OR(E2786="",E2786=""),A2786,A2786&amp;" - "&amp;E2786))</f>
        <v>Apollo 28/1 JGN - Think Fast</v>
      </c>
      <c r="C2786" t="s">
        <v>7341</v>
      </c>
      <c r="D2786" t="s">
        <v>4935</v>
      </c>
      <c r="E2786" s="9" t="s">
        <v>1211</v>
      </c>
      <c r="F2786" s="1" t="s">
        <v>144</v>
      </c>
      <c r="G2786" s="8" t="s">
        <v>4164</v>
      </c>
      <c r="H2786" s="7" t="s">
        <v>65</v>
      </c>
      <c r="I2786" t="s">
        <v>0</v>
      </c>
      <c r="J2786" t="s">
        <v>0</v>
      </c>
      <c r="K2786" t="s">
        <v>52</v>
      </c>
      <c r="L2786" t="s">
        <v>102</v>
      </c>
      <c r="M2786" t="s">
        <v>111</v>
      </c>
      <c r="N2786" t="s">
        <v>88</v>
      </c>
      <c r="O2786" t="s">
        <v>54</v>
      </c>
      <c r="P2786" t="s">
        <v>157</v>
      </c>
      <c r="Q2786" t="s">
        <v>74</v>
      </c>
      <c r="R2786" t="s">
        <v>59</v>
      </c>
      <c r="S2786" t="s">
        <v>0</v>
      </c>
      <c r="T2786" t="s">
        <v>0</v>
      </c>
      <c r="U2786" t="s">
        <v>0</v>
      </c>
      <c r="V2786" t="s">
        <v>116</v>
      </c>
      <c r="W2786" t="s">
        <v>77</v>
      </c>
      <c r="X2786" t="s">
        <v>107</v>
      </c>
      <c r="Y2786" t="s">
        <v>719</v>
      </c>
      <c r="Z2786" t="s">
        <v>64</v>
      </c>
      <c r="AA2786" t="s">
        <v>4935</v>
      </c>
      <c r="AB2786" t="s">
        <v>0</v>
      </c>
      <c r="AC2786" t="s">
        <v>7327</v>
      </c>
    </row>
    <row r="2787" spans="1:29">
      <c r="A2787" t="s">
        <v>7331</v>
      </c>
      <c r="B2787" s="5" t="str">
        <f>IF(ISNUMBER(SEARCH(E2787,A2787)),A2787,IF(OR(E2787="",E2787=""),A2787,A2787&amp;" - "&amp;E2787))</f>
        <v>Medical Saints 21/1 LEM - Lemonatti</v>
      </c>
      <c r="C2787" t="s">
        <v>7340</v>
      </c>
      <c r="D2787" t="s">
        <v>7319</v>
      </c>
      <c r="E2787" s="9" t="s">
        <v>1489</v>
      </c>
      <c r="F2787" s="1" t="s">
        <v>69</v>
      </c>
      <c r="G2787" s="8" t="s">
        <v>452</v>
      </c>
      <c r="H2787" s="7" t="s">
        <v>65</v>
      </c>
      <c r="I2787" t="s">
        <v>0</v>
      </c>
      <c r="J2787" t="s">
        <v>0</v>
      </c>
      <c r="K2787" t="s">
        <v>52</v>
      </c>
      <c r="L2787" t="s">
        <v>53</v>
      </c>
      <c r="M2787" t="s">
        <v>178</v>
      </c>
      <c r="N2787" t="s">
        <v>111</v>
      </c>
      <c r="O2787" t="s">
        <v>88</v>
      </c>
      <c r="P2787" t="s">
        <v>104</v>
      </c>
      <c r="Q2787" t="s">
        <v>59</v>
      </c>
      <c r="R2787" t="s">
        <v>89</v>
      </c>
      <c r="S2787" t="s">
        <v>106</v>
      </c>
      <c r="T2787" t="s">
        <v>164</v>
      </c>
      <c r="U2787" t="s">
        <v>466</v>
      </c>
      <c r="V2787" t="s">
        <v>77</v>
      </c>
      <c r="W2787" t="s">
        <v>107</v>
      </c>
      <c r="X2787" t="s">
        <v>79</v>
      </c>
      <c r="Y2787" t="s">
        <v>5613</v>
      </c>
      <c r="Z2787" t="s">
        <v>64</v>
      </c>
      <c r="AA2787" t="s">
        <v>7319</v>
      </c>
      <c r="AB2787" t="s">
        <v>0</v>
      </c>
      <c r="AC2787" t="s">
        <v>7332</v>
      </c>
    </row>
    <row r="2788" spans="1:29">
      <c r="A2788" t="s">
        <v>7333</v>
      </c>
      <c r="B2788" s="5" t="str">
        <f>IF(ISNUMBER(SEARCH(E2788,A2788)),A2788,IF(OR(E2788="",E2788=""),A2788,A2788&amp;" - "&amp;E2788))</f>
        <v>Luana 20/1 Donny B - Bunatic</v>
      </c>
      <c r="C2788" t="s">
        <v>48</v>
      </c>
      <c r="D2788" t="s">
        <v>49</v>
      </c>
      <c r="E2788" s="9" t="s">
        <v>5563</v>
      </c>
      <c r="F2788" s="1" t="s">
        <v>120</v>
      </c>
      <c r="G2788" s="8" t="s">
        <v>460</v>
      </c>
      <c r="H2788" s="7">
        <v>1</v>
      </c>
      <c r="I2788" t="s">
        <v>0</v>
      </c>
      <c r="J2788" t="s">
        <v>0</v>
      </c>
      <c r="K2788" t="s">
        <v>52</v>
      </c>
      <c r="L2788" t="s">
        <v>53</v>
      </c>
      <c r="M2788" t="s">
        <v>121</v>
      </c>
      <c r="N2788" t="s">
        <v>71</v>
      </c>
      <c r="O2788" t="s">
        <v>88</v>
      </c>
      <c r="P2788" t="s">
        <v>59</v>
      </c>
      <c r="Q2788" t="s">
        <v>146</v>
      </c>
      <c r="R2788" t="s">
        <v>74</v>
      </c>
      <c r="S2788" t="s">
        <v>106</v>
      </c>
      <c r="T2788" t="s">
        <v>62</v>
      </c>
      <c r="U2788" t="s">
        <v>147</v>
      </c>
      <c r="V2788" t="s">
        <v>93</v>
      </c>
      <c r="W2788" t="s">
        <v>173</v>
      </c>
      <c r="X2788" t="s">
        <v>107</v>
      </c>
      <c r="Y2788" t="s">
        <v>2287</v>
      </c>
      <c r="Z2788" t="s">
        <v>64</v>
      </c>
      <c r="AA2788" t="s">
        <v>49</v>
      </c>
      <c r="AB2788" t="s">
        <v>0</v>
      </c>
      <c r="AC2788" t="s">
        <v>7334</v>
      </c>
    </row>
    <row r="2789" spans="1:29">
      <c r="A2789" t="s">
        <v>7335</v>
      </c>
      <c r="B2789" s="42" t="str">
        <f>IF(ISNUMBER(SEARCH(E2789,A2789)),A2789,IF(OR(E2789="",E2789=""),A2789,A2789&amp;" - "&amp;E2789))</f>
        <v>Organic Sweetgrass JJ 25/1 - Juicy J</v>
      </c>
      <c r="C2789" t="s">
        <v>564</v>
      </c>
      <c r="D2789" t="s">
        <v>565</v>
      </c>
      <c r="E2789" s="9" t="s">
        <v>7336</v>
      </c>
      <c r="F2789" s="1" t="s">
        <v>86</v>
      </c>
      <c r="G2789" s="8" t="s">
        <v>452</v>
      </c>
      <c r="H2789" s="7" t="s">
        <v>65</v>
      </c>
      <c r="I2789" t="s">
        <v>0</v>
      </c>
      <c r="J2789" t="s">
        <v>0</v>
      </c>
      <c r="K2789" t="s">
        <v>52</v>
      </c>
      <c r="L2789" t="s">
        <v>102</v>
      </c>
      <c r="M2789" t="s">
        <v>71</v>
      </c>
      <c r="N2789" t="s">
        <v>54</v>
      </c>
      <c r="O2789" t="s">
        <v>72</v>
      </c>
      <c r="P2789" t="s">
        <v>58</v>
      </c>
      <c r="Q2789" t="s">
        <v>89</v>
      </c>
      <c r="R2789" t="s">
        <v>0</v>
      </c>
      <c r="S2789" t="s">
        <v>128</v>
      </c>
      <c r="T2789" t="s">
        <v>106</v>
      </c>
      <c r="U2789" t="s">
        <v>62</v>
      </c>
      <c r="V2789" t="s">
        <v>292</v>
      </c>
      <c r="W2789" t="s">
        <v>129</v>
      </c>
      <c r="X2789" t="s">
        <v>180</v>
      </c>
      <c r="Y2789" t="s">
        <v>1464</v>
      </c>
      <c r="Z2789" t="s">
        <v>64</v>
      </c>
      <c r="AA2789" t="s">
        <v>565</v>
      </c>
      <c r="AB2789" t="s">
        <v>0</v>
      </c>
      <c r="AC2789" t="s">
        <v>7337</v>
      </c>
    </row>
    <row r="2790" spans="1:29">
      <c r="A2790" t="s">
        <v>7338</v>
      </c>
      <c r="B2790" s="42" t="str">
        <f>IF(ISNUMBER(SEARCH(E2790,A2790)),A2790,IF(OR(E2790="",E2790=""),A2790,A2790&amp;" - "&amp;E2790))</f>
        <v>Slouu 22/1 EG CA - Electric Grapefruit</v>
      </c>
      <c r="C2790" t="s">
        <v>650</v>
      </c>
      <c r="D2790" t="s">
        <v>653</v>
      </c>
      <c r="E2790" s="9" t="s">
        <v>5112</v>
      </c>
      <c r="F2790" s="1" t="s">
        <v>69</v>
      </c>
      <c r="G2790" s="8" t="s">
        <v>4126</v>
      </c>
      <c r="H2790" s="7">
        <v>1</v>
      </c>
      <c r="I2790" t="s">
        <v>0</v>
      </c>
      <c r="J2790" t="s">
        <v>0</v>
      </c>
      <c r="K2790" t="s">
        <v>52</v>
      </c>
      <c r="L2790" t="s">
        <v>53</v>
      </c>
      <c r="M2790" t="s">
        <v>71</v>
      </c>
      <c r="N2790" t="s">
        <v>72</v>
      </c>
      <c r="O2790" t="s">
        <v>111</v>
      </c>
      <c r="P2790" t="s">
        <v>89</v>
      </c>
      <c r="Q2790" t="s">
        <v>157</v>
      </c>
      <c r="R2790" t="s">
        <v>59</v>
      </c>
      <c r="S2790" t="s">
        <v>90</v>
      </c>
      <c r="T2790" t="s">
        <v>61</v>
      </c>
      <c r="U2790" t="s">
        <v>164</v>
      </c>
      <c r="V2790" t="s">
        <v>79</v>
      </c>
      <c r="W2790" t="s">
        <v>173</v>
      </c>
      <c r="X2790" t="s">
        <v>77</v>
      </c>
      <c r="Y2790" t="s">
        <v>1464</v>
      </c>
      <c r="Z2790" t="s">
        <v>64</v>
      </c>
      <c r="AA2790" t="s">
        <v>653</v>
      </c>
      <c r="AB2790" t="s">
        <v>0</v>
      </c>
      <c r="AC2790" t="s">
        <v>7339</v>
      </c>
    </row>
    <row r="2791" spans="1:29">
      <c r="A2791" t="s">
        <v>7347</v>
      </c>
      <c r="B2791" s="42" t="str">
        <f>IF(ISNUMBER(SEARCH(E2791,A2791)),A2791,IF(OR(E2791="",E2791=""),A2791,A2791&amp;" - "&amp;E2791))</f>
        <v>Sibanax GMO Zkittlez 26/1</v>
      </c>
      <c r="C2791" t="s">
        <v>2296</v>
      </c>
      <c r="D2791" t="s">
        <v>2298</v>
      </c>
      <c r="E2791" t="s">
        <v>3335</v>
      </c>
      <c r="F2791" t="s">
        <v>177</v>
      </c>
      <c r="G2791" t="s">
        <v>4086</v>
      </c>
      <c r="H2791" t="s">
        <v>65</v>
      </c>
      <c r="I2791" t="s">
        <v>0</v>
      </c>
      <c r="J2791" t="s">
        <v>0</v>
      </c>
      <c r="K2791" t="s">
        <v>52</v>
      </c>
      <c r="L2791" t="s">
        <v>87</v>
      </c>
      <c r="M2791" t="s">
        <v>72</v>
      </c>
      <c r="N2791" t="s">
        <v>88</v>
      </c>
      <c r="O2791" t="s">
        <v>71</v>
      </c>
      <c r="P2791" t="s">
        <v>104</v>
      </c>
      <c r="Q2791" t="s">
        <v>74</v>
      </c>
      <c r="R2791" t="s">
        <v>73</v>
      </c>
      <c r="S2791" t="s">
        <v>90</v>
      </c>
      <c r="T2791" t="s">
        <v>128</v>
      </c>
      <c r="U2791" t="s">
        <v>106</v>
      </c>
      <c r="V2791" t="s">
        <v>107</v>
      </c>
      <c r="W2791" t="s">
        <v>77</v>
      </c>
      <c r="X2791" t="s">
        <v>116</v>
      </c>
      <c r="Y2791" t="s">
        <v>7348</v>
      </c>
      <c r="Z2791" t="s">
        <v>64</v>
      </c>
      <c r="AA2791" t="s">
        <v>2298</v>
      </c>
      <c r="AB2791" t="s">
        <v>0</v>
      </c>
      <c r="AC2791" t="s">
        <v>7349</v>
      </c>
    </row>
    <row r="2792" spans="1:29">
      <c r="A2792" t="s">
        <v>7364</v>
      </c>
      <c r="B2792" s="42" t="str">
        <f>IF(ISNUMBER(SEARCH(E2792,A2792)),A2792,IF(OR(E2792="",E2792=""),A2792,A2792&amp;" - "&amp;E2792))</f>
        <v>NICE 28/1 TRG GMO - Tropical Gelato</v>
      </c>
      <c r="C2792" t="s">
        <v>996</v>
      </c>
      <c r="D2792" t="s">
        <v>997</v>
      </c>
      <c r="E2792" s="9" t="s">
        <v>7121</v>
      </c>
      <c r="F2792" s="1" t="s">
        <v>69</v>
      </c>
      <c r="G2792" s="8" t="s">
        <v>4164</v>
      </c>
      <c r="H2792" s="7" t="s">
        <v>65</v>
      </c>
      <c r="I2792" t="s">
        <v>0</v>
      </c>
      <c r="J2792" t="s">
        <v>0</v>
      </c>
      <c r="K2792" t="s">
        <v>52</v>
      </c>
      <c r="L2792" t="s">
        <v>53</v>
      </c>
      <c r="M2792" t="s">
        <v>72</v>
      </c>
      <c r="N2792" t="s">
        <v>54</v>
      </c>
      <c r="O2792" t="s">
        <v>88</v>
      </c>
      <c r="P2792" t="s">
        <v>74</v>
      </c>
      <c r="Q2792" t="s">
        <v>59</v>
      </c>
      <c r="R2792" t="s">
        <v>57</v>
      </c>
      <c r="S2792" t="s">
        <v>90</v>
      </c>
      <c r="T2792" t="s">
        <v>106</v>
      </c>
      <c r="U2792" t="s">
        <v>62</v>
      </c>
      <c r="V2792" t="s">
        <v>292</v>
      </c>
      <c r="W2792" t="s">
        <v>107</v>
      </c>
      <c r="X2792" t="s">
        <v>79</v>
      </c>
      <c r="Y2792" t="s">
        <v>410</v>
      </c>
      <c r="Z2792" t="s">
        <v>64</v>
      </c>
      <c r="AA2792" t="s">
        <v>997</v>
      </c>
      <c r="AB2792" t="s">
        <v>0</v>
      </c>
      <c r="AC2792" t="s">
        <v>7365</v>
      </c>
    </row>
    <row r="2793" spans="1:29">
      <c r="B2793" s="77" t="s">
        <v>7368</v>
      </c>
    </row>
    <row r="2794" spans="1:29">
      <c r="A2794" t="s">
        <v>7350</v>
      </c>
      <c r="B2794" s="42" t="str">
        <f>IF(ISNUMBER(SEARCH(E2794,A2794)),A2794,IF(OR(E2794="",E2794=""),A2794,A2794&amp;" - "&amp;E2794))</f>
        <v>Demecan Core Golden Horizon 27:01 - Golden Goat</v>
      </c>
      <c r="C2794" t="s">
        <v>484</v>
      </c>
      <c r="D2794" t="s">
        <v>485</v>
      </c>
      <c r="E2794" t="s">
        <v>6820</v>
      </c>
      <c r="F2794" t="s">
        <v>144</v>
      </c>
      <c r="G2794" t="s">
        <v>33</v>
      </c>
      <c r="H2794" t="s">
        <v>65</v>
      </c>
      <c r="I2794" t="s">
        <v>0</v>
      </c>
      <c r="J2794" t="s">
        <v>0</v>
      </c>
      <c r="K2794" t="s">
        <v>52</v>
      </c>
      <c r="L2794" t="s">
        <v>53</v>
      </c>
      <c r="M2794" t="s">
        <v>72</v>
      </c>
      <c r="N2794" t="s">
        <v>71</v>
      </c>
      <c r="O2794" t="s">
        <v>111</v>
      </c>
      <c r="P2794" t="s">
        <v>104</v>
      </c>
      <c r="Q2794" t="s">
        <v>136</v>
      </c>
      <c r="R2794" t="s">
        <v>75</v>
      </c>
      <c r="S2794" t="s">
        <v>128</v>
      </c>
      <c r="T2794" t="s">
        <v>106</v>
      </c>
      <c r="U2794" t="s">
        <v>62</v>
      </c>
      <c r="V2794" t="s">
        <v>77</v>
      </c>
      <c r="W2794" t="s">
        <v>79</v>
      </c>
      <c r="X2794" t="s">
        <v>107</v>
      </c>
      <c r="Y2794" t="s">
        <v>7348</v>
      </c>
      <c r="Z2794" t="s">
        <v>64</v>
      </c>
      <c r="AA2794" t="s">
        <v>485</v>
      </c>
      <c r="AB2794" t="s">
        <v>0</v>
      </c>
      <c r="AC2794" t="s">
        <v>7351</v>
      </c>
    </row>
    <row r="2795" spans="1:29">
      <c r="A2795" t="s">
        <v>7352</v>
      </c>
      <c r="B2795" s="42" t="str">
        <f>IF(ISNUMBER(SEARCH(E2795,A2795)),A2795,IF(OR(E2795="",E2795=""),A2795,A2795&amp;" - "&amp;E2795))</f>
        <v>Huala 22/1 CA POG - Pineapple God</v>
      </c>
      <c r="C2795" t="s">
        <v>463</v>
      </c>
      <c r="D2795" t="s">
        <v>468</v>
      </c>
      <c r="E2795" s="9" t="s">
        <v>7287</v>
      </c>
      <c r="F2795" s="1" t="s">
        <v>144</v>
      </c>
      <c r="G2795" s="8" t="s">
        <v>4126</v>
      </c>
      <c r="H2795" s="7" t="s">
        <v>65</v>
      </c>
      <c r="I2795" t="s">
        <v>0</v>
      </c>
      <c r="J2795" t="s">
        <v>0</v>
      </c>
      <c r="K2795" t="s">
        <v>52</v>
      </c>
      <c r="L2795" t="s">
        <v>53</v>
      </c>
      <c r="M2795" t="s">
        <v>71</v>
      </c>
      <c r="N2795" t="s">
        <v>88</v>
      </c>
      <c r="O2795" t="s">
        <v>72</v>
      </c>
      <c r="P2795" t="s">
        <v>104</v>
      </c>
      <c r="Q2795" t="s">
        <v>59</v>
      </c>
      <c r="R2795" t="s">
        <v>75</v>
      </c>
      <c r="S2795" t="s">
        <v>128</v>
      </c>
      <c r="T2795" t="s">
        <v>61</v>
      </c>
      <c r="U2795" t="s">
        <v>62</v>
      </c>
      <c r="V2795" t="s">
        <v>93</v>
      </c>
      <c r="W2795" t="s">
        <v>292</v>
      </c>
      <c r="X2795" t="s">
        <v>79</v>
      </c>
      <c r="Y2795" t="s">
        <v>2835</v>
      </c>
      <c r="Z2795" t="s">
        <v>64</v>
      </c>
      <c r="AA2795" t="s">
        <v>468</v>
      </c>
      <c r="AB2795" t="s">
        <v>678</v>
      </c>
      <c r="AC2795" t="s">
        <v>7353</v>
      </c>
    </row>
    <row r="2796" spans="1:29">
      <c r="A2796" t="s">
        <v>7354</v>
      </c>
      <c r="B2796" s="42" t="str">
        <f>IF(ISNUMBER(SEARCH(E2796,A2796)),A2796,IF(OR(E2796="",E2796=""),A2796,A2796&amp;" - "&amp;E2796))</f>
        <v>Eufloria 30/1 ITG - Integrator</v>
      </c>
      <c r="C2796" t="s">
        <v>83</v>
      </c>
      <c r="D2796" t="s">
        <v>95</v>
      </c>
      <c r="E2796" s="9" t="s">
        <v>7355</v>
      </c>
      <c r="F2796" s="1" t="s">
        <v>177</v>
      </c>
      <c r="G2796" s="8" t="s">
        <v>4057</v>
      </c>
      <c r="H2796" s="7" t="s">
        <v>65</v>
      </c>
      <c r="I2796" t="s">
        <v>0</v>
      </c>
      <c r="J2796" t="s">
        <v>0</v>
      </c>
      <c r="K2796" t="s">
        <v>52</v>
      </c>
      <c r="L2796" t="s">
        <v>53</v>
      </c>
      <c r="M2796" t="s">
        <v>72</v>
      </c>
      <c r="N2796" t="s">
        <v>54</v>
      </c>
      <c r="O2796" t="s">
        <v>71</v>
      </c>
      <c r="P2796" t="s">
        <v>89</v>
      </c>
      <c r="Q2796" t="s">
        <v>59</v>
      </c>
      <c r="R2796" t="s">
        <v>157</v>
      </c>
      <c r="S2796" t="s">
        <v>62</v>
      </c>
      <c r="T2796" t="s">
        <v>123</v>
      </c>
      <c r="U2796" t="s">
        <v>493</v>
      </c>
      <c r="V2796" t="s">
        <v>92</v>
      </c>
      <c r="W2796" t="s">
        <v>180</v>
      </c>
      <c r="X2796" t="s">
        <v>79</v>
      </c>
      <c r="Y2796" t="s">
        <v>268</v>
      </c>
      <c r="Z2796" t="s">
        <v>64</v>
      </c>
      <c r="AA2796" t="s">
        <v>95</v>
      </c>
      <c r="AB2796" t="s">
        <v>0</v>
      </c>
      <c r="AC2796" t="s">
        <v>7356</v>
      </c>
    </row>
    <row r="2797" spans="1:29">
      <c r="A2797" t="s">
        <v>7357</v>
      </c>
      <c r="B2797" s="5" t="str">
        <f>IF(ISNUMBER(SEARCH(E2797,A2797)),A2797,IF(OR(E2797="",E2797=""),A2797,A2797&amp;" - "&amp;E2797))</f>
        <v>Remexian 30/1 AEC ZKI - Zkittlez</v>
      </c>
      <c r="C2797" t="s">
        <v>83</v>
      </c>
      <c r="D2797" t="s">
        <v>95</v>
      </c>
      <c r="E2797" s="9" t="s">
        <v>2485</v>
      </c>
      <c r="F2797" s="1" t="s">
        <v>177</v>
      </c>
      <c r="G2797" s="8" t="s">
        <v>4057</v>
      </c>
      <c r="H2797" s="7" t="s">
        <v>65</v>
      </c>
      <c r="I2797" t="s">
        <v>0</v>
      </c>
      <c r="J2797" t="s">
        <v>0</v>
      </c>
      <c r="K2797" t="s">
        <v>52</v>
      </c>
      <c r="L2797" t="s">
        <v>102</v>
      </c>
      <c r="M2797" t="s">
        <v>111</v>
      </c>
      <c r="N2797" t="s">
        <v>72</v>
      </c>
      <c r="O2797" t="s">
        <v>88</v>
      </c>
      <c r="P2797" t="s">
        <v>58</v>
      </c>
      <c r="Q2797" t="s">
        <v>89</v>
      </c>
      <c r="R2797" t="s">
        <v>75</v>
      </c>
      <c r="S2797" t="s">
        <v>62</v>
      </c>
      <c r="T2797" t="s">
        <v>123</v>
      </c>
      <c r="U2797" t="s">
        <v>91</v>
      </c>
      <c r="V2797" t="s">
        <v>173</v>
      </c>
      <c r="W2797" t="s">
        <v>92</v>
      </c>
      <c r="X2797" t="s">
        <v>107</v>
      </c>
      <c r="Y2797" t="s">
        <v>371</v>
      </c>
      <c r="Z2797" t="s">
        <v>64</v>
      </c>
      <c r="AA2797" t="s">
        <v>95</v>
      </c>
      <c r="AB2797" t="s">
        <v>0</v>
      </c>
      <c r="AC2797" t="s">
        <v>7358</v>
      </c>
    </row>
    <row r="2798" spans="1:29">
      <c r="A2798" t="s">
        <v>7359</v>
      </c>
      <c r="B2798" s="42" t="str">
        <f>IF(ISNUMBER(SEARCH(E2798,A2798)),A2798,IF(OR(E2798="",E2798=""),A2798,A2798&amp;" - "&amp;E2798))</f>
        <v>Eufloria 33/1 PCH - Purple Churro</v>
      </c>
      <c r="C2798" t="s">
        <v>83</v>
      </c>
      <c r="D2798" t="s">
        <v>95</v>
      </c>
      <c r="E2798" s="9" t="s">
        <v>6674</v>
      </c>
      <c r="F2798" s="1" t="s">
        <v>177</v>
      </c>
      <c r="G2798" s="8" t="s">
        <v>4169</v>
      </c>
      <c r="H2798" s="7" t="s">
        <v>65</v>
      </c>
      <c r="I2798" t="s">
        <v>0</v>
      </c>
      <c r="J2798" t="s">
        <v>0</v>
      </c>
      <c r="K2798" t="s">
        <v>52</v>
      </c>
      <c r="L2798" t="s">
        <v>53</v>
      </c>
      <c r="M2798" t="s">
        <v>54</v>
      </c>
      <c r="N2798" t="s">
        <v>0</v>
      </c>
      <c r="O2798" t="s">
        <v>0</v>
      </c>
      <c r="P2798" t="s">
        <v>58</v>
      </c>
      <c r="Q2798" t="s">
        <v>59</v>
      </c>
      <c r="R2798" t="s">
        <v>0</v>
      </c>
      <c r="S2798" t="s">
        <v>76</v>
      </c>
      <c r="T2798" t="s">
        <v>123</v>
      </c>
      <c r="U2798" t="s">
        <v>91</v>
      </c>
      <c r="V2798" t="s">
        <v>208</v>
      </c>
      <c r="W2798" t="s">
        <v>138</v>
      </c>
      <c r="X2798" t="s">
        <v>173</v>
      </c>
      <c r="Y2798" t="s">
        <v>307</v>
      </c>
      <c r="Z2798" t="s">
        <v>64</v>
      </c>
      <c r="AA2798" t="s">
        <v>95</v>
      </c>
      <c r="AB2798" t="s">
        <v>0</v>
      </c>
      <c r="AC2798" t="s">
        <v>7360</v>
      </c>
    </row>
    <row r="2799" spans="1:29">
      <c r="A2799" t="s">
        <v>7361</v>
      </c>
      <c r="B2799" s="42" t="str">
        <f>IF(ISNUMBER(SEARCH(E2799,A2799)),A2799,IF(OR(E2799="",E2799=""),A2799,A2799&amp;" - "&amp;E2799))</f>
        <v>enua 20/1 USR CA - Ultra Sour</v>
      </c>
      <c r="C2799" t="s">
        <v>650</v>
      </c>
      <c r="D2799" t="s">
        <v>653</v>
      </c>
      <c r="E2799" s="9" t="s">
        <v>5254</v>
      </c>
      <c r="F2799" s="1" t="s">
        <v>144</v>
      </c>
      <c r="G2799" s="8" t="s">
        <v>460</v>
      </c>
      <c r="H2799" s="7" t="s">
        <v>65</v>
      </c>
      <c r="I2799" t="s">
        <v>0</v>
      </c>
      <c r="J2799" t="s">
        <v>0</v>
      </c>
      <c r="K2799" t="s">
        <v>52</v>
      </c>
      <c r="L2799" t="s">
        <v>53</v>
      </c>
      <c r="M2799" t="s">
        <v>72</v>
      </c>
      <c r="N2799" t="s">
        <v>55</v>
      </c>
      <c r="O2799" t="s">
        <v>0</v>
      </c>
      <c r="P2799" t="s">
        <v>59</v>
      </c>
      <c r="Q2799" t="s">
        <v>73</v>
      </c>
      <c r="R2799" t="s">
        <v>75</v>
      </c>
      <c r="S2799" t="s">
        <v>90</v>
      </c>
      <c r="T2799" t="s">
        <v>61</v>
      </c>
      <c r="U2799" t="s">
        <v>62</v>
      </c>
      <c r="V2799" t="s">
        <v>116</v>
      </c>
      <c r="W2799" t="s">
        <v>173</v>
      </c>
      <c r="X2799" t="s">
        <v>77</v>
      </c>
      <c r="Y2799" t="s">
        <v>7362</v>
      </c>
      <c r="Z2799" t="s">
        <v>64</v>
      </c>
      <c r="AA2799" t="s">
        <v>653</v>
      </c>
      <c r="AB2799" t="s">
        <v>0</v>
      </c>
      <c r="AC2799" t="s">
        <v>7363</v>
      </c>
    </row>
    <row r="2800" spans="1:29">
      <c r="A2800" t="s">
        <v>7366</v>
      </c>
      <c r="B2800" s="42" t="str">
        <f>IF(ISNUMBER(SEARCH(E2800,A2800)),A2800,IF(OR(E2800="",E2800=""),A2800,A2800&amp;" - "&amp;E2800))</f>
        <v>420 Compound 27/1 CA PPE Platinum Pavé - Platinum Pave</v>
      </c>
      <c r="C2800" t="s">
        <v>463</v>
      </c>
      <c r="D2800" t="s">
        <v>468</v>
      </c>
      <c r="E2800" s="9" t="s">
        <v>5070</v>
      </c>
      <c r="F2800" s="1" t="s">
        <v>86</v>
      </c>
      <c r="G2800" s="8" t="s">
        <v>33</v>
      </c>
      <c r="H2800" s="7" t="s">
        <v>65</v>
      </c>
      <c r="I2800" t="s">
        <v>0</v>
      </c>
      <c r="J2800" t="s">
        <v>0</v>
      </c>
      <c r="K2800" t="s">
        <v>52</v>
      </c>
      <c r="L2800" t="s">
        <v>53</v>
      </c>
      <c r="M2800" t="s">
        <v>54</v>
      </c>
      <c r="N2800" t="s">
        <v>88</v>
      </c>
      <c r="O2800" t="s">
        <v>0</v>
      </c>
      <c r="P2800" t="s">
        <v>75</v>
      </c>
      <c r="Q2800" t="s">
        <v>73</v>
      </c>
      <c r="R2800" t="s">
        <v>157</v>
      </c>
      <c r="S2800" t="s">
        <v>61</v>
      </c>
      <c r="T2800" t="s">
        <v>62</v>
      </c>
      <c r="U2800" t="s">
        <v>123</v>
      </c>
      <c r="V2800" t="s">
        <v>116</v>
      </c>
      <c r="W2800" t="s">
        <v>173</v>
      </c>
      <c r="X2800" t="s">
        <v>77</v>
      </c>
      <c r="Y2800" t="s">
        <v>4633</v>
      </c>
      <c r="Z2800" t="s">
        <v>64</v>
      </c>
      <c r="AA2800" t="s">
        <v>468</v>
      </c>
      <c r="AB2800" t="s">
        <v>0</v>
      </c>
      <c r="AC2800" t="s">
        <v>7367</v>
      </c>
    </row>
    <row r="2801" spans="1:29">
      <c r="A2801" t="s">
        <v>7415</v>
      </c>
      <c r="B2801" s="42" t="str">
        <f>IF(ISNUMBER(SEARCH(E2801,A2801)),A2801,IF(OR(E2801="",E2801=""),A2801,A2801&amp;" - "&amp;E2801))</f>
        <v>Luana 24/1 - Durban Poison</v>
      </c>
      <c r="C2801" t="s">
        <v>48</v>
      </c>
      <c r="D2801" t="s">
        <v>49</v>
      </c>
      <c r="E2801" s="9" t="s">
        <v>7416</v>
      </c>
      <c r="F2801" s="1" t="s">
        <v>69</v>
      </c>
      <c r="G2801" s="8" t="s">
        <v>448</v>
      </c>
      <c r="H2801" s="7" t="s">
        <v>65</v>
      </c>
      <c r="I2801" t="s">
        <v>0</v>
      </c>
      <c r="J2801" t="s">
        <v>0</v>
      </c>
      <c r="K2801" t="s">
        <v>52</v>
      </c>
      <c r="M2801" t="s">
        <v>54</v>
      </c>
      <c r="N2801" t="s">
        <v>111</v>
      </c>
      <c r="O2801" t="s">
        <v>0</v>
      </c>
      <c r="P2801" t="s">
        <v>157</v>
      </c>
      <c r="Q2801" t="s">
        <v>74</v>
      </c>
      <c r="R2801" t="s">
        <v>75</v>
      </c>
      <c r="S2801" t="s">
        <v>90</v>
      </c>
      <c r="T2801" t="s">
        <v>105</v>
      </c>
      <c r="U2801" t="s">
        <v>147</v>
      </c>
      <c r="V2801" t="s">
        <v>77</v>
      </c>
      <c r="W2801" t="s">
        <v>165</v>
      </c>
      <c r="X2801" t="s">
        <v>129</v>
      </c>
      <c r="Y2801" t="s">
        <v>5064</v>
      </c>
      <c r="Z2801" t="s">
        <v>64</v>
      </c>
      <c r="AA2801" t="s">
        <v>49</v>
      </c>
      <c r="AB2801" t="s">
        <v>0</v>
      </c>
      <c r="AC2801" s="101" t="s">
        <v>7417</v>
      </c>
    </row>
    <row r="2802" spans="1:29">
      <c r="A2802" t="s">
        <v>6719</v>
      </c>
      <c r="B2802" s="42" t="str">
        <f>IF(ISNUMBER(SEARCH(E2802,A2802)),A2802,IF(OR(E2802="",E2802=""),A2802,A2802&amp;" - "&amp;E2802))</f>
        <v>Huala 22/1 CA - C47</v>
      </c>
      <c r="C2802" s="30" t="s">
        <v>463</v>
      </c>
      <c r="D2802" s="30" t="s">
        <v>468</v>
      </c>
      <c r="E2802" s="9" t="s">
        <v>7423</v>
      </c>
      <c r="F2802" s="1" t="s">
        <v>144</v>
      </c>
      <c r="G2802" s="8" t="s">
        <v>460</v>
      </c>
      <c r="H2802" s="7" t="s">
        <v>65</v>
      </c>
      <c r="I2802" t="s">
        <v>0</v>
      </c>
      <c r="J2802" t="s">
        <v>0</v>
      </c>
      <c r="K2802" t="s">
        <v>52</v>
      </c>
      <c r="L2802" t="s">
        <v>53</v>
      </c>
      <c r="M2802" t="s">
        <v>72</v>
      </c>
      <c r="N2802" t="s">
        <v>111</v>
      </c>
      <c r="O2802" t="s">
        <v>0</v>
      </c>
      <c r="P2802" t="s">
        <v>74</v>
      </c>
      <c r="Q2802" t="s">
        <v>604</v>
      </c>
      <c r="R2802" t="s">
        <v>113</v>
      </c>
      <c r="S2802" t="s">
        <v>128</v>
      </c>
      <c r="T2802" t="s">
        <v>179</v>
      </c>
      <c r="U2802" t="s">
        <v>61</v>
      </c>
      <c r="V2802" t="s">
        <v>292</v>
      </c>
      <c r="W2802" t="s">
        <v>180</v>
      </c>
      <c r="X2802" t="s">
        <v>93</v>
      </c>
      <c r="Y2802" t="s">
        <v>5259</v>
      </c>
      <c r="Z2802" t="s">
        <v>64</v>
      </c>
      <c r="AA2802" t="s">
        <v>468</v>
      </c>
      <c r="AB2802" t="s">
        <v>678</v>
      </c>
      <c r="AC2802" t="s">
        <v>7424</v>
      </c>
    </row>
    <row r="2803" spans="1:29">
      <c r="A2803" t="s">
        <v>7399</v>
      </c>
      <c r="B2803" s="42" t="str">
        <f>IF(ISNUMBER(SEARCH(E2803,A2803)),A2803,IF(OR(E2803="",E2803=""),A2803,A2803&amp;" - "&amp;E2803))</f>
        <v>NICE 18/1 MM - Mango Mints</v>
      </c>
      <c r="C2803" t="s">
        <v>996</v>
      </c>
      <c r="D2803" t="s">
        <v>997</v>
      </c>
      <c r="E2803" s="9" t="s">
        <v>7400</v>
      </c>
      <c r="F2803" s="1" t="s">
        <v>86</v>
      </c>
      <c r="G2803" s="8" t="s">
        <v>8</v>
      </c>
      <c r="H2803" s="7" t="s">
        <v>65</v>
      </c>
      <c r="I2803" t="s">
        <v>0</v>
      </c>
      <c r="J2803" t="s">
        <v>0</v>
      </c>
      <c r="K2803" t="s">
        <v>52</v>
      </c>
      <c r="L2803" t="s">
        <v>53</v>
      </c>
      <c r="M2803" t="s">
        <v>121</v>
      </c>
      <c r="N2803" t="s">
        <v>72</v>
      </c>
      <c r="O2803" t="s">
        <v>71</v>
      </c>
      <c r="P2803" t="s">
        <v>59</v>
      </c>
      <c r="Q2803" t="s">
        <v>89</v>
      </c>
      <c r="R2803" t="s">
        <v>74</v>
      </c>
      <c r="S2803" t="s">
        <v>106</v>
      </c>
      <c r="T2803" t="s">
        <v>62</v>
      </c>
      <c r="U2803" t="s">
        <v>147</v>
      </c>
      <c r="V2803" t="s">
        <v>116</v>
      </c>
      <c r="W2803" t="s">
        <v>208</v>
      </c>
      <c r="X2803" t="s">
        <v>107</v>
      </c>
      <c r="Y2803" t="s">
        <v>7401</v>
      </c>
      <c r="Z2803" t="s">
        <v>64</v>
      </c>
      <c r="AA2803" t="s">
        <v>997</v>
      </c>
      <c r="AB2803" t="s">
        <v>0</v>
      </c>
      <c r="AC2803" t="s">
        <v>7402</v>
      </c>
    </row>
    <row r="2804" spans="1:29">
      <c r="A2804" t="s">
        <v>7425</v>
      </c>
      <c r="B2804" s="42" t="str">
        <f>IF(ISNUMBER(SEARCH(E2804,A2804)),A2804,IF(OR(E2804="",E2804=""),A2804,A2804&amp;" - "&amp;E2804))</f>
        <v>IMC GMO THC27 Token Purple Malawi - Thailand x Wild 501stOG x Purple Malawi</v>
      </c>
      <c r="C2804" t="s">
        <v>646</v>
      </c>
      <c r="D2804" t="s">
        <v>646</v>
      </c>
      <c r="E2804" s="9" t="s">
        <v>7426</v>
      </c>
      <c r="F2804" s="1" t="s">
        <v>86</v>
      </c>
      <c r="G2804" s="8" t="s">
        <v>33</v>
      </c>
      <c r="H2804" s="7" t="s">
        <v>65</v>
      </c>
      <c r="I2804" t="s">
        <v>0</v>
      </c>
      <c r="J2804" t="s">
        <v>0</v>
      </c>
      <c r="K2804" t="s">
        <v>52</v>
      </c>
      <c r="L2804" t="s">
        <v>53</v>
      </c>
      <c r="M2804" t="s">
        <v>88</v>
      </c>
      <c r="N2804" t="s">
        <v>54</v>
      </c>
      <c r="O2804" t="s">
        <v>71</v>
      </c>
      <c r="P2804" t="s">
        <v>74</v>
      </c>
      <c r="Q2804" t="s">
        <v>113</v>
      </c>
      <c r="R2804" t="s">
        <v>59</v>
      </c>
      <c r="S2804" t="s">
        <v>234</v>
      </c>
      <c r="T2804" t="s">
        <v>123</v>
      </c>
      <c r="U2804" t="s">
        <v>147</v>
      </c>
      <c r="V2804" t="s">
        <v>77</v>
      </c>
      <c r="W2804" t="s">
        <v>129</v>
      </c>
      <c r="X2804" t="s">
        <v>292</v>
      </c>
      <c r="Y2804" t="s">
        <v>5610</v>
      </c>
      <c r="Z2804" t="s">
        <v>64</v>
      </c>
      <c r="AA2804" t="s">
        <v>646</v>
      </c>
      <c r="AB2804" t="s">
        <v>0</v>
      </c>
      <c r="AC2804" t="s">
        <v>7427</v>
      </c>
    </row>
    <row r="2805" spans="1:29">
      <c r="A2805" t="s">
        <v>7421</v>
      </c>
      <c r="B2805" s="42" t="str">
        <f>IF(ISNUMBER(SEARCH(E2805,A2805)),A2805,IF(OR(E2805="",E2805=""),A2805,A2805&amp;" - "&amp;E2805))</f>
        <v>Luana 23/1 Donny B - Bunatic</v>
      </c>
      <c r="C2805" t="s">
        <v>48</v>
      </c>
      <c r="D2805" t="s">
        <v>49</v>
      </c>
      <c r="E2805" s="9" t="s">
        <v>5563</v>
      </c>
      <c r="F2805" s="1" t="s">
        <v>120</v>
      </c>
      <c r="G2805" s="8" t="s">
        <v>26</v>
      </c>
      <c r="H2805" s="7" t="s">
        <v>65</v>
      </c>
      <c r="I2805" t="s">
        <v>0</v>
      </c>
      <c r="J2805" t="s">
        <v>0</v>
      </c>
      <c r="K2805" t="s">
        <v>52</v>
      </c>
      <c r="L2805" t="s">
        <v>53</v>
      </c>
      <c r="M2805" t="s">
        <v>121</v>
      </c>
      <c r="N2805" t="s">
        <v>71</v>
      </c>
      <c r="O2805" t="s">
        <v>88</v>
      </c>
      <c r="P2805" t="s">
        <v>59</v>
      </c>
      <c r="Q2805" t="s">
        <v>146</v>
      </c>
      <c r="R2805" t="s">
        <v>74</v>
      </c>
      <c r="S2805" t="s">
        <v>106</v>
      </c>
      <c r="T2805" t="s">
        <v>62</v>
      </c>
      <c r="U2805" t="s">
        <v>147</v>
      </c>
      <c r="V2805" t="s">
        <v>93</v>
      </c>
      <c r="W2805" t="s">
        <v>173</v>
      </c>
      <c r="X2805" t="s">
        <v>107</v>
      </c>
      <c r="Y2805" t="s">
        <v>1139</v>
      </c>
      <c r="Z2805" t="s">
        <v>64</v>
      </c>
      <c r="AA2805" t="s">
        <v>49</v>
      </c>
      <c r="AB2805" t="s">
        <v>0</v>
      </c>
      <c r="AC2805" t="s">
        <v>7422</v>
      </c>
    </row>
    <row r="2806" spans="1:29">
      <c r="B2806" s="77" t="s">
        <v>7463</v>
      </c>
    </row>
    <row r="2807" spans="1:29">
      <c r="A2807" t="s">
        <v>7446</v>
      </c>
      <c r="B2807" s="42" t="str">
        <f>IF(ISNUMBER(SEARCH(E2807,A2807)),A2807,IF(OR(E2807="",E2807=""),A2807,A2807&amp;" - "&amp;E2807))</f>
        <v>Phcann Exotics 30/1 - Black Amber</v>
      </c>
      <c r="C2807" t="s">
        <v>141</v>
      </c>
      <c r="D2807" t="s">
        <v>149</v>
      </c>
      <c r="E2807" s="9" t="s">
        <v>1181</v>
      </c>
      <c r="G2807" s="8" t="s">
        <v>4057</v>
      </c>
      <c r="H2807" s="7" t="s">
        <v>65</v>
      </c>
      <c r="I2807" t="s">
        <v>0</v>
      </c>
      <c r="J2807" t="s">
        <v>0</v>
      </c>
      <c r="K2807" t="s">
        <v>52</v>
      </c>
      <c r="M2807" t="s">
        <v>88</v>
      </c>
      <c r="N2807" t="s">
        <v>72</v>
      </c>
      <c r="O2807" t="s">
        <v>0</v>
      </c>
      <c r="P2807" t="s">
        <v>136</v>
      </c>
      <c r="Q2807" t="s">
        <v>73</v>
      </c>
      <c r="R2807" t="s">
        <v>89</v>
      </c>
      <c r="S2807" t="s">
        <v>0</v>
      </c>
      <c r="T2807" t="s">
        <v>0</v>
      </c>
      <c r="U2807" t="s">
        <v>0</v>
      </c>
      <c r="V2807" t="s">
        <v>79</v>
      </c>
      <c r="W2807" t="s">
        <v>93</v>
      </c>
      <c r="X2807" t="s">
        <v>4398</v>
      </c>
      <c r="Y2807" t="s">
        <v>555</v>
      </c>
      <c r="Z2807" t="s">
        <v>64</v>
      </c>
      <c r="AA2807" t="s">
        <v>149</v>
      </c>
      <c r="AB2807" t="s">
        <v>150</v>
      </c>
      <c r="AC2807" t="s">
        <v>7447</v>
      </c>
    </row>
    <row r="2808" spans="1:29">
      <c r="B2808" s="77" t="s">
        <v>7464</v>
      </c>
    </row>
    <row r="2809" spans="1:29">
      <c r="A2809" t="s">
        <v>7442</v>
      </c>
      <c r="B2809" s="42" t="str">
        <f>IF(ISNUMBER(SEARCH(E2809,A2809)),A2809,IF(OR(E2809="",E2809=""),A2809,A2809&amp;" - "&amp;E2809))</f>
        <v>Slouu EG CA 29/1 - Pineapple God</v>
      </c>
      <c r="C2809" t="s">
        <v>650</v>
      </c>
      <c r="D2809" t="s">
        <v>653</v>
      </c>
      <c r="E2809" s="9" t="s">
        <v>7287</v>
      </c>
      <c r="F2809" s="1" t="s">
        <v>177</v>
      </c>
      <c r="G2809" s="8" t="s">
        <v>443</v>
      </c>
      <c r="H2809" s="7" t="s">
        <v>65</v>
      </c>
      <c r="I2809" t="s">
        <v>0</v>
      </c>
      <c r="J2809" t="s">
        <v>0</v>
      </c>
      <c r="K2809" t="s">
        <v>52</v>
      </c>
      <c r="L2809" t="s">
        <v>53</v>
      </c>
      <c r="M2809" t="s">
        <v>71</v>
      </c>
      <c r="N2809" t="s">
        <v>88</v>
      </c>
      <c r="O2809" t="s">
        <v>72</v>
      </c>
      <c r="P2809" t="s">
        <v>104</v>
      </c>
      <c r="Q2809" t="s">
        <v>59</v>
      </c>
      <c r="R2809" t="s">
        <v>75</v>
      </c>
      <c r="S2809" t="s">
        <v>0</v>
      </c>
      <c r="T2809" t="s">
        <v>0</v>
      </c>
      <c r="U2809" t="s">
        <v>0</v>
      </c>
      <c r="V2809" t="s">
        <v>93</v>
      </c>
      <c r="W2809" t="s">
        <v>292</v>
      </c>
      <c r="X2809" t="s">
        <v>79</v>
      </c>
      <c r="Y2809" t="s">
        <v>1615</v>
      </c>
      <c r="Z2809" t="s">
        <v>64</v>
      </c>
      <c r="AA2809" t="s">
        <v>653</v>
      </c>
      <c r="AB2809" t="s">
        <v>0</v>
      </c>
      <c r="AC2809" t="s">
        <v>7443</v>
      </c>
    </row>
    <row r="2810" spans="1:29">
      <c r="A2810" t="s">
        <v>7369</v>
      </c>
      <c r="B2810" s="42" t="str">
        <f>IF(ISNUMBER(SEARCH(E2810,A2810)),A2810,IF(OR(E2810="",E2810=""),A2810,A2810&amp;" - "&amp;E2810))</f>
        <v>MGF Crossflow 22/1 THC Rich - Crossbow</v>
      </c>
      <c r="C2810" t="s">
        <v>3108</v>
      </c>
      <c r="D2810" t="s">
        <v>3109</v>
      </c>
      <c r="E2810" t="s">
        <v>5004</v>
      </c>
      <c r="F2810" t="s">
        <v>177</v>
      </c>
      <c r="G2810" t="s">
        <v>4126</v>
      </c>
      <c r="H2810" t="s">
        <v>65</v>
      </c>
      <c r="I2810" t="s">
        <v>0</v>
      </c>
      <c r="J2810" t="s">
        <v>0</v>
      </c>
      <c r="K2810" t="s">
        <v>52</v>
      </c>
      <c r="L2810" t="s">
        <v>53</v>
      </c>
      <c r="M2810" t="s">
        <v>88</v>
      </c>
      <c r="N2810" t="s">
        <v>71</v>
      </c>
      <c r="O2810" t="s">
        <v>72</v>
      </c>
      <c r="P2810" t="s">
        <v>104</v>
      </c>
      <c r="Q2810" t="s">
        <v>73</v>
      </c>
      <c r="R2810" t="s">
        <v>89</v>
      </c>
      <c r="S2810" t="s">
        <v>106</v>
      </c>
      <c r="T2810" t="s">
        <v>62</v>
      </c>
      <c r="U2810" t="s">
        <v>0</v>
      </c>
      <c r="V2810" t="s">
        <v>77</v>
      </c>
      <c r="W2810" t="s">
        <v>138</v>
      </c>
      <c r="X2810" t="s">
        <v>93</v>
      </c>
      <c r="Y2810" t="s">
        <v>7226</v>
      </c>
      <c r="Z2810" t="s">
        <v>64</v>
      </c>
      <c r="AA2810" t="s">
        <v>3109</v>
      </c>
      <c r="AB2810" t="s">
        <v>0</v>
      </c>
      <c r="AC2810" t="s">
        <v>7370</v>
      </c>
    </row>
    <row r="2811" spans="1:29">
      <c r="A2811" t="s">
        <v>7371</v>
      </c>
      <c r="B2811" s="42" t="str">
        <f>IF(ISNUMBER(SEARCH(E2811,A2811)),A2811,IF(OR(E2811="",E2811=""),A2811,A2811&amp;" - "&amp;E2811))</f>
        <v>Sinceritas Hybrid Verum 24/1 BK - Banana Kush</v>
      </c>
      <c r="C2811" t="s">
        <v>48</v>
      </c>
      <c r="D2811" t="s">
        <v>49</v>
      </c>
      <c r="E2811" s="9" t="s">
        <v>7372</v>
      </c>
      <c r="F2811" s="1" t="s">
        <v>86</v>
      </c>
      <c r="G2811" s="8" t="s">
        <v>448</v>
      </c>
      <c r="H2811" s="7" t="s">
        <v>65</v>
      </c>
      <c r="I2811" t="s">
        <v>0</v>
      </c>
      <c r="J2811" t="s">
        <v>0</v>
      </c>
      <c r="K2811" t="s">
        <v>52</v>
      </c>
      <c r="L2811" t="s">
        <v>145</v>
      </c>
      <c r="M2811" t="s">
        <v>121</v>
      </c>
      <c r="N2811" t="s">
        <v>72</v>
      </c>
      <c r="O2811" t="s">
        <v>54</v>
      </c>
      <c r="P2811" t="s">
        <v>59</v>
      </c>
      <c r="Q2811" t="s">
        <v>57</v>
      </c>
      <c r="R2811" t="s">
        <v>136</v>
      </c>
      <c r="S2811" t="s">
        <v>123</v>
      </c>
      <c r="T2811" t="s">
        <v>147</v>
      </c>
      <c r="U2811" t="s">
        <v>224</v>
      </c>
      <c r="V2811" t="s">
        <v>77</v>
      </c>
      <c r="W2811" t="s">
        <v>116</v>
      </c>
      <c r="X2811" t="s">
        <v>165</v>
      </c>
      <c r="Y2811" t="s">
        <v>213</v>
      </c>
      <c r="Z2811" t="s">
        <v>64</v>
      </c>
      <c r="AA2811" t="s">
        <v>49</v>
      </c>
      <c r="AB2811" t="s">
        <v>0</v>
      </c>
      <c r="AC2811" t="s">
        <v>7373</v>
      </c>
    </row>
    <row r="2812" spans="1:29">
      <c r="A2812" t="s">
        <v>7374</v>
      </c>
      <c r="B2812" s="42" t="str">
        <f>IF(ISNUMBER(SEARCH(E2812,A2812)),A2812,IF(OR(E2812="",E2812=""),A2812,A2812&amp;" - "&amp;E2812))</f>
        <v>Candoro ethics 25:1 Hybrid StrBa - Strawberry Banana</v>
      </c>
      <c r="C2812" t="s">
        <v>7462</v>
      </c>
      <c r="D2812" t="s">
        <v>7376</v>
      </c>
      <c r="E2812" s="9" t="s">
        <v>196</v>
      </c>
      <c r="F2812" s="1" t="s">
        <v>86</v>
      </c>
      <c r="G2812" s="8" t="s">
        <v>26</v>
      </c>
      <c r="H2812" s="7" t="s">
        <v>65</v>
      </c>
      <c r="I2812" t="s">
        <v>0</v>
      </c>
      <c r="J2812" t="s">
        <v>0</v>
      </c>
      <c r="K2812" t="s">
        <v>17</v>
      </c>
      <c r="L2812" t="s">
        <v>423</v>
      </c>
      <c r="M2812" t="s">
        <v>71</v>
      </c>
      <c r="N2812" t="s">
        <v>72</v>
      </c>
      <c r="O2812" t="s">
        <v>103</v>
      </c>
      <c r="P2812" t="s">
        <v>89</v>
      </c>
      <c r="Q2812" t="s">
        <v>58</v>
      </c>
      <c r="R2812" t="s">
        <v>0</v>
      </c>
      <c r="S2812" t="s">
        <v>128</v>
      </c>
      <c r="T2812" t="s">
        <v>106</v>
      </c>
      <c r="U2812" t="s">
        <v>62</v>
      </c>
      <c r="V2812" t="s">
        <v>77</v>
      </c>
      <c r="W2812" t="s">
        <v>79</v>
      </c>
      <c r="X2812" t="s">
        <v>173</v>
      </c>
      <c r="Y2812" t="s">
        <v>7375</v>
      </c>
      <c r="Z2812" t="s">
        <v>64</v>
      </c>
      <c r="AA2812" t="s">
        <v>7376</v>
      </c>
      <c r="AB2812" t="s">
        <v>0</v>
      </c>
      <c r="AC2812" t="s">
        <v>7377</v>
      </c>
    </row>
    <row r="2813" spans="1:29">
      <c r="A2813" t="s">
        <v>7378</v>
      </c>
      <c r="B2813" s="42" t="str">
        <f>IF(ISNUMBER(SEARCH(E2813,A2813)),A2813,IF(OR(E2813="",E2813=""),A2813,A2813&amp;" - "&amp;E2813))</f>
        <v>Demecan BH Epic Drop 30/1 - Bananaconda</v>
      </c>
      <c r="C2813" t="s">
        <v>484</v>
      </c>
      <c r="D2813" t="s">
        <v>485</v>
      </c>
      <c r="E2813" s="9" t="s">
        <v>7379</v>
      </c>
      <c r="F2813" s="1" t="s">
        <v>177</v>
      </c>
      <c r="G2813" s="8" t="s">
        <v>4057</v>
      </c>
      <c r="H2813" s="7" t="s">
        <v>65</v>
      </c>
      <c r="I2813" t="s">
        <v>0</v>
      </c>
      <c r="J2813" t="s">
        <v>0</v>
      </c>
      <c r="K2813" t="s">
        <v>52</v>
      </c>
      <c r="L2813" t="s">
        <v>53</v>
      </c>
      <c r="M2813" t="s">
        <v>54</v>
      </c>
      <c r="N2813" t="s">
        <v>111</v>
      </c>
      <c r="O2813" t="s">
        <v>88</v>
      </c>
      <c r="P2813" t="s">
        <v>136</v>
      </c>
      <c r="Q2813" t="s">
        <v>89</v>
      </c>
      <c r="R2813" t="s">
        <v>0</v>
      </c>
      <c r="S2813" t="s">
        <v>106</v>
      </c>
      <c r="T2813" t="s">
        <v>123</v>
      </c>
      <c r="U2813" t="s">
        <v>466</v>
      </c>
      <c r="V2813" t="s">
        <v>208</v>
      </c>
      <c r="W2813" t="s">
        <v>79</v>
      </c>
      <c r="X2813" t="s">
        <v>116</v>
      </c>
      <c r="Y2813" t="s">
        <v>268</v>
      </c>
      <c r="Z2813" t="s">
        <v>64</v>
      </c>
      <c r="AA2813" t="s">
        <v>485</v>
      </c>
      <c r="AB2813" t="s">
        <v>0</v>
      </c>
      <c r="AC2813" t="s">
        <v>7380</v>
      </c>
    </row>
    <row r="2814" spans="1:29">
      <c r="A2814" t="s">
        <v>7381</v>
      </c>
      <c r="B2814" s="42" t="str">
        <f>IF(ISNUMBER(SEARCH(E2814,A2814)),A2814,IF(OR(E2814="",E2814=""),A2814,A2814&amp;" - "&amp;E2814))</f>
        <v>Demecan CR Light Drop 19:1 White Fondant smalls</v>
      </c>
      <c r="C2814" t="s">
        <v>484</v>
      </c>
      <c r="D2814" t="s">
        <v>485</v>
      </c>
      <c r="E2814" s="9" t="s">
        <v>6725</v>
      </c>
      <c r="F2814" s="1" t="s">
        <v>177</v>
      </c>
      <c r="G2814" s="8" t="s">
        <v>4160</v>
      </c>
      <c r="H2814" s="7" t="s">
        <v>65</v>
      </c>
      <c r="I2814" t="s">
        <v>0</v>
      </c>
      <c r="J2814" t="s">
        <v>0</v>
      </c>
      <c r="K2814" t="s">
        <v>52</v>
      </c>
      <c r="L2814" t="s">
        <v>53</v>
      </c>
      <c r="M2814" t="s">
        <v>121</v>
      </c>
      <c r="N2814" t="s">
        <v>178</v>
      </c>
      <c r="O2814" t="s">
        <v>54</v>
      </c>
      <c r="P2814" t="s">
        <v>89</v>
      </c>
      <c r="Q2814" t="s">
        <v>0</v>
      </c>
      <c r="R2814" t="s">
        <v>0</v>
      </c>
      <c r="S2814" t="s">
        <v>128</v>
      </c>
      <c r="T2814" t="s">
        <v>106</v>
      </c>
      <c r="U2814" t="s">
        <v>62</v>
      </c>
      <c r="V2814" t="s">
        <v>116</v>
      </c>
      <c r="W2814" t="s">
        <v>107</v>
      </c>
      <c r="X2814" t="s">
        <v>138</v>
      </c>
      <c r="Y2814" t="s">
        <v>4979</v>
      </c>
      <c r="Z2814" t="s">
        <v>64</v>
      </c>
      <c r="AA2814" t="s">
        <v>485</v>
      </c>
      <c r="AB2814" t="s">
        <v>0</v>
      </c>
      <c r="AC2814" t="s">
        <v>7382</v>
      </c>
    </row>
    <row r="2815" spans="1:29">
      <c r="A2815" t="s">
        <v>7383</v>
      </c>
      <c r="B2815" s="42" t="str">
        <f>IF(ISNUMBER(SEARCH(E2815,A2815)),A2815,IF(OR(E2815="",E2815=""),A2815,A2815&amp;" - "&amp;E2815))</f>
        <v>Medicus 21/1 EZA WEC - Wedding Cake</v>
      </c>
      <c r="C2815" t="s">
        <v>83</v>
      </c>
      <c r="D2815" t="s">
        <v>95</v>
      </c>
      <c r="E2815" s="9" t="s">
        <v>1195</v>
      </c>
      <c r="F2815" s="1" t="s">
        <v>177</v>
      </c>
      <c r="G2815" s="8" t="s">
        <v>452</v>
      </c>
      <c r="H2815" s="7" t="s">
        <v>65</v>
      </c>
      <c r="I2815" t="s">
        <v>0</v>
      </c>
      <c r="J2815" t="s">
        <v>0</v>
      </c>
      <c r="K2815" t="s">
        <v>52</v>
      </c>
      <c r="L2815" t="s">
        <v>1506</v>
      </c>
      <c r="M2815" t="s">
        <v>156</v>
      </c>
      <c r="N2815" t="s">
        <v>72</v>
      </c>
      <c r="O2815" t="s">
        <v>0</v>
      </c>
      <c r="P2815" t="s">
        <v>59</v>
      </c>
      <c r="Q2815" t="s">
        <v>89</v>
      </c>
      <c r="R2815" t="s">
        <v>57</v>
      </c>
      <c r="S2815" t="s">
        <v>123</v>
      </c>
      <c r="T2815" t="s">
        <v>147</v>
      </c>
      <c r="U2815" t="s">
        <v>224</v>
      </c>
      <c r="V2815" t="s">
        <v>93</v>
      </c>
      <c r="W2815" t="s">
        <v>107</v>
      </c>
      <c r="X2815" t="s">
        <v>116</v>
      </c>
      <c r="Y2815" t="s">
        <v>7384</v>
      </c>
      <c r="Z2815" t="s">
        <v>64</v>
      </c>
      <c r="AA2815" t="s">
        <v>95</v>
      </c>
      <c r="AB2815" t="s">
        <v>0</v>
      </c>
      <c r="AC2815" t="s">
        <v>7385</v>
      </c>
    </row>
    <row r="2816" spans="1:29">
      <c r="A2816" t="s">
        <v>7386</v>
      </c>
      <c r="B2816" s="42" t="str">
        <f>IF(ISNUMBER(SEARCH(E2816,A2816)),A2816,IF(OR(E2816="",E2816=""),A2816,A2816&amp;" - "&amp;E2816))</f>
        <v>Remexian 24/1 ALL GSC - Girl Scout Cookies</v>
      </c>
      <c r="C2816" t="s">
        <v>83</v>
      </c>
      <c r="D2816" t="s">
        <v>95</v>
      </c>
      <c r="E2816" s="9" t="s">
        <v>229</v>
      </c>
      <c r="F2816" s="1" t="s">
        <v>177</v>
      </c>
      <c r="G2816" s="8" t="s">
        <v>448</v>
      </c>
      <c r="H2816" s="7" t="s">
        <v>65</v>
      </c>
      <c r="I2816" t="s">
        <v>0</v>
      </c>
      <c r="J2816" t="s">
        <v>0</v>
      </c>
      <c r="K2816" t="s">
        <v>52</v>
      </c>
      <c r="L2816" t="s">
        <v>1506</v>
      </c>
      <c r="M2816" t="s">
        <v>178</v>
      </c>
      <c r="N2816" t="s">
        <v>103</v>
      </c>
      <c r="O2816" t="s">
        <v>71</v>
      </c>
      <c r="P2816" t="s">
        <v>157</v>
      </c>
      <c r="Q2816" t="s">
        <v>89</v>
      </c>
      <c r="R2816" t="s">
        <v>59</v>
      </c>
      <c r="S2816" t="s">
        <v>106</v>
      </c>
      <c r="T2816" t="s">
        <v>179</v>
      </c>
      <c r="U2816" t="s">
        <v>62</v>
      </c>
      <c r="V2816" t="s">
        <v>173</v>
      </c>
      <c r="W2816" t="s">
        <v>79</v>
      </c>
      <c r="X2816" t="s">
        <v>77</v>
      </c>
      <c r="Y2816" t="s">
        <v>358</v>
      </c>
      <c r="Z2816" t="s">
        <v>64</v>
      </c>
      <c r="AA2816" t="s">
        <v>95</v>
      </c>
      <c r="AB2816" t="s">
        <v>0</v>
      </c>
      <c r="AC2816" t="s">
        <v>7387</v>
      </c>
    </row>
    <row r="2817" spans="1:29">
      <c r="A2817" t="s">
        <v>7388</v>
      </c>
      <c r="B2817" s="42" t="str">
        <f>IF(ISNUMBER(SEARCH(E2817,A2817)),A2817,IF(OR(E2817="",E2817=""),A2817,A2817&amp;" - "&amp;E2817))</f>
        <v>Remexian 21/1 EZA WW - White Widow</v>
      </c>
      <c r="C2817" t="s">
        <v>83</v>
      </c>
      <c r="D2817" t="s">
        <v>95</v>
      </c>
      <c r="E2817" s="9" t="s">
        <v>251</v>
      </c>
      <c r="F2817" s="1" t="s">
        <v>69</v>
      </c>
      <c r="G2817" s="8" t="s">
        <v>452</v>
      </c>
      <c r="H2817" s="7" t="s">
        <v>65</v>
      </c>
      <c r="I2817" t="s">
        <v>0</v>
      </c>
      <c r="J2817" t="s">
        <v>0</v>
      </c>
      <c r="K2817" t="s">
        <v>52</v>
      </c>
      <c r="L2817" t="s">
        <v>1506</v>
      </c>
      <c r="M2817" t="s">
        <v>54</v>
      </c>
      <c r="N2817" t="s">
        <v>55</v>
      </c>
      <c r="O2817" t="s">
        <v>178</v>
      </c>
      <c r="P2817" t="s">
        <v>113</v>
      </c>
      <c r="Q2817" t="s">
        <v>59</v>
      </c>
      <c r="R2817" t="s">
        <v>74</v>
      </c>
      <c r="S2817" t="s">
        <v>128</v>
      </c>
      <c r="T2817" t="s">
        <v>179</v>
      </c>
      <c r="U2817" t="s">
        <v>62</v>
      </c>
      <c r="V2817" t="s">
        <v>107</v>
      </c>
      <c r="W2817" t="s">
        <v>77</v>
      </c>
      <c r="X2817" t="s">
        <v>457</v>
      </c>
      <c r="Y2817" t="s">
        <v>7389</v>
      </c>
      <c r="Z2817" t="s">
        <v>64</v>
      </c>
      <c r="AA2817" t="s">
        <v>95</v>
      </c>
      <c r="AB2817" t="s">
        <v>0</v>
      </c>
      <c r="AC2817" t="s">
        <v>7390</v>
      </c>
    </row>
    <row r="2818" spans="1:29">
      <c r="A2818" t="s">
        <v>7391</v>
      </c>
      <c r="B2818" s="42" t="str">
        <f>IF(ISNUMBER(SEARCH(E2818,A2818)),A2818,IF(OR(E2818="",E2818=""),A2818,A2818&amp;" - "&amp;E2818))</f>
        <v>Remexian 18/1 ILF SBL - Strawberry Lemonade</v>
      </c>
      <c r="C2818" t="s">
        <v>83</v>
      </c>
      <c r="D2818" t="s">
        <v>95</v>
      </c>
      <c r="E2818" s="9" t="s">
        <v>6882</v>
      </c>
      <c r="F2818" s="1" t="s">
        <v>144</v>
      </c>
      <c r="G2818" s="8" t="s">
        <v>8</v>
      </c>
      <c r="H2818" s="7" t="s">
        <v>65</v>
      </c>
      <c r="I2818" t="s">
        <v>0</v>
      </c>
      <c r="J2818" t="s">
        <v>0</v>
      </c>
      <c r="K2818" t="s">
        <v>52</v>
      </c>
      <c r="L2818" t="s">
        <v>102</v>
      </c>
      <c r="M2818" t="s">
        <v>72</v>
      </c>
      <c r="N2818" t="s">
        <v>71</v>
      </c>
      <c r="O2818" t="s">
        <v>111</v>
      </c>
      <c r="P2818" t="s">
        <v>104</v>
      </c>
      <c r="Q2818" t="s">
        <v>75</v>
      </c>
      <c r="R2818" t="s">
        <v>59</v>
      </c>
      <c r="S2818" t="s">
        <v>106</v>
      </c>
      <c r="T2818" t="s">
        <v>234</v>
      </c>
      <c r="U2818" t="s">
        <v>0</v>
      </c>
      <c r="V2818" t="s">
        <v>79</v>
      </c>
      <c r="W2818" t="s">
        <v>77</v>
      </c>
      <c r="X2818" t="s">
        <v>180</v>
      </c>
      <c r="Y2818" t="s">
        <v>7392</v>
      </c>
      <c r="Z2818" t="s">
        <v>64</v>
      </c>
      <c r="AA2818" t="s">
        <v>95</v>
      </c>
      <c r="AB2818" t="s">
        <v>0</v>
      </c>
      <c r="AC2818" t="s">
        <v>7393</v>
      </c>
    </row>
    <row r="2819" spans="1:29">
      <c r="A2819" t="s">
        <v>7394</v>
      </c>
      <c r="B2819" s="42" t="str">
        <f>IF(ISNUMBER(SEARCH(E2819,A2819)),A2819,IF(OR(E2819="",E2819=""),A2819,A2819&amp;" - "&amp;E2819))</f>
        <v>CzechOut 21/1 PUO - Purple Octane</v>
      </c>
      <c r="C2819" t="s">
        <v>83</v>
      </c>
      <c r="D2819" t="s">
        <v>95</v>
      </c>
      <c r="E2819" s="9" t="s">
        <v>1207</v>
      </c>
      <c r="F2819" s="1" t="s">
        <v>177</v>
      </c>
      <c r="G2819" s="8" t="s">
        <v>452</v>
      </c>
      <c r="H2819" s="7" t="s">
        <v>65</v>
      </c>
      <c r="I2819" t="s">
        <v>0</v>
      </c>
      <c r="J2819" t="s">
        <v>0</v>
      </c>
      <c r="K2819" t="s">
        <v>52</v>
      </c>
      <c r="L2819" t="s">
        <v>965</v>
      </c>
      <c r="M2819" t="s">
        <v>72</v>
      </c>
      <c r="N2819" t="s">
        <v>121</v>
      </c>
      <c r="O2819" t="s">
        <v>88</v>
      </c>
      <c r="P2819" t="s">
        <v>58</v>
      </c>
      <c r="Q2819" t="s">
        <v>73</v>
      </c>
      <c r="R2819" t="s">
        <v>74</v>
      </c>
      <c r="S2819" t="s">
        <v>106</v>
      </c>
      <c r="T2819" t="s">
        <v>62</v>
      </c>
      <c r="U2819" t="s">
        <v>147</v>
      </c>
      <c r="V2819" t="s">
        <v>77</v>
      </c>
      <c r="W2819" t="s">
        <v>107</v>
      </c>
      <c r="X2819" t="s">
        <v>173</v>
      </c>
      <c r="Y2819" t="s">
        <v>6817</v>
      </c>
      <c r="Z2819" t="s">
        <v>64</v>
      </c>
      <c r="AA2819" t="s">
        <v>95</v>
      </c>
      <c r="AB2819" t="s">
        <v>0</v>
      </c>
      <c r="AC2819" t="s">
        <v>7395</v>
      </c>
    </row>
    <row r="2820" spans="1:29">
      <c r="A2820" t="s">
        <v>7396</v>
      </c>
      <c r="B2820" s="42" t="str">
        <f>IF(ISNUMBER(SEARCH(E2820,A2820)),A2820,IF(OR(E2820="",E2820=""),A2820,A2820&amp;" - "&amp;E2820))</f>
        <v>Remexian 24/1 ALL RMG - Romulan Grapefruit</v>
      </c>
      <c r="C2820" t="s">
        <v>83</v>
      </c>
      <c r="D2820" t="s">
        <v>95</v>
      </c>
      <c r="E2820" s="9" t="s">
        <v>7397</v>
      </c>
      <c r="F2820" s="1" t="s">
        <v>177</v>
      </c>
      <c r="G2820" s="8" t="s">
        <v>448</v>
      </c>
      <c r="H2820" s="7" t="s">
        <v>65</v>
      </c>
      <c r="I2820" t="s">
        <v>0</v>
      </c>
      <c r="J2820" t="s">
        <v>0</v>
      </c>
      <c r="K2820" t="s">
        <v>52</v>
      </c>
      <c r="L2820" t="s">
        <v>1506</v>
      </c>
      <c r="M2820" t="s">
        <v>121</v>
      </c>
      <c r="N2820" t="s">
        <v>72</v>
      </c>
      <c r="O2820" t="s">
        <v>54</v>
      </c>
      <c r="P2820" t="s">
        <v>59</v>
      </c>
      <c r="Q2820" t="s">
        <v>89</v>
      </c>
      <c r="R2820" t="s">
        <v>58</v>
      </c>
      <c r="S2820" t="s">
        <v>106</v>
      </c>
      <c r="T2820" t="s">
        <v>147</v>
      </c>
      <c r="U2820" t="s">
        <v>192</v>
      </c>
      <c r="V2820" t="s">
        <v>77</v>
      </c>
      <c r="W2820" t="s">
        <v>116</v>
      </c>
      <c r="X2820" t="s">
        <v>165</v>
      </c>
      <c r="Y2820" t="s">
        <v>358</v>
      </c>
      <c r="Z2820" t="s">
        <v>64</v>
      </c>
      <c r="AA2820" t="s">
        <v>95</v>
      </c>
      <c r="AB2820" t="s">
        <v>0</v>
      </c>
      <c r="AC2820" t="s">
        <v>7398</v>
      </c>
    </row>
    <row r="2821" spans="1:29">
      <c r="A2821" t="s">
        <v>7403</v>
      </c>
      <c r="B2821" s="42" t="str">
        <f>IF(ISNUMBER(SEARCH(E2821,A2821)),A2821,IF(OR(E2821="",E2821=""),A2821,A2821&amp;" - "&amp;E2821))</f>
        <v>Remexian 21/1 TRF - CMP</v>
      </c>
      <c r="C2821" t="s">
        <v>83</v>
      </c>
      <c r="D2821" t="s">
        <v>95</v>
      </c>
      <c r="E2821" s="9" t="s">
        <v>7404</v>
      </c>
      <c r="F2821" s="1" t="s">
        <v>177</v>
      </c>
      <c r="G2821" s="8" t="s">
        <v>452</v>
      </c>
      <c r="H2821" s="7" t="s">
        <v>65</v>
      </c>
      <c r="I2821" t="s">
        <v>0</v>
      </c>
      <c r="J2821" t="s">
        <v>0</v>
      </c>
      <c r="K2821" t="s">
        <v>52</v>
      </c>
      <c r="L2821" t="s">
        <v>53</v>
      </c>
      <c r="M2821" t="s">
        <v>121</v>
      </c>
      <c r="N2821" t="s">
        <v>72</v>
      </c>
      <c r="O2821" t="s">
        <v>88</v>
      </c>
      <c r="P2821" t="s">
        <v>59</v>
      </c>
      <c r="Q2821" t="s">
        <v>89</v>
      </c>
      <c r="R2821" t="s">
        <v>74</v>
      </c>
      <c r="S2821" t="s">
        <v>62</v>
      </c>
      <c r="T2821" t="s">
        <v>147</v>
      </c>
      <c r="U2821" t="s">
        <v>0</v>
      </c>
      <c r="V2821" t="s">
        <v>4398</v>
      </c>
      <c r="W2821" t="s">
        <v>77</v>
      </c>
      <c r="X2821" t="s">
        <v>116</v>
      </c>
      <c r="Y2821" t="s">
        <v>1342</v>
      </c>
      <c r="Z2821" t="s">
        <v>64</v>
      </c>
      <c r="AA2821" t="s">
        <v>95</v>
      </c>
      <c r="AB2821" t="s">
        <v>0</v>
      </c>
      <c r="AC2821" t="s">
        <v>7405</v>
      </c>
    </row>
    <row r="2822" spans="1:29">
      <c r="A2822" t="s">
        <v>7406</v>
      </c>
      <c r="B2822" s="42" t="str">
        <f>IF(ISNUMBER(SEARCH(E2822,A2822)),A2822,IF(OR(E2822="",E2822=""),A2822,A2822&amp;" - "&amp;E2822))</f>
        <v>MC Regular Drop GMO X JET FUEL GELATO</v>
      </c>
      <c r="C2822" t="s">
        <v>484</v>
      </c>
      <c r="D2822" t="s">
        <v>485</v>
      </c>
      <c r="E2822" s="9" t="s">
        <v>7407</v>
      </c>
      <c r="F2822" s="1" t="s">
        <v>86</v>
      </c>
      <c r="G2822" s="8" t="s">
        <v>26</v>
      </c>
      <c r="H2822" s="7" t="s">
        <v>65</v>
      </c>
      <c r="I2822" t="s">
        <v>0</v>
      </c>
      <c r="J2822" t="s">
        <v>0</v>
      </c>
      <c r="K2822" t="s">
        <v>52</v>
      </c>
      <c r="L2822" t="s">
        <v>53</v>
      </c>
      <c r="M2822" t="s">
        <v>121</v>
      </c>
      <c r="N2822" t="s">
        <v>72</v>
      </c>
      <c r="O2822" t="s">
        <v>54</v>
      </c>
      <c r="P2822" t="s">
        <v>59</v>
      </c>
      <c r="Q2822" t="s">
        <v>57</v>
      </c>
      <c r="R2822" t="s">
        <v>89</v>
      </c>
      <c r="S2822" t="s">
        <v>0</v>
      </c>
      <c r="T2822" t="s">
        <v>0</v>
      </c>
      <c r="U2822" t="s">
        <v>0</v>
      </c>
      <c r="V2822" t="s">
        <v>77</v>
      </c>
      <c r="W2822" t="s">
        <v>116</v>
      </c>
      <c r="X2822" t="s">
        <v>197</v>
      </c>
      <c r="Y2822" t="s">
        <v>1812</v>
      </c>
      <c r="Z2822" t="s">
        <v>64</v>
      </c>
      <c r="AA2822" t="s">
        <v>485</v>
      </c>
      <c r="AB2822" t="s">
        <v>0</v>
      </c>
      <c r="AC2822" t="s">
        <v>7408</v>
      </c>
    </row>
    <row r="2823" spans="1:29">
      <c r="A2823" t="s">
        <v>7409</v>
      </c>
      <c r="B2823" s="42" t="str">
        <f>IF(ISNUMBER(SEARCH(E2823,A2823)),A2823,IF(OR(E2823="",E2823=""),A2823,A2823&amp;" - "&amp;E2823))</f>
        <v>Eufloria 27/1 KUM Kush Mints - Kush Mintz</v>
      </c>
      <c r="C2823" t="s">
        <v>83</v>
      </c>
      <c r="D2823" t="s">
        <v>95</v>
      </c>
      <c r="E2823" s="9" t="s">
        <v>5100</v>
      </c>
      <c r="F2823" s="1" t="s">
        <v>144</v>
      </c>
      <c r="G2823" s="8" t="s">
        <v>33</v>
      </c>
      <c r="H2823" s="7" t="s">
        <v>65</v>
      </c>
      <c r="I2823" t="s">
        <v>0</v>
      </c>
      <c r="J2823" t="s">
        <v>0</v>
      </c>
      <c r="K2823" t="s">
        <v>52</v>
      </c>
      <c r="L2823" t="s">
        <v>53</v>
      </c>
      <c r="M2823" t="s">
        <v>55</v>
      </c>
      <c r="N2823" t="s">
        <v>88</v>
      </c>
      <c r="O2823" t="s">
        <v>72</v>
      </c>
      <c r="P2823" t="s">
        <v>146</v>
      </c>
      <c r="Q2823" t="s">
        <v>591</v>
      </c>
      <c r="R2823" t="s">
        <v>74</v>
      </c>
      <c r="S2823" t="s">
        <v>90</v>
      </c>
      <c r="T2823" t="s">
        <v>106</v>
      </c>
      <c r="U2823" t="s">
        <v>123</v>
      </c>
      <c r="V2823" t="s">
        <v>92</v>
      </c>
      <c r="W2823" t="s">
        <v>116</v>
      </c>
      <c r="X2823" t="s">
        <v>79</v>
      </c>
      <c r="Y2823" t="s">
        <v>6817</v>
      </c>
      <c r="Z2823" t="s">
        <v>64</v>
      </c>
      <c r="AA2823" t="s">
        <v>95</v>
      </c>
      <c r="AB2823" t="s">
        <v>7410</v>
      </c>
      <c r="AC2823" t="s">
        <v>7411</v>
      </c>
    </row>
    <row r="2824" spans="1:29">
      <c r="A2824" t="s">
        <v>7412</v>
      </c>
      <c r="B2824" s="42" t="str">
        <f>IF(ISNUMBER(SEARCH(E2824,A2824)),A2824,IF(OR(E2824="",E2824=""),A2824,A2824&amp;" - "&amp;E2824))</f>
        <v>Cannamedical Hybrid Classic KA - Ring of Sour</v>
      </c>
      <c r="C2824" t="s">
        <v>48</v>
      </c>
      <c r="D2824" t="s">
        <v>49</v>
      </c>
      <c r="E2824" s="9" t="s">
        <v>7413</v>
      </c>
      <c r="F2824" s="1" t="s">
        <v>86</v>
      </c>
      <c r="G2824" s="8" t="s">
        <v>460</v>
      </c>
      <c r="H2824" s="7" t="s">
        <v>65</v>
      </c>
      <c r="I2824" t="s">
        <v>0</v>
      </c>
      <c r="J2824" t="s">
        <v>0</v>
      </c>
      <c r="K2824" t="s">
        <v>52</v>
      </c>
      <c r="M2824" t="s">
        <v>88</v>
      </c>
      <c r="N2824" t="s">
        <v>111</v>
      </c>
      <c r="O2824" t="s">
        <v>0</v>
      </c>
      <c r="P2824" t="s">
        <v>89</v>
      </c>
      <c r="Q2824" t="s">
        <v>157</v>
      </c>
      <c r="R2824" t="s">
        <v>73</v>
      </c>
      <c r="S2824" t="s">
        <v>106</v>
      </c>
      <c r="T2824" t="s">
        <v>62</v>
      </c>
      <c r="U2824" t="s">
        <v>147</v>
      </c>
      <c r="V2824" t="s">
        <v>129</v>
      </c>
      <c r="W2824" t="s">
        <v>107</v>
      </c>
      <c r="X2824" t="s">
        <v>165</v>
      </c>
      <c r="Y2824" t="s">
        <v>1820</v>
      </c>
      <c r="Z2824" t="s">
        <v>64</v>
      </c>
      <c r="AA2824" t="s">
        <v>49</v>
      </c>
      <c r="AB2824" t="s">
        <v>0</v>
      </c>
      <c r="AC2824" t="s">
        <v>7414</v>
      </c>
    </row>
    <row r="2825" spans="1:29">
      <c r="A2825" t="s">
        <v>7418</v>
      </c>
      <c r="B2825" s="42" t="str">
        <f>IF(ISNUMBER(SEARCH(E2825,A2825)),A2825,IF(OR(E2825="",E2825=""),A2825,A2825&amp;" - "&amp;E2825))</f>
        <v>Luana 24/1 Durban</v>
      </c>
      <c r="C2825" t="s">
        <v>48</v>
      </c>
      <c r="D2825" t="s">
        <v>49</v>
      </c>
      <c r="E2825" s="9" t="s">
        <v>7419</v>
      </c>
      <c r="F2825" s="1" t="s">
        <v>144</v>
      </c>
      <c r="G2825" s="8" t="s">
        <v>4126</v>
      </c>
      <c r="H2825" s="7" t="s">
        <v>65</v>
      </c>
      <c r="I2825" t="s">
        <v>0</v>
      </c>
      <c r="J2825" t="s">
        <v>0</v>
      </c>
      <c r="K2825" t="s">
        <v>52</v>
      </c>
      <c r="L2825" t="s">
        <v>53</v>
      </c>
      <c r="M2825" t="s">
        <v>88</v>
      </c>
      <c r="N2825" t="s">
        <v>54</v>
      </c>
      <c r="O2825" t="s">
        <v>111</v>
      </c>
      <c r="P2825" t="s">
        <v>75</v>
      </c>
      <c r="Q2825" t="s">
        <v>157</v>
      </c>
      <c r="R2825" t="s">
        <v>59</v>
      </c>
      <c r="S2825" t="s">
        <v>90</v>
      </c>
      <c r="T2825" t="s">
        <v>123</v>
      </c>
      <c r="U2825" t="s">
        <v>147</v>
      </c>
      <c r="V2825" t="s">
        <v>77</v>
      </c>
      <c r="W2825" t="s">
        <v>107</v>
      </c>
      <c r="X2825" t="s">
        <v>165</v>
      </c>
      <c r="Y2825" t="s">
        <v>2158</v>
      </c>
      <c r="Z2825" t="s">
        <v>64</v>
      </c>
      <c r="AA2825" t="s">
        <v>49</v>
      </c>
      <c r="AB2825" t="s">
        <v>0</v>
      </c>
      <c r="AC2825" t="s">
        <v>7420</v>
      </c>
    </row>
    <row r="2826" spans="1:29">
      <c r="A2826" t="s">
        <v>7428</v>
      </c>
      <c r="B2826" s="42" t="str">
        <f>IF(ISNUMBER(SEARCH(E2826,A2826)),A2826,IF(OR(E2826="",E2826=""),A2826,A2826&amp;" - "&amp;E2826))</f>
        <v>CzechOut 24/1 PUO - Purple Octane</v>
      </c>
      <c r="C2826" t="s">
        <v>83</v>
      </c>
      <c r="D2826" t="s">
        <v>95</v>
      </c>
      <c r="E2826" s="9" t="s">
        <v>1207</v>
      </c>
      <c r="F2826" s="1" t="s">
        <v>177</v>
      </c>
      <c r="G2826" s="8" t="s">
        <v>448</v>
      </c>
      <c r="H2826" s="7" t="s">
        <v>65</v>
      </c>
      <c r="I2826" t="s">
        <v>0</v>
      </c>
      <c r="J2826" t="s">
        <v>0</v>
      </c>
      <c r="K2826" t="s">
        <v>52</v>
      </c>
      <c r="L2826" t="s">
        <v>965</v>
      </c>
      <c r="M2826" t="s">
        <v>72</v>
      </c>
      <c r="N2826" t="s">
        <v>121</v>
      </c>
      <c r="O2826" t="s">
        <v>88</v>
      </c>
      <c r="P2826" t="s">
        <v>58</v>
      </c>
      <c r="Q2826" t="s">
        <v>73</v>
      </c>
      <c r="R2826" t="s">
        <v>74</v>
      </c>
      <c r="S2826" t="s">
        <v>106</v>
      </c>
      <c r="T2826" t="s">
        <v>62</v>
      </c>
      <c r="U2826" t="s">
        <v>147</v>
      </c>
      <c r="V2826" t="s">
        <v>77</v>
      </c>
      <c r="W2826" t="s">
        <v>107</v>
      </c>
      <c r="X2826" t="s">
        <v>173</v>
      </c>
      <c r="Y2826" t="s">
        <v>1218</v>
      </c>
      <c r="Z2826" t="s">
        <v>64</v>
      </c>
      <c r="AA2826" t="s">
        <v>95</v>
      </c>
      <c r="AB2826" t="s">
        <v>0</v>
      </c>
      <c r="AC2826" t="s">
        <v>7429</v>
      </c>
    </row>
    <row r="2827" spans="1:29">
      <c r="A2827" t="s">
        <v>7430</v>
      </c>
      <c r="B2827" s="42" t="str">
        <f>IF(ISNUMBER(SEARCH(E2827,A2827)),A2827,IF(OR(E2827="",E2827=""),A2827,A2827&amp;" - "&amp;E2827))</f>
        <v>madrecan 21/1 PIP - Pineapple Purps</v>
      </c>
      <c r="C2827" t="s">
        <v>83</v>
      </c>
      <c r="D2827" t="s">
        <v>95</v>
      </c>
      <c r="E2827" s="9" t="s">
        <v>5142</v>
      </c>
      <c r="F2827" s="1" t="s">
        <v>144</v>
      </c>
      <c r="G2827" s="8" t="s">
        <v>452</v>
      </c>
      <c r="H2827" s="7" t="s">
        <v>65</v>
      </c>
      <c r="I2827" t="s">
        <v>0</v>
      </c>
      <c r="J2827" t="s">
        <v>0</v>
      </c>
      <c r="K2827" t="s">
        <v>52</v>
      </c>
      <c r="L2827" t="s">
        <v>102</v>
      </c>
      <c r="M2827" t="s">
        <v>111</v>
      </c>
      <c r="N2827" t="s">
        <v>54</v>
      </c>
      <c r="O2827" t="s">
        <v>55</v>
      </c>
      <c r="P2827" t="s">
        <v>73</v>
      </c>
      <c r="Q2827" t="s">
        <v>74</v>
      </c>
      <c r="R2827" t="s">
        <v>59</v>
      </c>
      <c r="S2827" t="s">
        <v>128</v>
      </c>
      <c r="T2827" t="s">
        <v>106</v>
      </c>
      <c r="U2827" t="s">
        <v>62</v>
      </c>
      <c r="V2827" t="s">
        <v>107</v>
      </c>
      <c r="W2827" t="s">
        <v>0</v>
      </c>
      <c r="X2827" t="s">
        <v>0</v>
      </c>
      <c r="Y2827" t="s">
        <v>2287</v>
      </c>
      <c r="Z2827" t="s">
        <v>64</v>
      </c>
      <c r="AA2827" t="s">
        <v>95</v>
      </c>
      <c r="AB2827" t="s">
        <v>0</v>
      </c>
      <c r="AC2827" t="s">
        <v>7431</v>
      </c>
    </row>
    <row r="2828" spans="1:29">
      <c r="A2828" t="s">
        <v>7432</v>
      </c>
      <c r="B2828" s="42" t="str">
        <f>IF(ISNUMBER(SEARCH(E2828,A2828)),A2828,IF(OR(E2828="",E2828=""),A2828,A2828&amp;" - "&amp;E2828))</f>
        <v>MGF Gastro Pop 26/1</v>
      </c>
      <c r="C2828" t="s">
        <v>3108</v>
      </c>
      <c r="D2828" t="s">
        <v>3109</v>
      </c>
      <c r="E2828" s="9" t="s">
        <v>1564</v>
      </c>
      <c r="F2828" s="1" t="s">
        <v>177</v>
      </c>
      <c r="G2828" s="8" t="s">
        <v>4086</v>
      </c>
      <c r="H2828" s="7" t="s">
        <v>65</v>
      </c>
      <c r="I2828" t="s">
        <v>0</v>
      </c>
      <c r="J2828" t="s">
        <v>0</v>
      </c>
      <c r="K2828" t="s">
        <v>52</v>
      </c>
      <c r="L2828" t="s">
        <v>53</v>
      </c>
      <c r="M2828" t="s">
        <v>156</v>
      </c>
      <c r="N2828" t="s">
        <v>103</v>
      </c>
      <c r="O2828" t="s">
        <v>0</v>
      </c>
      <c r="P2828" t="s">
        <v>58</v>
      </c>
      <c r="Q2828" t="s">
        <v>89</v>
      </c>
      <c r="R2828" t="s">
        <v>59</v>
      </c>
      <c r="S2828" t="s">
        <v>62</v>
      </c>
      <c r="T2828" t="s">
        <v>123</v>
      </c>
      <c r="U2828" t="s">
        <v>147</v>
      </c>
      <c r="V2828" t="s">
        <v>77</v>
      </c>
      <c r="W2828" t="s">
        <v>107</v>
      </c>
      <c r="X2828" t="s">
        <v>173</v>
      </c>
      <c r="Y2828" t="s">
        <v>7226</v>
      </c>
      <c r="Z2828" t="s">
        <v>64</v>
      </c>
      <c r="AA2828" t="s">
        <v>3109</v>
      </c>
      <c r="AB2828" t="s">
        <v>0</v>
      </c>
      <c r="AC2828" t="s">
        <v>7433</v>
      </c>
    </row>
    <row r="2829" spans="1:29">
      <c r="A2829" t="s">
        <v>7434</v>
      </c>
      <c r="B2829" s="42" t="str">
        <f>IF(ISNUMBER(SEARCH(E2829,A2829)),A2829,IF(OR(E2829="",E2829=""),A2829,A2829&amp;" - "&amp;E2829))</f>
        <v>MGF Pave Runtz 20/1</v>
      </c>
      <c r="C2829" t="s">
        <v>3108</v>
      </c>
      <c r="D2829" t="s">
        <v>3109</v>
      </c>
      <c r="E2829" s="9" t="s">
        <v>1449</v>
      </c>
      <c r="F2829" s="1" t="s">
        <v>86</v>
      </c>
      <c r="G2829" s="8" t="s">
        <v>460</v>
      </c>
      <c r="H2829" s="7" t="s">
        <v>65</v>
      </c>
      <c r="I2829" t="s">
        <v>0</v>
      </c>
      <c r="J2829" t="s">
        <v>0</v>
      </c>
      <c r="K2829" t="s">
        <v>52</v>
      </c>
      <c r="L2829" t="s">
        <v>53</v>
      </c>
      <c r="M2829" t="s">
        <v>54</v>
      </c>
      <c r="N2829" t="s">
        <v>121</v>
      </c>
      <c r="O2829" t="s">
        <v>72</v>
      </c>
      <c r="P2829" t="s">
        <v>74</v>
      </c>
      <c r="Q2829" t="s">
        <v>58</v>
      </c>
      <c r="R2829" t="s">
        <v>73</v>
      </c>
      <c r="S2829" t="s">
        <v>106</v>
      </c>
      <c r="T2829" t="s">
        <v>62</v>
      </c>
      <c r="U2829" t="s">
        <v>147</v>
      </c>
      <c r="V2829" t="s">
        <v>107</v>
      </c>
      <c r="W2829" t="s">
        <v>180</v>
      </c>
      <c r="X2829" t="s">
        <v>138</v>
      </c>
      <c r="Y2829" t="s">
        <v>7226</v>
      </c>
      <c r="Z2829" t="s">
        <v>64</v>
      </c>
      <c r="AA2829" t="s">
        <v>3109</v>
      </c>
      <c r="AB2829" t="s">
        <v>0</v>
      </c>
      <c r="AC2829" t="s">
        <v>7435</v>
      </c>
    </row>
    <row r="2830" spans="1:29">
      <c r="A2830" t="s">
        <v>7436</v>
      </c>
      <c r="B2830" s="42" t="str">
        <f>IF(ISNUMBER(SEARCH(E2830,A2830)),A2830,IF(OR(E2830="",E2830=""),A2830,A2830&amp;" - "&amp;E2830))</f>
        <v>MGF Wizard 26/1 THC Richt - Ice Cream Wizard</v>
      </c>
      <c r="C2830" t="s">
        <v>3108</v>
      </c>
      <c r="D2830" t="s">
        <v>3109</v>
      </c>
      <c r="E2830" s="9" t="s">
        <v>7437</v>
      </c>
      <c r="F2830" s="1" t="s">
        <v>177</v>
      </c>
      <c r="G2830" s="8" t="s">
        <v>4086</v>
      </c>
      <c r="H2830" s="7" t="s">
        <v>65</v>
      </c>
      <c r="I2830" t="s">
        <v>0</v>
      </c>
      <c r="J2830" t="s">
        <v>0</v>
      </c>
      <c r="K2830" t="s">
        <v>52</v>
      </c>
      <c r="L2830" t="s">
        <v>53</v>
      </c>
      <c r="M2830" t="s">
        <v>72</v>
      </c>
      <c r="N2830" t="s">
        <v>88</v>
      </c>
      <c r="O2830" t="s">
        <v>121</v>
      </c>
      <c r="P2830" t="s">
        <v>57</v>
      </c>
      <c r="Q2830" t="s">
        <v>146</v>
      </c>
      <c r="R2830" t="s">
        <v>89</v>
      </c>
      <c r="S2830" t="s">
        <v>106</v>
      </c>
      <c r="T2830" t="s">
        <v>62</v>
      </c>
      <c r="U2830" t="s">
        <v>192</v>
      </c>
      <c r="V2830" t="s">
        <v>77</v>
      </c>
      <c r="W2830" t="s">
        <v>116</v>
      </c>
      <c r="X2830" t="s">
        <v>93</v>
      </c>
      <c r="Y2830" t="s">
        <v>7226</v>
      </c>
      <c r="Z2830" t="s">
        <v>64</v>
      </c>
      <c r="AA2830" t="s">
        <v>3109</v>
      </c>
      <c r="AB2830" t="s">
        <v>0</v>
      </c>
      <c r="AC2830" t="s">
        <v>7438</v>
      </c>
    </row>
    <row r="2831" spans="1:29">
      <c r="A2831" t="s">
        <v>7439</v>
      </c>
      <c r="B2831" s="42" t="str">
        <f>IF(ISNUMBER(SEARCH(E2831,A2831)),A2831,IF(OR(E2831="",E2831=""),A2831,A2831&amp;" - "&amp;E2831))</f>
        <v>GrowMotion TJ27 - Tricho Jordan</v>
      </c>
      <c r="C2831" t="s">
        <v>725</v>
      </c>
      <c r="D2831" t="s">
        <v>726</v>
      </c>
      <c r="E2831" s="9" t="s">
        <v>7440</v>
      </c>
      <c r="F2831" s="1" t="s">
        <v>177</v>
      </c>
      <c r="G2831" s="8" t="s">
        <v>33</v>
      </c>
      <c r="H2831" s="7" t="s">
        <v>65</v>
      </c>
      <c r="I2831" t="s">
        <v>0</v>
      </c>
      <c r="J2831" t="s">
        <v>0</v>
      </c>
      <c r="K2831" t="s">
        <v>52</v>
      </c>
      <c r="L2831" t="s">
        <v>4603</v>
      </c>
      <c r="M2831" t="s">
        <v>121</v>
      </c>
      <c r="N2831" t="s">
        <v>72</v>
      </c>
      <c r="O2831" t="s">
        <v>71</v>
      </c>
      <c r="P2831" t="s">
        <v>104</v>
      </c>
      <c r="Q2831" t="s">
        <v>75</v>
      </c>
      <c r="R2831" t="s">
        <v>59</v>
      </c>
      <c r="S2831" t="s">
        <v>128</v>
      </c>
      <c r="T2831" t="s">
        <v>106</v>
      </c>
      <c r="U2831" t="s">
        <v>62</v>
      </c>
      <c r="V2831" t="s">
        <v>77</v>
      </c>
      <c r="W2831" t="s">
        <v>116</v>
      </c>
      <c r="X2831" t="s">
        <v>79</v>
      </c>
      <c r="Y2831" t="s">
        <v>80</v>
      </c>
      <c r="Z2831" t="s">
        <v>64</v>
      </c>
      <c r="AA2831" t="s">
        <v>726</v>
      </c>
      <c r="AB2831" t="s">
        <v>0</v>
      </c>
      <c r="AC2831" t="s">
        <v>7441</v>
      </c>
    </row>
    <row r="2832" spans="1:29">
      <c r="A2832" t="s">
        <v>7444</v>
      </c>
      <c r="B2832" s="42" t="str">
        <f>IF(ISNUMBER(SEARCH(E2832,A2832)),A2832,IF(OR(E2832="",E2832=""),A2832,A2832&amp;" - "&amp;E2832))</f>
        <v>Tilray Craft Cannabisblüten THC22 PPV - Platinum Pave</v>
      </c>
      <c r="C2832" t="s">
        <v>133</v>
      </c>
      <c r="D2832" t="s">
        <v>134</v>
      </c>
      <c r="E2832" s="9" t="s">
        <v>5070</v>
      </c>
      <c r="F2832" s="1" t="s">
        <v>86</v>
      </c>
      <c r="G2832" s="8" t="s">
        <v>4126</v>
      </c>
      <c r="H2832" s="7" t="s">
        <v>65</v>
      </c>
      <c r="I2832" t="s">
        <v>0</v>
      </c>
      <c r="J2832" t="s">
        <v>0</v>
      </c>
      <c r="K2832" t="s">
        <v>52</v>
      </c>
      <c r="L2832" t="s">
        <v>527</v>
      </c>
      <c r="M2832" t="s">
        <v>54</v>
      </c>
      <c r="N2832" t="s">
        <v>88</v>
      </c>
      <c r="O2832" t="s">
        <v>0</v>
      </c>
      <c r="P2832" t="s">
        <v>75</v>
      </c>
      <c r="Q2832" t="s">
        <v>73</v>
      </c>
      <c r="R2832" t="s">
        <v>157</v>
      </c>
      <c r="S2832" t="s">
        <v>106</v>
      </c>
      <c r="T2832" t="s">
        <v>62</v>
      </c>
      <c r="U2832" t="s">
        <v>123</v>
      </c>
      <c r="V2832" t="s">
        <v>116</v>
      </c>
      <c r="W2832" t="s">
        <v>173</v>
      </c>
      <c r="X2832" t="s">
        <v>77</v>
      </c>
      <c r="Y2832" t="s">
        <v>437</v>
      </c>
      <c r="Z2832" t="s">
        <v>64</v>
      </c>
      <c r="AA2832" t="s">
        <v>134</v>
      </c>
      <c r="AB2832" t="s">
        <v>0</v>
      </c>
      <c r="AC2832" t="s">
        <v>7445</v>
      </c>
    </row>
    <row r="2833" spans="1:29">
      <c r="A2833" t="s">
        <v>7448</v>
      </c>
      <c r="B2833" s="42" t="str">
        <f>IF(ISNUMBER(SEARCH(E2833,A2833)),A2833,IF(OR(E2833="",E2833=""),A2833,A2833&amp;" - "&amp;E2833))</f>
        <v>Tilray Craft THC25 AMH - Amnesia Haze</v>
      </c>
      <c r="C2833" t="s">
        <v>133</v>
      </c>
      <c r="D2833" t="s">
        <v>134</v>
      </c>
      <c r="E2833" s="9" t="s">
        <v>2774</v>
      </c>
      <c r="F2833" s="1" t="s">
        <v>69</v>
      </c>
      <c r="G2833" s="8" t="s">
        <v>26</v>
      </c>
      <c r="H2833" s="7" t="s">
        <v>65</v>
      </c>
      <c r="I2833" t="s">
        <v>0</v>
      </c>
      <c r="J2833" t="s">
        <v>0</v>
      </c>
      <c r="K2833" t="s">
        <v>52</v>
      </c>
      <c r="L2833" t="s">
        <v>527</v>
      </c>
      <c r="M2833" t="s">
        <v>55</v>
      </c>
      <c r="N2833" t="s">
        <v>178</v>
      </c>
      <c r="O2833" t="s">
        <v>212</v>
      </c>
      <c r="P2833" t="s">
        <v>75</v>
      </c>
      <c r="Q2833" t="s">
        <v>59</v>
      </c>
      <c r="R2833" t="s">
        <v>0</v>
      </c>
      <c r="S2833" t="s">
        <v>0</v>
      </c>
      <c r="T2833" t="s">
        <v>0</v>
      </c>
      <c r="U2833" t="s">
        <v>0</v>
      </c>
      <c r="V2833" t="s">
        <v>77</v>
      </c>
      <c r="W2833" t="s">
        <v>79</v>
      </c>
      <c r="X2833" t="s">
        <v>457</v>
      </c>
      <c r="Y2833" t="s">
        <v>0</v>
      </c>
      <c r="Z2833" t="s">
        <v>64</v>
      </c>
      <c r="AA2833" t="s">
        <v>134</v>
      </c>
      <c r="AB2833" t="s">
        <v>0</v>
      </c>
      <c r="AC2833" t="s">
        <v>7449</v>
      </c>
    </row>
    <row r="2834" spans="1:29">
      <c r="A2834" t="s">
        <v>7450</v>
      </c>
      <c r="B2834" s="42" t="str">
        <f>IF(ISNUMBER(SEARCH(E2834,A2834)),A2834,IF(OR(E2834="",E2834=""),A2834,A2834&amp;" - "&amp;E2834))</f>
        <v>Tilray Craft THC22 AMH - Amnesia Haze</v>
      </c>
      <c r="C2834" t="s">
        <v>133</v>
      </c>
      <c r="D2834" t="s">
        <v>134</v>
      </c>
      <c r="E2834" s="9" t="s">
        <v>2774</v>
      </c>
      <c r="F2834" s="1" t="s">
        <v>69</v>
      </c>
      <c r="G2834" s="8" t="s">
        <v>4126</v>
      </c>
      <c r="H2834" s="7" t="s">
        <v>65</v>
      </c>
      <c r="I2834" t="s">
        <v>0</v>
      </c>
      <c r="J2834" t="s">
        <v>0</v>
      </c>
      <c r="K2834" t="s">
        <v>52</v>
      </c>
      <c r="L2834" t="s">
        <v>527</v>
      </c>
      <c r="M2834" t="s">
        <v>55</v>
      </c>
      <c r="N2834" t="s">
        <v>178</v>
      </c>
      <c r="O2834" t="s">
        <v>212</v>
      </c>
      <c r="P2834" t="s">
        <v>75</v>
      </c>
      <c r="Q2834" t="s">
        <v>59</v>
      </c>
      <c r="R2834" t="s">
        <v>0</v>
      </c>
      <c r="S2834" t="s">
        <v>0</v>
      </c>
      <c r="T2834" t="s">
        <v>0</v>
      </c>
      <c r="U2834" t="s">
        <v>0</v>
      </c>
      <c r="V2834" t="s">
        <v>77</v>
      </c>
      <c r="W2834" t="s">
        <v>79</v>
      </c>
      <c r="X2834" t="s">
        <v>457</v>
      </c>
      <c r="Y2834" t="s">
        <v>6916</v>
      </c>
      <c r="Z2834" t="s">
        <v>64</v>
      </c>
      <c r="AA2834" t="s">
        <v>134</v>
      </c>
      <c r="AB2834" t="s">
        <v>0</v>
      </c>
      <c r="AC2834" t="s">
        <v>7451</v>
      </c>
    </row>
    <row r="2835" spans="1:29">
      <c r="A2835" t="s">
        <v>7452</v>
      </c>
      <c r="B2835" s="42" t="str">
        <f>IF(ISNUMBER(SEARCH(E2835,A2835)),A2835,IF(OR(E2835="",E2835=""),A2835,A2835&amp;" - "&amp;E2835))</f>
        <v>Tilray Craft Cannabisblüten THC25 CTB - Cactus Breath</v>
      </c>
      <c r="C2835" t="s">
        <v>133</v>
      </c>
      <c r="D2835" t="s">
        <v>134</v>
      </c>
      <c r="E2835" s="9" t="s">
        <v>5712</v>
      </c>
      <c r="F2835" s="1" t="s">
        <v>86</v>
      </c>
      <c r="G2835" s="8" t="s">
        <v>26</v>
      </c>
      <c r="H2835" s="7" t="s">
        <v>65</v>
      </c>
      <c r="I2835" t="s">
        <v>0</v>
      </c>
      <c r="J2835" t="s">
        <v>0</v>
      </c>
      <c r="K2835" t="s">
        <v>52</v>
      </c>
      <c r="L2835" t="s">
        <v>527</v>
      </c>
      <c r="M2835" t="s">
        <v>103</v>
      </c>
      <c r="N2835" t="s">
        <v>121</v>
      </c>
      <c r="O2835" t="s">
        <v>71</v>
      </c>
      <c r="P2835" t="s">
        <v>89</v>
      </c>
      <c r="Q2835" t="s">
        <v>146</v>
      </c>
      <c r="R2835" t="s">
        <v>112</v>
      </c>
      <c r="S2835" t="s">
        <v>90</v>
      </c>
      <c r="T2835" t="s">
        <v>105</v>
      </c>
      <c r="U2835" t="s">
        <v>147</v>
      </c>
      <c r="V2835" t="s">
        <v>138</v>
      </c>
      <c r="W2835" t="s">
        <v>93</v>
      </c>
      <c r="X2835" t="s">
        <v>173</v>
      </c>
      <c r="Y2835" t="s">
        <v>5610</v>
      </c>
      <c r="Z2835" t="s">
        <v>64</v>
      </c>
      <c r="AA2835" t="s">
        <v>134</v>
      </c>
      <c r="AB2835" t="s">
        <v>0</v>
      </c>
      <c r="AC2835" t="s">
        <v>7453</v>
      </c>
    </row>
    <row r="2836" spans="1:29">
      <c r="A2836" t="s">
        <v>7454</v>
      </c>
      <c r="B2836" s="42" t="str">
        <f>IF(ISNUMBER(SEARCH(E2836,A2836)),A2836,IF(OR(E2836="",E2836=""),A2836,A2836&amp;" - "&amp;E2836))</f>
        <v>Good Supply T25 MMK - Master Mazar Kush</v>
      </c>
      <c r="C2836" t="s">
        <v>133</v>
      </c>
      <c r="D2836" t="s">
        <v>134</v>
      </c>
      <c r="E2836" s="9" t="s">
        <v>7455</v>
      </c>
      <c r="F2836" s="1" t="s">
        <v>177</v>
      </c>
      <c r="G2836" s="8" t="s">
        <v>26</v>
      </c>
      <c r="H2836" s="7" t="s">
        <v>65</v>
      </c>
      <c r="I2836" t="s">
        <v>0</v>
      </c>
      <c r="J2836" t="s">
        <v>0</v>
      </c>
      <c r="K2836" t="s">
        <v>52</v>
      </c>
      <c r="L2836" t="s">
        <v>53</v>
      </c>
      <c r="M2836" t="s">
        <v>71</v>
      </c>
      <c r="N2836" t="s">
        <v>72</v>
      </c>
      <c r="O2836" t="s">
        <v>0</v>
      </c>
      <c r="P2836" t="s">
        <v>113</v>
      </c>
      <c r="Q2836" t="s">
        <v>157</v>
      </c>
      <c r="R2836" t="s">
        <v>59</v>
      </c>
      <c r="S2836" t="s">
        <v>0</v>
      </c>
      <c r="T2836" t="s">
        <v>0</v>
      </c>
      <c r="U2836" t="s">
        <v>0</v>
      </c>
      <c r="V2836" t="s">
        <v>197</v>
      </c>
      <c r="W2836" t="s">
        <v>225</v>
      </c>
      <c r="X2836" t="s">
        <v>93</v>
      </c>
      <c r="Y2836" t="s">
        <v>5136</v>
      </c>
      <c r="Z2836" t="s">
        <v>64</v>
      </c>
      <c r="AA2836" t="s">
        <v>134</v>
      </c>
      <c r="AB2836" t="s">
        <v>0</v>
      </c>
      <c r="AC2836" t="s">
        <v>7456</v>
      </c>
    </row>
    <row r="2837" spans="1:29">
      <c r="A2837" t="s">
        <v>7457</v>
      </c>
      <c r="B2837" s="42" t="str">
        <f>IF(ISNUMBER(SEARCH(E2837,A2837)),A2837,IF(OR(E2837="",E2837=""),A2837,A2837&amp;" - "&amp;E2837))</f>
        <v>Redecan THC25 BRZ Biscuit RNTZ - Biscuit Rntz I</v>
      </c>
      <c r="C2837" t="s">
        <v>133</v>
      </c>
      <c r="D2837" t="s">
        <v>134</v>
      </c>
      <c r="E2837" s="9" t="s">
        <v>4915</v>
      </c>
      <c r="F2837" s="1" t="s">
        <v>86</v>
      </c>
      <c r="G2837" s="8" t="s">
        <v>26</v>
      </c>
      <c r="H2837" s="7" t="s">
        <v>65</v>
      </c>
      <c r="I2837" t="s">
        <v>0</v>
      </c>
      <c r="J2837" t="s">
        <v>0</v>
      </c>
      <c r="K2837" t="s">
        <v>52</v>
      </c>
      <c r="L2837" t="s">
        <v>53</v>
      </c>
      <c r="M2837" t="s">
        <v>72</v>
      </c>
      <c r="N2837" t="s">
        <v>111</v>
      </c>
      <c r="O2837" t="s">
        <v>88</v>
      </c>
      <c r="P2837" t="s">
        <v>74</v>
      </c>
      <c r="Q2837" t="s">
        <v>58</v>
      </c>
      <c r="R2837" t="s">
        <v>89</v>
      </c>
      <c r="S2837" t="s">
        <v>0</v>
      </c>
      <c r="T2837" t="s">
        <v>0</v>
      </c>
      <c r="U2837" t="s">
        <v>0</v>
      </c>
      <c r="V2837" t="s">
        <v>107</v>
      </c>
      <c r="W2837" t="s">
        <v>173</v>
      </c>
      <c r="X2837" t="s">
        <v>79</v>
      </c>
      <c r="Y2837" t="s">
        <v>1036</v>
      </c>
      <c r="Z2837" t="s">
        <v>64</v>
      </c>
      <c r="AA2837" t="s">
        <v>134</v>
      </c>
      <c r="AB2837" t="s">
        <v>0</v>
      </c>
      <c r="AC2837" t="s">
        <v>7458</v>
      </c>
    </row>
    <row r="2838" spans="1:29">
      <c r="A2838" t="s">
        <v>7459</v>
      </c>
      <c r="B2838" s="42" t="str">
        <f>IF(ISNUMBER(SEARCH(E2838,A2838)),A2838,IF(OR(E2838="",E2838=""),A2838,A2838&amp;" - "&amp;E2838))</f>
        <v>Cresco RSE 36/1 - Jack Black</v>
      </c>
      <c r="C2838" t="s">
        <v>564</v>
      </c>
      <c r="D2838" t="s">
        <v>565</v>
      </c>
      <c r="E2838" s="9" t="s">
        <v>7460</v>
      </c>
      <c r="F2838" s="1" t="s">
        <v>144</v>
      </c>
      <c r="G2838" s="8" t="s">
        <v>5365</v>
      </c>
      <c r="H2838" s="7" t="s">
        <v>65</v>
      </c>
      <c r="I2838" t="s">
        <v>0</v>
      </c>
      <c r="J2838" t="s">
        <v>0</v>
      </c>
      <c r="K2838" t="s">
        <v>52</v>
      </c>
      <c r="L2838" t="s">
        <v>53</v>
      </c>
      <c r="M2838" t="s">
        <v>55</v>
      </c>
      <c r="N2838" t="s">
        <v>72</v>
      </c>
      <c r="O2838" t="s">
        <v>71</v>
      </c>
      <c r="P2838" t="s">
        <v>57</v>
      </c>
      <c r="Q2838" t="s">
        <v>157</v>
      </c>
      <c r="R2838" t="s">
        <v>113</v>
      </c>
      <c r="S2838" t="s">
        <v>90</v>
      </c>
      <c r="T2838" t="s">
        <v>106</v>
      </c>
      <c r="U2838" t="s">
        <v>179</v>
      </c>
      <c r="V2838" t="s">
        <v>138</v>
      </c>
      <c r="W2838" t="s">
        <v>107</v>
      </c>
      <c r="X2838" t="s">
        <v>77</v>
      </c>
      <c r="Y2838" t="s">
        <v>1117</v>
      </c>
      <c r="Z2838" t="s">
        <v>64</v>
      </c>
      <c r="AA2838" t="s">
        <v>565</v>
      </c>
      <c r="AB2838" t="s">
        <v>0</v>
      </c>
      <c r="AC2838" t="s">
        <v>7461</v>
      </c>
    </row>
    <row r="2839" spans="1:29">
      <c r="A2839" t="s">
        <v>7465</v>
      </c>
      <c r="B2839" s="42" t="str">
        <f>IF(ISNUMBER(SEARCH(E2839,A2839)),A2839,IF(OR(E2839="",E2839=""),A2839,A2839&amp;" - "&amp;E2839))</f>
        <v>Wellju DOSIDOS 23/1 - Do-Si-Dos</v>
      </c>
      <c r="C2839" t="s">
        <v>2296</v>
      </c>
      <c r="D2839" t="s">
        <v>2298</v>
      </c>
      <c r="E2839" t="s">
        <v>638</v>
      </c>
      <c r="F2839" t="s">
        <v>86</v>
      </c>
      <c r="G2839" t="s">
        <v>436</v>
      </c>
      <c r="H2839" t="s">
        <v>65</v>
      </c>
      <c r="I2839" t="s">
        <v>0</v>
      </c>
      <c r="J2839" t="s">
        <v>0</v>
      </c>
      <c r="K2839" t="s">
        <v>52</v>
      </c>
      <c r="L2839" t="s">
        <v>145</v>
      </c>
      <c r="M2839" t="s">
        <v>103</v>
      </c>
      <c r="N2839" t="s">
        <v>72</v>
      </c>
      <c r="O2839" t="s">
        <v>121</v>
      </c>
      <c r="P2839" t="s">
        <v>104</v>
      </c>
      <c r="Q2839" t="s">
        <v>74</v>
      </c>
      <c r="R2839" t="s">
        <v>89</v>
      </c>
      <c r="S2839" t="s">
        <v>128</v>
      </c>
      <c r="T2839" t="s">
        <v>106</v>
      </c>
      <c r="U2839" t="s">
        <v>62</v>
      </c>
      <c r="V2839" t="s">
        <v>107</v>
      </c>
      <c r="W2839" t="s">
        <v>77</v>
      </c>
      <c r="X2839" t="s">
        <v>173</v>
      </c>
      <c r="Y2839" t="s">
        <v>7466</v>
      </c>
      <c r="Z2839" t="s">
        <v>64</v>
      </c>
      <c r="AA2839" t="s">
        <v>2298</v>
      </c>
      <c r="AB2839" t="s">
        <v>0</v>
      </c>
      <c r="AC2839" t="s">
        <v>7467</v>
      </c>
    </row>
    <row r="2840" spans="1:29">
      <c r="B2840" s="77" t="s">
        <v>7468</v>
      </c>
    </row>
    <row r="2841" spans="1:29">
      <c r="B2841" s="76" t="s">
        <v>7469</v>
      </c>
    </row>
    <row r="2842" spans="1:29">
      <c r="B2842" s="76" t="s">
        <v>7470</v>
      </c>
    </row>
    <row r="2843" spans="1:29">
      <c r="B2843" s="77" t="s">
        <v>7471</v>
      </c>
    </row>
  </sheetData>
  <autoFilter ref="A1:AC2841" xr:uid="{3A273654-04F3-46FF-A42E-918340510C0A}"/>
  <phoneticPr fontId="5" type="noConversion"/>
  <conditionalFormatting sqref="AC2642">
    <cfRule type="duplicateValues" dxfId="3" priority="172"/>
  </conditionalFormatting>
  <conditionalFormatting sqref="AC2676">
    <cfRule type="duplicateValues" dxfId="2" priority="140"/>
  </conditionalFormatting>
  <conditionalFormatting sqref="AC1">
    <cfRule type="duplicateValues" dxfId="1" priority="362"/>
  </conditionalFormatting>
  <conditionalFormatting sqref="AC2677:AC1048576 AC2325:AC2641 AC2:AC1686 AC1689:AC2323 AC2643:AC2675">
    <cfRule type="duplicateValues" dxfId="0" priority="383"/>
  </conditionalFormatting>
  <hyperlinks>
    <hyperlink ref="AC758" r:id="rId1" xr:uid="{63D91C58-BD19-4806-9086-A737F407BCB6}"/>
    <hyperlink ref="AC774" r:id="rId2" xr:uid="{257FE233-C84C-4829-A24B-7583EBD79A31}"/>
    <hyperlink ref="AC1077" r:id="rId3" xr:uid="{6A6FD912-9315-4C71-967A-F933E43DADD6}"/>
    <hyperlink ref="AC602" r:id="rId4" xr:uid="{15ED8BEA-839B-4BAD-BCE4-391B8BD512B9}"/>
    <hyperlink ref="AC584" r:id="rId5" xr:uid="{961E4B22-E597-4D5F-99A4-1C75A9D8A82F}"/>
    <hyperlink ref="AC470" r:id="rId6" xr:uid="{C66E2CF9-8726-4253-9758-840B87CAEA28}"/>
    <hyperlink ref="AC191" r:id="rId7" xr:uid="{8802E77C-D398-4763-951B-9E3EDBF450DE}"/>
    <hyperlink ref="AC1293" r:id="rId8" xr:uid="{4929521E-7A16-4D97-A178-EC78B5D29060}"/>
    <hyperlink ref="AC1334" r:id="rId9" xr:uid="{64218ADC-C2E7-4C3F-BE19-580732A8EE81}"/>
    <hyperlink ref="AC1340" r:id="rId10" xr:uid="{CA14155E-64E0-4084-B47D-9CEA173DB9DD}"/>
    <hyperlink ref="AC15" r:id="rId11" xr:uid="{FE797454-700C-490E-8E0A-599E3ADAB914}"/>
    <hyperlink ref="AC1040" r:id="rId12" xr:uid="{7C330D37-DAFD-460C-A0ED-C3ACD40876FF}"/>
    <hyperlink ref="AC277" r:id="rId13" xr:uid="{686BA569-F169-4550-9893-C4A8108BF285}"/>
    <hyperlink ref="AC594" r:id="rId14" xr:uid="{74FF535C-58F0-4C0B-881E-C45A1FAB7E74}"/>
    <hyperlink ref="AC147" r:id="rId15" xr:uid="{C0A3BF37-B94A-4FDF-81D9-8EBE288303BB}"/>
    <hyperlink ref="AC759" r:id="rId16" xr:uid="{B3FAB44D-0EE2-4244-9212-D2C861879ADC}"/>
    <hyperlink ref="AC743" r:id="rId17" xr:uid="{FB1C51C6-9D4C-4A56-BF9C-EAB44687473A}"/>
    <hyperlink ref="AC740" r:id="rId18" xr:uid="{716811EB-3FAC-4C56-A10C-5C110CA57494}"/>
    <hyperlink ref="AC1365" r:id="rId19" xr:uid="{ADB33518-2115-4E88-BF1D-AF0D1A946B9A}"/>
    <hyperlink ref="AC1206" r:id="rId20" xr:uid="{6D214E3C-9B7E-41C3-B20A-44743B35407E}"/>
    <hyperlink ref="AC1267" r:id="rId21" xr:uid="{0B6EFE85-97A9-4D54-A7D5-9498F052601E}"/>
    <hyperlink ref="AC1423" r:id="rId22" xr:uid="{8FC6BE78-4DF7-444D-A1F1-E2B3FAB1FBB5}"/>
    <hyperlink ref="AC185" r:id="rId23" xr:uid="{68E8A477-DB60-49A8-A440-E4361C6AAFC2}"/>
    <hyperlink ref="AC241" r:id="rId24" xr:uid="{87D194E7-F0A7-44CD-BC86-B89ED67C96A0}"/>
    <hyperlink ref="AC815" r:id="rId25" xr:uid="{2AED70D8-9F0A-4415-8CDD-D6E64DD1CE55}"/>
    <hyperlink ref="AC822" r:id="rId26" xr:uid="{A968C731-FE54-46E8-ACEF-2BB7C955F0D4}"/>
    <hyperlink ref="AC848" r:id="rId27" xr:uid="{A08871B0-D1CD-48B3-A0B7-F4C6839429BC}"/>
    <hyperlink ref="AC897" r:id="rId28" xr:uid="{2F6CF1C0-3AC1-4300-989B-A9948A4BA94C}"/>
    <hyperlink ref="AC518" r:id="rId29" xr:uid="{49E93DE4-402B-49D1-9FEB-5F80480DD14E}"/>
    <hyperlink ref="AC910" r:id="rId30" xr:uid="{22877D69-2B2F-43E5-9EEB-0F0BBAB3EC6B}"/>
    <hyperlink ref="AC912" r:id="rId31" xr:uid="{43AEEFCD-DDAD-46E6-9F5B-4260D591D3A1}"/>
    <hyperlink ref="AC1429" r:id="rId32" xr:uid="{7BA5E39A-3764-4635-BBE3-D33C2EECDBE7}"/>
    <hyperlink ref="AC928" r:id="rId33" xr:uid="{BC6120BD-7D9A-40DE-9B56-1B9A011F3846}"/>
    <hyperlink ref="AC357" r:id="rId34" xr:uid="{FEFA5212-ED56-4EA0-8641-6B39B4F15604}"/>
    <hyperlink ref="AC931" r:id="rId35" xr:uid="{558745AC-ADDA-4389-83E9-3835554C4808}"/>
    <hyperlink ref="AC948" r:id="rId36" xr:uid="{DE3221A1-94CD-4A4B-9BCC-45D629CFD362}"/>
    <hyperlink ref="AC345" r:id="rId37" xr:uid="{9CD36E84-3508-4D62-9FD2-A24B91A518BB}"/>
    <hyperlink ref="AC803" r:id="rId38" xr:uid="{DA26D396-545A-4A05-A6B6-9C3DCC3707AC}"/>
    <hyperlink ref="AC547" r:id="rId39" xr:uid="{813EB858-A81C-4B1F-9C83-11B513CF3076}"/>
    <hyperlink ref="AC202" r:id="rId40" xr:uid="{91B45C43-EA51-48C5-B1AB-E440422D97F7}"/>
    <hyperlink ref="AC1216" r:id="rId41" xr:uid="{5E56FBA3-0157-4B18-AD58-22C92E84A0F2}"/>
    <hyperlink ref="AC544" r:id="rId42" xr:uid="{692B2A10-8F95-4E3D-B585-6EFC40E12D91}"/>
    <hyperlink ref="AC1226" r:id="rId43" xr:uid="{DE6D3420-311A-4E5C-9586-48C629BE80E3}"/>
    <hyperlink ref="AC1446" r:id="rId44" xr:uid="{7BCF7EE0-E8A1-43F8-91E3-347210614710}"/>
    <hyperlink ref="AC835" r:id="rId45" xr:uid="{33C0D0BD-D723-470E-9158-DF7ECCF6E06B}"/>
    <hyperlink ref="AC855" r:id="rId46" xr:uid="{1ABD6ED3-7393-4B10-95B9-EC26004EB925}"/>
    <hyperlink ref="AC1481" r:id="rId47" xr:uid="{CFE3C442-0A4A-4AE6-882C-6F9764582BE1}"/>
    <hyperlink ref="AC399" r:id="rId48" xr:uid="{755B4B62-BF9B-4B9D-9692-C9C6C840ACE9}"/>
    <hyperlink ref="AC286" r:id="rId49" xr:uid="{FA0D0CE8-5184-4A8C-8AE2-12D3E07C5199}"/>
    <hyperlink ref="AC964" r:id="rId50" xr:uid="{31655EAF-F044-4755-86CA-8B03E13D59B8}"/>
    <hyperlink ref="AC832" r:id="rId51" xr:uid="{BB2A8EAB-9379-49CB-B7D5-92E6231B2F1D}"/>
    <hyperlink ref="AC1126" r:id="rId52" xr:uid="{979ACF38-262D-4444-9530-51883392A7EA}"/>
    <hyperlink ref="AC1654" r:id="rId53" xr:uid="{7B1CE225-0255-4D94-8B41-E77F8D95A9F3}"/>
    <hyperlink ref="AC821" r:id="rId54" xr:uid="{C88B0B25-7132-4D18-8EC6-604F2DCDAA5C}"/>
    <hyperlink ref="AC891" r:id="rId55" xr:uid="{C3AFDCC0-456F-4F36-A660-62A15E04F2CA}"/>
    <hyperlink ref="AC18" r:id="rId56" xr:uid="{3815779D-3936-40DC-BE07-9197FADFB76F}"/>
    <hyperlink ref="AC1705" r:id="rId57" xr:uid="{F03070CA-954D-43C2-9429-687078C5ED03}"/>
    <hyperlink ref="AC1310" r:id="rId58" xr:uid="{A9406448-1FA6-4C9B-BAA3-431D1764ACCB}"/>
    <hyperlink ref="AC1757" r:id="rId59" xr:uid="{69A9E957-10F8-431E-87BD-7B8180D4F0AB}"/>
    <hyperlink ref="AC546" r:id="rId60" xr:uid="{8B82EB2C-DD90-4ECB-9CCE-3341EE547E61}"/>
    <hyperlink ref="AC1432" r:id="rId61" xr:uid="{B84FEF67-41BC-415F-8D14-7F2EAF4EEE43}"/>
    <hyperlink ref="AC1141" r:id="rId62" xr:uid="{7F89625A-954B-44C1-97F7-B99738E20459}"/>
    <hyperlink ref="AC1192" r:id="rId63" xr:uid="{0874C59B-F964-4A46-8B2E-E71D43BCA654}"/>
    <hyperlink ref="AC477" r:id="rId64" xr:uid="{A1C0AF0E-1AD4-4850-8EFF-14DAD02FA712}"/>
    <hyperlink ref="AC590" r:id="rId65" xr:uid="{07462083-FB03-4769-B43A-32F1BFB13EE4}"/>
    <hyperlink ref="AC1844" r:id="rId66" xr:uid="{620A70F3-A111-481B-A04D-F2DB20355117}"/>
    <hyperlink ref="AC1929" r:id="rId67" xr:uid="{82DEEB81-F6DD-474D-9C0C-0DAEE0188DF4}"/>
    <hyperlink ref="AC1595" r:id="rId68" xr:uid="{D153AF14-449E-4B92-8B92-5B7CC10D9EF2}"/>
    <hyperlink ref="AC2206" r:id="rId69" xr:uid="{C6E20065-2FF1-4240-A93B-693280EFA1B8}"/>
    <hyperlink ref="AC2308" r:id="rId70" xr:uid="{94F14224-3D9E-43CE-9E75-9B980E7A6343}"/>
    <hyperlink ref="AC503" r:id="rId71" xr:uid="{613CCC56-9EAE-487F-A308-88742B095E56}"/>
    <hyperlink ref="AC2170" r:id="rId72" xr:uid="{EA7E52A3-BE0C-4F9B-9FC9-58441621440B}"/>
    <hyperlink ref="AC1955" r:id="rId73" xr:uid="{BE04CA26-CD96-46FC-86EB-83A28236BD48}"/>
    <hyperlink ref="AC1305" r:id="rId74" xr:uid="{A8F9C865-1932-4C26-92DD-6386DC0FD6F1}"/>
    <hyperlink ref="AC2018" r:id="rId75" xr:uid="{8C7A9DBB-3B71-4BD9-875E-E0A80D55C321}"/>
    <hyperlink ref="AC1903" r:id="rId76" xr:uid="{E8713F34-EF2A-4436-B9FD-0E6D9AC5BFDE}"/>
    <hyperlink ref="AC365" r:id="rId77" xr:uid="{0C308777-863F-43E6-9CAC-3AD1EA33B09F}"/>
    <hyperlink ref="AC2328" r:id="rId78" xr:uid="{E741FCBA-70AE-4048-9779-788F964E0A5F}"/>
    <hyperlink ref="AC2468" r:id="rId79" xr:uid="{86F97550-DC0E-4C93-A794-6C21530636F3}"/>
    <hyperlink ref="AC2534" r:id="rId80" xr:uid="{0E80BFB0-7501-42B7-B300-95AFA9ADF7F1}"/>
    <hyperlink ref="AC2633" r:id="rId81" xr:uid="{36C31D4E-405E-48BC-BF9B-059EB398E51C}"/>
    <hyperlink ref="AC2702" r:id="rId82" xr:uid="{EDFEE31F-DDD2-463F-8617-66613FF8606F}"/>
    <hyperlink ref="AC2801" r:id="rId83" xr:uid="{82201E6C-E4FA-4280-9455-49B32ACB60E5}"/>
  </hyperlinks>
  <pageMargins left="0.7" right="0.7" top="0.75" bottom="0.75" header="0.3" footer="0.3"/>
  <pageSetup paperSize="9" orientation="portrait" r:id="rId84"/>
  <legacyDrawing r:id="rId8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B67EF98E373448B497E0FE5E5244F3" ma:contentTypeVersion="7" ma:contentTypeDescription="Ein neues Dokument erstellen." ma:contentTypeScope="" ma:versionID="149ca667377e224085334c75c2a9a1ec">
  <xsd:schema xmlns:xsd="http://www.w3.org/2001/XMLSchema" xmlns:xs="http://www.w3.org/2001/XMLSchema" xmlns:p="http://schemas.microsoft.com/office/2006/metadata/properties" xmlns:ns2="eca1f645-5bc2-4d5a-9185-f8a045899d6f" targetNamespace="http://schemas.microsoft.com/office/2006/metadata/properties" ma:root="true" ma:fieldsID="bc1e93a01fb1d1d862dc0f503bc65fe2" ns2:_="">
    <xsd:import namespace="eca1f645-5bc2-4d5a-9185-f8a045899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1f645-5bc2-4d5a-9185-f8a045899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DAE5DA9-481C-4E93-BB73-085B82B2F3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1f645-5bc2-4d5a-9185-f8a045899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11E66D-2343-47CC-9301-CD29C87C7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CD60F8-1057-4D39-8407-F8CA8A8E8D0B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ca1f645-5bc2-4d5a-9185-f8a045899d6f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B8A298E8-AB6E-434C-99FD-78F6161066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flowery_product_number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Azmat Hashim</dc:creator>
  <cp:keywords/>
  <dc:description/>
  <cp:lastModifiedBy>Arvid Jacob</cp:lastModifiedBy>
  <cp:revision/>
  <dcterms:created xsi:type="dcterms:W3CDTF">2025-01-07T14:20:37Z</dcterms:created>
  <dcterms:modified xsi:type="dcterms:W3CDTF">2025-12-12T12:27:56Z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0x01010006B67EF98E373448B497E0FE5E5244F3</vt:lpwstr>
  </property>
</Properties>
</file>